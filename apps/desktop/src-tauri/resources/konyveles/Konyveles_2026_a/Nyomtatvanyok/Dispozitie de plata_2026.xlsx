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33f81537aedd25/Desktop/2026/Munkanaplo_Lelkeszi jelentes_Nyomtatvanyok/"/>
    </mc:Choice>
  </mc:AlternateContent>
  <xr:revisionPtr revIDLastSave="36" documentId="13_ncr:1_{C1B0B501-5F7B-4469-A6A4-A0C7FF574D75}" xr6:coauthVersionLast="47" xr6:coauthVersionMax="47" xr10:uidLastSave="{66E7F84A-4462-46D0-BE96-4189502E9129}"/>
  <workbookProtection workbookAlgorithmName="SHA-512" workbookHashValue="FE6yBgxp2/P5R20RJ8Y0UDX/b68hE/e3drxqVQ5Am2qW4GihnRbPIFJ8+Wppgvh2UOZjCFCooj/c+BhiwA+Mvw==" workbookSaltValue="tO08RT+fB1LXqy//WEXQ6Q==" workbookSpinCount="100000" lockStructure="1"/>
  <bookViews>
    <workbookView xWindow="-120" yWindow="-120" windowWidth="29040" windowHeight="15720" xr2:uid="{00000000-000D-0000-FFFF-FFFF00000000}"/>
  </bookViews>
  <sheets>
    <sheet name="Adatok" sheetId="2" r:id="rId1"/>
    <sheet name="DP" sheetId="1" r:id="rId2"/>
    <sheet name="Munka3" sheetId="3" state="hidden" r:id="rId3"/>
  </sheets>
  <definedNames>
    <definedName name="_xlnm.Print_Area" localSheetId="1">DP!$B$4:$S$31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" l="1"/>
  <c r="C4" i="1" l="1"/>
  <c r="V1" i="1"/>
  <c r="X1" i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B4" i="2"/>
  <c r="Z1" i="1"/>
  <c r="M4" i="1"/>
  <c r="X2" i="1"/>
  <c r="Z2" i="1"/>
  <c r="AH10" i="1"/>
  <c r="AG21" i="1"/>
  <c r="AM10" i="1"/>
  <c r="AL10" i="1"/>
  <c r="AJ10" i="1"/>
  <c r="AI10" i="1"/>
  <c r="AK10" i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W2" i="1" l="1"/>
  <c r="C5" i="1" s="1"/>
  <c r="M5" i="1" s="1"/>
  <c r="W1" i="1"/>
  <c r="A1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X28" i="1"/>
  <c r="W4" i="1" l="1"/>
  <c r="W5" i="1" s="1"/>
  <c r="W9" i="1" s="1"/>
  <c r="W8" i="1" l="1"/>
  <c r="F8" i="1" s="1"/>
  <c r="P8" i="1" s="1"/>
  <c r="W12" i="1"/>
  <c r="C12" i="1" s="1"/>
  <c r="M12" i="1" s="1"/>
  <c r="W7" i="1"/>
  <c r="F7" i="1" s="1"/>
  <c r="P7" i="1" s="1"/>
  <c r="V6" i="1"/>
  <c r="W6" i="1"/>
  <c r="Z6" i="1" s="1"/>
  <c r="X20" i="1"/>
  <c r="X19" i="1"/>
  <c r="X18" i="1"/>
  <c r="AE1" i="1"/>
  <c r="AE2" i="1" s="1"/>
  <c r="AD17" i="1"/>
  <c r="AA14" i="1"/>
  <c r="AA11" i="1"/>
  <c r="AG20" i="1"/>
  <c r="AA13" i="1"/>
  <c r="AA10" i="1"/>
  <c r="AA15" i="1"/>
  <c r="AA9" i="1"/>
  <c r="AA6" i="1" l="1"/>
  <c r="Y6" i="1"/>
  <c r="E21" i="1"/>
  <c r="O21" i="1" s="1"/>
  <c r="AB10" i="1"/>
  <c r="AC10" i="1"/>
  <c r="AB9" i="1"/>
  <c r="AC9" i="1"/>
  <c r="AB13" i="1"/>
  <c r="AC13" i="1" s="1"/>
  <c r="AC17" i="1"/>
  <c r="AC18" i="1"/>
  <c r="AC19" i="1"/>
  <c r="AB15" i="1"/>
  <c r="AC15" i="1" s="1"/>
  <c r="AH20" i="1"/>
  <c r="AH21" i="1"/>
  <c r="AG12" i="1"/>
  <c r="AH12" i="1" s="1"/>
  <c r="AE3" i="1"/>
  <c r="AE4" i="1" s="1"/>
  <c r="AG16" i="1" s="1"/>
  <c r="AH16" i="1" s="1"/>
  <c r="AB11" i="1"/>
  <c r="AC11" i="1" s="1"/>
  <c r="AB14" i="1"/>
  <c r="AC14" i="1" s="1"/>
  <c r="AB6" i="1" l="1"/>
  <c r="X24" i="1" s="1"/>
  <c r="G24" i="1" s="1"/>
  <c r="Q24" i="1" s="1"/>
  <c r="Z9" i="1"/>
  <c r="AI6" i="1"/>
  <c r="AI3" i="1"/>
  <c r="AG14" i="1"/>
  <c r="AI7" i="1"/>
  <c r="AI2" i="1"/>
  <c r="AI5" i="1"/>
  <c r="AI9" i="1"/>
  <c r="AG13" i="1" s="1"/>
  <c r="AH13" i="1" s="1"/>
  <c r="AI1" i="1"/>
  <c r="AI8" i="1"/>
  <c r="AE5" i="1"/>
  <c r="AI4" i="1"/>
  <c r="AG15" i="1"/>
  <c r="AH15" i="1" s="1"/>
  <c r="G30" i="1" l="1"/>
  <c r="Q30" i="1" s="1"/>
  <c r="G6" i="1"/>
  <c r="Q6" i="1" s="1"/>
  <c r="AH14" i="1"/>
  <c r="AM9" i="1"/>
  <c r="AE6" i="1"/>
  <c r="D28" i="1"/>
  <c r="N28" i="1" s="1"/>
  <c r="X22" i="1"/>
  <c r="G22" i="1" s="1"/>
  <c r="Q22" i="1" s="1"/>
  <c r="AL7" i="1" l="1"/>
  <c r="AG18" i="1"/>
  <c r="AL8" i="1"/>
  <c r="AL6" i="1"/>
  <c r="AL9" i="1"/>
  <c r="AL1" i="1"/>
  <c r="AL5" i="1"/>
  <c r="AL2" i="1"/>
  <c r="AL3" i="1"/>
  <c r="AL4" i="1"/>
  <c r="AG17" i="1" l="1"/>
  <c r="AH17" i="1" s="1"/>
  <c r="AH18" i="1" l="1"/>
  <c r="AH22" i="1" s="1"/>
  <c r="C9" i="1" s="1"/>
  <c r="M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C2" authorId="0" shapeId="0" xr:uid="{00000000-0006-0000-0000-000001000000}">
      <text>
        <r>
          <rPr>
            <b/>
            <sz val="10"/>
            <color indexed="81"/>
            <rFont val="Tahoma"/>
            <family val="2"/>
            <charset val="238"/>
          </rPr>
          <t>Ide kell beírni az egyházközség megnevezését, "Parohia Reformată" nélkül.</t>
        </r>
      </text>
    </comment>
  </commentList>
</comments>
</file>

<file path=xl/sharedStrings.xml><?xml version="1.0" encoding="utf-8"?>
<sst xmlns="http://schemas.openxmlformats.org/spreadsheetml/2006/main" count="140" uniqueCount="92">
  <si>
    <t>nr din</t>
  </si>
  <si>
    <t>Numele şi prenumele</t>
  </si>
  <si>
    <t>Funcţia (calitatea</t>
  </si>
  <si>
    <t>(în cifre)</t>
  </si>
  <si>
    <t>(în litere)</t>
  </si>
  <si>
    <t xml:space="preserve">Scopul încasării - plăţii: </t>
  </si>
  <si>
    <t>Conducătorul</t>
  </si>
  <si>
    <t>unităţii</t>
  </si>
  <si>
    <t>Viza de control</t>
  </si>
  <si>
    <t>financiar-preventiv</t>
  </si>
  <si>
    <t>Compartimentul</t>
  </si>
  <si>
    <t>financiar-contabil</t>
  </si>
  <si>
    <t>Semnătura</t>
  </si>
  <si>
    <t>Se completează numai
pentru plăţi</t>
  </si>
  <si>
    <t>DATE SUPLIMENTARE PRIVIND BENEFICIARUL SUMEI:</t>
  </si>
  <si>
    <t>Casier,</t>
  </si>
  <si>
    <t xml:space="preserve">Dispoziţie de </t>
  </si>
  <si>
    <t>Nr</t>
  </si>
  <si>
    <t>Név</t>
  </si>
  <si>
    <t>Tisztség</t>
  </si>
  <si>
    <t>Összeg</t>
  </si>
  <si>
    <t>Kifizetés / bevételezés célja</t>
  </si>
  <si>
    <t>Dátum</t>
  </si>
  <si>
    <t>Kifizetés</t>
  </si>
  <si>
    <t>Bevételezés</t>
  </si>
  <si>
    <t>PLATĂ</t>
  </si>
  <si>
    <t>INCASARE</t>
  </si>
  <si>
    <t>A jobboldali, zöld cellában lehet választani a kifizetés és bevételezés között. Ha a cella üres, a kifizetést listázza</t>
  </si>
  <si>
    <t>p</t>
  </si>
  <si>
    <t>s</t>
  </si>
  <si>
    <t xml:space="preserve"> către caserie</t>
  </si>
  <si>
    <t>A jobboldali, zöld cellában lehet kiválasztani a nyomtatni kívánt lap sorszámát. Ha a cella üres, a legutolsó lapot listázza:</t>
  </si>
  <si>
    <t>nouăsute</t>
  </si>
  <si>
    <t>nouă</t>
  </si>
  <si>
    <t>nouăzeci</t>
  </si>
  <si>
    <t>optsute</t>
  </si>
  <si>
    <t>opt</t>
  </si>
  <si>
    <t>optzeci</t>
  </si>
  <si>
    <t>şaptesute</t>
  </si>
  <si>
    <t>şapte</t>
  </si>
  <si>
    <t>şaptezeci</t>
  </si>
  <si>
    <t>şasesute</t>
  </si>
  <si>
    <t>şaizeci</t>
  </si>
  <si>
    <t>cincisute</t>
  </si>
  <si>
    <t>cinci</t>
  </si>
  <si>
    <t>cincizeci</t>
  </si>
  <si>
    <t>patrusute</t>
  </si>
  <si>
    <t>patru</t>
  </si>
  <si>
    <t>patruzeci</t>
  </si>
  <si>
    <t>treisute</t>
  </si>
  <si>
    <t>trei</t>
  </si>
  <si>
    <t>treizeci</t>
  </si>
  <si>
    <t>douăsute</t>
  </si>
  <si>
    <t>două</t>
  </si>
  <si>
    <t>douăzeci</t>
  </si>
  <si>
    <t>unasuta</t>
  </si>
  <si>
    <t>zece</t>
  </si>
  <si>
    <t>sprezece</t>
  </si>
  <si>
    <t>nouăzecişi</t>
  </si>
  <si>
    <t>optzecişi</t>
  </si>
  <si>
    <t>şaptezecişi</t>
  </si>
  <si>
    <t>şase</t>
  </si>
  <si>
    <t>şaizecişi</t>
  </si>
  <si>
    <t>cincizecişi</t>
  </si>
  <si>
    <t>patruzecişi</t>
  </si>
  <si>
    <t>treizecişi</t>
  </si>
  <si>
    <t>douăzecişi</t>
  </si>
  <si>
    <t xml:space="preserve">adică </t>
  </si>
  <si>
    <t xml:space="preserve">lei </t>
  </si>
  <si>
    <t>unu</t>
  </si>
  <si>
    <t>Am primit suma de:</t>
  </si>
  <si>
    <t>Data:</t>
  </si>
  <si>
    <t>Semnătura:</t>
  </si>
  <si>
    <t xml:space="preserve"> - - - - - - - - - - - - - - - - - - - -</t>
  </si>
  <si>
    <t xml:space="preserve">Incasat suma de: </t>
  </si>
  <si>
    <t xml:space="preserve">Plătit suma de: </t>
  </si>
  <si>
    <t xml:space="preserve">Data: </t>
  </si>
  <si>
    <t xml:space="preserve">Semnătura: </t>
  </si>
  <si>
    <t xml:space="preserve"> Nr:</t>
  </si>
  <si>
    <t xml:space="preserve"> Seria: </t>
  </si>
  <si>
    <t xml:space="preserve">Actul de identitate: </t>
  </si>
  <si>
    <t xml:space="preserve">Funcţia (calitatea): </t>
  </si>
  <si>
    <t xml:space="preserve">Numele şi prenumele: </t>
  </si>
  <si>
    <t>A jobboldali, zöld cellában lehet megadni, ha dupla példányban szeretnéd nyomtatni. Dupla példányhoz egy 2-est kell beírni. Ha a cella üres, egy példányt nyomtat.</t>
  </si>
  <si>
    <r>
      <t xml:space="preserve">Személyazonossági
</t>
    </r>
    <r>
      <rPr>
        <sz val="8"/>
        <rFont val="Arial"/>
        <family val="2"/>
      </rPr>
      <t>(CI, BI, Passport stb)</t>
    </r>
  </si>
  <si>
    <t>Seria</t>
  </si>
  <si>
    <t xml:space="preserve"> Kifizetés/
Bevételezés</t>
  </si>
  <si>
    <t xml:space="preserve"> </t>
  </si>
  <si>
    <t>,</t>
  </si>
  <si>
    <t xml:space="preserve"> lei </t>
  </si>
  <si>
    <t xml:space="preserve">Suma: </t>
  </si>
  <si>
    <t>V: DP_1.2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</si>
</sst>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#,##0.00_ ;[Red]\-#,##0.00\ "/>
  </numFmts>
  <fonts count="12" x14ac:knownFonts="1">
    <font>
      <sz val="10"/>
      <name val="Arial"/>
      <charset val="238"/>
    </font>
    <font>
      <sz val="10"/>
      <name val="Arial"/>
      <family val="2"/>
    </font>
    <font>
      <sz val="8"/>
      <name val="Arial"/>
      <family val="2"/>
      <charset val="238"/>
    </font>
    <font>
      <b/>
      <sz val="10"/>
      <name val="Arial"/>
      <family val="2"/>
    </font>
    <font>
      <sz val="9"/>
      <name val="Arial"/>
      <family val="2"/>
      <charset val="238"/>
    </font>
    <font>
      <sz val="11"/>
      <name val="Arial"/>
      <family val="2"/>
      <charset val="238"/>
    </font>
    <font>
      <b/>
      <sz val="18"/>
      <name val="Arial"/>
      <family val="2"/>
    </font>
    <font>
      <sz val="8"/>
      <name val="Arial"/>
      <family val="2"/>
    </font>
    <font>
      <b/>
      <sz val="10"/>
      <color indexed="81"/>
      <name val="Tahoma"/>
      <family val="2"/>
      <charset val="238"/>
    </font>
    <font>
      <b/>
      <sz val="10"/>
      <color indexed="12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17"/>
      </left>
      <right style="thick">
        <color indexed="17"/>
      </right>
      <top style="thick">
        <color indexed="17"/>
      </top>
      <bottom style="thick">
        <color indexed="17"/>
      </bottom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164" fontId="0" fillId="0" borderId="0" xfId="0" applyNumberFormat="1" applyProtection="1">
      <protection hidden="1"/>
    </xf>
    <xf numFmtId="4" fontId="0" fillId="0" borderId="0" xfId="0" applyNumberFormat="1" applyProtection="1">
      <protection hidden="1"/>
    </xf>
    <xf numFmtId="0" fontId="2" fillId="0" borderId="0" xfId="0" applyFont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4" fillId="0" borderId="1" xfId="0" applyFont="1" applyBorder="1" applyProtection="1">
      <protection hidden="1"/>
    </xf>
    <xf numFmtId="0" fontId="4" fillId="0" borderId="3" xfId="0" applyFont="1" applyBorder="1" applyProtection="1">
      <protection hidden="1"/>
    </xf>
    <xf numFmtId="0" fontId="4" fillId="0" borderId="7" xfId="0" applyFont="1" applyBorder="1" applyProtection="1">
      <protection hidden="1"/>
    </xf>
    <xf numFmtId="0" fontId="4" fillId="0" borderId="8" xfId="0" applyFont="1" applyBorder="1" applyProtection="1">
      <protection hidden="1"/>
    </xf>
    <xf numFmtId="0" fontId="4" fillId="0" borderId="9" xfId="0" applyFont="1" applyBorder="1" applyProtection="1">
      <protection hidden="1"/>
    </xf>
    <xf numFmtId="0" fontId="4" fillId="0" borderId="10" xfId="0" applyFont="1" applyBorder="1" applyProtection="1">
      <protection hidden="1"/>
    </xf>
    <xf numFmtId="0" fontId="0" fillId="0" borderId="11" xfId="0" applyBorder="1" applyProtection="1">
      <protection hidden="1"/>
    </xf>
    <xf numFmtId="3" fontId="0" fillId="0" borderId="0" xfId="0" applyNumberForma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right" vertical="top"/>
      <protection hidden="1"/>
    </xf>
    <xf numFmtId="3" fontId="0" fillId="0" borderId="0" xfId="0" applyNumberFormat="1" applyAlignment="1" applyProtection="1">
      <alignment vertical="top"/>
      <protection hidden="1"/>
    </xf>
    <xf numFmtId="0" fontId="0" fillId="0" borderId="11" xfId="0" applyBorder="1" applyAlignment="1" applyProtection="1">
      <alignment horizontal="right" vertical="top"/>
      <protection hidden="1"/>
    </xf>
    <xf numFmtId="0" fontId="0" fillId="0" borderId="11" xfId="0" applyBorder="1" applyAlignment="1" applyProtection="1">
      <alignment horizontal="right" vertical="center"/>
      <protection hidden="1"/>
    </xf>
    <xf numFmtId="0" fontId="3" fillId="2" borderId="12" xfId="0" applyFont="1" applyFill="1" applyBorder="1" applyAlignment="1" applyProtection="1">
      <alignment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165" fontId="0" fillId="0" borderId="0" xfId="0" applyNumberFormat="1" applyProtection="1">
      <protection hidden="1"/>
    </xf>
    <xf numFmtId="14" fontId="0" fillId="0" borderId="0" xfId="0" applyNumberFormat="1" applyProtection="1">
      <protection hidden="1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Protection="1">
      <protection hidden="1"/>
    </xf>
    <xf numFmtId="165" fontId="0" fillId="3" borderId="0" xfId="0" applyNumberFormat="1" applyFill="1" applyProtection="1">
      <protection hidden="1"/>
    </xf>
    <xf numFmtId="0" fontId="9" fillId="3" borderId="0" xfId="0" applyFont="1" applyFill="1" applyAlignment="1" applyProtection="1">
      <alignment horizontal="right"/>
      <protection hidden="1"/>
    </xf>
    <xf numFmtId="0" fontId="11" fillId="3" borderId="0" xfId="0" applyFont="1" applyFill="1" applyAlignment="1" applyProtection="1">
      <alignment vertical="center"/>
      <protection hidden="1"/>
    </xf>
    <xf numFmtId="0" fontId="11" fillId="3" borderId="0" xfId="0" applyFont="1" applyFill="1" applyAlignment="1" applyProtection="1">
      <alignment vertical="center" wrapText="1"/>
      <protection hidden="1"/>
    </xf>
    <xf numFmtId="165" fontId="11" fillId="3" borderId="0" xfId="0" applyNumberFormat="1" applyFont="1" applyFill="1" applyAlignment="1" applyProtection="1">
      <alignment vertical="center"/>
      <protection hidden="1"/>
    </xf>
    <xf numFmtId="0" fontId="10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6" xfId="0" applyBorder="1" applyProtection="1">
      <protection hidden="1"/>
    </xf>
    <xf numFmtId="0" fontId="0" fillId="0" borderId="0" xfId="0" applyAlignment="1" applyProtection="1">
      <alignment horizontal="center" wrapText="1"/>
      <protection hidden="1"/>
    </xf>
    <xf numFmtId="0" fontId="4" fillId="0" borderId="3" xfId="0" applyFont="1" applyBorder="1" applyAlignment="1" applyProtection="1">
      <alignment horizontal="center" vertical="center" textRotation="90"/>
      <protection hidden="1"/>
    </xf>
    <xf numFmtId="0" fontId="4" fillId="0" borderId="6" xfId="0" applyFont="1" applyBorder="1" applyAlignment="1" applyProtection="1">
      <alignment horizontal="center" vertical="center" textRotation="90"/>
      <protection hidden="1"/>
    </xf>
    <xf numFmtId="0" fontId="4" fillId="0" borderId="8" xfId="0" applyFont="1" applyBorder="1" applyAlignment="1" applyProtection="1">
      <alignment horizontal="center" vertical="center" textRotation="90"/>
      <protection hidden="1"/>
    </xf>
    <xf numFmtId="0" fontId="4" fillId="0" borderId="3" xfId="0" applyFont="1" applyBorder="1" applyAlignment="1" applyProtection="1">
      <alignment horizontal="center" vertical="center" textRotation="90" wrapText="1"/>
      <protection hidden="1"/>
    </xf>
    <xf numFmtId="0" fontId="4" fillId="0" borderId="6" xfId="0" applyFont="1" applyBorder="1" applyAlignment="1" applyProtection="1">
      <alignment horizontal="center" vertical="center" textRotation="90" wrapText="1"/>
      <protection hidden="1"/>
    </xf>
    <xf numFmtId="0" fontId="4" fillId="0" borderId="8" xfId="0" applyFont="1" applyBorder="1" applyAlignment="1" applyProtection="1">
      <alignment horizontal="center" vertical="center" textRotation="90" wrapText="1"/>
      <protection hidden="1"/>
    </xf>
    <xf numFmtId="0" fontId="5" fillId="0" borderId="0" xfId="0" applyFont="1" applyProtection="1">
      <protection hidden="1"/>
    </xf>
    <xf numFmtId="0" fontId="5" fillId="0" borderId="6" xfId="0" applyFont="1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0" fillId="0" borderId="11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0" fillId="0" borderId="0" xfId="0" applyAlignment="1" applyProtection="1">
      <alignment shrinkToFit="1"/>
      <protection hidden="1"/>
    </xf>
    <xf numFmtId="0" fontId="0" fillId="0" borderId="6" xfId="0" applyBorder="1" applyAlignment="1" applyProtection="1">
      <alignment shrinkToFit="1"/>
      <protection hidden="1"/>
    </xf>
    <xf numFmtId="0" fontId="0" fillId="0" borderId="6" xfId="0" applyBorder="1" applyAlignment="1" applyProtection="1">
      <alignment vertical="top" wrapText="1"/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6" xfId="0" applyFont="1" applyBorder="1" applyAlignment="1" applyProtection="1">
      <alignment horizontal="right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left" shrinkToFit="1"/>
      <protection hidden="1"/>
    </xf>
    <xf numFmtId="0" fontId="0" fillId="0" borderId="6" xfId="0" applyBorder="1" applyAlignment="1" applyProtection="1">
      <alignment horizontal="left" shrinkToFit="1"/>
      <protection hidden="1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ál" xfId="0" builtinId="0"/>
  </cellStyles>
  <dxfs count="2">
    <dxf>
      <font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indexed="42"/>
        </patternFill>
      </fill>
      <border>
        <left style="thin">
          <color indexed="58"/>
        </left>
        <right style="thin">
          <color indexed="58"/>
        </right>
        <top style="thin">
          <color indexed="58"/>
        </top>
        <bottom style="thin">
          <color indexed="5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</sheetPr>
  <dimension ref="A1:Q500"/>
  <sheetViews>
    <sheetView showZeros="0" tabSelected="1" topLeftCell="B1" workbookViewId="0">
      <pane xSplit="1" ySplit="3" topLeftCell="C4" activePane="bottomRight" state="frozen"/>
      <selection activeCell="B2" sqref="B2"/>
      <selection pane="topRight" activeCell="C2" sqref="C2"/>
      <selection pane="bottomLeft" activeCell="B4" sqref="B4"/>
      <selection pane="bottomRight" activeCell="C4" sqref="C4"/>
    </sheetView>
  </sheetViews>
  <sheetFormatPr defaultColWidth="0" defaultRowHeight="12.75" zeroHeight="1" x14ac:dyDescent="0.2"/>
  <cols>
    <col min="1" max="1" width="0" style="1" hidden="1" customWidth="1"/>
    <col min="2" max="2" width="6.5703125" style="1" customWidth="1"/>
    <col min="3" max="3" width="11" style="1" bestFit="1" customWidth="1"/>
    <col min="4" max="4" width="26.5703125" style="1" bestFit="1" customWidth="1"/>
    <col min="5" max="5" width="28.42578125" style="1" customWidth="1"/>
    <col min="6" max="6" width="12.5703125" style="28" customWidth="1"/>
    <col min="7" max="7" width="32" style="1" customWidth="1"/>
    <col min="8" max="8" width="10.140625" style="1" bestFit="1" customWidth="1"/>
    <col min="9" max="9" width="18" style="1" bestFit="1" customWidth="1"/>
    <col min="10" max="10" width="5.28515625" style="1" bestFit="1" customWidth="1"/>
    <col min="11" max="11" width="15.7109375" style="1" customWidth="1"/>
    <col min="12" max="12" width="9.140625" style="1" hidden="1" customWidth="1"/>
    <col min="13" max="13" width="10.140625" style="1" hidden="1" customWidth="1"/>
    <col min="14" max="14" width="9.140625" style="1" hidden="1" customWidth="1"/>
    <col min="15" max="15" width="10.140625" style="1" hidden="1" customWidth="1"/>
    <col min="16" max="17" width="0" style="1" hidden="1" customWidth="1"/>
    <col min="18" max="16384" width="9.140625" style="1" hidden="1"/>
  </cols>
  <sheetData>
    <row r="1" spans="1:17" hidden="1" x14ac:dyDescent="0.2">
      <c r="A1" s="1" t="str">
        <f>DP!W1</f>
        <v>p</v>
      </c>
      <c r="M1" s="29">
        <v>46023</v>
      </c>
      <c r="O1" s="1" t="s">
        <v>23</v>
      </c>
      <c r="P1" s="1" t="s">
        <v>25</v>
      </c>
      <c r="Q1" s="1" t="s">
        <v>28</v>
      </c>
    </row>
    <row r="2" spans="1:17" ht="15.75" x14ac:dyDescent="0.25">
      <c r="B2" s="35"/>
      <c r="C2" s="41"/>
      <c r="D2" s="41"/>
      <c r="E2" s="35"/>
      <c r="F2" s="36"/>
      <c r="G2" s="35"/>
      <c r="H2" s="35"/>
      <c r="I2" s="35"/>
      <c r="J2" s="35"/>
      <c r="K2" s="37" t="s">
        <v>91</v>
      </c>
      <c r="M2" s="29">
        <v>46387</v>
      </c>
      <c r="O2" s="1" t="s">
        <v>24</v>
      </c>
      <c r="P2" s="1" t="s">
        <v>26</v>
      </c>
      <c r="Q2" s="1" t="s">
        <v>29</v>
      </c>
    </row>
    <row r="3" spans="1:17" ht="25.5" x14ac:dyDescent="0.2">
      <c r="B3" s="38" t="s">
        <v>17</v>
      </c>
      <c r="C3" s="39" t="s">
        <v>86</v>
      </c>
      <c r="D3" s="38" t="s">
        <v>18</v>
      </c>
      <c r="E3" s="38" t="s">
        <v>19</v>
      </c>
      <c r="F3" s="40" t="s">
        <v>20</v>
      </c>
      <c r="G3" s="38" t="s">
        <v>21</v>
      </c>
      <c r="H3" s="38" t="s">
        <v>22</v>
      </c>
      <c r="I3" s="39" t="s">
        <v>84</v>
      </c>
      <c r="J3" s="38" t="s">
        <v>85</v>
      </c>
      <c r="K3" s="38" t="s">
        <v>17</v>
      </c>
      <c r="O3" s="29"/>
    </row>
    <row r="4" spans="1:17" x14ac:dyDescent="0.2">
      <c r="A4" s="1">
        <f t="shared" ref="A4:A67" si="0">IF($A$1=Q4,A3+1,A3)</f>
        <v>0</v>
      </c>
      <c r="B4" s="35">
        <f>COUNTIF($C$4:C4,C4)</f>
        <v>0</v>
      </c>
      <c r="C4" s="30"/>
      <c r="D4" s="69"/>
      <c r="E4" s="69"/>
      <c r="F4" s="31"/>
      <c r="G4" s="69"/>
      <c r="H4" s="32"/>
      <c r="I4" s="70"/>
      <c r="J4" s="70"/>
      <c r="K4" s="71"/>
      <c r="O4" s="29"/>
      <c r="Q4" s="1">
        <f>IF(ISERROR(VLOOKUP(C4,$O$1:$Q$2,3,FALSE))=TRUE,0,VLOOKUP(C4,$O$1:$Q$2,3,FALSE))</f>
        <v>0</v>
      </c>
    </row>
    <row r="5" spans="1:17" x14ac:dyDescent="0.2">
      <c r="A5" s="1">
        <f t="shared" si="0"/>
        <v>0</v>
      </c>
      <c r="B5" s="35">
        <f>COUNTIF($C$4:C5,C5)</f>
        <v>0</v>
      </c>
      <c r="C5" s="30"/>
      <c r="D5" s="34"/>
      <c r="E5" s="34"/>
      <c r="F5" s="31"/>
      <c r="G5" s="34"/>
      <c r="H5" s="32"/>
      <c r="I5" s="30"/>
      <c r="J5" s="30"/>
      <c r="K5" s="33"/>
      <c r="Q5" s="1">
        <f t="shared" ref="Q5:Q68" si="1">IF(ISERROR(VLOOKUP(C5,$O$1:$Q$2,3,FALSE))=TRUE,0,VLOOKUP(C5,$O$1:$Q$2,3,FALSE))</f>
        <v>0</v>
      </c>
    </row>
    <row r="6" spans="1:17" x14ac:dyDescent="0.2">
      <c r="A6" s="1">
        <f t="shared" si="0"/>
        <v>0</v>
      </c>
      <c r="B6" s="35">
        <f>COUNTIF($C$4:C6,C6)</f>
        <v>0</v>
      </c>
      <c r="C6" s="30"/>
      <c r="D6" s="34"/>
      <c r="E6" s="34"/>
      <c r="F6" s="31"/>
      <c r="G6" s="34"/>
      <c r="H6" s="32"/>
      <c r="I6" s="30"/>
      <c r="J6" s="30"/>
      <c r="K6" s="33"/>
      <c r="Q6" s="1">
        <f t="shared" si="1"/>
        <v>0</v>
      </c>
    </row>
    <row r="7" spans="1:17" x14ac:dyDescent="0.2">
      <c r="A7" s="1">
        <f t="shared" si="0"/>
        <v>0</v>
      </c>
      <c r="B7" s="35">
        <f>COUNTIF($C$4:C7,C7)</f>
        <v>0</v>
      </c>
      <c r="C7" s="30"/>
      <c r="D7" s="34"/>
      <c r="E7" s="34"/>
      <c r="F7" s="31"/>
      <c r="G7" s="34"/>
      <c r="H7" s="32"/>
      <c r="I7" s="30"/>
      <c r="J7" s="30"/>
      <c r="K7" s="33"/>
      <c r="Q7" s="1">
        <f t="shared" si="1"/>
        <v>0</v>
      </c>
    </row>
    <row r="8" spans="1:17" x14ac:dyDescent="0.2">
      <c r="A8" s="1">
        <f t="shared" si="0"/>
        <v>0</v>
      </c>
      <c r="B8" s="35">
        <f>COUNTIF($C$4:C8,C8)</f>
        <v>0</v>
      </c>
      <c r="C8" s="30"/>
      <c r="D8" s="34"/>
      <c r="E8" s="34"/>
      <c r="F8" s="31"/>
      <c r="G8" s="34"/>
      <c r="H8" s="32"/>
      <c r="I8" s="30"/>
      <c r="J8" s="30"/>
      <c r="K8" s="33"/>
      <c r="Q8" s="1">
        <f t="shared" si="1"/>
        <v>0</v>
      </c>
    </row>
    <row r="9" spans="1:17" x14ac:dyDescent="0.2">
      <c r="A9" s="1">
        <f t="shared" si="0"/>
        <v>0</v>
      </c>
      <c r="B9" s="35">
        <f>COUNTIF($C$4:C9,C9)</f>
        <v>0</v>
      </c>
      <c r="C9" s="30"/>
      <c r="D9" s="34"/>
      <c r="E9" s="34"/>
      <c r="F9" s="31"/>
      <c r="G9" s="34"/>
      <c r="H9" s="32"/>
      <c r="I9" s="30"/>
      <c r="J9" s="30"/>
      <c r="K9" s="33"/>
      <c r="Q9" s="1">
        <f t="shared" si="1"/>
        <v>0</v>
      </c>
    </row>
    <row r="10" spans="1:17" x14ac:dyDescent="0.2">
      <c r="A10" s="1">
        <f t="shared" si="0"/>
        <v>0</v>
      </c>
      <c r="B10" s="35">
        <f>COUNTIF($C$4:C10,C10)</f>
        <v>0</v>
      </c>
      <c r="C10" s="30"/>
      <c r="D10" s="34"/>
      <c r="E10" s="34"/>
      <c r="F10" s="31"/>
      <c r="G10" s="34"/>
      <c r="H10" s="32"/>
      <c r="I10" s="30"/>
      <c r="J10" s="30"/>
      <c r="K10" s="33"/>
      <c r="Q10" s="1">
        <f t="shared" si="1"/>
        <v>0</v>
      </c>
    </row>
    <row r="11" spans="1:17" x14ac:dyDescent="0.2">
      <c r="A11" s="1">
        <f t="shared" si="0"/>
        <v>0</v>
      </c>
      <c r="B11" s="35">
        <f>COUNTIF($C$4:C11,C11)</f>
        <v>0</v>
      </c>
      <c r="C11" s="30"/>
      <c r="D11" s="34"/>
      <c r="E11" s="34"/>
      <c r="F11" s="31"/>
      <c r="G11" s="34"/>
      <c r="H11" s="32"/>
      <c r="I11" s="30"/>
      <c r="J11" s="30"/>
      <c r="K11" s="33"/>
      <c r="Q11" s="1">
        <f t="shared" si="1"/>
        <v>0</v>
      </c>
    </row>
    <row r="12" spans="1:17" x14ac:dyDescent="0.2">
      <c r="A12" s="1">
        <f t="shared" si="0"/>
        <v>0</v>
      </c>
      <c r="B12" s="35">
        <f>COUNTIF($C$4:C12,C12)</f>
        <v>0</v>
      </c>
      <c r="C12" s="30"/>
      <c r="D12" s="34"/>
      <c r="E12" s="34"/>
      <c r="F12" s="31"/>
      <c r="G12" s="34"/>
      <c r="H12" s="32"/>
      <c r="I12" s="30"/>
      <c r="J12" s="30"/>
      <c r="K12" s="33"/>
      <c r="Q12" s="1">
        <f t="shared" si="1"/>
        <v>0</v>
      </c>
    </row>
    <row r="13" spans="1:17" x14ac:dyDescent="0.2">
      <c r="A13" s="1">
        <f t="shared" si="0"/>
        <v>0</v>
      </c>
      <c r="B13" s="35">
        <f>COUNTIF($C$4:C13,C13)</f>
        <v>0</v>
      </c>
      <c r="C13" s="30"/>
      <c r="D13" s="34"/>
      <c r="E13" s="34"/>
      <c r="F13" s="31"/>
      <c r="G13" s="34"/>
      <c r="H13" s="32"/>
      <c r="I13" s="30"/>
      <c r="J13" s="30"/>
      <c r="K13" s="33"/>
      <c r="Q13" s="1">
        <f t="shared" si="1"/>
        <v>0</v>
      </c>
    </row>
    <row r="14" spans="1:17" x14ac:dyDescent="0.2">
      <c r="A14" s="1">
        <f t="shared" si="0"/>
        <v>0</v>
      </c>
      <c r="B14" s="35">
        <f>COUNTIF($C$4:C14,C14)</f>
        <v>0</v>
      </c>
      <c r="C14" s="30"/>
      <c r="D14" s="34"/>
      <c r="E14" s="34"/>
      <c r="F14" s="31"/>
      <c r="G14" s="34"/>
      <c r="H14" s="32"/>
      <c r="I14" s="30"/>
      <c r="J14" s="30"/>
      <c r="K14" s="33"/>
      <c r="Q14" s="1">
        <f t="shared" si="1"/>
        <v>0</v>
      </c>
    </row>
    <row r="15" spans="1:17" x14ac:dyDescent="0.2">
      <c r="A15" s="1">
        <f t="shared" si="0"/>
        <v>0</v>
      </c>
      <c r="B15" s="35">
        <f>COUNTIF($C$4:C15,C15)</f>
        <v>0</v>
      </c>
      <c r="C15" s="30"/>
      <c r="D15" s="34"/>
      <c r="E15" s="34"/>
      <c r="F15" s="31"/>
      <c r="G15" s="34"/>
      <c r="H15" s="32"/>
      <c r="I15" s="30"/>
      <c r="J15" s="30"/>
      <c r="K15" s="33"/>
      <c r="Q15" s="1">
        <f t="shared" si="1"/>
        <v>0</v>
      </c>
    </row>
    <row r="16" spans="1:17" x14ac:dyDescent="0.2">
      <c r="A16" s="1">
        <f t="shared" si="0"/>
        <v>0</v>
      </c>
      <c r="B16" s="35">
        <f>COUNTIF($C$4:C16,C16)</f>
        <v>0</v>
      </c>
      <c r="C16" s="30"/>
      <c r="D16" s="34"/>
      <c r="E16" s="34"/>
      <c r="F16" s="31"/>
      <c r="G16" s="34"/>
      <c r="H16" s="32"/>
      <c r="I16" s="30"/>
      <c r="J16" s="30"/>
      <c r="K16" s="33"/>
      <c r="Q16" s="1">
        <f t="shared" si="1"/>
        <v>0</v>
      </c>
    </row>
    <row r="17" spans="1:17" x14ac:dyDescent="0.2">
      <c r="A17" s="1">
        <f t="shared" si="0"/>
        <v>0</v>
      </c>
      <c r="B17" s="35">
        <f>COUNTIF($C$4:C17,C17)</f>
        <v>0</v>
      </c>
      <c r="C17" s="30"/>
      <c r="D17" s="34"/>
      <c r="E17" s="34"/>
      <c r="F17" s="31"/>
      <c r="G17" s="34"/>
      <c r="H17" s="32"/>
      <c r="I17" s="30"/>
      <c r="J17" s="30"/>
      <c r="K17" s="33"/>
      <c r="Q17" s="1">
        <f t="shared" si="1"/>
        <v>0</v>
      </c>
    </row>
    <row r="18" spans="1:17" x14ac:dyDescent="0.2">
      <c r="A18" s="1">
        <f t="shared" si="0"/>
        <v>0</v>
      </c>
      <c r="B18" s="35">
        <f>COUNTIF($C$4:C18,C18)</f>
        <v>0</v>
      </c>
      <c r="C18" s="30"/>
      <c r="D18" s="34"/>
      <c r="E18" s="34"/>
      <c r="F18" s="31"/>
      <c r="G18" s="34"/>
      <c r="H18" s="32"/>
      <c r="I18" s="30"/>
      <c r="J18" s="30"/>
      <c r="K18" s="33"/>
      <c r="Q18" s="1">
        <f t="shared" si="1"/>
        <v>0</v>
      </c>
    </row>
    <row r="19" spans="1:17" x14ac:dyDescent="0.2">
      <c r="A19" s="1">
        <f t="shared" si="0"/>
        <v>0</v>
      </c>
      <c r="B19" s="35">
        <f>COUNTIF($C$4:C19,C19)</f>
        <v>0</v>
      </c>
      <c r="C19" s="30"/>
      <c r="D19" s="34"/>
      <c r="E19" s="34"/>
      <c r="F19" s="31"/>
      <c r="G19" s="34"/>
      <c r="H19" s="32"/>
      <c r="I19" s="30"/>
      <c r="J19" s="30"/>
      <c r="K19" s="33"/>
      <c r="Q19" s="1">
        <f t="shared" si="1"/>
        <v>0</v>
      </c>
    </row>
    <row r="20" spans="1:17" x14ac:dyDescent="0.2">
      <c r="A20" s="1">
        <f t="shared" si="0"/>
        <v>0</v>
      </c>
      <c r="B20" s="35">
        <f>COUNTIF($C$4:C20,C20)</f>
        <v>0</v>
      </c>
      <c r="C20" s="30"/>
      <c r="D20" s="34"/>
      <c r="E20" s="34"/>
      <c r="F20" s="31"/>
      <c r="G20" s="34"/>
      <c r="H20" s="32"/>
      <c r="I20" s="30"/>
      <c r="J20" s="30"/>
      <c r="K20" s="33"/>
      <c r="Q20" s="1">
        <f t="shared" si="1"/>
        <v>0</v>
      </c>
    </row>
    <row r="21" spans="1:17" x14ac:dyDescent="0.2">
      <c r="A21" s="1">
        <f t="shared" si="0"/>
        <v>0</v>
      </c>
      <c r="B21" s="35">
        <f>COUNTIF($C$4:C21,C21)</f>
        <v>0</v>
      </c>
      <c r="C21" s="30"/>
      <c r="D21" s="34"/>
      <c r="E21" s="34"/>
      <c r="F21" s="31"/>
      <c r="G21" s="34"/>
      <c r="H21" s="32"/>
      <c r="I21" s="30"/>
      <c r="J21" s="30"/>
      <c r="K21" s="33"/>
      <c r="Q21" s="1">
        <f t="shared" si="1"/>
        <v>0</v>
      </c>
    </row>
    <row r="22" spans="1:17" x14ac:dyDescent="0.2">
      <c r="A22" s="1">
        <f t="shared" si="0"/>
        <v>0</v>
      </c>
      <c r="B22" s="35">
        <f>COUNTIF($C$4:C22,C22)</f>
        <v>0</v>
      </c>
      <c r="C22" s="30"/>
      <c r="D22" s="34"/>
      <c r="E22" s="34"/>
      <c r="F22" s="31"/>
      <c r="G22" s="34"/>
      <c r="H22" s="32"/>
      <c r="I22" s="30"/>
      <c r="J22" s="30"/>
      <c r="K22" s="33"/>
      <c r="Q22" s="1">
        <f t="shared" si="1"/>
        <v>0</v>
      </c>
    </row>
    <row r="23" spans="1:17" x14ac:dyDescent="0.2">
      <c r="A23" s="1">
        <f t="shared" si="0"/>
        <v>0</v>
      </c>
      <c r="B23" s="35">
        <f>COUNTIF($C$4:C23,C23)</f>
        <v>0</v>
      </c>
      <c r="C23" s="30"/>
      <c r="D23" s="34"/>
      <c r="E23" s="34"/>
      <c r="F23" s="31"/>
      <c r="G23" s="34"/>
      <c r="H23" s="32"/>
      <c r="I23" s="30"/>
      <c r="J23" s="30"/>
      <c r="K23" s="33"/>
      <c r="Q23" s="1">
        <f t="shared" si="1"/>
        <v>0</v>
      </c>
    </row>
    <row r="24" spans="1:17" x14ac:dyDescent="0.2">
      <c r="A24" s="1">
        <f t="shared" si="0"/>
        <v>0</v>
      </c>
      <c r="B24" s="35">
        <f>COUNTIF($C$4:C24,C24)</f>
        <v>0</v>
      </c>
      <c r="C24" s="30"/>
      <c r="D24" s="34"/>
      <c r="E24" s="34"/>
      <c r="F24" s="31"/>
      <c r="G24" s="34"/>
      <c r="H24" s="32"/>
      <c r="I24" s="30"/>
      <c r="J24" s="30"/>
      <c r="K24" s="33"/>
      <c r="Q24" s="1">
        <f t="shared" si="1"/>
        <v>0</v>
      </c>
    </row>
    <row r="25" spans="1:17" x14ac:dyDescent="0.2">
      <c r="A25" s="1">
        <f t="shared" si="0"/>
        <v>0</v>
      </c>
      <c r="B25" s="35">
        <f>COUNTIF($C$4:C25,C25)</f>
        <v>0</v>
      </c>
      <c r="C25" s="30"/>
      <c r="D25" s="34"/>
      <c r="E25" s="34"/>
      <c r="F25" s="31"/>
      <c r="G25" s="34"/>
      <c r="H25" s="32"/>
      <c r="I25" s="30"/>
      <c r="J25" s="30"/>
      <c r="K25" s="33"/>
      <c r="Q25" s="1">
        <f t="shared" si="1"/>
        <v>0</v>
      </c>
    </row>
    <row r="26" spans="1:17" x14ac:dyDescent="0.2">
      <c r="A26" s="1">
        <f t="shared" si="0"/>
        <v>0</v>
      </c>
      <c r="B26" s="35">
        <f>COUNTIF($C$4:C26,C26)</f>
        <v>0</v>
      </c>
      <c r="C26" s="30"/>
      <c r="D26" s="34"/>
      <c r="E26" s="34"/>
      <c r="F26" s="31"/>
      <c r="G26" s="34"/>
      <c r="H26" s="32"/>
      <c r="I26" s="30"/>
      <c r="J26" s="30"/>
      <c r="K26" s="33"/>
      <c r="Q26" s="1">
        <f t="shared" si="1"/>
        <v>0</v>
      </c>
    </row>
    <row r="27" spans="1:17" x14ac:dyDescent="0.2">
      <c r="A27" s="1">
        <f t="shared" si="0"/>
        <v>0</v>
      </c>
      <c r="B27" s="35">
        <f>COUNTIF($C$4:C27,C27)</f>
        <v>0</v>
      </c>
      <c r="C27" s="30"/>
      <c r="D27" s="34"/>
      <c r="E27" s="34"/>
      <c r="F27" s="31"/>
      <c r="G27" s="34"/>
      <c r="H27" s="32"/>
      <c r="I27" s="30"/>
      <c r="J27" s="30"/>
      <c r="K27" s="33"/>
      <c r="Q27" s="1">
        <f t="shared" si="1"/>
        <v>0</v>
      </c>
    </row>
    <row r="28" spans="1:17" x14ac:dyDescent="0.2">
      <c r="A28" s="1">
        <f t="shared" si="0"/>
        <v>0</v>
      </c>
      <c r="B28" s="35">
        <f>COUNTIF($C$4:C28,C28)</f>
        <v>0</v>
      </c>
      <c r="C28" s="30"/>
      <c r="D28" s="34"/>
      <c r="E28" s="34"/>
      <c r="F28" s="31"/>
      <c r="G28" s="34"/>
      <c r="H28" s="32"/>
      <c r="I28" s="30"/>
      <c r="J28" s="30"/>
      <c r="K28" s="33"/>
      <c r="Q28" s="1">
        <f t="shared" si="1"/>
        <v>0</v>
      </c>
    </row>
    <row r="29" spans="1:17" x14ac:dyDescent="0.2">
      <c r="A29" s="1">
        <f t="shared" si="0"/>
        <v>0</v>
      </c>
      <c r="B29" s="35">
        <f>COUNTIF($C$4:C29,C29)</f>
        <v>0</v>
      </c>
      <c r="C29" s="30"/>
      <c r="D29" s="34"/>
      <c r="E29" s="34"/>
      <c r="F29" s="31"/>
      <c r="G29" s="34"/>
      <c r="H29" s="32"/>
      <c r="I29" s="30"/>
      <c r="J29" s="30"/>
      <c r="K29" s="33"/>
      <c r="Q29" s="1">
        <f t="shared" si="1"/>
        <v>0</v>
      </c>
    </row>
    <row r="30" spans="1:17" x14ac:dyDescent="0.2">
      <c r="A30" s="1">
        <f t="shared" si="0"/>
        <v>0</v>
      </c>
      <c r="B30" s="35">
        <f>COUNTIF($C$4:C30,C30)</f>
        <v>0</v>
      </c>
      <c r="C30" s="30"/>
      <c r="D30" s="34"/>
      <c r="E30" s="34"/>
      <c r="F30" s="31"/>
      <c r="G30" s="34"/>
      <c r="H30" s="32"/>
      <c r="I30" s="30"/>
      <c r="J30" s="30"/>
      <c r="K30" s="33"/>
      <c r="Q30" s="1">
        <f t="shared" si="1"/>
        <v>0</v>
      </c>
    </row>
    <row r="31" spans="1:17" x14ac:dyDescent="0.2">
      <c r="A31" s="1">
        <f t="shared" si="0"/>
        <v>0</v>
      </c>
      <c r="B31" s="35">
        <f>COUNTIF($C$4:C31,C31)</f>
        <v>0</v>
      </c>
      <c r="C31" s="30"/>
      <c r="D31" s="34"/>
      <c r="E31" s="34"/>
      <c r="F31" s="31"/>
      <c r="G31" s="34"/>
      <c r="H31" s="32"/>
      <c r="I31" s="30"/>
      <c r="J31" s="30"/>
      <c r="K31" s="33"/>
      <c r="Q31" s="1">
        <f t="shared" si="1"/>
        <v>0</v>
      </c>
    </row>
    <row r="32" spans="1:17" x14ac:dyDescent="0.2">
      <c r="A32" s="1">
        <f t="shared" si="0"/>
        <v>0</v>
      </c>
      <c r="B32" s="35">
        <f>COUNTIF($C$4:C32,C32)</f>
        <v>0</v>
      </c>
      <c r="C32" s="30"/>
      <c r="D32" s="34"/>
      <c r="E32" s="34"/>
      <c r="F32" s="31"/>
      <c r="G32" s="34"/>
      <c r="H32" s="32"/>
      <c r="I32" s="30"/>
      <c r="J32" s="30"/>
      <c r="K32" s="33"/>
      <c r="Q32" s="1">
        <f t="shared" si="1"/>
        <v>0</v>
      </c>
    </row>
    <row r="33" spans="1:17" x14ac:dyDescent="0.2">
      <c r="A33" s="1">
        <f t="shared" si="0"/>
        <v>0</v>
      </c>
      <c r="B33" s="35">
        <f>COUNTIF($C$4:C33,C33)</f>
        <v>0</v>
      </c>
      <c r="C33" s="30"/>
      <c r="D33" s="34"/>
      <c r="E33" s="34"/>
      <c r="F33" s="31"/>
      <c r="G33" s="34"/>
      <c r="H33" s="32"/>
      <c r="I33" s="30"/>
      <c r="J33" s="30"/>
      <c r="K33" s="33"/>
      <c r="Q33" s="1">
        <f t="shared" si="1"/>
        <v>0</v>
      </c>
    </row>
    <row r="34" spans="1:17" x14ac:dyDescent="0.2">
      <c r="A34" s="1">
        <f t="shared" si="0"/>
        <v>0</v>
      </c>
      <c r="B34" s="35">
        <f>COUNTIF($C$4:C34,C34)</f>
        <v>0</v>
      </c>
      <c r="C34" s="30"/>
      <c r="D34" s="34"/>
      <c r="E34" s="34"/>
      <c r="F34" s="31"/>
      <c r="G34" s="34"/>
      <c r="H34" s="32"/>
      <c r="I34" s="30"/>
      <c r="J34" s="30"/>
      <c r="K34" s="33"/>
      <c r="Q34" s="1">
        <f t="shared" si="1"/>
        <v>0</v>
      </c>
    </row>
    <row r="35" spans="1:17" x14ac:dyDescent="0.2">
      <c r="A35" s="1">
        <f t="shared" si="0"/>
        <v>0</v>
      </c>
      <c r="B35" s="35">
        <f>COUNTIF($C$4:C35,C35)</f>
        <v>0</v>
      </c>
      <c r="C35" s="30"/>
      <c r="D35" s="34"/>
      <c r="E35" s="34"/>
      <c r="F35" s="31"/>
      <c r="G35" s="34"/>
      <c r="H35" s="32"/>
      <c r="I35" s="30"/>
      <c r="J35" s="30"/>
      <c r="K35" s="33"/>
      <c r="Q35" s="1">
        <f t="shared" si="1"/>
        <v>0</v>
      </c>
    </row>
    <row r="36" spans="1:17" x14ac:dyDescent="0.2">
      <c r="A36" s="1">
        <f t="shared" si="0"/>
        <v>0</v>
      </c>
      <c r="B36" s="35">
        <f>COUNTIF($C$4:C36,C36)</f>
        <v>0</v>
      </c>
      <c r="C36" s="30"/>
      <c r="D36" s="34"/>
      <c r="E36" s="34"/>
      <c r="F36" s="31"/>
      <c r="G36" s="34"/>
      <c r="H36" s="32"/>
      <c r="I36" s="30"/>
      <c r="J36" s="30"/>
      <c r="K36" s="33"/>
      <c r="Q36" s="1">
        <f t="shared" si="1"/>
        <v>0</v>
      </c>
    </row>
    <row r="37" spans="1:17" x14ac:dyDescent="0.2">
      <c r="A37" s="1">
        <f t="shared" si="0"/>
        <v>0</v>
      </c>
      <c r="B37" s="35">
        <f>COUNTIF($C$4:C37,C37)</f>
        <v>0</v>
      </c>
      <c r="C37" s="30"/>
      <c r="D37" s="34"/>
      <c r="E37" s="34"/>
      <c r="F37" s="31"/>
      <c r="G37" s="34"/>
      <c r="H37" s="32"/>
      <c r="I37" s="30"/>
      <c r="J37" s="30"/>
      <c r="K37" s="33"/>
      <c r="Q37" s="1">
        <f t="shared" si="1"/>
        <v>0</v>
      </c>
    </row>
    <row r="38" spans="1:17" x14ac:dyDescent="0.2">
      <c r="A38" s="1">
        <f t="shared" si="0"/>
        <v>0</v>
      </c>
      <c r="B38" s="35">
        <f>COUNTIF($C$4:C38,C38)</f>
        <v>0</v>
      </c>
      <c r="C38" s="30"/>
      <c r="D38" s="34"/>
      <c r="E38" s="34"/>
      <c r="F38" s="31"/>
      <c r="G38" s="34"/>
      <c r="H38" s="32"/>
      <c r="I38" s="30"/>
      <c r="J38" s="30"/>
      <c r="K38" s="33"/>
      <c r="Q38" s="1">
        <f t="shared" si="1"/>
        <v>0</v>
      </c>
    </row>
    <row r="39" spans="1:17" x14ac:dyDescent="0.2">
      <c r="A39" s="1">
        <f t="shared" si="0"/>
        <v>0</v>
      </c>
      <c r="B39" s="35">
        <f>COUNTIF($C$4:C39,C39)</f>
        <v>0</v>
      </c>
      <c r="C39" s="30"/>
      <c r="D39" s="34"/>
      <c r="E39" s="34"/>
      <c r="F39" s="31"/>
      <c r="G39" s="34"/>
      <c r="H39" s="32"/>
      <c r="I39" s="30"/>
      <c r="J39" s="30"/>
      <c r="K39" s="33"/>
      <c r="Q39" s="1">
        <f t="shared" si="1"/>
        <v>0</v>
      </c>
    </row>
    <row r="40" spans="1:17" x14ac:dyDescent="0.2">
      <c r="A40" s="1">
        <f t="shared" si="0"/>
        <v>0</v>
      </c>
      <c r="B40" s="35">
        <f>COUNTIF($C$4:C40,C40)</f>
        <v>0</v>
      </c>
      <c r="C40" s="30"/>
      <c r="D40" s="34"/>
      <c r="E40" s="34"/>
      <c r="F40" s="31"/>
      <c r="G40" s="34"/>
      <c r="H40" s="32"/>
      <c r="I40" s="30"/>
      <c r="J40" s="30"/>
      <c r="K40" s="33"/>
      <c r="Q40" s="1">
        <f t="shared" si="1"/>
        <v>0</v>
      </c>
    </row>
    <row r="41" spans="1:17" x14ac:dyDescent="0.2">
      <c r="A41" s="1">
        <f t="shared" si="0"/>
        <v>0</v>
      </c>
      <c r="B41" s="35">
        <f>COUNTIF($C$4:C41,C41)</f>
        <v>0</v>
      </c>
      <c r="C41" s="30"/>
      <c r="D41" s="34"/>
      <c r="E41" s="34"/>
      <c r="F41" s="31"/>
      <c r="G41" s="34"/>
      <c r="H41" s="32"/>
      <c r="I41" s="30"/>
      <c r="J41" s="30"/>
      <c r="K41" s="33"/>
      <c r="Q41" s="1">
        <f t="shared" si="1"/>
        <v>0</v>
      </c>
    </row>
    <row r="42" spans="1:17" x14ac:dyDescent="0.2">
      <c r="A42" s="1">
        <f t="shared" si="0"/>
        <v>0</v>
      </c>
      <c r="B42" s="35">
        <f>COUNTIF($C$4:C42,C42)</f>
        <v>0</v>
      </c>
      <c r="C42" s="30"/>
      <c r="D42" s="34"/>
      <c r="E42" s="34"/>
      <c r="F42" s="31"/>
      <c r="G42" s="34"/>
      <c r="H42" s="32"/>
      <c r="I42" s="30"/>
      <c r="J42" s="30"/>
      <c r="K42" s="33"/>
      <c r="Q42" s="1">
        <f t="shared" si="1"/>
        <v>0</v>
      </c>
    </row>
    <row r="43" spans="1:17" x14ac:dyDescent="0.2">
      <c r="A43" s="1">
        <f t="shared" si="0"/>
        <v>0</v>
      </c>
      <c r="B43" s="35">
        <f>COUNTIF($C$4:C43,C43)</f>
        <v>0</v>
      </c>
      <c r="C43" s="30"/>
      <c r="D43" s="34"/>
      <c r="E43" s="34"/>
      <c r="F43" s="31"/>
      <c r="G43" s="34"/>
      <c r="H43" s="32"/>
      <c r="I43" s="30"/>
      <c r="J43" s="30"/>
      <c r="K43" s="33"/>
      <c r="Q43" s="1">
        <f t="shared" si="1"/>
        <v>0</v>
      </c>
    </row>
    <row r="44" spans="1:17" x14ac:dyDescent="0.2">
      <c r="A44" s="1">
        <f t="shared" si="0"/>
        <v>0</v>
      </c>
      <c r="B44" s="35">
        <f>COUNTIF($C$4:C44,C44)</f>
        <v>0</v>
      </c>
      <c r="C44" s="30"/>
      <c r="D44" s="34"/>
      <c r="E44" s="34"/>
      <c r="F44" s="31"/>
      <c r="G44" s="34"/>
      <c r="H44" s="32"/>
      <c r="I44" s="30"/>
      <c r="J44" s="30"/>
      <c r="K44" s="33"/>
      <c r="Q44" s="1">
        <f t="shared" si="1"/>
        <v>0</v>
      </c>
    </row>
    <row r="45" spans="1:17" x14ac:dyDescent="0.2">
      <c r="A45" s="1">
        <f t="shared" si="0"/>
        <v>0</v>
      </c>
      <c r="B45" s="35">
        <f>COUNTIF($C$4:C45,C45)</f>
        <v>0</v>
      </c>
      <c r="C45" s="30"/>
      <c r="D45" s="34"/>
      <c r="E45" s="34"/>
      <c r="F45" s="31"/>
      <c r="G45" s="34"/>
      <c r="H45" s="32"/>
      <c r="I45" s="30"/>
      <c r="J45" s="30"/>
      <c r="K45" s="33"/>
      <c r="Q45" s="1">
        <f t="shared" si="1"/>
        <v>0</v>
      </c>
    </row>
    <row r="46" spans="1:17" x14ac:dyDescent="0.2">
      <c r="A46" s="1">
        <f t="shared" si="0"/>
        <v>0</v>
      </c>
      <c r="B46" s="35">
        <f>COUNTIF($C$4:C46,C46)</f>
        <v>0</v>
      </c>
      <c r="C46" s="30"/>
      <c r="D46" s="34"/>
      <c r="E46" s="34"/>
      <c r="F46" s="31"/>
      <c r="G46" s="34"/>
      <c r="H46" s="32"/>
      <c r="I46" s="30"/>
      <c r="J46" s="30"/>
      <c r="K46" s="33"/>
      <c r="Q46" s="1">
        <f t="shared" si="1"/>
        <v>0</v>
      </c>
    </row>
    <row r="47" spans="1:17" x14ac:dyDescent="0.2">
      <c r="A47" s="1">
        <f t="shared" si="0"/>
        <v>0</v>
      </c>
      <c r="B47" s="35">
        <f>COUNTIF($C$4:C47,C47)</f>
        <v>0</v>
      </c>
      <c r="C47" s="30"/>
      <c r="D47" s="34"/>
      <c r="E47" s="34"/>
      <c r="F47" s="31"/>
      <c r="G47" s="34"/>
      <c r="H47" s="32"/>
      <c r="I47" s="30"/>
      <c r="J47" s="30"/>
      <c r="K47" s="33"/>
      <c r="Q47" s="1">
        <f t="shared" si="1"/>
        <v>0</v>
      </c>
    </row>
    <row r="48" spans="1:17" x14ac:dyDescent="0.2">
      <c r="A48" s="1">
        <f t="shared" si="0"/>
        <v>0</v>
      </c>
      <c r="B48" s="35">
        <f>COUNTIF($C$4:C48,C48)</f>
        <v>0</v>
      </c>
      <c r="C48" s="30"/>
      <c r="D48" s="34"/>
      <c r="E48" s="34"/>
      <c r="F48" s="31"/>
      <c r="G48" s="34"/>
      <c r="H48" s="32"/>
      <c r="I48" s="30"/>
      <c r="J48" s="30"/>
      <c r="K48" s="33"/>
      <c r="Q48" s="1">
        <f t="shared" si="1"/>
        <v>0</v>
      </c>
    </row>
    <row r="49" spans="1:17" x14ac:dyDescent="0.2">
      <c r="A49" s="1">
        <f t="shared" si="0"/>
        <v>0</v>
      </c>
      <c r="B49" s="35">
        <f>COUNTIF($C$4:C49,C49)</f>
        <v>0</v>
      </c>
      <c r="C49" s="30"/>
      <c r="D49" s="34"/>
      <c r="E49" s="34"/>
      <c r="F49" s="31"/>
      <c r="G49" s="34"/>
      <c r="H49" s="32"/>
      <c r="I49" s="30"/>
      <c r="J49" s="30"/>
      <c r="K49" s="33"/>
      <c r="Q49" s="1">
        <f t="shared" si="1"/>
        <v>0</v>
      </c>
    </row>
    <row r="50" spans="1:17" x14ac:dyDescent="0.2">
      <c r="A50" s="1">
        <f t="shared" si="0"/>
        <v>0</v>
      </c>
      <c r="B50" s="35">
        <f>COUNTIF($C$4:C50,C50)</f>
        <v>0</v>
      </c>
      <c r="C50" s="30"/>
      <c r="D50" s="34"/>
      <c r="E50" s="34"/>
      <c r="F50" s="31"/>
      <c r="G50" s="34"/>
      <c r="H50" s="32"/>
      <c r="I50" s="30"/>
      <c r="J50" s="30"/>
      <c r="K50" s="33"/>
      <c r="Q50" s="1">
        <f t="shared" si="1"/>
        <v>0</v>
      </c>
    </row>
    <row r="51" spans="1:17" x14ac:dyDescent="0.2">
      <c r="A51" s="1">
        <f t="shared" si="0"/>
        <v>0</v>
      </c>
      <c r="B51" s="35">
        <f>COUNTIF($C$4:C51,C51)</f>
        <v>0</v>
      </c>
      <c r="C51" s="30"/>
      <c r="D51" s="34"/>
      <c r="E51" s="34"/>
      <c r="F51" s="31"/>
      <c r="G51" s="34"/>
      <c r="H51" s="32"/>
      <c r="I51" s="30"/>
      <c r="J51" s="30"/>
      <c r="K51" s="33"/>
      <c r="Q51" s="1">
        <f t="shared" si="1"/>
        <v>0</v>
      </c>
    </row>
    <row r="52" spans="1:17" x14ac:dyDescent="0.2">
      <c r="A52" s="1">
        <f t="shared" si="0"/>
        <v>0</v>
      </c>
      <c r="B52" s="35">
        <f>COUNTIF($C$4:C52,C52)</f>
        <v>0</v>
      </c>
      <c r="C52" s="30"/>
      <c r="D52" s="34"/>
      <c r="E52" s="34"/>
      <c r="F52" s="31"/>
      <c r="G52" s="34"/>
      <c r="H52" s="32"/>
      <c r="I52" s="30"/>
      <c r="J52" s="30"/>
      <c r="K52" s="33"/>
      <c r="Q52" s="1">
        <f t="shared" si="1"/>
        <v>0</v>
      </c>
    </row>
    <row r="53" spans="1:17" x14ac:dyDescent="0.2">
      <c r="A53" s="1">
        <f t="shared" si="0"/>
        <v>0</v>
      </c>
      <c r="B53" s="35">
        <f>COUNTIF($C$4:C53,C53)</f>
        <v>0</v>
      </c>
      <c r="C53" s="30"/>
      <c r="D53" s="34"/>
      <c r="E53" s="34"/>
      <c r="F53" s="31"/>
      <c r="G53" s="34"/>
      <c r="H53" s="32"/>
      <c r="I53" s="30"/>
      <c r="J53" s="30"/>
      <c r="K53" s="33"/>
      <c r="Q53" s="1">
        <f t="shared" si="1"/>
        <v>0</v>
      </c>
    </row>
    <row r="54" spans="1:17" x14ac:dyDescent="0.2">
      <c r="A54" s="1">
        <f t="shared" si="0"/>
        <v>0</v>
      </c>
      <c r="B54" s="35">
        <f>COUNTIF($C$4:C54,C54)</f>
        <v>0</v>
      </c>
      <c r="C54" s="30"/>
      <c r="D54" s="34"/>
      <c r="E54" s="34"/>
      <c r="F54" s="31"/>
      <c r="G54" s="34"/>
      <c r="H54" s="32"/>
      <c r="I54" s="30"/>
      <c r="J54" s="30"/>
      <c r="K54" s="33"/>
      <c r="Q54" s="1">
        <f t="shared" si="1"/>
        <v>0</v>
      </c>
    </row>
    <row r="55" spans="1:17" x14ac:dyDescent="0.2">
      <c r="A55" s="1">
        <f t="shared" si="0"/>
        <v>0</v>
      </c>
      <c r="B55" s="35">
        <f>COUNTIF($C$4:C55,C55)</f>
        <v>0</v>
      </c>
      <c r="C55" s="30"/>
      <c r="D55" s="34"/>
      <c r="E55" s="34"/>
      <c r="F55" s="31"/>
      <c r="G55" s="34"/>
      <c r="H55" s="32"/>
      <c r="I55" s="30"/>
      <c r="J55" s="30"/>
      <c r="K55" s="33"/>
      <c r="Q55" s="1">
        <f t="shared" si="1"/>
        <v>0</v>
      </c>
    </row>
    <row r="56" spans="1:17" x14ac:dyDescent="0.2">
      <c r="A56" s="1">
        <f t="shared" si="0"/>
        <v>0</v>
      </c>
      <c r="B56" s="35">
        <f>COUNTIF($C$4:C56,C56)</f>
        <v>0</v>
      </c>
      <c r="C56" s="30"/>
      <c r="D56" s="34"/>
      <c r="E56" s="34"/>
      <c r="F56" s="31"/>
      <c r="G56" s="34"/>
      <c r="H56" s="32"/>
      <c r="I56" s="30"/>
      <c r="J56" s="30"/>
      <c r="K56" s="33"/>
      <c r="Q56" s="1">
        <f t="shared" si="1"/>
        <v>0</v>
      </c>
    </row>
    <row r="57" spans="1:17" x14ac:dyDescent="0.2">
      <c r="A57" s="1">
        <f t="shared" si="0"/>
        <v>0</v>
      </c>
      <c r="B57" s="35">
        <f>COUNTIF($C$4:C57,C57)</f>
        <v>0</v>
      </c>
      <c r="C57" s="30"/>
      <c r="D57" s="34"/>
      <c r="E57" s="34"/>
      <c r="F57" s="31"/>
      <c r="G57" s="34"/>
      <c r="H57" s="32"/>
      <c r="I57" s="30"/>
      <c r="J57" s="30"/>
      <c r="K57" s="33"/>
      <c r="Q57" s="1">
        <f t="shared" si="1"/>
        <v>0</v>
      </c>
    </row>
    <row r="58" spans="1:17" x14ac:dyDescent="0.2">
      <c r="A58" s="1">
        <f t="shared" si="0"/>
        <v>0</v>
      </c>
      <c r="B58" s="35">
        <f>COUNTIF($C$4:C58,C58)</f>
        <v>0</v>
      </c>
      <c r="C58" s="30"/>
      <c r="D58" s="34"/>
      <c r="E58" s="34"/>
      <c r="F58" s="31"/>
      <c r="G58" s="34"/>
      <c r="H58" s="32"/>
      <c r="I58" s="30"/>
      <c r="J58" s="30"/>
      <c r="K58" s="33"/>
      <c r="Q58" s="1">
        <f t="shared" si="1"/>
        <v>0</v>
      </c>
    </row>
    <row r="59" spans="1:17" x14ac:dyDescent="0.2">
      <c r="A59" s="1">
        <f t="shared" si="0"/>
        <v>0</v>
      </c>
      <c r="B59" s="35">
        <f>COUNTIF($C$4:C59,C59)</f>
        <v>0</v>
      </c>
      <c r="C59" s="30"/>
      <c r="D59" s="34"/>
      <c r="E59" s="34"/>
      <c r="F59" s="31"/>
      <c r="G59" s="34"/>
      <c r="H59" s="32"/>
      <c r="I59" s="30"/>
      <c r="J59" s="30"/>
      <c r="K59" s="33"/>
      <c r="Q59" s="1">
        <f t="shared" si="1"/>
        <v>0</v>
      </c>
    </row>
    <row r="60" spans="1:17" x14ac:dyDescent="0.2">
      <c r="A60" s="1">
        <f t="shared" si="0"/>
        <v>0</v>
      </c>
      <c r="B60" s="35">
        <f>COUNTIF($C$4:C60,C60)</f>
        <v>0</v>
      </c>
      <c r="C60" s="30"/>
      <c r="D60" s="34"/>
      <c r="E60" s="34"/>
      <c r="F60" s="31"/>
      <c r="G60" s="34"/>
      <c r="H60" s="32"/>
      <c r="I60" s="30"/>
      <c r="J60" s="30"/>
      <c r="K60" s="33"/>
      <c r="Q60" s="1">
        <f t="shared" si="1"/>
        <v>0</v>
      </c>
    </row>
    <row r="61" spans="1:17" x14ac:dyDescent="0.2">
      <c r="A61" s="1">
        <f t="shared" si="0"/>
        <v>0</v>
      </c>
      <c r="B61" s="35">
        <f>COUNTIF($C$4:C61,C61)</f>
        <v>0</v>
      </c>
      <c r="C61" s="30"/>
      <c r="D61" s="34"/>
      <c r="E61" s="34"/>
      <c r="F61" s="31"/>
      <c r="G61" s="34"/>
      <c r="H61" s="32"/>
      <c r="I61" s="30"/>
      <c r="J61" s="30"/>
      <c r="K61" s="33"/>
      <c r="Q61" s="1">
        <f t="shared" si="1"/>
        <v>0</v>
      </c>
    </row>
    <row r="62" spans="1:17" x14ac:dyDescent="0.2">
      <c r="A62" s="1">
        <f t="shared" si="0"/>
        <v>0</v>
      </c>
      <c r="B62" s="35">
        <f>COUNTIF($C$4:C62,C62)</f>
        <v>0</v>
      </c>
      <c r="C62" s="30"/>
      <c r="D62" s="34"/>
      <c r="E62" s="34"/>
      <c r="F62" s="31"/>
      <c r="G62" s="34"/>
      <c r="H62" s="32"/>
      <c r="I62" s="30"/>
      <c r="J62" s="30"/>
      <c r="K62" s="33"/>
      <c r="Q62" s="1">
        <f t="shared" si="1"/>
        <v>0</v>
      </c>
    </row>
    <row r="63" spans="1:17" x14ac:dyDescent="0.2">
      <c r="A63" s="1">
        <f t="shared" si="0"/>
        <v>0</v>
      </c>
      <c r="B63" s="35">
        <f>COUNTIF($C$4:C63,C63)</f>
        <v>0</v>
      </c>
      <c r="C63" s="30"/>
      <c r="D63" s="34"/>
      <c r="E63" s="34"/>
      <c r="F63" s="31"/>
      <c r="G63" s="34"/>
      <c r="H63" s="32"/>
      <c r="I63" s="30"/>
      <c r="J63" s="30"/>
      <c r="K63" s="33"/>
      <c r="Q63" s="1">
        <f t="shared" si="1"/>
        <v>0</v>
      </c>
    </row>
    <row r="64" spans="1:17" x14ac:dyDescent="0.2">
      <c r="A64" s="1">
        <f t="shared" si="0"/>
        <v>0</v>
      </c>
      <c r="B64" s="35">
        <f>COUNTIF($C$4:C64,C64)</f>
        <v>0</v>
      </c>
      <c r="C64" s="30"/>
      <c r="D64" s="34"/>
      <c r="E64" s="34"/>
      <c r="F64" s="31"/>
      <c r="G64" s="34"/>
      <c r="H64" s="32"/>
      <c r="I64" s="30"/>
      <c r="J64" s="30"/>
      <c r="K64" s="33"/>
      <c r="Q64" s="1">
        <f t="shared" si="1"/>
        <v>0</v>
      </c>
    </row>
    <row r="65" spans="1:17" x14ac:dyDescent="0.2">
      <c r="A65" s="1">
        <f t="shared" si="0"/>
        <v>0</v>
      </c>
      <c r="B65" s="35">
        <f>COUNTIF($C$4:C65,C65)</f>
        <v>0</v>
      </c>
      <c r="C65" s="30"/>
      <c r="D65" s="34"/>
      <c r="E65" s="34"/>
      <c r="F65" s="31"/>
      <c r="G65" s="34"/>
      <c r="H65" s="32"/>
      <c r="I65" s="30"/>
      <c r="J65" s="30"/>
      <c r="K65" s="33"/>
      <c r="Q65" s="1">
        <f t="shared" si="1"/>
        <v>0</v>
      </c>
    </row>
    <row r="66" spans="1:17" x14ac:dyDescent="0.2">
      <c r="A66" s="1">
        <f t="shared" si="0"/>
        <v>0</v>
      </c>
      <c r="B66" s="35">
        <f>COUNTIF($C$4:C66,C66)</f>
        <v>0</v>
      </c>
      <c r="C66" s="30"/>
      <c r="D66" s="34"/>
      <c r="E66" s="34"/>
      <c r="F66" s="31"/>
      <c r="G66" s="34"/>
      <c r="H66" s="32"/>
      <c r="I66" s="30"/>
      <c r="J66" s="30"/>
      <c r="K66" s="33"/>
      <c r="Q66" s="1">
        <f t="shared" si="1"/>
        <v>0</v>
      </c>
    </row>
    <row r="67" spans="1:17" x14ac:dyDescent="0.2">
      <c r="A67" s="1">
        <f t="shared" si="0"/>
        <v>0</v>
      </c>
      <c r="B67" s="35">
        <f>COUNTIF($C$4:C67,C67)</f>
        <v>0</v>
      </c>
      <c r="C67" s="30"/>
      <c r="D67" s="34"/>
      <c r="E67" s="34"/>
      <c r="F67" s="31"/>
      <c r="G67" s="34"/>
      <c r="H67" s="32"/>
      <c r="I67" s="30"/>
      <c r="J67" s="30"/>
      <c r="K67" s="33"/>
      <c r="Q67" s="1">
        <f t="shared" si="1"/>
        <v>0</v>
      </c>
    </row>
    <row r="68" spans="1:17" x14ac:dyDescent="0.2">
      <c r="A68" s="1">
        <f t="shared" ref="A68:A131" si="2">IF($A$1=Q68,A67+1,A67)</f>
        <v>0</v>
      </c>
      <c r="B68" s="35">
        <f>COUNTIF($C$4:C68,C68)</f>
        <v>0</v>
      </c>
      <c r="C68" s="30"/>
      <c r="D68" s="34"/>
      <c r="E68" s="34"/>
      <c r="F68" s="31"/>
      <c r="G68" s="34"/>
      <c r="H68" s="32"/>
      <c r="I68" s="30"/>
      <c r="J68" s="30"/>
      <c r="K68" s="33"/>
      <c r="Q68" s="1">
        <f t="shared" si="1"/>
        <v>0</v>
      </c>
    </row>
    <row r="69" spans="1:17" x14ac:dyDescent="0.2">
      <c r="A69" s="1">
        <f t="shared" si="2"/>
        <v>0</v>
      </c>
      <c r="B69" s="35">
        <f>COUNTIF($C$4:C69,C69)</f>
        <v>0</v>
      </c>
      <c r="C69" s="30"/>
      <c r="D69" s="34"/>
      <c r="E69" s="34"/>
      <c r="F69" s="31"/>
      <c r="G69" s="34"/>
      <c r="H69" s="32"/>
      <c r="I69" s="30"/>
      <c r="J69" s="30"/>
      <c r="K69" s="33"/>
      <c r="Q69" s="1">
        <f t="shared" ref="Q69:Q132" si="3">IF(ISERROR(VLOOKUP(C69,$O$1:$Q$2,3,FALSE))=TRUE,0,VLOOKUP(C69,$O$1:$Q$2,3,FALSE))</f>
        <v>0</v>
      </c>
    </row>
    <row r="70" spans="1:17" x14ac:dyDescent="0.2">
      <c r="A70" s="1">
        <f t="shared" si="2"/>
        <v>0</v>
      </c>
      <c r="B70" s="35">
        <f>COUNTIF($C$4:C70,C70)</f>
        <v>0</v>
      </c>
      <c r="C70" s="30"/>
      <c r="D70" s="34"/>
      <c r="E70" s="34"/>
      <c r="F70" s="31"/>
      <c r="G70" s="34"/>
      <c r="H70" s="32"/>
      <c r="I70" s="30"/>
      <c r="J70" s="30"/>
      <c r="K70" s="33"/>
      <c r="Q70" s="1">
        <f t="shared" si="3"/>
        <v>0</v>
      </c>
    </row>
    <row r="71" spans="1:17" x14ac:dyDescent="0.2">
      <c r="A71" s="1">
        <f t="shared" si="2"/>
        <v>0</v>
      </c>
      <c r="B71" s="35">
        <f>COUNTIF($C$4:C71,C71)</f>
        <v>0</v>
      </c>
      <c r="C71" s="30"/>
      <c r="D71" s="34"/>
      <c r="E71" s="34"/>
      <c r="F71" s="31"/>
      <c r="G71" s="34"/>
      <c r="H71" s="32"/>
      <c r="I71" s="30"/>
      <c r="J71" s="30"/>
      <c r="K71" s="33"/>
      <c r="Q71" s="1">
        <f t="shared" si="3"/>
        <v>0</v>
      </c>
    </row>
    <row r="72" spans="1:17" x14ac:dyDescent="0.2">
      <c r="A72" s="1">
        <f t="shared" si="2"/>
        <v>0</v>
      </c>
      <c r="B72" s="35">
        <f>COUNTIF($C$4:C72,C72)</f>
        <v>0</v>
      </c>
      <c r="C72" s="30"/>
      <c r="D72" s="34"/>
      <c r="E72" s="34"/>
      <c r="F72" s="31"/>
      <c r="G72" s="34"/>
      <c r="H72" s="32"/>
      <c r="I72" s="30"/>
      <c r="J72" s="30"/>
      <c r="K72" s="33"/>
      <c r="Q72" s="1">
        <f t="shared" si="3"/>
        <v>0</v>
      </c>
    </row>
    <row r="73" spans="1:17" x14ac:dyDescent="0.2">
      <c r="A73" s="1">
        <f t="shared" si="2"/>
        <v>0</v>
      </c>
      <c r="B73" s="35">
        <f>COUNTIF($C$4:C73,C73)</f>
        <v>0</v>
      </c>
      <c r="C73" s="30"/>
      <c r="D73" s="34"/>
      <c r="E73" s="34"/>
      <c r="F73" s="31"/>
      <c r="G73" s="34"/>
      <c r="H73" s="32"/>
      <c r="I73" s="30"/>
      <c r="J73" s="30"/>
      <c r="K73" s="33"/>
      <c r="Q73" s="1">
        <f t="shared" si="3"/>
        <v>0</v>
      </c>
    </row>
    <row r="74" spans="1:17" x14ac:dyDescent="0.2">
      <c r="A74" s="1">
        <f t="shared" si="2"/>
        <v>0</v>
      </c>
      <c r="B74" s="35">
        <f>COUNTIF($C$4:C74,C74)</f>
        <v>0</v>
      </c>
      <c r="C74" s="30"/>
      <c r="D74" s="34"/>
      <c r="E74" s="34"/>
      <c r="F74" s="31"/>
      <c r="G74" s="34"/>
      <c r="H74" s="32"/>
      <c r="I74" s="30"/>
      <c r="J74" s="30"/>
      <c r="K74" s="33"/>
      <c r="Q74" s="1">
        <f t="shared" si="3"/>
        <v>0</v>
      </c>
    </row>
    <row r="75" spans="1:17" x14ac:dyDescent="0.2">
      <c r="A75" s="1">
        <f t="shared" si="2"/>
        <v>0</v>
      </c>
      <c r="B75" s="35">
        <f>COUNTIF($C$4:C75,C75)</f>
        <v>0</v>
      </c>
      <c r="C75" s="30"/>
      <c r="D75" s="34"/>
      <c r="E75" s="34"/>
      <c r="F75" s="31"/>
      <c r="G75" s="34"/>
      <c r="H75" s="32"/>
      <c r="I75" s="30"/>
      <c r="J75" s="30"/>
      <c r="K75" s="33"/>
      <c r="Q75" s="1">
        <f t="shared" si="3"/>
        <v>0</v>
      </c>
    </row>
    <row r="76" spans="1:17" x14ac:dyDescent="0.2">
      <c r="A76" s="1">
        <f t="shared" si="2"/>
        <v>0</v>
      </c>
      <c r="B76" s="35">
        <f>COUNTIF($C$4:C76,C76)</f>
        <v>0</v>
      </c>
      <c r="C76" s="30"/>
      <c r="D76" s="34"/>
      <c r="E76" s="34"/>
      <c r="F76" s="31"/>
      <c r="G76" s="34"/>
      <c r="H76" s="32"/>
      <c r="I76" s="30"/>
      <c r="J76" s="30"/>
      <c r="K76" s="33"/>
      <c r="Q76" s="1">
        <f t="shared" si="3"/>
        <v>0</v>
      </c>
    </row>
    <row r="77" spans="1:17" x14ac:dyDescent="0.2">
      <c r="A77" s="1">
        <f t="shared" si="2"/>
        <v>0</v>
      </c>
      <c r="B77" s="35">
        <f>COUNTIF($C$4:C77,C77)</f>
        <v>0</v>
      </c>
      <c r="C77" s="30"/>
      <c r="D77" s="34"/>
      <c r="E77" s="34"/>
      <c r="F77" s="31"/>
      <c r="G77" s="34"/>
      <c r="H77" s="32"/>
      <c r="I77" s="30"/>
      <c r="J77" s="30"/>
      <c r="K77" s="33"/>
      <c r="Q77" s="1">
        <f t="shared" si="3"/>
        <v>0</v>
      </c>
    </row>
    <row r="78" spans="1:17" x14ac:dyDescent="0.2">
      <c r="A78" s="1">
        <f t="shared" si="2"/>
        <v>0</v>
      </c>
      <c r="B78" s="35">
        <f>COUNTIF($C$4:C78,C78)</f>
        <v>0</v>
      </c>
      <c r="C78" s="30"/>
      <c r="D78" s="34"/>
      <c r="E78" s="34"/>
      <c r="F78" s="31"/>
      <c r="G78" s="34"/>
      <c r="H78" s="32"/>
      <c r="I78" s="30"/>
      <c r="J78" s="30"/>
      <c r="K78" s="33"/>
      <c r="Q78" s="1">
        <f t="shared" si="3"/>
        <v>0</v>
      </c>
    </row>
    <row r="79" spans="1:17" x14ac:dyDescent="0.2">
      <c r="A79" s="1">
        <f t="shared" si="2"/>
        <v>0</v>
      </c>
      <c r="B79" s="35">
        <f>COUNTIF($C$4:C79,C79)</f>
        <v>0</v>
      </c>
      <c r="C79" s="30"/>
      <c r="D79" s="34"/>
      <c r="E79" s="34"/>
      <c r="F79" s="31"/>
      <c r="G79" s="34"/>
      <c r="H79" s="32"/>
      <c r="I79" s="30"/>
      <c r="J79" s="30"/>
      <c r="K79" s="33"/>
      <c r="Q79" s="1">
        <f t="shared" si="3"/>
        <v>0</v>
      </c>
    </row>
    <row r="80" spans="1:17" x14ac:dyDescent="0.2">
      <c r="A80" s="1">
        <f t="shared" si="2"/>
        <v>0</v>
      </c>
      <c r="B80" s="35">
        <f>COUNTIF($C$4:C80,C80)</f>
        <v>0</v>
      </c>
      <c r="C80" s="30"/>
      <c r="D80" s="34"/>
      <c r="E80" s="34"/>
      <c r="F80" s="31"/>
      <c r="G80" s="34"/>
      <c r="H80" s="32"/>
      <c r="I80" s="30"/>
      <c r="J80" s="30"/>
      <c r="K80" s="33"/>
      <c r="Q80" s="1">
        <f t="shared" si="3"/>
        <v>0</v>
      </c>
    </row>
    <row r="81" spans="1:17" x14ac:dyDescent="0.2">
      <c r="A81" s="1">
        <f t="shared" si="2"/>
        <v>0</v>
      </c>
      <c r="B81" s="35">
        <f>COUNTIF($C$4:C81,C81)</f>
        <v>0</v>
      </c>
      <c r="C81" s="30"/>
      <c r="D81" s="34"/>
      <c r="E81" s="34"/>
      <c r="F81" s="31"/>
      <c r="G81" s="34"/>
      <c r="H81" s="32"/>
      <c r="I81" s="30"/>
      <c r="J81" s="30"/>
      <c r="K81" s="33"/>
      <c r="Q81" s="1">
        <f t="shared" si="3"/>
        <v>0</v>
      </c>
    </row>
    <row r="82" spans="1:17" x14ac:dyDescent="0.2">
      <c r="A82" s="1">
        <f t="shared" si="2"/>
        <v>0</v>
      </c>
      <c r="B82" s="35">
        <f>COUNTIF($C$4:C82,C82)</f>
        <v>0</v>
      </c>
      <c r="C82" s="30"/>
      <c r="D82" s="34"/>
      <c r="E82" s="34"/>
      <c r="F82" s="31"/>
      <c r="G82" s="34"/>
      <c r="H82" s="32"/>
      <c r="I82" s="30"/>
      <c r="J82" s="30"/>
      <c r="K82" s="33"/>
      <c r="Q82" s="1">
        <f t="shared" si="3"/>
        <v>0</v>
      </c>
    </row>
    <row r="83" spans="1:17" x14ac:dyDescent="0.2">
      <c r="A83" s="1">
        <f t="shared" si="2"/>
        <v>0</v>
      </c>
      <c r="B83" s="35">
        <f>COUNTIF($C$4:C83,C83)</f>
        <v>0</v>
      </c>
      <c r="C83" s="30"/>
      <c r="D83" s="34"/>
      <c r="E83" s="34"/>
      <c r="F83" s="31"/>
      <c r="G83" s="34"/>
      <c r="H83" s="32"/>
      <c r="I83" s="30"/>
      <c r="J83" s="30"/>
      <c r="K83" s="33"/>
      <c r="Q83" s="1">
        <f t="shared" si="3"/>
        <v>0</v>
      </c>
    </row>
    <row r="84" spans="1:17" x14ac:dyDescent="0.2">
      <c r="A84" s="1">
        <f t="shared" si="2"/>
        <v>0</v>
      </c>
      <c r="B84" s="35">
        <f>COUNTIF($C$4:C84,C84)</f>
        <v>0</v>
      </c>
      <c r="C84" s="30"/>
      <c r="D84" s="34"/>
      <c r="E84" s="34"/>
      <c r="F84" s="31"/>
      <c r="G84" s="34"/>
      <c r="H84" s="32"/>
      <c r="I84" s="30"/>
      <c r="J84" s="30"/>
      <c r="K84" s="33"/>
      <c r="Q84" s="1">
        <f t="shared" si="3"/>
        <v>0</v>
      </c>
    </row>
    <row r="85" spans="1:17" x14ac:dyDescent="0.2">
      <c r="A85" s="1">
        <f t="shared" si="2"/>
        <v>0</v>
      </c>
      <c r="B85" s="35">
        <f>COUNTIF($C$4:C85,C85)</f>
        <v>0</v>
      </c>
      <c r="C85" s="30"/>
      <c r="D85" s="34"/>
      <c r="E85" s="34"/>
      <c r="F85" s="31"/>
      <c r="G85" s="34"/>
      <c r="H85" s="32"/>
      <c r="I85" s="30"/>
      <c r="J85" s="30"/>
      <c r="K85" s="33"/>
      <c r="Q85" s="1">
        <f t="shared" si="3"/>
        <v>0</v>
      </c>
    </row>
    <row r="86" spans="1:17" x14ac:dyDescent="0.2">
      <c r="A86" s="1">
        <f t="shared" si="2"/>
        <v>0</v>
      </c>
      <c r="B86" s="35">
        <f>COUNTIF($C$4:C86,C86)</f>
        <v>0</v>
      </c>
      <c r="C86" s="30"/>
      <c r="D86" s="34"/>
      <c r="E86" s="34"/>
      <c r="F86" s="31"/>
      <c r="G86" s="34"/>
      <c r="H86" s="32"/>
      <c r="I86" s="30"/>
      <c r="J86" s="30"/>
      <c r="K86" s="33"/>
      <c r="Q86" s="1">
        <f t="shared" si="3"/>
        <v>0</v>
      </c>
    </row>
    <row r="87" spans="1:17" x14ac:dyDescent="0.2">
      <c r="A87" s="1">
        <f t="shared" si="2"/>
        <v>0</v>
      </c>
      <c r="B87" s="35">
        <f>COUNTIF($C$4:C87,C87)</f>
        <v>0</v>
      </c>
      <c r="C87" s="30"/>
      <c r="D87" s="34"/>
      <c r="E87" s="34"/>
      <c r="F87" s="31"/>
      <c r="G87" s="34"/>
      <c r="H87" s="32"/>
      <c r="I87" s="30"/>
      <c r="J87" s="30"/>
      <c r="K87" s="33"/>
      <c r="Q87" s="1">
        <f t="shared" si="3"/>
        <v>0</v>
      </c>
    </row>
    <row r="88" spans="1:17" x14ac:dyDescent="0.2">
      <c r="A88" s="1">
        <f t="shared" si="2"/>
        <v>0</v>
      </c>
      <c r="B88" s="35">
        <f>COUNTIF($C$4:C88,C88)</f>
        <v>0</v>
      </c>
      <c r="C88" s="30"/>
      <c r="D88" s="34"/>
      <c r="E88" s="34"/>
      <c r="F88" s="31"/>
      <c r="G88" s="34"/>
      <c r="H88" s="32"/>
      <c r="I88" s="30"/>
      <c r="J88" s="30"/>
      <c r="K88" s="33"/>
      <c r="Q88" s="1">
        <f t="shared" si="3"/>
        <v>0</v>
      </c>
    </row>
    <row r="89" spans="1:17" x14ac:dyDescent="0.2">
      <c r="A89" s="1">
        <f t="shared" si="2"/>
        <v>0</v>
      </c>
      <c r="B89" s="35">
        <f>COUNTIF($C$4:C89,C89)</f>
        <v>0</v>
      </c>
      <c r="C89" s="30"/>
      <c r="D89" s="34"/>
      <c r="E89" s="34"/>
      <c r="F89" s="31"/>
      <c r="G89" s="34"/>
      <c r="H89" s="32"/>
      <c r="I89" s="30"/>
      <c r="J89" s="30"/>
      <c r="K89" s="33"/>
      <c r="Q89" s="1">
        <f t="shared" si="3"/>
        <v>0</v>
      </c>
    </row>
    <row r="90" spans="1:17" x14ac:dyDescent="0.2">
      <c r="A90" s="1">
        <f t="shared" si="2"/>
        <v>0</v>
      </c>
      <c r="B90" s="35">
        <f>COUNTIF($C$4:C90,C90)</f>
        <v>0</v>
      </c>
      <c r="C90" s="30"/>
      <c r="D90" s="34"/>
      <c r="E90" s="34"/>
      <c r="F90" s="31"/>
      <c r="G90" s="34"/>
      <c r="H90" s="32"/>
      <c r="I90" s="30"/>
      <c r="J90" s="30"/>
      <c r="K90" s="33"/>
      <c r="Q90" s="1">
        <f t="shared" si="3"/>
        <v>0</v>
      </c>
    </row>
    <row r="91" spans="1:17" x14ac:dyDescent="0.2">
      <c r="A91" s="1">
        <f t="shared" si="2"/>
        <v>0</v>
      </c>
      <c r="B91" s="35">
        <f>COUNTIF($C$4:C91,C91)</f>
        <v>0</v>
      </c>
      <c r="C91" s="30"/>
      <c r="D91" s="34"/>
      <c r="E91" s="34"/>
      <c r="F91" s="31"/>
      <c r="G91" s="34"/>
      <c r="H91" s="32"/>
      <c r="I91" s="30"/>
      <c r="J91" s="30"/>
      <c r="K91" s="33"/>
      <c r="Q91" s="1">
        <f t="shared" si="3"/>
        <v>0</v>
      </c>
    </row>
    <row r="92" spans="1:17" x14ac:dyDescent="0.2">
      <c r="A92" s="1">
        <f t="shared" si="2"/>
        <v>0</v>
      </c>
      <c r="B92" s="35">
        <f>COUNTIF($C$4:C92,C92)</f>
        <v>0</v>
      </c>
      <c r="C92" s="30"/>
      <c r="D92" s="34"/>
      <c r="E92" s="34"/>
      <c r="F92" s="31"/>
      <c r="G92" s="34"/>
      <c r="H92" s="32"/>
      <c r="I92" s="30"/>
      <c r="J92" s="30"/>
      <c r="K92" s="33"/>
      <c r="Q92" s="1">
        <f t="shared" si="3"/>
        <v>0</v>
      </c>
    </row>
    <row r="93" spans="1:17" x14ac:dyDescent="0.2">
      <c r="A93" s="1">
        <f t="shared" si="2"/>
        <v>0</v>
      </c>
      <c r="B93" s="35">
        <f>COUNTIF($C$4:C93,C93)</f>
        <v>0</v>
      </c>
      <c r="C93" s="30"/>
      <c r="D93" s="34"/>
      <c r="E93" s="34"/>
      <c r="F93" s="31"/>
      <c r="G93" s="34"/>
      <c r="H93" s="32"/>
      <c r="I93" s="30"/>
      <c r="J93" s="30"/>
      <c r="K93" s="33"/>
      <c r="Q93" s="1">
        <f t="shared" si="3"/>
        <v>0</v>
      </c>
    </row>
    <row r="94" spans="1:17" x14ac:dyDescent="0.2">
      <c r="A94" s="1">
        <f t="shared" si="2"/>
        <v>0</v>
      </c>
      <c r="B94" s="35">
        <f>COUNTIF($C$4:C94,C94)</f>
        <v>0</v>
      </c>
      <c r="C94" s="30"/>
      <c r="D94" s="34"/>
      <c r="E94" s="34"/>
      <c r="F94" s="31"/>
      <c r="G94" s="34"/>
      <c r="H94" s="32"/>
      <c r="I94" s="30"/>
      <c r="J94" s="30"/>
      <c r="K94" s="33"/>
      <c r="Q94" s="1">
        <f t="shared" si="3"/>
        <v>0</v>
      </c>
    </row>
    <row r="95" spans="1:17" x14ac:dyDescent="0.2">
      <c r="A95" s="1">
        <f t="shared" si="2"/>
        <v>0</v>
      </c>
      <c r="B95" s="35">
        <f>COUNTIF($C$4:C95,C95)</f>
        <v>0</v>
      </c>
      <c r="C95" s="30"/>
      <c r="D95" s="34"/>
      <c r="E95" s="34"/>
      <c r="F95" s="31"/>
      <c r="G95" s="34"/>
      <c r="H95" s="32"/>
      <c r="I95" s="30"/>
      <c r="J95" s="30"/>
      <c r="K95" s="33"/>
      <c r="Q95" s="1">
        <f t="shared" si="3"/>
        <v>0</v>
      </c>
    </row>
    <row r="96" spans="1:17" x14ac:dyDescent="0.2">
      <c r="A96" s="1">
        <f t="shared" si="2"/>
        <v>0</v>
      </c>
      <c r="B96" s="35">
        <f>COUNTIF($C$4:C96,C96)</f>
        <v>0</v>
      </c>
      <c r="C96" s="30"/>
      <c r="D96" s="34"/>
      <c r="E96" s="34"/>
      <c r="F96" s="31"/>
      <c r="G96" s="34"/>
      <c r="H96" s="32"/>
      <c r="I96" s="30"/>
      <c r="J96" s="30"/>
      <c r="K96" s="33"/>
      <c r="Q96" s="1">
        <f t="shared" si="3"/>
        <v>0</v>
      </c>
    </row>
    <row r="97" spans="1:17" x14ac:dyDescent="0.2">
      <c r="A97" s="1">
        <f t="shared" si="2"/>
        <v>0</v>
      </c>
      <c r="B97" s="35">
        <f>COUNTIF($C$4:C97,C97)</f>
        <v>0</v>
      </c>
      <c r="C97" s="30"/>
      <c r="D97" s="34"/>
      <c r="E97" s="34"/>
      <c r="F97" s="31"/>
      <c r="G97" s="34"/>
      <c r="H97" s="32"/>
      <c r="I97" s="30"/>
      <c r="J97" s="30"/>
      <c r="K97" s="33"/>
      <c r="Q97" s="1">
        <f t="shared" si="3"/>
        <v>0</v>
      </c>
    </row>
    <row r="98" spans="1:17" x14ac:dyDescent="0.2">
      <c r="A98" s="1">
        <f t="shared" si="2"/>
        <v>0</v>
      </c>
      <c r="B98" s="35">
        <f>COUNTIF($C$4:C98,C98)</f>
        <v>0</v>
      </c>
      <c r="C98" s="30"/>
      <c r="D98" s="34"/>
      <c r="E98" s="34"/>
      <c r="F98" s="31"/>
      <c r="G98" s="34"/>
      <c r="H98" s="32"/>
      <c r="I98" s="30"/>
      <c r="J98" s="30"/>
      <c r="K98" s="33"/>
      <c r="Q98" s="1">
        <f t="shared" si="3"/>
        <v>0</v>
      </c>
    </row>
    <row r="99" spans="1:17" x14ac:dyDescent="0.2">
      <c r="A99" s="1">
        <f t="shared" si="2"/>
        <v>0</v>
      </c>
      <c r="B99" s="35">
        <f>COUNTIF($C$4:C99,C99)</f>
        <v>0</v>
      </c>
      <c r="C99" s="30"/>
      <c r="D99" s="34"/>
      <c r="E99" s="34"/>
      <c r="F99" s="31"/>
      <c r="G99" s="34"/>
      <c r="H99" s="32"/>
      <c r="I99" s="30"/>
      <c r="J99" s="30"/>
      <c r="K99" s="33"/>
      <c r="Q99" s="1">
        <f t="shared" si="3"/>
        <v>0</v>
      </c>
    </row>
    <row r="100" spans="1:17" x14ac:dyDescent="0.2">
      <c r="A100" s="1">
        <f t="shared" si="2"/>
        <v>0</v>
      </c>
      <c r="B100" s="35">
        <f>COUNTIF($C$4:C100,C100)</f>
        <v>0</v>
      </c>
      <c r="C100" s="30"/>
      <c r="D100" s="34"/>
      <c r="E100" s="34"/>
      <c r="F100" s="31"/>
      <c r="G100" s="34"/>
      <c r="H100" s="32"/>
      <c r="I100" s="30"/>
      <c r="J100" s="30"/>
      <c r="K100" s="33"/>
      <c r="Q100" s="1">
        <f t="shared" si="3"/>
        <v>0</v>
      </c>
    </row>
    <row r="101" spans="1:17" x14ac:dyDescent="0.2">
      <c r="A101" s="1">
        <f t="shared" si="2"/>
        <v>0</v>
      </c>
      <c r="B101" s="35">
        <f>COUNTIF($C$4:C101,C101)</f>
        <v>0</v>
      </c>
      <c r="C101" s="30"/>
      <c r="D101" s="34"/>
      <c r="E101" s="34"/>
      <c r="F101" s="31"/>
      <c r="G101" s="34"/>
      <c r="H101" s="32"/>
      <c r="I101" s="30"/>
      <c r="J101" s="30"/>
      <c r="K101" s="33"/>
      <c r="Q101" s="1">
        <f t="shared" si="3"/>
        <v>0</v>
      </c>
    </row>
    <row r="102" spans="1:17" x14ac:dyDescent="0.2">
      <c r="A102" s="1">
        <f t="shared" si="2"/>
        <v>0</v>
      </c>
      <c r="B102" s="35">
        <f>COUNTIF($C$4:C102,C102)</f>
        <v>0</v>
      </c>
      <c r="C102" s="30"/>
      <c r="D102" s="34"/>
      <c r="E102" s="34"/>
      <c r="F102" s="31"/>
      <c r="G102" s="34"/>
      <c r="H102" s="32"/>
      <c r="I102" s="30"/>
      <c r="J102" s="30"/>
      <c r="K102" s="33"/>
      <c r="Q102" s="1">
        <f t="shared" si="3"/>
        <v>0</v>
      </c>
    </row>
    <row r="103" spans="1:17" x14ac:dyDescent="0.2">
      <c r="A103" s="1">
        <f t="shared" si="2"/>
        <v>0</v>
      </c>
      <c r="B103" s="35">
        <f>COUNTIF($C$4:C103,C103)</f>
        <v>0</v>
      </c>
      <c r="C103" s="30"/>
      <c r="D103" s="34"/>
      <c r="E103" s="34"/>
      <c r="F103" s="31"/>
      <c r="G103" s="34"/>
      <c r="H103" s="32"/>
      <c r="I103" s="30"/>
      <c r="J103" s="30"/>
      <c r="K103" s="33"/>
      <c r="Q103" s="1">
        <f t="shared" si="3"/>
        <v>0</v>
      </c>
    </row>
    <row r="104" spans="1:17" x14ac:dyDescent="0.2">
      <c r="A104" s="1">
        <f t="shared" si="2"/>
        <v>0</v>
      </c>
      <c r="B104" s="35">
        <f>COUNTIF($C$4:C104,C104)</f>
        <v>0</v>
      </c>
      <c r="C104" s="30"/>
      <c r="D104" s="34"/>
      <c r="E104" s="34"/>
      <c r="F104" s="31"/>
      <c r="G104" s="34"/>
      <c r="H104" s="32"/>
      <c r="I104" s="30"/>
      <c r="J104" s="30"/>
      <c r="K104" s="33"/>
      <c r="Q104" s="1">
        <f t="shared" si="3"/>
        <v>0</v>
      </c>
    </row>
    <row r="105" spans="1:17" x14ac:dyDescent="0.2">
      <c r="A105" s="1">
        <f t="shared" si="2"/>
        <v>0</v>
      </c>
      <c r="B105" s="35">
        <f>COUNTIF($C$4:C105,C105)</f>
        <v>0</v>
      </c>
      <c r="C105" s="30"/>
      <c r="D105" s="34"/>
      <c r="E105" s="34"/>
      <c r="F105" s="31"/>
      <c r="G105" s="34"/>
      <c r="H105" s="32"/>
      <c r="I105" s="30"/>
      <c r="J105" s="30"/>
      <c r="K105" s="33"/>
      <c r="Q105" s="1">
        <f t="shared" si="3"/>
        <v>0</v>
      </c>
    </row>
    <row r="106" spans="1:17" x14ac:dyDescent="0.2">
      <c r="A106" s="1">
        <f t="shared" si="2"/>
        <v>0</v>
      </c>
      <c r="B106" s="35">
        <f>COUNTIF($C$4:C106,C106)</f>
        <v>0</v>
      </c>
      <c r="C106" s="30"/>
      <c r="D106" s="34"/>
      <c r="E106" s="34"/>
      <c r="F106" s="31"/>
      <c r="G106" s="34"/>
      <c r="H106" s="32"/>
      <c r="I106" s="30"/>
      <c r="J106" s="30"/>
      <c r="K106" s="33"/>
      <c r="Q106" s="1">
        <f t="shared" si="3"/>
        <v>0</v>
      </c>
    </row>
    <row r="107" spans="1:17" x14ac:dyDescent="0.2">
      <c r="A107" s="1">
        <f t="shared" si="2"/>
        <v>0</v>
      </c>
      <c r="B107" s="35">
        <f>COUNTIF($C$4:C107,C107)</f>
        <v>0</v>
      </c>
      <c r="C107" s="30"/>
      <c r="D107" s="34"/>
      <c r="E107" s="34"/>
      <c r="F107" s="31"/>
      <c r="G107" s="34"/>
      <c r="H107" s="32"/>
      <c r="I107" s="30"/>
      <c r="J107" s="30"/>
      <c r="K107" s="33"/>
      <c r="Q107" s="1">
        <f t="shared" si="3"/>
        <v>0</v>
      </c>
    </row>
    <row r="108" spans="1:17" x14ac:dyDescent="0.2">
      <c r="A108" s="1">
        <f t="shared" si="2"/>
        <v>0</v>
      </c>
      <c r="B108" s="35">
        <f>COUNTIF($C$4:C108,C108)</f>
        <v>0</v>
      </c>
      <c r="C108" s="30"/>
      <c r="D108" s="34"/>
      <c r="E108" s="34"/>
      <c r="F108" s="31"/>
      <c r="G108" s="34"/>
      <c r="H108" s="32"/>
      <c r="I108" s="30"/>
      <c r="J108" s="30"/>
      <c r="K108" s="33"/>
      <c r="Q108" s="1">
        <f t="shared" si="3"/>
        <v>0</v>
      </c>
    </row>
    <row r="109" spans="1:17" x14ac:dyDescent="0.2">
      <c r="A109" s="1">
        <f t="shared" si="2"/>
        <v>0</v>
      </c>
      <c r="B109" s="35">
        <f>COUNTIF($C$4:C109,C109)</f>
        <v>0</v>
      </c>
      <c r="C109" s="30"/>
      <c r="D109" s="34"/>
      <c r="E109" s="34"/>
      <c r="F109" s="31"/>
      <c r="G109" s="34"/>
      <c r="H109" s="32"/>
      <c r="I109" s="30"/>
      <c r="J109" s="30"/>
      <c r="K109" s="33"/>
      <c r="Q109" s="1">
        <f t="shared" si="3"/>
        <v>0</v>
      </c>
    </row>
    <row r="110" spans="1:17" x14ac:dyDescent="0.2">
      <c r="A110" s="1">
        <f t="shared" si="2"/>
        <v>0</v>
      </c>
      <c r="B110" s="35">
        <f>COUNTIF($C$4:C110,C110)</f>
        <v>0</v>
      </c>
      <c r="C110" s="30"/>
      <c r="D110" s="34"/>
      <c r="E110" s="34"/>
      <c r="F110" s="31"/>
      <c r="G110" s="34"/>
      <c r="H110" s="32"/>
      <c r="I110" s="30"/>
      <c r="J110" s="30"/>
      <c r="K110" s="33"/>
      <c r="Q110" s="1">
        <f t="shared" si="3"/>
        <v>0</v>
      </c>
    </row>
    <row r="111" spans="1:17" x14ac:dyDescent="0.2">
      <c r="A111" s="1">
        <f t="shared" si="2"/>
        <v>0</v>
      </c>
      <c r="B111" s="35">
        <f>COUNTIF($C$4:C111,C111)</f>
        <v>0</v>
      </c>
      <c r="C111" s="30"/>
      <c r="D111" s="34"/>
      <c r="E111" s="34"/>
      <c r="F111" s="31"/>
      <c r="G111" s="34"/>
      <c r="H111" s="32"/>
      <c r="I111" s="30"/>
      <c r="J111" s="30"/>
      <c r="K111" s="33"/>
      <c r="Q111" s="1">
        <f t="shared" si="3"/>
        <v>0</v>
      </c>
    </row>
    <row r="112" spans="1:17" x14ac:dyDescent="0.2">
      <c r="A112" s="1">
        <f t="shared" si="2"/>
        <v>0</v>
      </c>
      <c r="B112" s="35">
        <f>COUNTIF($C$4:C112,C112)</f>
        <v>0</v>
      </c>
      <c r="C112" s="30"/>
      <c r="D112" s="34"/>
      <c r="E112" s="34"/>
      <c r="F112" s="31"/>
      <c r="G112" s="34"/>
      <c r="H112" s="32"/>
      <c r="I112" s="30"/>
      <c r="J112" s="30"/>
      <c r="K112" s="33"/>
      <c r="Q112" s="1">
        <f t="shared" si="3"/>
        <v>0</v>
      </c>
    </row>
    <row r="113" spans="1:17" x14ac:dyDescent="0.2">
      <c r="A113" s="1">
        <f t="shared" si="2"/>
        <v>0</v>
      </c>
      <c r="B113" s="35">
        <f>COUNTIF($C$4:C113,C113)</f>
        <v>0</v>
      </c>
      <c r="C113" s="30"/>
      <c r="D113" s="34"/>
      <c r="E113" s="34"/>
      <c r="F113" s="31"/>
      <c r="G113" s="34"/>
      <c r="H113" s="32"/>
      <c r="I113" s="30"/>
      <c r="J113" s="30"/>
      <c r="K113" s="33"/>
      <c r="Q113" s="1">
        <f t="shared" si="3"/>
        <v>0</v>
      </c>
    </row>
    <row r="114" spans="1:17" x14ac:dyDescent="0.2">
      <c r="A114" s="1">
        <f t="shared" si="2"/>
        <v>0</v>
      </c>
      <c r="B114" s="35">
        <f>COUNTIF($C$4:C114,C114)</f>
        <v>0</v>
      </c>
      <c r="C114" s="30"/>
      <c r="D114" s="34"/>
      <c r="E114" s="34"/>
      <c r="F114" s="31"/>
      <c r="G114" s="34"/>
      <c r="H114" s="32"/>
      <c r="I114" s="30"/>
      <c r="J114" s="30"/>
      <c r="K114" s="33"/>
      <c r="Q114" s="1">
        <f t="shared" si="3"/>
        <v>0</v>
      </c>
    </row>
    <row r="115" spans="1:17" x14ac:dyDescent="0.2">
      <c r="A115" s="1">
        <f t="shared" si="2"/>
        <v>0</v>
      </c>
      <c r="B115" s="35">
        <f>COUNTIF($C$4:C115,C115)</f>
        <v>0</v>
      </c>
      <c r="C115" s="30"/>
      <c r="D115" s="34"/>
      <c r="E115" s="34"/>
      <c r="F115" s="31"/>
      <c r="G115" s="34"/>
      <c r="H115" s="32"/>
      <c r="I115" s="30"/>
      <c r="J115" s="30"/>
      <c r="K115" s="33"/>
      <c r="Q115" s="1">
        <f t="shared" si="3"/>
        <v>0</v>
      </c>
    </row>
    <row r="116" spans="1:17" x14ac:dyDescent="0.2">
      <c r="A116" s="1">
        <f t="shared" si="2"/>
        <v>0</v>
      </c>
      <c r="B116" s="35">
        <f>COUNTIF($C$4:C116,C116)</f>
        <v>0</v>
      </c>
      <c r="C116" s="30"/>
      <c r="D116" s="34"/>
      <c r="E116" s="34"/>
      <c r="F116" s="31"/>
      <c r="G116" s="34"/>
      <c r="H116" s="32"/>
      <c r="I116" s="30"/>
      <c r="J116" s="30"/>
      <c r="K116" s="33"/>
      <c r="Q116" s="1">
        <f t="shared" si="3"/>
        <v>0</v>
      </c>
    </row>
    <row r="117" spans="1:17" x14ac:dyDescent="0.2">
      <c r="A117" s="1">
        <f t="shared" si="2"/>
        <v>0</v>
      </c>
      <c r="B117" s="35">
        <f>COUNTIF($C$4:C117,C117)</f>
        <v>0</v>
      </c>
      <c r="C117" s="30"/>
      <c r="D117" s="34"/>
      <c r="E117" s="34"/>
      <c r="F117" s="31"/>
      <c r="G117" s="34"/>
      <c r="H117" s="32"/>
      <c r="I117" s="30"/>
      <c r="J117" s="30"/>
      <c r="K117" s="33"/>
      <c r="Q117" s="1">
        <f t="shared" si="3"/>
        <v>0</v>
      </c>
    </row>
    <row r="118" spans="1:17" x14ac:dyDescent="0.2">
      <c r="A118" s="1">
        <f t="shared" si="2"/>
        <v>0</v>
      </c>
      <c r="B118" s="35">
        <f>COUNTIF($C$4:C118,C118)</f>
        <v>0</v>
      </c>
      <c r="C118" s="30"/>
      <c r="D118" s="34"/>
      <c r="E118" s="34"/>
      <c r="F118" s="31"/>
      <c r="G118" s="34"/>
      <c r="H118" s="32"/>
      <c r="I118" s="30"/>
      <c r="J118" s="30"/>
      <c r="K118" s="33"/>
      <c r="Q118" s="1">
        <f t="shared" si="3"/>
        <v>0</v>
      </c>
    </row>
    <row r="119" spans="1:17" x14ac:dyDescent="0.2">
      <c r="A119" s="1">
        <f t="shared" si="2"/>
        <v>0</v>
      </c>
      <c r="B119" s="35">
        <f>COUNTIF($C$4:C119,C119)</f>
        <v>0</v>
      </c>
      <c r="C119" s="30"/>
      <c r="D119" s="34"/>
      <c r="E119" s="34"/>
      <c r="F119" s="31"/>
      <c r="G119" s="34"/>
      <c r="H119" s="32"/>
      <c r="I119" s="30"/>
      <c r="J119" s="30"/>
      <c r="K119" s="33"/>
      <c r="Q119" s="1">
        <f t="shared" si="3"/>
        <v>0</v>
      </c>
    </row>
    <row r="120" spans="1:17" x14ac:dyDescent="0.2">
      <c r="A120" s="1">
        <f t="shared" si="2"/>
        <v>0</v>
      </c>
      <c r="B120" s="35">
        <f>COUNTIF($C$4:C120,C120)</f>
        <v>0</v>
      </c>
      <c r="C120" s="30"/>
      <c r="D120" s="34"/>
      <c r="E120" s="34"/>
      <c r="F120" s="31"/>
      <c r="G120" s="34"/>
      <c r="H120" s="32"/>
      <c r="I120" s="30"/>
      <c r="J120" s="30"/>
      <c r="K120" s="33"/>
      <c r="Q120" s="1">
        <f t="shared" si="3"/>
        <v>0</v>
      </c>
    </row>
    <row r="121" spans="1:17" x14ac:dyDescent="0.2">
      <c r="A121" s="1">
        <f t="shared" si="2"/>
        <v>0</v>
      </c>
      <c r="B121" s="35">
        <f>COUNTIF($C$4:C121,C121)</f>
        <v>0</v>
      </c>
      <c r="C121" s="30"/>
      <c r="D121" s="34"/>
      <c r="E121" s="34"/>
      <c r="F121" s="31"/>
      <c r="G121" s="34"/>
      <c r="H121" s="32"/>
      <c r="I121" s="30"/>
      <c r="J121" s="30"/>
      <c r="K121" s="33"/>
      <c r="Q121" s="1">
        <f t="shared" si="3"/>
        <v>0</v>
      </c>
    </row>
    <row r="122" spans="1:17" x14ac:dyDescent="0.2">
      <c r="A122" s="1">
        <f t="shared" si="2"/>
        <v>0</v>
      </c>
      <c r="B122" s="35">
        <f>COUNTIF($C$4:C122,C122)</f>
        <v>0</v>
      </c>
      <c r="C122" s="30"/>
      <c r="D122" s="34"/>
      <c r="E122" s="34"/>
      <c r="F122" s="31"/>
      <c r="G122" s="34"/>
      <c r="H122" s="32"/>
      <c r="I122" s="30"/>
      <c r="J122" s="30"/>
      <c r="K122" s="33"/>
      <c r="Q122" s="1">
        <f t="shared" si="3"/>
        <v>0</v>
      </c>
    </row>
    <row r="123" spans="1:17" x14ac:dyDescent="0.2">
      <c r="A123" s="1">
        <f t="shared" si="2"/>
        <v>0</v>
      </c>
      <c r="B123" s="35">
        <f>COUNTIF($C$4:C123,C123)</f>
        <v>0</v>
      </c>
      <c r="C123" s="30"/>
      <c r="D123" s="34"/>
      <c r="E123" s="34"/>
      <c r="F123" s="31"/>
      <c r="G123" s="34"/>
      <c r="H123" s="32"/>
      <c r="I123" s="30"/>
      <c r="J123" s="30"/>
      <c r="K123" s="33"/>
      <c r="Q123" s="1">
        <f t="shared" si="3"/>
        <v>0</v>
      </c>
    </row>
    <row r="124" spans="1:17" x14ac:dyDescent="0.2">
      <c r="A124" s="1">
        <f t="shared" si="2"/>
        <v>0</v>
      </c>
      <c r="B124" s="35">
        <f>COUNTIF($C$4:C124,C124)</f>
        <v>0</v>
      </c>
      <c r="C124" s="30"/>
      <c r="D124" s="34"/>
      <c r="E124" s="34"/>
      <c r="F124" s="31"/>
      <c r="G124" s="34"/>
      <c r="H124" s="32"/>
      <c r="I124" s="30"/>
      <c r="J124" s="30"/>
      <c r="K124" s="33"/>
      <c r="Q124" s="1">
        <f t="shared" si="3"/>
        <v>0</v>
      </c>
    </row>
    <row r="125" spans="1:17" x14ac:dyDescent="0.2">
      <c r="A125" s="1">
        <f t="shared" si="2"/>
        <v>0</v>
      </c>
      <c r="B125" s="35">
        <f>COUNTIF($C$4:C125,C125)</f>
        <v>0</v>
      </c>
      <c r="C125" s="30"/>
      <c r="D125" s="34"/>
      <c r="E125" s="34"/>
      <c r="F125" s="31"/>
      <c r="G125" s="34"/>
      <c r="H125" s="32"/>
      <c r="I125" s="30"/>
      <c r="J125" s="30"/>
      <c r="K125" s="33"/>
      <c r="Q125" s="1">
        <f t="shared" si="3"/>
        <v>0</v>
      </c>
    </row>
    <row r="126" spans="1:17" x14ac:dyDescent="0.2">
      <c r="A126" s="1">
        <f t="shared" si="2"/>
        <v>0</v>
      </c>
      <c r="B126" s="35">
        <f>COUNTIF($C$4:C126,C126)</f>
        <v>0</v>
      </c>
      <c r="C126" s="30"/>
      <c r="D126" s="34"/>
      <c r="E126" s="34"/>
      <c r="F126" s="31"/>
      <c r="G126" s="34"/>
      <c r="H126" s="32"/>
      <c r="I126" s="30"/>
      <c r="J126" s="30"/>
      <c r="K126" s="33"/>
      <c r="Q126" s="1">
        <f t="shared" si="3"/>
        <v>0</v>
      </c>
    </row>
    <row r="127" spans="1:17" x14ac:dyDescent="0.2">
      <c r="A127" s="1">
        <f t="shared" si="2"/>
        <v>0</v>
      </c>
      <c r="B127" s="35">
        <f>COUNTIF($C$4:C127,C127)</f>
        <v>0</v>
      </c>
      <c r="C127" s="30"/>
      <c r="D127" s="34"/>
      <c r="E127" s="34"/>
      <c r="F127" s="31"/>
      <c r="G127" s="34"/>
      <c r="H127" s="32"/>
      <c r="I127" s="30"/>
      <c r="J127" s="30"/>
      <c r="K127" s="33"/>
      <c r="Q127" s="1">
        <f t="shared" si="3"/>
        <v>0</v>
      </c>
    </row>
    <row r="128" spans="1:17" x14ac:dyDescent="0.2">
      <c r="A128" s="1">
        <f t="shared" si="2"/>
        <v>0</v>
      </c>
      <c r="B128" s="35">
        <f>COUNTIF($C$4:C128,C128)</f>
        <v>0</v>
      </c>
      <c r="C128" s="30"/>
      <c r="D128" s="34"/>
      <c r="E128" s="34"/>
      <c r="F128" s="31"/>
      <c r="G128" s="34"/>
      <c r="H128" s="32"/>
      <c r="I128" s="30"/>
      <c r="J128" s="30"/>
      <c r="K128" s="33"/>
      <c r="Q128" s="1">
        <f t="shared" si="3"/>
        <v>0</v>
      </c>
    </row>
    <row r="129" spans="1:17" x14ac:dyDescent="0.2">
      <c r="A129" s="1">
        <f t="shared" si="2"/>
        <v>0</v>
      </c>
      <c r="B129" s="35">
        <f>COUNTIF($C$4:C129,C129)</f>
        <v>0</v>
      </c>
      <c r="C129" s="30"/>
      <c r="D129" s="34"/>
      <c r="E129" s="34"/>
      <c r="F129" s="31"/>
      <c r="G129" s="34"/>
      <c r="H129" s="32"/>
      <c r="I129" s="30"/>
      <c r="J129" s="30"/>
      <c r="K129" s="33"/>
      <c r="Q129" s="1">
        <f t="shared" si="3"/>
        <v>0</v>
      </c>
    </row>
    <row r="130" spans="1:17" x14ac:dyDescent="0.2">
      <c r="A130" s="1">
        <f t="shared" si="2"/>
        <v>0</v>
      </c>
      <c r="B130" s="35">
        <f>COUNTIF($C$4:C130,C130)</f>
        <v>0</v>
      </c>
      <c r="C130" s="30"/>
      <c r="D130" s="34"/>
      <c r="E130" s="34"/>
      <c r="F130" s="31"/>
      <c r="G130" s="34"/>
      <c r="H130" s="32"/>
      <c r="I130" s="30"/>
      <c r="J130" s="30"/>
      <c r="K130" s="33"/>
      <c r="Q130" s="1">
        <f t="shared" si="3"/>
        <v>0</v>
      </c>
    </row>
    <row r="131" spans="1:17" x14ac:dyDescent="0.2">
      <c r="A131" s="1">
        <f t="shared" si="2"/>
        <v>0</v>
      </c>
      <c r="B131" s="35">
        <f>COUNTIF($C$4:C131,C131)</f>
        <v>0</v>
      </c>
      <c r="C131" s="30"/>
      <c r="D131" s="34"/>
      <c r="E131" s="34"/>
      <c r="F131" s="31"/>
      <c r="G131" s="34"/>
      <c r="H131" s="32"/>
      <c r="I131" s="30"/>
      <c r="J131" s="30"/>
      <c r="K131" s="33"/>
      <c r="Q131" s="1">
        <f t="shared" si="3"/>
        <v>0</v>
      </c>
    </row>
    <row r="132" spans="1:17" x14ac:dyDescent="0.2">
      <c r="A132" s="1">
        <f t="shared" ref="A132:A195" si="4">IF($A$1=Q132,A131+1,A131)</f>
        <v>0</v>
      </c>
      <c r="B132" s="35">
        <f>COUNTIF($C$4:C132,C132)</f>
        <v>0</v>
      </c>
      <c r="C132" s="30"/>
      <c r="D132" s="34"/>
      <c r="E132" s="34"/>
      <c r="F132" s="31"/>
      <c r="G132" s="34"/>
      <c r="H132" s="32"/>
      <c r="I132" s="30"/>
      <c r="J132" s="30"/>
      <c r="K132" s="33"/>
      <c r="Q132" s="1">
        <f t="shared" si="3"/>
        <v>0</v>
      </c>
    </row>
    <row r="133" spans="1:17" x14ac:dyDescent="0.2">
      <c r="A133" s="1">
        <f t="shared" si="4"/>
        <v>0</v>
      </c>
      <c r="B133" s="35">
        <f>COUNTIF($C$4:C133,C133)</f>
        <v>0</v>
      </c>
      <c r="C133" s="30"/>
      <c r="D133" s="34"/>
      <c r="E133" s="34"/>
      <c r="F133" s="31"/>
      <c r="G133" s="34"/>
      <c r="H133" s="32"/>
      <c r="I133" s="30"/>
      <c r="J133" s="30"/>
      <c r="K133" s="33"/>
      <c r="Q133" s="1">
        <f t="shared" ref="Q133:Q196" si="5">IF(ISERROR(VLOOKUP(C133,$O$1:$Q$2,3,FALSE))=TRUE,0,VLOOKUP(C133,$O$1:$Q$2,3,FALSE))</f>
        <v>0</v>
      </c>
    </row>
    <row r="134" spans="1:17" x14ac:dyDescent="0.2">
      <c r="A134" s="1">
        <f t="shared" si="4"/>
        <v>0</v>
      </c>
      <c r="B134" s="35">
        <f>COUNTIF($C$4:C134,C134)</f>
        <v>0</v>
      </c>
      <c r="C134" s="30"/>
      <c r="D134" s="34"/>
      <c r="E134" s="34"/>
      <c r="F134" s="31"/>
      <c r="G134" s="34"/>
      <c r="H134" s="32"/>
      <c r="I134" s="30"/>
      <c r="J134" s="30"/>
      <c r="K134" s="33"/>
      <c r="Q134" s="1">
        <f t="shared" si="5"/>
        <v>0</v>
      </c>
    </row>
    <row r="135" spans="1:17" x14ac:dyDescent="0.2">
      <c r="A135" s="1">
        <f t="shared" si="4"/>
        <v>0</v>
      </c>
      <c r="B135" s="35">
        <f>COUNTIF($C$4:C135,C135)</f>
        <v>0</v>
      </c>
      <c r="C135" s="30"/>
      <c r="D135" s="34"/>
      <c r="E135" s="34"/>
      <c r="F135" s="31"/>
      <c r="G135" s="34"/>
      <c r="H135" s="32"/>
      <c r="I135" s="30"/>
      <c r="J135" s="30"/>
      <c r="K135" s="33"/>
      <c r="Q135" s="1">
        <f t="shared" si="5"/>
        <v>0</v>
      </c>
    </row>
    <row r="136" spans="1:17" x14ac:dyDescent="0.2">
      <c r="A136" s="1">
        <f t="shared" si="4"/>
        <v>0</v>
      </c>
      <c r="B136" s="35">
        <f>COUNTIF($C$4:C136,C136)</f>
        <v>0</v>
      </c>
      <c r="C136" s="30"/>
      <c r="D136" s="34"/>
      <c r="E136" s="34"/>
      <c r="F136" s="31"/>
      <c r="G136" s="34"/>
      <c r="H136" s="32"/>
      <c r="I136" s="30"/>
      <c r="J136" s="30"/>
      <c r="K136" s="33"/>
      <c r="Q136" s="1">
        <f t="shared" si="5"/>
        <v>0</v>
      </c>
    </row>
    <row r="137" spans="1:17" x14ac:dyDescent="0.2">
      <c r="A137" s="1">
        <f t="shared" si="4"/>
        <v>0</v>
      </c>
      <c r="B137" s="35">
        <f>COUNTIF($C$4:C137,C137)</f>
        <v>0</v>
      </c>
      <c r="C137" s="30"/>
      <c r="D137" s="34"/>
      <c r="E137" s="34"/>
      <c r="F137" s="31"/>
      <c r="G137" s="34"/>
      <c r="H137" s="32"/>
      <c r="I137" s="30"/>
      <c r="J137" s="30"/>
      <c r="K137" s="33"/>
      <c r="Q137" s="1">
        <f t="shared" si="5"/>
        <v>0</v>
      </c>
    </row>
    <row r="138" spans="1:17" x14ac:dyDescent="0.2">
      <c r="A138" s="1">
        <f t="shared" si="4"/>
        <v>0</v>
      </c>
      <c r="B138" s="35">
        <f>COUNTIF($C$4:C138,C138)</f>
        <v>0</v>
      </c>
      <c r="C138" s="30"/>
      <c r="D138" s="34"/>
      <c r="E138" s="34"/>
      <c r="F138" s="31"/>
      <c r="G138" s="34"/>
      <c r="H138" s="32"/>
      <c r="I138" s="30"/>
      <c r="J138" s="30"/>
      <c r="K138" s="33"/>
      <c r="Q138" s="1">
        <f t="shared" si="5"/>
        <v>0</v>
      </c>
    </row>
    <row r="139" spans="1:17" x14ac:dyDescent="0.2">
      <c r="A139" s="1">
        <f t="shared" si="4"/>
        <v>0</v>
      </c>
      <c r="B139" s="35">
        <f>COUNTIF($C$4:C139,C139)</f>
        <v>0</v>
      </c>
      <c r="C139" s="30"/>
      <c r="D139" s="34"/>
      <c r="E139" s="34"/>
      <c r="F139" s="31"/>
      <c r="G139" s="34"/>
      <c r="H139" s="32"/>
      <c r="I139" s="30"/>
      <c r="J139" s="30"/>
      <c r="K139" s="33"/>
      <c r="Q139" s="1">
        <f t="shared" si="5"/>
        <v>0</v>
      </c>
    </row>
    <row r="140" spans="1:17" x14ac:dyDescent="0.2">
      <c r="A140" s="1">
        <f t="shared" si="4"/>
        <v>0</v>
      </c>
      <c r="B140" s="35">
        <f>COUNTIF($C$4:C140,C140)</f>
        <v>0</v>
      </c>
      <c r="C140" s="30"/>
      <c r="D140" s="34"/>
      <c r="E140" s="34"/>
      <c r="F140" s="31"/>
      <c r="G140" s="34"/>
      <c r="H140" s="32"/>
      <c r="I140" s="30"/>
      <c r="J140" s="30"/>
      <c r="K140" s="33"/>
      <c r="Q140" s="1">
        <f t="shared" si="5"/>
        <v>0</v>
      </c>
    </row>
    <row r="141" spans="1:17" x14ac:dyDescent="0.2">
      <c r="A141" s="1">
        <f t="shared" si="4"/>
        <v>0</v>
      </c>
      <c r="B141" s="35">
        <f>COUNTIF($C$4:C141,C141)</f>
        <v>0</v>
      </c>
      <c r="C141" s="30"/>
      <c r="D141" s="34"/>
      <c r="E141" s="34"/>
      <c r="F141" s="31"/>
      <c r="G141" s="34"/>
      <c r="H141" s="32"/>
      <c r="I141" s="30"/>
      <c r="J141" s="30"/>
      <c r="K141" s="33"/>
      <c r="Q141" s="1">
        <f t="shared" si="5"/>
        <v>0</v>
      </c>
    </row>
    <row r="142" spans="1:17" x14ac:dyDescent="0.2">
      <c r="A142" s="1">
        <f t="shared" si="4"/>
        <v>0</v>
      </c>
      <c r="B142" s="35">
        <f>COUNTIF($C$4:C142,C142)</f>
        <v>0</v>
      </c>
      <c r="C142" s="30"/>
      <c r="D142" s="34"/>
      <c r="E142" s="34"/>
      <c r="F142" s="31"/>
      <c r="G142" s="34"/>
      <c r="H142" s="32"/>
      <c r="I142" s="30"/>
      <c r="J142" s="30"/>
      <c r="K142" s="33"/>
      <c r="Q142" s="1">
        <f t="shared" si="5"/>
        <v>0</v>
      </c>
    </row>
    <row r="143" spans="1:17" x14ac:dyDescent="0.2">
      <c r="A143" s="1">
        <f t="shared" si="4"/>
        <v>0</v>
      </c>
      <c r="B143" s="35">
        <f>COUNTIF($C$4:C143,C143)</f>
        <v>0</v>
      </c>
      <c r="C143" s="30"/>
      <c r="D143" s="34"/>
      <c r="E143" s="34"/>
      <c r="F143" s="31"/>
      <c r="G143" s="34"/>
      <c r="H143" s="32"/>
      <c r="I143" s="30"/>
      <c r="J143" s="30"/>
      <c r="K143" s="33"/>
      <c r="Q143" s="1">
        <f t="shared" si="5"/>
        <v>0</v>
      </c>
    </row>
    <row r="144" spans="1:17" x14ac:dyDescent="0.2">
      <c r="A144" s="1">
        <f t="shared" si="4"/>
        <v>0</v>
      </c>
      <c r="B144" s="35">
        <f>COUNTIF($C$4:C144,C144)</f>
        <v>0</v>
      </c>
      <c r="C144" s="30"/>
      <c r="D144" s="34"/>
      <c r="E144" s="34"/>
      <c r="F144" s="31"/>
      <c r="G144" s="34"/>
      <c r="H144" s="32"/>
      <c r="I144" s="30"/>
      <c r="J144" s="30"/>
      <c r="K144" s="33"/>
      <c r="Q144" s="1">
        <f t="shared" si="5"/>
        <v>0</v>
      </c>
    </row>
    <row r="145" spans="1:17" x14ac:dyDescent="0.2">
      <c r="A145" s="1">
        <f t="shared" si="4"/>
        <v>0</v>
      </c>
      <c r="B145" s="35">
        <f>COUNTIF($C$4:C145,C145)</f>
        <v>0</v>
      </c>
      <c r="C145" s="30"/>
      <c r="D145" s="34"/>
      <c r="E145" s="34"/>
      <c r="F145" s="31"/>
      <c r="G145" s="34"/>
      <c r="H145" s="32"/>
      <c r="I145" s="30"/>
      <c r="J145" s="30"/>
      <c r="K145" s="33"/>
      <c r="Q145" s="1">
        <f t="shared" si="5"/>
        <v>0</v>
      </c>
    </row>
    <row r="146" spans="1:17" x14ac:dyDescent="0.2">
      <c r="A146" s="1">
        <f t="shared" si="4"/>
        <v>0</v>
      </c>
      <c r="B146" s="35">
        <f>COUNTIF($C$4:C146,C146)</f>
        <v>0</v>
      </c>
      <c r="C146" s="30"/>
      <c r="D146" s="34"/>
      <c r="E146" s="34"/>
      <c r="F146" s="31"/>
      <c r="G146" s="34"/>
      <c r="H146" s="32"/>
      <c r="I146" s="30"/>
      <c r="J146" s="30"/>
      <c r="K146" s="33"/>
      <c r="Q146" s="1">
        <f t="shared" si="5"/>
        <v>0</v>
      </c>
    </row>
    <row r="147" spans="1:17" x14ac:dyDescent="0.2">
      <c r="A147" s="1">
        <f t="shared" si="4"/>
        <v>0</v>
      </c>
      <c r="B147" s="35">
        <f>COUNTIF($C$4:C147,C147)</f>
        <v>0</v>
      </c>
      <c r="C147" s="30"/>
      <c r="D147" s="34"/>
      <c r="E147" s="34"/>
      <c r="F147" s="31"/>
      <c r="G147" s="34"/>
      <c r="H147" s="32"/>
      <c r="I147" s="30"/>
      <c r="J147" s="30"/>
      <c r="K147" s="33"/>
      <c r="Q147" s="1">
        <f t="shared" si="5"/>
        <v>0</v>
      </c>
    </row>
    <row r="148" spans="1:17" x14ac:dyDescent="0.2">
      <c r="A148" s="1">
        <f t="shared" si="4"/>
        <v>0</v>
      </c>
      <c r="B148" s="35">
        <f>COUNTIF($C$4:C148,C148)</f>
        <v>0</v>
      </c>
      <c r="C148" s="30"/>
      <c r="D148" s="34"/>
      <c r="E148" s="34"/>
      <c r="F148" s="31"/>
      <c r="G148" s="34"/>
      <c r="H148" s="32"/>
      <c r="I148" s="30"/>
      <c r="J148" s="30"/>
      <c r="K148" s="33"/>
      <c r="Q148" s="1">
        <f t="shared" si="5"/>
        <v>0</v>
      </c>
    </row>
    <row r="149" spans="1:17" x14ac:dyDescent="0.2">
      <c r="A149" s="1">
        <f t="shared" si="4"/>
        <v>0</v>
      </c>
      <c r="B149" s="35">
        <f>COUNTIF($C$4:C149,C149)</f>
        <v>0</v>
      </c>
      <c r="C149" s="30"/>
      <c r="D149" s="34"/>
      <c r="E149" s="34"/>
      <c r="F149" s="31"/>
      <c r="G149" s="34"/>
      <c r="H149" s="32"/>
      <c r="I149" s="30"/>
      <c r="J149" s="30"/>
      <c r="K149" s="33"/>
      <c r="Q149" s="1">
        <f t="shared" si="5"/>
        <v>0</v>
      </c>
    </row>
    <row r="150" spans="1:17" x14ac:dyDescent="0.2">
      <c r="A150" s="1">
        <f t="shared" si="4"/>
        <v>0</v>
      </c>
      <c r="B150" s="35">
        <f>COUNTIF($C$4:C150,C150)</f>
        <v>0</v>
      </c>
      <c r="C150" s="30"/>
      <c r="D150" s="34"/>
      <c r="E150" s="34"/>
      <c r="F150" s="31"/>
      <c r="G150" s="34"/>
      <c r="H150" s="32"/>
      <c r="I150" s="30"/>
      <c r="J150" s="30"/>
      <c r="K150" s="33"/>
      <c r="Q150" s="1">
        <f t="shared" si="5"/>
        <v>0</v>
      </c>
    </row>
    <row r="151" spans="1:17" x14ac:dyDescent="0.2">
      <c r="A151" s="1">
        <f t="shared" si="4"/>
        <v>0</v>
      </c>
      <c r="B151" s="35">
        <f>COUNTIF($C$4:C151,C151)</f>
        <v>0</v>
      </c>
      <c r="C151" s="30"/>
      <c r="D151" s="34"/>
      <c r="E151" s="34"/>
      <c r="F151" s="31"/>
      <c r="G151" s="34"/>
      <c r="H151" s="32"/>
      <c r="I151" s="30"/>
      <c r="J151" s="30"/>
      <c r="K151" s="33"/>
      <c r="Q151" s="1">
        <f t="shared" si="5"/>
        <v>0</v>
      </c>
    </row>
    <row r="152" spans="1:17" x14ac:dyDescent="0.2">
      <c r="A152" s="1">
        <f t="shared" si="4"/>
        <v>0</v>
      </c>
      <c r="B152" s="35">
        <f>COUNTIF($C$4:C152,C152)</f>
        <v>0</v>
      </c>
      <c r="C152" s="30"/>
      <c r="D152" s="34"/>
      <c r="E152" s="34"/>
      <c r="F152" s="31"/>
      <c r="G152" s="34"/>
      <c r="H152" s="32"/>
      <c r="I152" s="30"/>
      <c r="J152" s="30"/>
      <c r="K152" s="33"/>
      <c r="Q152" s="1">
        <f t="shared" si="5"/>
        <v>0</v>
      </c>
    </row>
    <row r="153" spans="1:17" x14ac:dyDescent="0.2">
      <c r="A153" s="1">
        <f t="shared" si="4"/>
        <v>0</v>
      </c>
      <c r="B153" s="35">
        <f>COUNTIF($C$4:C153,C153)</f>
        <v>0</v>
      </c>
      <c r="C153" s="30"/>
      <c r="D153" s="34"/>
      <c r="E153" s="34"/>
      <c r="F153" s="31"/>
      <c r="G153" s="34"/>
      <c r="H153" s="32"/>
      <c r="I153" s="30"/>
      <c r="J153" s="30"/>
      <c r="K153" s="33"/>
      <c r="Q153" s="1">
        <f t="shared" si="5"/>
        <v>0</v>
      </c>
    </row>
    <row r="154" spans="1:17" x14ac:dyDescent="0.2">
      <c r="A154" s="1">
        <f t="shared" si="4"/>
        <v>0</v>
      </c>
      <c r="B154" s="35">
        <f>COUNTIF($C$4:C154,C154)</f>
        <v>0</v>
      </c>
      <c r="C154" s="30"/>
      <c r="D154" s="34"/>
      <c r="E154" s="34"/>
      <c r="F154" s="31"/>
      <c r="G154" s="34"/>
      <c r="H154" s="32"/>
      <c r="I154" s="30"/>
      <c r="J154" s="30"/>
      <c r="K154" s="33"/>
      <c r="Q154" s="1">
        <f t="shared" si="5"/>
        <v>0</v>
      </c>
    </row>
    <row r="155" spans="1:17" x14ac:dyDescent="0.2">
      <c r="A155" s="1">
        <f t="shared" si="4"/>
        <v>0</v>
      </c>
      <c r="B155" s="35">
        <f>COUNTIF($C$4:C155,C155)</f>
        <v>0</v>
      </c>
      <c r="C155" s="30"/>
      <c r="D155" s="34"/>
      <c r="E155" s="34"/>
      <c r="F155" s="31"/>
      <c r="G155" s="34"/>
      <c r="H155" s="32"/>
      <c r="I155" s="30"/>
      <c r="J155" s="30"/>
      <c r="K155" s="33"/>
      <c r="Q155" s="1">
        <f t="shared" si="5"/>
        <v>0</v>
      </c>
    </row>
    <row r="156" spans="1:17" x14ac:dyDescent="0.2">
      <c r="A156" s="1">
        <f t="shared" si="4"/>
        <v>0</v>
      </c>
      <c r="B156" s="35">
        <f>COUNTIF($C$4:C156,C156)</f>
        <v>0</v>
      </c>
      <c r="C156" s="30"/>
      <c r="D156" s="34"/>
      <c r="E156" s="34"/>
      <c r="F156" s="31"/>
      <c r="G156" s="34"/>
      <c r="H156" s="32"/>
      <c r="I156" s="30"/>
      <c r="J156" s="30"/>
      <c r="K156" s="33"/>
      <c r="Q156" s="1">
        <f t="shared" si="5"/>
        <v>0</v>
      </c>
    </row>
    <row r="157" spans="1:17" x14ac:dyDescent="0.2">
      <c r="A157" s="1">
        <f t="shared" si="4"/>
        <v>0</v>
      </c>
      <c r="B157" s="35">
        <f>COUNTIF($C$4:C157,C157)</f>
        <v>0</v>
      </c>
      <c r="C157" s="30"/>
      <c r="D157" s="34"/>
      <c r="E157" s="34"/>
      <c r="F157" s="31"/>
      <c r="G157" s="34"/>
      <c r="H157" s="32"/>
      <c r="I157" s="30"/>
      <c r="J157" s="30"/>
      <c r="K157" s="33"/>
      <c r="Q157" s="1">
        <f t="shared" si="5"/>
        <v>0</v>
      </c>
    </row>
    <row r="158" spans="1:17" x14ac:dyDescent="0.2">
      <c r="A158" s="1">
        <f t="shared" si="4"/>
        <v>0</v>
      </c>
      <c r="B158" s="35">
        <f>COUNTIF($C$4:C158,C158)</f>
        <v>0</v>
      </c>
      <c r="C158" s="30"/>
      <c r="D158" s="34"/>
      <c r="E158" s="34"/>
      <c r="F158" s="31"/>
      <c r="G158" s="34"/>
      <c r="H158" s="32"/>
      <c r="I158" s="30"/>
      <c r="J158" s="30"/>
      <c r="K158" s="33"/>
      <c r="Q158" s="1">
        <f t="shared" si="5"/>
        <v>0</v>
      </c>
    </row>
    <row r="159" spans="1:17" x14ac:dyDescent="0.2">
      <c r="A159" s="1">
        <f t="shared" si="4"/>
        <v>0</v>
      </c>
      <c r="B159" s="35">
        <f>COUNTIF($C$4:C159,C159)</f>
        <v>0</v>
      </c>
      <c r="C159" s="30"/>
      <c r="D159" s="34"/>
      <c r="E159" s="34"/>
      <c r="F159" s="31"/>
      <c r="G159" s="34"/>
      <c r="H159" s="32"/>
      <c r="I159" s="30"/>
      <c r="J159" s="30"/>
      <c r="K159" s="33"/>
      <c r="Q159" s="1">
        <f t="shared" si="5"/>
        <v>0</v>
      </c>
    </row>
    <row r="160" spans="1:17" x14ac:dyDescent="0.2">
      <c r="A160" s="1">
        <f t="shared" si="4"/>
        <v>0</v>
      </c>
      <c r="B160" s="35">
        <f>COUNTIF($C$4:C160,C160)</f>
        <v>0</v>
      </c>
      <c r="C160" s="30"/>
      <c r="D160" s="34"/>
      <c r="E160" s="34"/>
      <c r="F160" s="31"/>
      <c r="G160" s="34"/>
      <c r="H160" s="32"/>
      <c r="I160" s="30"/>
      <c r="J160" s="30"/>
      <c r="K160" s="33"/>
      <c r="Q160" s="1">
        <f t="shared" si="5"/>
        <v>0</v>
      </c>
    </row>
    <row r="161" spans="1:17" x14ac:dyDescent="0.2">
      <c r="A161" s="1">
        <f t="shared" si="4"/>
        <v>0</v>
      </c>
      <c r="B161" s="35">
        <f>COUNTIF($C$4:C161,C161)</f>
        <v>0</v>
      </c>
      <c r="C161" s="30"/>
      <c r="D161" s="34"/>
      <c r="E161" s="34"/>
      <c r="F161" s="31"/>
      <c r="G161" s="34"/>
      <c r="H161" s="32"/>
      <c r="I161" s="30"/>
      <c r="J161" s="30"/>
      <c r="K161" s="33"/>
      <c r="Q161" s="1">
        <f t="shared" si="5"/>
        <v>0</v>
      </c>
    </row>
    <row r="162" spans="1:17" x14ac:dyDescent="0.2">
      <c r="A162" s="1">
        <f t="shared" si="4"/>
        <v>0</v>
      </c>
      <c r="B162" s="35">
        <f>COUNTIF($C$4:C162,C162)</f>
        <v>0</v>
      </c>
      <c r="C162" s="30"/>
      <c r="D162" s="34"/>
      <c r="E162" s="34"/>
      <c r="F162" s="31"/>
      <c r="G162" s="34"/>
      <c r="H162" s="32"/>
      <c r="I162" s="30"/>
      <c r="J162" s="30"/>
      <c r="K162" s="33"/>
      <c r="Q162" s="1">
        <f t="shared" si="5"/>
        <v>0</v>
      </c>
    </row>
    <row r="163" spans="1:17" x14ac:dyDescent="0.2">
      <c r="A163" s="1">
        <f t="shared" si="4"/>
        <v>0</v>
      </c>
      <c r="B163" s="35">
        <f>COUNTIF($C$4:C163,C163)</f>
        <v>0</v>
      </c>
      <c r="C163" s="30"/>
      <c r="D163" s="34"/>
      <c r="E163" s="34"/>
      <c r="F163" s="31"/>
      <c r="G163" s="34"/>
      <c r="H163" s="32"/>
      <c r="I163" s="30"/>
      <c r="J163" s="30"/>
      <c r="K163" s="33"/>
      <c r="Q163" s="1">
        <f t="shared" si="5"/>
        <v>0</v>
      </c>
    </row>
    <row r="164" spans="1:17" x14ac:dyDescent="0.2">
      <c r="A164" s="1">
        <f t="shared" si="4"/>
        <v>0</v>
      </c>
      <c r="B164" s="35">
        <f>COUNTIF($C$4:C164,C164)</f>
        <v>0</v>
      </c>
      <c r="C164" s="30"/>
      <c r="D164" s="34"/>
      <c r="E164" s="34"/>
      <c r="F164" s="31"/>
      <c r="G164" s="34"/>
      <c r="H164" s="32"/>
      <c r="I164" s="30"/>
      <c r="J164" s="30"/>
      <c r="K164" s="33"/>
      <c r="Q164" s="1">
        <f t="shared" si="5"/>
        <v>0</v>
      </c>
    </row>
    <row r="165" spans="1:17" x14ac:dyDescent="0.2">
      <c r="A165" s="1">
        <f t="shared" si="4"/>
        <v>0</v>
      </c>
      <c r="B165" s="35">
        <f>COUNTIF($C$4:C165,C165)</f>
        <v>0</v>
      </c>
      <c r="C165" s="30"/>
      <c r="D165" s="34"/>
      <c r="E165" s="34"/>
      <c r="F165" s="31"/>
      <c r="G165" s="34"/>
      <c r="H165" s="32"/>
      <c r="I165" s="30"/>
      <c r="J165" s="30"/>
      <c r="K165" s="33"/>
      <c r="Q165" s="1">
        <f t="shared" si="5"/>
        <v>0</v>
      </c>
    </row>
    <row r="166" spans="1:17" x14ac:dyDescent="0.2">
      <c r="A166" s="1">
        <f t="shared" si="4"/>
        <v>0</v>
      </c>
      <c r="B166" s="35">
        <f>COUNTIF($C$4:C166,C166)</f>
        <v>0</v>
      </c>
      <c r="C166" s="30"/>
      <c r="D166" s="34"/>
      <c r="E166" s="34"/>
      <c r="F166" s="31"/>
      <c r="G166" s="34"/>
      <c r="H166" s="32"/>
      <c r="I166" s="30"/>
      <c r="J166" s="30"/>
      <c r="K166" s="33"/>
      <c r="Q166" s="1">
        <f t="shared" si="5"/>
        <v>0</v>
      </c>
    </row>
    <row r="167" spans="1:17" x14ac:dyDescent="0.2">
      <c r="A167" s="1">
        <f t="shared" si="4"/>
        <v>0</v>
      </c>
      <c r="B167" s="35">
        <f>COUNTIF($C$4:C167,C167)</f>
        <v>0</v>
      </c>
      <c r="C167" s="30"/>
      <c r="D167" s="34"/>
      <c r="E167" s="34"/>
      <c r="F167" s="31"/>
      <c r="G167" s="34"/>
      <c r="H167" s="32"/>
      <c r="I167" s="30"/>
      <c r="J167" s="30"/>
      <c r="K167" s="33"/>
      <c r="Q167" s="1">
        <f t="shared" si="5"/>
        <v>0</v>
      </c>
    </row>
    <row r="168" spans="1:17" x14ac:dyDescent="0.2">
      <c r="A168" s="1">
        <f t="shared" si="4"/>
        <v>0</v>
      </c>
      <c r="B168" s="35">
        <f>COUNTIF($C$4:C168,C168)</f>
        <v>0</v>
      </c>
      <c r="C168" s="30"/>
      <c r="D168" s="34"/>
      <c r="E168" s="34"/>
      <c r="F168" s="31"/>
      <c r="G168" s="34"/>
      <c r="H168" s="32"/>
      <c r="I168" s="30"/>
      <c r="J168" s="30"/>
      <c r="K168" s="33"/>
      <c r="Q168" s="1">
        <f t="shared" si="5"/>
        <v>0</v>
      </c>
    </row>
    <row r="169" spans="1:17" x14ac:dyDescent="0.2">
      <c r="A169" s="1">
        <f t="shared" si="4"/>
        <v>0</v>
      </c>
      <c r="B169" s="35">
        <f>COUNTIF($C$4:C169,C169)</f>
        <v>0</v>
      </c>
      <c r="C169" s="30"/>
      <c r="D169" s="34"/>
      <c r="E169" s="34"/>
      <c r="F169" s="31"/>
      <c r="G169" s="34"/>
      <c r="H169" s="32"/>
      <c r="I169" s="30"/>
      <c r="J169" s="30"/>
      <c r="K169" s="33"/>
      <c r="Q169" s="1">
        <f t="shared" si="5"/>
        <v>0</v>
      </c>
    </row>
    <row r="170" spans="1:17" x14ac:dyDescent="0.2">
      <c r="A170" s="1">
        <f t="shared" si="4"/>
        <v>0</v>
      </c>
      <c r="B170" s="35">
        <f>COUNTIF($C$4:C170,C170)</f>
        <v>0</v>
      </c>
      <c r="C170" s="30"/>
      <c r="D170" s="34"/>
      <c r="E170" s="34"/>
      <c r="F170" s="31"/>
      <c r="G170" s="34"/>
      <c r="H170" s="32"/>
      <c r="I170" s="30"/>
      <c r="J170" s="30"/>
      <c r="K170" s="33"/>
      <c r="Q170" s="1">
        <f t="shared" si="5"/>
        <v>0</v>
      </c>
    </row>
    <row r="171" spans="1:17" x14ac:dyDescent="0.2">
      <c r="A171" s="1">
        <f t="shared" si="4"/>
        <v>0</v>
      </c>
      <c r="B171" s="35">
        <f>COUNTIF($C$4:C171,C171)</f>
        <v>0</v>
      </c>
      <c r="C171" s="30"/>
      <c r="D171" s="34"/>
      <c r="E171" s="34"/>
      <c r="F171" s="31"/>
      <c r="G171" s="34"/>
      <c r="H171" s="32"/>
      <c r="I171" s="30"/>
      <c r="J171" s="30"/>
      <c r="K171" s="33"/>
      <c r="Q171" s="1">
        <f t="shared" si="5"/>
        <v>0</v>
      </c>
    </row>
    <row r="172" spans="1:17" x14ac:dyDescent="0.2">
      <c r="A172" s="1">
        <f t="shared" si="4"/>
        <v>0</v>
      </c>
      <c r="B172" s="35">
        <f>COUNTIF($C$4:C172,C172)</f>
        <v>0</v>
      </c>
      <c r="C172" s="30"/>
      <c r="D172" s="34"/>
      <c r="E172" s="34"/>
      <c r="F172" s="31"/>
      <c r="G172" s="34"/>
      <c r="H172" s="32"/>
      <c r="I172" s="30"/>
      <c r="J172" s="30"/>
      <c r="K172" s="33"/>
      <c r="Q172" s="1">
        <f t="shared" si="5"/>
        <v>0</v>
      </c>
    </row>
    <row r="173" spans="1:17" x14ac:dyDescent="0.2">
      <c r="A173" s="1">
        <f t="shared" si="4"/>
        <v>0</v>
      </c>
      <c r="B173" s="35">
        <f>COUNTIF($C$4:C173,C173)</f>
        <v>0</v>
      </c>
      <c r="C173" s="30"/>
      <c r="D173" s="34"/>
      <c r="E173" s="34"/>
      <c r="F173" s="31"/>
      <c r="G173" s="34"/>
      <c r="H173" s="32"/>
      <c r="I173" s="30"/>
      <c r="J173" s="30"/>
      <c r="K173" s="33"/>
      <c r="Q173" s="1">
        <f t="shared" si="5"/>
        <v>0</v>
      </c>
    </row>
    <row r="174" spans="1:17" x14ac:dyDescent="0.2">
      <c r="A174" s="1">
        <f t="shared" si="4"/>
        <v>0</v>
      </c>
      <c r="B174" s="35">
        <f>COUNTIF($C$4:C174,C174)</f>
        <v>0</v>
      </c>
      <c r="C174" s="30"/>
      <c r="D174" s="34"/>
      <c r="E174" s="34"/>
      <c r="F174" s="31"/>
      <c r="G174" s="34"/>
      <c r="H174" s="32"/>
      <c r="I174" s="30"/>
      <c r="J174" s="30"/>
      <c r="K174" s="33"/>
      <c r="Q174" s="1">
        <f t="shared" si="5"/>
        <v>0</v>
      </c>
    </row>
    <row r="175" spans="1:17" x14ac:dyDescent="0.2">
      <c r="A175" s="1">
        <f t="shared" si="4"/>
        <v>0</v>
      </c>
      <c r="B175" s="35">
        <f>COUNTIF($C$4:C175,C175)</f>
        <v>0</v>
      </c>
      <c r="C175" s="30"/>
      <c r="D175" s="34"/>
      <c r="E175" s="34"/>
      <c r="F175" s="31"/>
      <c r="G175" s="34"/>
      <c r="H175" s="32"/>
      <c r="I175" s="30"/>
      <c r="J175" s="30"/>
      <c r="K175" s="33"/>
      <c r="Q175" s="1">
        <f t="shared" si="5"/>
        <v>0</v>
      </c>
    </row>
    <row r="176" spans="1:17" x14ac:dyDescent="0.2">
      <c r="A176" s="1">
        <f t="shared" si="4"/>
        <v>0</v>
      </c>
      <c r="B176" s="35">
        <f>COUNTIF($C$4:C176,C176)</f>
        <v>0</v>
      </c>
      <c r="C176" s="30"/>
      <c r="D176" s="34"/>
      <c r="E176" s="34"/>
      <c r="F176" s="31"/>
      <c r="G176" s="34"/>
      <c r="H176" s="32"/>
      <c r="I176" s="30"/>
      <c r="J176" s="30"/>
      <c r="K176" s="33"/>
      <c r="Q176" s="1">
        <f t="shared" si="5"/>
        <v>0</v>
      </c>
    </row>
    <row r="177" spans="1:17" x14ac:dyDescent="0.2">
      <c r="A177" s="1">
        <f t="shared" si="4"/>
        <v>0</v>
      </c>
      <c r="B177" s="35">
        <f>COUNTIF($C$4:C177,C177)</f>
        <v>0</v>
      </c>
      <c r="C177" s="30"/>
      <c r="D177" s="34"/>
      <c r="E177" s="34"/>
      <c r="F177" s="31"/>
      <c r="G177" s="34"/>
      <c r="H177" s="32"/>
      <c r="I177" s="30"/>
      <c r="J177" s="30"/>
      <c r="K177" s="33"/>
      <c r="Q177" s="1">
        <f t="shared" si="5"/>
        <v>0</v>
      </c>
    </row>
    <row r="178" spans="1:17" x14ac:dyDescent="0.2">
      <c r="A178" s="1">
        <f t="shared" si="4"/>
        <v>0</v>
      </c>
      <c r="B178" s="35">
        <f>COUNTIF($C$4:C178,C178)</f>
        <v>0</v>
      </c>
      <c r="C178" s="30"/>
      <c r="D178" s="34"/>
      <c r="E178" s="34"/>
      <c r="F178" s="31"/>
      <c r="G178" s="34"/>
      <c r="H178" s="32"/>
      <c r="I178" s="30"/>
      <c r="J178" s="30"/>
      <c r="K178" s="33"/>
      <c r="Q178" s="1">
        <f t="shared" si="5"/>
        <v>0</v>
      </c>
    </row>
    <row r="179" spans="1:17" x14ac:dyDescent="0.2">
      <c r="A179" s="1">
        <f t="shared" si="4"/>
        <v>0</v>
      </c>
      <c r="B179" s="35">
        <f>COUNTIF($C$4:C179,C179)</f>
        <v>0</v>
      </c>
      <c r="C179" s="30"/>
      <c r="D179" s="34"/>
      <c r="E179" s="34"/>
      <c r="F179" s="31"/>
      <c r="G179" s="34"/>
      <c r="H179" s="32"/>
      <c r="I179" s="30"/>
      <c r="J179" s="30"/>
      <c r="K179" s="33"/>
      <c r="Q179" s="1">
        <f t="shared" si="5"/>
        <v>0</v>
      </c>
    </row>
    <row r="180" spans="1:17" x14ac:dyDescent="0.2">
      <c r="A180" s="1">
        <f t="shared" si="4"/>
        <v>0</v>
      </c>
      <c r="B180" s="35">
        <f>COUNTIF($C$4:C180,C180)</f>
        <v>0</v>
      </c>
      <c r="C180" s="30"/>
      <c r="D180" s="34"/>
      <c r="E180" s="34"/>
      <c r="F180" s="31"/>
      <c r="G180" s="34"/>
      <c r="H180" s="32"/>
      <c r="I180" s="30"/>
      <c r="J180" s="30"/>
      <c r="K180" s="33"/>
      <c r="Q180" s="1">
        <f t="shared" si="5"/>
        <v>0</v>
      </c>
    </row>
    <row r="181" spans="1:17" x14ac:dyDescent="0.2">
      <c r="A181" s="1">
        <f t="shared" si="4"/>
        <v>0</v>
      </c>
      <c r="B181" s="35">
        <f>COUNTIF($C$4:C181,C181)</f>
        <v>0</v>
      </c>
      <c r="C181" s="30"/>
      <c r="D181" s="34"/>
      <c r="E181" s="34"/>
      <c r="F181" s="31"/>
      <c r="G181" s="34"/>
      <c r="H181" s="32"/>
      <c r="I181" s="30"/>
      <c r="J181" s="30"/>
      <c r="K181" s="33"/>
      <c r="Q181" s="1">
        <f t="shared" si="5"/>
        <v>0</v>
      </c>
    </row>
    <row r="182" spans="1:17" x14ac:dyDescent="0.2">
      <c r="A182" s="1">
        <f t="shared" si="4"/>
        <v>0</v>
      </c>
      <c r="B182" s="35">
        <f>COUNTIF($C$4:C182,C182)</f>
        <v>0</v>
      </c>
      <c r="C182" s="30"/>
      <c r="D182" s="34"/>
      <c r="E182" s="34"/>
      <c r="F182" s="31"/>
      <c r="G182" s="34"/>
      <c r="H182" s="32"/>
      <c r="I182" s="30"/>
      <c r="J182" s="30"/>
      <c r="K182" s="33"/>
      <c r="Q182" s="1">
        <f t="shared" si="5"/>
        <v>0</v>
      </c>
    </row>
    <row r="183" spans="1:17" x14ac:dyDescent="0.2">
      <c r="A183" s="1">
        <f t="shared" si="4"/>
        <v>0</v>
      </c>
      <c r="B183" s="35">
        <f>COUNTIF($C$4:C183,C183)</f>
        <v>0</v>
      </c>
      <c r="C183" s="30"/>
      <c r="D183" s="34"/>
      <c r="E183" s="34"/>
      <c r="F183" s="31"/>
      <c r="G183" s="34"/>
      <c r="H183" s="32"/>
      <c r="I183" s="30"/>
      <c r="J183" s="30"/>
      <c r="K183" s="33"/>
      <c r="Q183" s="1">
        <f t="shared" si="5"/>
        <v>0</v>
      </c>
    </row>
    <row r="184" spans="1:17" x14ac:dyDescent="0.2">
      <c r="A184" s="1">
        <f t="shared" si="4"/>
        <v>0</v>
      </c>
      <c r="B184" s="35">
        <f>COUNTIF($C$4:C184,C184)</f>
        <v>0</v>
      </c>
      <c r="C184" s="30"/>
      <c r="D184" s="34"/>
      <c r="E184" s="34"/>
      <c r="F184" s="31"/>
      <c r="G184" s="34"/>
      <c r="H184" s="32"/>
      <c r="I184" s="30"/>
      <c r="J184" s="30"/>
      <c r="K184" s="33"/>
      <c r="Q184" s="1">
        <f t="shared" si="5"/>
        <v>0</v>
      </c>
    </row>
    <row r="185" spans="1:17" x14ac:dyDescent="0.2">
      <c r="A185" s="1">
        <f t="shared" si="4"/>
        <v>0</v>
      </c>
      <c r="B185" s="35">
        <f>COUNTIF($C$4:C185,C185)</f>
        <v>0</v>
      </c>
      <c r="C185" s="30"/>
      <c r="D185" s="34"/>
      <c r="E185" s="34"/>
      <c r="F185" s="31"/>
      <c r="G185" s="34"/>
      <c r="H185" s="32"/>
      <c r="I185" s="30"/>
      <c r="J185" s="30"/>
      <c r="K185" s="33"/>
      <c r="Q185" s="1">
        <f t="shared" si="5"/>
        <v>0</v>
      </c>
    </row>
    <row r="186" spans="1:17" x14ac:dyDescent="0.2">
      <c r="A186" s="1">
        <f t="shared" si="4"/>
        <v>0</v>
      </c>
      <c r="B186" s="35">
        <f>COUNTIF($C$4:C186,C186)</f>
        <v>0</v>
      </c>
      <c r="C186" s="30"/>
      <c r="D186" s="34"/>
      <c r="E186" s="34"/>
      <c r="F186" s="31"/>
      <c r="G186" s="34"/>
      <c r="H186" s="32"/>
      <c r="I186" s="30"/>
      <c r="J186" s="30"/>
      <c r="K186" s="33"/>
      <c r="Q186" s="1">
        <f t="shared" si="5"/>
        <v>0</v>
      </c>
    </row>
    <row r="187" spans="1:17" x14ac:dyDescent="0.2">
      <c r="A187" s="1">
        <f t="shared" si="4"/>
        <v>0</v>
      </c>
      <c r="B187" s="35">
        <f>COUNTIF($C$4:C187,C187)</f>
        <v>0</v>
      </c>
      <c r="C187" s="30"/>
      <c r="D187" s="34"/>
      <c r="E187" s="34"/>
      <c r="F187" s="31"/>
      <c r="G187" s="34"/>
      <c r="H187" s="32"/>
      <c r="I187" s="30"/>
      <c r="J187" s="30"/>
      <c r="K187" s="33"/>
      <c r="Q187" s="1">
        <f t="shared" si="5"/>
        <v>0</v>
      </c>
    </row>
    <row r="188" spans="1:17" x14ac:dyDescent="0.2">
      <c r="A188" s="1">
        <f t="shared" si="4"/>
        <v>0</v>
      </c>
      <c r="B188" s="35">
        <f>COUNTIF($C$4:C188,C188)</f>
        <v>0</v>
      </c>
      <c r="C188" s="30"/>
      <c r="D188" s="34"/>
      <c r="E188" s="34"/>
      <c r="F188" s="31"/>
      <c r="G188" s="34"/>
      <c r="H188" s="32"/>
      <c r="I188" s="30"/>
      <c r="J188" s="30"/>
      <c r="K188" s="33"/>
      <c r="Q188" s="1">
        <f t="shared" si="5"/>
        <v>0</v>
      </c>
    </row>
    <row r="189" spans="1:17" x14ac:dyDescent="0.2">
      <c r="A189" s="1">
        <f t="shared" si="4"/>
        <v>0</v>
      </c>
      <c r="B189" s="35">
        <f>COUNTIF($C$4:C189,C189)</f>
        <v>0</v>
      </c>
      <c r="C189" s="30"/>
      <c r="D189" s="34"/>
      <c r="E189" s="34"/>
      <c r="F189" s="31"/>
      <c r="G189" s="34"/>
      <c r="H189" s="32"/>
      <c r="I189" s="30"/>
      <c r="J189" s="30"/>
      <c r="K189" s="33"/>
      <c r="Q189" s="1">
        <f t="shared" si="5"/>
        <v>0</v>
      </c>
    </row>
    <row r="190" spans="1:17" x14ac:dyDescent="0.2">
      <c r="A190" s="1">
        <f t="shared" si="4"/>
        <v>0</v>
      </c>
      <c r="B190" s="35">
        <f>COUNTIF($C$4:C190,C190)</f>
        <v>0</v>
      </c>
      <c r="C190" s="30"/>
      <c r="D190" s="34"/>
      <c r="E190" s="34"/>
      <c r="F190" s="31"/>
      <c r="G190" s="34"/>
      <c r="H190" s="32"/>
      <c r="I190" s="30"/>
      <c r="J190" s="30"/>
      <c r="K190" s="33"/>
      <c r="Q190" s="1">
        <f t="shared" si="5"/>
        <v>0</v>
      </c>
    </row>
    <row r="191" spans="1:17" x14ac:dyDescent="0.2">
      <c r="A191" s="1">
        <f t="shared" si="4"/>
        <v>0</v>
      </c>
      <c r="B191" s="35">
        <f>COUNTIF($C$4:C191,C191)</f>
        <v>0</v>
      </c>
      <c r="C191" s="30"/>
      <c r="D191" s="34"/>
      <c r="E191" s="34"/>
      <c r="F191" s="31"/>
      <c r="G191" s="34"/>
      <c r="H191" s="32"/>
      <c r="I191" s="30"/>
      <c r="J191" s="30"/>
      <c r="K191" s="33"/>
      <c r="Q191" s="1">
        <f t="shared" si="5"/>
        <v>0</v>
      </c>
    </row>
    <row r="192" spans="1:17" x14ac:dyDescent="0.2">
      <c r="A192" s="1">
        <f t="shared" si="4"/>
        <v>0</v>
      </c>
      <c r="B192" s="35">
        <f>COUNTIF($C$4:C192,C192)</f>
        <v>0</v>
      </c>
      <c r="C192" s="30"/>
      <c r="D192" s="34"/>
      <c r="E192" s="34"/>
      <c r="F192" s="31"/>
      <c r="G192" s="34"/>
      <c r="H192" s="32"/>
      <c r="I192" s="30"/>
      <c r="J192" s="30"/>
      <c r="K192" s="33"/>
      <c r="Q192" s="1">
        <f t="shared" si="5"/>
        <v>0</v>
      </c>
    </row>
    <row r="193" spans="1:17" x14ac:dyDescent="0.2">
      <c r="A193" s="1">
        <f t="shared" si="4"/>
        <v>0</v>
      </c>
      <c r="B193" s="35">
        <f>COUNTIF($C$4:C193,C193)</f>
        <v>0</v>
      </c>
      <c r="C193" s="30"/>
      <c r="D193" s="34"/>
      <c r="E193" s="34"/>
      <c r="F193" s="31"/>
      <c r="G193" s="34"/>
      <c r="H193" s="32"/>
      <c r="I193" s="30"/>
      <c r="J193" s="30"/>
      <c r="K193" s="33"/>
      <c r="Q193" s="1">
        <f t="shared" si="5"/>
        <v>0</v>
      </c>
    </row>
    <row r="194" spans="1:17" x14ac:dyDescent="0.2">
      <c r="A194" s="1">
        <f t="shared" si="4"/>
        <v>0</v>
      </c>
      <c r="B194" s="35">
        <f>COUNTIF($C$4:C194,C194)</f>
        <v>0</v>
      </c>
      <c r="C194" s="30"/>
      <c r="D194" s="34"/>
      <c r="E194" s="34"/>
      <c r="F194" s="31"/>
      <c r="G194" s="34"/>
      <c r="H194" s="32"/>
      <c r="I194" s="30"/>
      <c r="J194" s="30"/>
      <c r="K194" s="33"/>
      <c r="Q194" s="1">
        <f t="shared" si="5"/>
        <v>0</v>
      </c>
    </row>
    <row r="195" spans="1:17" x14ac:dyDescent="0.2">
      <c r="A195" s="1">
        <f t="shared" si="4"/>
        <v>0</v>
      </c>
      <c r="B195" s="35">
        <f>COUNTIF($C$4:C195,C195)</f>
        <v>0</v>
      </c>
      <c r="C195" s="30"/>
      <c r="D195" s="34"/>
      <c r="E195" s="34"/>
      <c r="F195" s="31"/>
      <c r="G195" s="34"/>
      <c r="H195" s="32"/>
      <c r="I195" s="30"/>
      <c r="J195" s="30"/>
      <c r="K195" s="33"/>
      <c r="Q195" s="1">
        <f t="shared" si="5"/>
        <v>0</v>
      </c>
    </row>
    <row r="196" spans="1:17" x14ac:dyDescent="0.2">
      <c r="A196" s="1">
        <f t="shared" ref="A196:A259" si="6">IF($A$1=Q196,A195+1,A195)</f>
        <v>0</v>
      </c>
      <c r="B196" s="35">
        <f>COUNTIF($C$4:C196,C196)</f>
        <v>0</v>
      </c>
      <c r="C196" s="30"/>
      <c r="D196" s="34"/>
      <c r="E196" s="34"/>
      <c r="F196" s="31"/>
      <c r="G196" s="34"/>
      <c r="H196" s="32"/>
      <c r="I196" s="30"/>
      <c r="J196" s="30"/>
      <c r="K196" s="33"/>
      <c r="Q196" s="1">
        <f t="shared" si="5"/>
        <v>0</v>
      </c>
    </row>
    <row r="197" spans="1:17" x14ac:dyDescent="0.2">
      <c r="A197" s="1">
        <f t="shared" si="6"/>
        <v>0</v>
      </c>
      <c r="B197" s="35">
        <f>COUNTIF($C$4:C197,C197)</f>
        <v>0</v>
      </c>
      <c r="C197" s="30"/>
      <c r="D197" s="34"/>
      <c r="E197" s="34"/>
      <c r="F197" s="31"/>
      <c r="G197" s="34"/>
      <c r="H197" s="32"/>
      <c r="I197" s="30"/>
      <c r="J197" s="30"/>
      <c r="K197" s="33"/>
      <c r="Q197" s="1">
        <f t="shared" ref="Q197:Q260" si="7">IF(ISERROR(VLOOKUP(C197,$O$1:$Q$2,3,FALSE))=TRUE,0,VLOOKUP(C197,$O$1:$Q$2,3,FALSE))</f>
        <v>0</v>
      </c>
    </row>
    <row r="198" spans="1:17" x14ac:dyDescent="0.2">
      <c r="A198" s="1">
        <f t="shared" si="6"/>
        <v>0</v>
      </c>
      <c r="B198" s="35">
        <f>COUNTIF($C$4:C198,C198)</f>
        <v>0</v>
      </c>
      <c r="C198" s="30"/>
      <c r="D198" s="34"/>
      <c r="E198" s="34"/>
      <c r="F198" s="31"/>
      <c r="G198" s="34"/>
      <c r="H198" s="32"/>
      <c r="I198" s="30"/>
      <c r="J198" s="30"/>
      <c r="K198" s="33"/>
      <c r="Q198" s="1">
        <f t="shared" si="7"/>
        <v>0</v>
      </c>
    </row>
    <row r="199" spans="1:17" x14ac:dyDescent="0.2">
      <c r="A199" s="1">
        <f t="shared" si="6"/>
        <v>0</v>
      </c>
      <c r="B199" s="35">
        <f>COUNTIF($C$4:C199,C199)</f>
        <v>0</v>
      </c>
      <c r="C199" s="30"/>
      <c r="D199" s="34"/>
      <c r="E199" s="34"/>
      <c r="F199" s="31"/>
      <c r="G199" s="34"/>
      <c r="H199" s="32"/>
      <c r="I199" s="30"/>
      <c r="J199" s="30"/>
      <c r="K199" s="33"/>
      <c r="Q199" s="1">
        <f t="shared" si="7"/>
        <v>0</v>
      </c>
    </row>
    <row r="200" spans="1:17" x14ac:dyDescent="0.2">
      <c r="A200" s="1">
        <f t="shared" si="6"/>
        <v>0</v>
      </c>
      <c r="B200" s="35">
        <f>COUNTIF($C$4:C200,C200)</f>
        <v>0</v>
      </c>
      <c r="C200" s="30"/>
      <c r="D200" s="34"/>
      <c r="E200" s="34"/>
      <c r="F200" s="31"/>
      <c r="G200" s="34"/>
      <c r="H200" s="32"/>
      <c r="I200" s="30"/>
      <c r="J200" s="30"/>
      <c r="K200" s="33"/>
      <c r="Q200" s="1">
        <f t="shared" si="7"/>
        <v>0</v>
      </c>
    </row>
    <row r="201" spans="1:17" x14ac:dyDescent="0.2">
      <c r="A201" s="1">
        <f t="shared" si="6"/>
        <v>0</v>
      </c>
      <c r="B201" s="35">
        <f>COUNTIF($C$4:C201,C201)</f>
        <v>0</v>
      </c>
      <c r="C201" s="30"/>
      <c r="D201" s="34"/>
      <c r="E201" s="34"/>
      <c r="F201" s="31"/>
      <c r="G201" s="34"/>
      <c r="H201" s="32"/>
      <c r="I201" s="30"/>
      <c r="J201" s="30"/>
      <c r="K201" s="33"/>
      <c r="Q201" s="1">
        <f t="shared" si="7"/>
        <v>0</v>
      </c>
    </row>
    <row r="202" spans="1:17" x14ac:dyDescent="0.2">
      <c r="A202" s="1">
        <f t="shared" si="6"/>
        <v>0</v>
      </c>
      <c r="B202" s="35">
        <f>COUNTIF($C$4:C202,C202)</f>
        <v>0</v>
      </c>
      <c r="C202" s="30"/>
      <c r="D202" s="34"/>
      <c r="E202" s="34"/>
      <c r="F202" s="31"/>
      <c r="G202" s="34"/>
      <c r="H202" s="32"/>
      <c r="I202" s="30"/>
      <c r="J202" s="30"/>
      <c r="K202" s="33"/>
      <c r="Q202" s="1">
        <f t="shared" si="7"/>
        <v>0</v>
      </c>
    </row>
    <row r="203" spans="1:17" x14ac:dyDescent="0.2">
      <c r="A203" s="1">
        <f t="shared" si="6"/>
        <v>0</v>
      </c>
      <c r="B203" s="35">
        <f>COUNTIF($C$4:C203,C203)</f>
        <v>0</v>
      </c>
      <c r="C203" s="30"/>
      <c r="D203" s="34"/>
      <c r="E203" s="34"/>
      <c r="F203" s="31"/>
      <c r="G203" s="34"/>
      <c r="H203" s="32"/>
      <c r="I203" s="30"/>
      <c r="J203" s="30"/>
      <c r="K203" s="33"/>
      <c r="Q203" s="1">
        <f t="shared" si="7"/>
        <v>0</v>
      </c>
    </row>
    <row r="204" spans="1:17" x14ac:dyDescent="0.2">
      <c r="A204" s="1">
        <f t="shared" si="6"/>
        <v>0</v>
      </c>
      <c r="B204" s="35">
        <f>COUNTIF($C$4:C204,C204)</f>
        <v>0</v>
      </c>
      <c r="C204" s="30"/>
      <c r="D204" s="34"/>
      <c r="E204" s="34"/>
      <c r="F204" s="31"/>
      <c r="G204" s="34"/>
      <c r="H204" s="32"/>
      <c r="I204" s="30"/>
      <c r="J204" s="30"/>
      <c r="K204" s="33"/>
      <c r="Q204" s="1">
        <f t="shared" si="7"/>
        <v>0</v>
      </c>
    </row>
    <row r="205" spans="1:17" x14ac:dyDescent="0.2">
      <c r="A205" s="1">
        <f t="shared" si="6"/>
        <v>0</v>
      </c>
      <c r="B205" s="35">
        <f>COUNTIF($C$4:C205,C205)</f>
        <v>0</v>
      </c>
      <c r="C205" s="30"/>
      <c r="D205" s="34"/>
      <c r="E205" s="34"/>
      <c r="F205" s="31"/>
      <c r="G205" s="34"/>
      <c r="H205" s="32"/>
      <c r="I205" s="30"/>
      <c r="J205" s="30"/>
      <c r="K205" s="33"/>
      <c r="Q205" s="1">
        <f t="shared" si="7"/>
        <v>0</v>
      </c>
    </row>
    <row r="206" spans="1:17" x14ac:dyDescent="0.2">
      <c r="A206" s="1">
        <f t="shared" si="6"/>
        <v>0</v>
      </c>
      <c r="B206" s="35">
        <f>COUNTIF($C$4:C206,C206)</f>
        <v>0</v>
      </c>
      <c r="C206" s="30"/>
      <c r="D206" s="34"/>
      <c r="E206" s="34"/>
      <c r="F206" s="31"/>
      <c r="G206" s="34"/>
      <c r="H206" s="32"/>
      <c r="I206" s="30"/>
      <c r="J206" s="30"/>
      <c r="K206" s="33"/>
      <c r="Q206" s="1">
        <f t="shared" si="7"/>
        <v>0</v>
      </c>
    </row>
    <row r="207" spans="1:17" x14ac:dyDescent="0.2">
      <c r="A207" s="1">
        <f t="shared" si="6"/>
        <v>0</v>
      </c>
      <c r="B207" s="35">
        <f>COUNTIF($C$4:C207,C207)</f>
        <v>0</v>
      </c>
      <c r="C207" s="30"/>
      <c r="D207" s="34"/>
      <c r="E207" s="34"/>
      <c r="F207" s="31"/>
      <c r="G207" s="34"/>
      <c r="H207" s="32"/>
      <c r="I207" s="30"/>
      <c r="J207" s="30"/>
      <c r="K207" s="33"/>
      <c r="Q207" s="1">
        <f t="shared" si="7"/>
        <v>0</v>
      </c>
    </row>
    <row r="208" spans="1:17" x14ac:dyDescent="0.2">
      <c r="A208" s="1">
        <f t="shared" si="6"/>
        <v>0</v>
      </c>
      <c r="B208" s="35">
        <f>COUNTIF($C$4:C208,C208)</f>
        <v>0</v>
      </c>
      <c r="C208" s="30"/>
      <c r="D208" s="34"/>
      <c r="E208" s="34"/>
      <c r="F208" s="31"/>
      <c r="G208" s="34"/>
      <c r="H208" s="32"/>
      <c r="I208" s="30"/>
      <c r="J208" s="30"/>
      <c r="K208" s="33"/>
      <c r="Q208" s="1">
        <f t="shared" si="7"/>
        <v>0</v>
      </c>
    </row>
    <row r="209" spans="1:17" x14ac:dyDescent="0.2">
      <c r="A209" s="1">
        <f t="shared" si="6"/>
        <v>0</v>
      </c>
      <c r="B209" s="35">
        <f>COUNTIF($C$4:C209,C209)</f>
        <v>0</v>
      </c>
      <c r="C209" s="30"/>
      <c r="D209" s="34"/>
      <c r="E209" s="34"/>
      <c r="F209" s="31"/>
      <c r="G209" s="34"/>
      <c r="H209" s="32"/>
      <c r="I209" s="30"/>
      <c r="J209" s="30"/>
      <c r="K209" s="33"/>
      <c r="Q209" s="1">
        <f t="shared" si="7"/>
        <v>0</v>
      </c>
    </row>
    <row r="210" spans="1:17" x14ac:dyDescent="0.2">
      <c r="A210" s="1">
        <f t="shared" si="6"/>
        <v>0</v>
      </c>
      <c r="B210" s="35">
        <f>COUNTIF($C$4:C210,C210)</f>
        <v>0</v>
      </c>
      <c r="C210" s="30"/>
      <c r="D210" s="34"/>
      <c r="E210" s="34"/>
      <c r="F210" s="31"/>
      <c r="G210" s="34"/>
      <c r="H210" s="32"/>
      <c r="I210" s="30"/>
      <c r="J210" s="30"/>
      <c r="K210" s="33"/>
      <c r="Q210" s="1">
        <f t="shared" si="7"/>
        <v>0</v>
      </c>
    </row>
    <row r="211" spans="1:17" x14ac:dyDescent="0.2">
      <c r="A211" s="1">
        <f t="shared" si="6"/>
        <v>0</v>
      </c>
      <c r="B211" s="35">
        <f>COUNTIF($C$4:C211,C211)</f>
        <v>0</v>
      </c>
      <c r="C211" s="30"/>
      <c r="D211" s="34"/>
      <c r="E211" s="34"/>
      <c r="F211" s="31"/>
      <c r="G211" s="34"/>
      <c r="H211" s="32"/>
      <c r="I211" s="30"/>
      <c r="J211" s="30"/>
      <c r="K211" s="33"/>
      <c r="Q211" s="1">
        <f t="shared" si="7"/>
        <v>0</v>
      </c>
    </row>
    <row r="212" spans="1:17" x14ac:dyDescent="0.2">
      <c r="A212" s="1">
        <f t="shared" si="6"/>
        <v>0</v>
      </c>
      <c r="B212" s="35">
        <f>COUNTIF($C$4:C212,C212)</f>
        <v>0</v>
      </c>
      <c r="C212" s="30"/>
      <c r="D212" s="34"/>
      <c r="E212" s="34"/>
      <c r="F212" s="31"/>
      <c r="G212" s="34"/>
      <c r="H212" s="32"/>
      <c r="I212" s="30"/>
      <c r="J212" s="30"/>
      <c r="K212" s="33"/>
      <c r="Q212" s="1">
        <f t="shared" si="7"/>
        <v>0</v>
      </c>
    </row>
    <row r="213" spans="1:17" x14ac:dyDescent="0.2">
      <c r="A213" s="1">
        <f t="shared" si="6"/>
        <v>0</v>
      </c>
      <c r="B213" s="35">
        <f>COUNTIF($C$4:C213,C213)</f>
        <v>0</v>
      </c>
      <c r="C213" s="30"/>
      <c r="D213" s="34"/>
      <c r="E213" s="34"/>
      <c r="F213" s="31"/>
      <c r="G213" s="34"/>
      <c r="H213" s="32"/>
      <c r="I213" s="30"/>
      <c r="J213" s="30"/>
      <c r="K213" s="33"/>
      <c r="Q213" s="1">
        <f t="shared" si="7"/>
        <v>0</v>
      </c>
    </row>
    <row r="214" spans="1:17" x14ac:dyDescent="0.2">
      <c r="A214" s="1">
        <f t="shared" si="6"/>
        <v>0</v>
      </c>
      <c r="B214" s="35">
        <f>COUNTIF($C$4:C214,C214)</f>
        <v>0</v>
      </c>
      <c r="C214" s="30"/>
      <c r="D214" s="34"/>
      <c r="E214" s="34"/>
      <c r="F214" s="31"/>
      <c r="G214" s="34"/>
      <c r="H214" s="32"/>
      <c r="I214" s="30"/>
      <c r="J214" s="30"/>
      <c r="K214" s="33"/>
      <c r="Q214" s="1">
        <f t="shared" si="7"/>
        <v>0</v>
      </c>
    </row>
    <row r="215" spans="1:17" x14ac:dyDescent="0.2">
      <c r="A215" s="1">
        <f t="shared" si="6"/>
        <v>0</v>
      </c>
      <c r="B215" s="35">
        <f>COUNTIF($C$4:C215,C215)</f>
        <v>0</v>
      </c>
      <c r="C215" s="30"/>
      <c r="D215" s="34"/>
      <c r="E215" s="34"/>
      <c r="F215" s="31"/>
      <c r="G215" s="34"/>
      <c r="H215" s="32"/>
      <c r="I215" s="30"/>
      <c r="J215" s="30"/>
      <c r="K215" s="33"/>
      <c r="Q215" s="1">
        <f t="shared" si="7"/>
        <v>0</v>
      </c>
    </row>
    <row r="216" spans="1:17" x14ac:dyDescent="0.2">
      <c r="A216" s="1">
        <f t="shared" si="6"/>
        <v>0</v>
      </c>
      <c r="B216" s="35">
        <f>COUNTIF($C$4:C216,C216)</f>
        <v>0</v>
      </c>
      <c r="C216" s="30"/>
      <c r="D216" s="34"/>
      <c r="E216" s="34"/>
      <c r="F216" s="31"/>
      <c r="G216" s="34"/>
      <c r="H216" s="32"/>
      <c r="I216" s="30"/>
      <c r="J216" s="30"/>
      <c r="K216" s="33"/>
      <c r="Q216" s="1">
        <f t="shared" si="7"/>
        <v>0</v>
      </c>
    </row>
    <row r="217" spans="1:17" x14ac:dyDescent="0.2">
      <c r="A217" s="1">
        <f t="shared" si="6"/>
        <v>0</v>
      </c>
      <c r="B217" s="35">
        <f>COUNTIF($C$4:C217,C217)</f>
        <v>0</v>
      </c>
      <c r="C217" s="30"/>
      <c r="D217" s="34"/>
      <c r="E217" s="34"/>
      <c r="F217" s="31"/>
      <c r="G217" s="34"/>
      <c r="H217" s="32"/>
      <c r="I217" s="30"/>
      <c r="J217" s="30"/>
      <c r="K217" s="33"/>
      <c r="Q217" s="1">
        <f t="shared" si="7"/>
        <v>0</v>
      </c>
    </row>
    <row r="218" spans="1:17" x14ac:dyDescent="0.2">
      <c r="A218" s="1">
        <f t="shared" si="6"/>
        <v>0</v>
      </c>
      <c r="B218" s="35">
        <f>COUNTIF($C$4:C218,C218)</f>
        <v>0</v>
      </c>
      <c r="C218" s="30"/>
      <c r="D218" s="34"/>
      <c r="E218" s="34"/>
      <c r="F218" s="31"/>
      <c r="G218" s="34"/>
      <c r="H218" s="32"/>
      <c r="I218" s="30"/>
      <c r="J218" s="30"/>
      <c r="K218" s="33"/>
      <c r="Q218" s="1">
        <f t="shared" si="7"/>
        <v>0</v>
      </c>
    </row>
    <row r="219" spans="1:17" x14ac:dyDescent="0.2">
      <c r="A219" s="1">
        <f t="shared" si="6"/>
        <v>0</v>
      </c>
      <c r="B219" s="35">
        <f>COUNTIF($C$4:C219,C219)</f>
        <v>0</v>
      </c>
      <c r="C219" s="30"/>
      <c r="D219" s="34"/>
      <c r="E219" s="34"/>
      <c r="F219" s="31"/>
      <c r="G219" s="34"/>
      <c r="H219" s="32"/>
      <c r="I219" s="30"/>
      <c r="J219" s="30"/>
      <c r="K219" s="33"/>
      <c r="Q219" s="1">
        <f t="shared" si="7"/>
        <v>0</v>
      </c>
    </row>
    <row r="220" spans="1:17" x14ac:dyDescent="0.2">
      <c r="A220" s="1">
        <f t="shared" si="6"/>
        <v>0</v>
      </c>
      <c r="B220" s="35">
        <f>COUNTIF($C$4:C220,C220)</f>
        <v>0</v>
      </c>
      <c r="C220" s="30"/>
      <c r="D220" s="34"/>
      <c r="E220" s="34"/>
      <c r="F220" s="31"/>
      <c r="G220" s="34"/>
      <c r="H220" s="32"/>
      <c r="I220" s="30"/>
      <c r="J220" s="30"/>
      <c r="K220" s="33"/>
      <c r="Q220" s="1">
        <f t="shared" si="7"/>
        <v>0</v>
      </c>
    </row>
    <row r="221" spans="1:17" x14ac:dyDescent="0.2">
      <c r="A221" s="1">
        <f t="shared" si="6"/>
        <v>0</v>
      </c>
      <c r="B221" s="35">
        <f>COUNTIF($C$4:C221,C221)</f>
        <v>0</v>
      </c>
      <c r="C221" s="30"/>
      <c r="D221" s="34"/>
      <c r="E221" s="34"/>
      <c r="F221" s="31"/>
      <c r="G221" s="34"/>
      <c r="H221" s="32"/>
      <c r="I221" s="30"/>
      <c r="J221" s="30"/>
      <c r="K221" s="33"/>
      <c r="Q221" s="1">
        <f t="shared" si="7"/>
        <v>0</v>
      </c>
    </row>
    <row r="222" spans="1:17" x14ac:dyDescent="0.2">
      <c r="A222" s="1">
        <f t="shared" si="6"/>
        <v>0</v>
      </c>
      <c r="B222" s="35">
        <f>COUNTIF($C$4:C222,C222)</f>
        <v>0</v>
      </c>
      <c r="C222" s="30"/>
      <c r="D222" s="34"/>
      <c r="E222" s="34"/>
      <c r="F222" s="31"/>
      <c r="G222" s="34"/>
      <c r="H222" s="32"/>
      <c r="I222" s="30"/>
      <c r="J222" s="30"/>
      <c r="K222" s="33"/>
      <c r="Q222" s="1">
        <f t="shared" si="7"/>
        <v>0</v>
      </c>
    </row>
    <row r="223" spans="1:17" x14ac:dyDescent="0.2">
      <c r="A223" s="1">
        <f t="shared" si="6"/>
        <v>0</v>
      </c>
      <c r="B223" s="35">
        <f>COUNTIF($C$4:C223,C223)</f>
        <v>0</v>
      </c>
      <c r="C223" s="30"/>
      <c r="D223" s="34"/>
      <c r="E223" s="34"/>
      <c r="F223" s="31"/>
      <c r="G223" s="34"/>
      <c r="H223" s="32"/>
      <c r="I223" s="30"/>
      <c r="J223" s="30"/>
      <c r="K223" s="33"/>
      <c r="Q223" s="1">
        <f t="shared" si="7"/>
        <v>0</v>
      </c>
    </row>
    <row r="224" spans="1:17" x14ac:dyDescent="0.2">
      <c r="A224" s="1">
        <f t="shared" si="6"/>
        <v>0</v>
      </c>
      <c r="B224" s="35">
        <f>COUNTIF($C$4:C224,C224)</f>
        <v>0</v>
      </c>
      <c r="C224" s="30"/>
      <c r="D224" s="34"/>
      <c r="E224" s="34"/>
      <c r="F224" s="31"/>
      <c r="G224" s="34"/>
      <c r="H224" s="32"/>
      <c r="I224" s="30"/>
      <c r="J224" s="30"/>
      <c r="K224" s="33"/>
      <c r="Q224" s="1">
        <f t="shared" si="7"/>
        <v>0</v>
      </c>
    </row>
    <row r="225" spans="1:17" x14ac:dyDescent="0.2">
      <c r="A225" s="1">
        <f t="shared" si="6"/>
        <v>0</v>
      </c>
      <c r="B225" s="35">
        <f>COUNTIF($C$4:C225,C225)</f>
        <v>0</v>
      </c>
      <c r="C225" s="30"/>
      <c r="D225" s="34"/>
      <c r="E225" s="34"/>
      <c r="F225" s="31"/>
      <c r="G225" s="34"/>
      <c r="H225" s="32"/>
      <c r="I225" s="30"/>
      <c r="J225" s="30"/>
      <c r="K225" s="33"/>
      <c r="Q225" s="1">
        <f t="shared" si="7"/>
        <v>0</v>
      </c>
    </row>
    <row r="226" spans="1:17" x14ac:dyDescent="0.2">
      <c r="A226" s="1">
        <f t="shared" si="6"/>
        <v>0</v>
      </c>
      <c r="B226" s="35">
        <f>COUNTIF($C$4:C226,C226)</f>
        <v>0</v>
      </c>
      <c r="C226" s="30"/>
      <c r="D226" s="34"/>
      <c r="E226" s="34"/>
      <c r="F226" s="31"/>
      <c r="G226" s="34"/>
      <c r="H226" s="32"/>
      <c r="I226" s="30"/>
      <c r="J226" s="30"/>
      <c r="K226" s="33"/>
      <c r="Q226" s="1">
        <f t="shared" si="7"/>
        <v>0</v>
      </c>
    </row>
    <row r="227" spans="1:17" x14ac:dyDescent="0.2">
      <c r="A227" s="1">
        <f t="shared" si="6"/>
        <v>0</v>
      </c>
      <c r="B227" s="35">
        <f>COUNTIF($C$4:C227,C227)</f>
        <v>0</v>
      </c>
      <c r="C227" s="30"/>
      <c r="D227" s="34"/>
      <c r="E227" s="34"/>
      <c r="F227" s="31"/>
      <c r="G227" s="34"/>
      <c r="H227" s="32"/>
      <c r="I227" s="30"/>
      <c r="J227" s="30"/>
      <c r="K227" s="33"/>
      <c r="Q227" s="1">
        <f t="shared" si="7"/>
        <v>0</v>
      </c>
    </row>
    <row r="228" spans="1:17" x14ac:dyDescent="0.2">
      <c r="A228" s="1">
        <f t="shared" si="6"/>
        <v>0</v>
      </c>
      <c r="B228" s="35">
        <f>COUNTIF($C$4:C228,C228)</f>
        <v>0</v>
      </c>
      <c r="C228" s="30"/>
      <c r="D228" s="34"/>
      <c r="E228" s="34"/>
      <c r="F228" s="31"/>
      <c r="G228" s="34"/>
      <c r="H228" s="32"/>
      <c r="I228" s="30"/>
      <c r="J228" s="30"/>
      <c r="K228" s="33"/>
      <c r="Q228" s="1">
        <f t="shared" si="7"/>
        <v>0</v>
      </c>
    </row>
    <row r="229" spans="1:17" x14ac:dyDescent="0.2">
      <c r="A229" s="1">
        <f t="shared" si="6"/>
        <v>0</v>
      </c>
      <c r="B229" s="35">
        <f>COUNTIF($C$4:C229,C229)</f>
        <v>0</v>
      </c>
      <c r="C229" s="30"/>
      <c r="D229" s="34"/>
      <c r="E229" s="34"/>
      <c r="F229" s="31"/>
      <c r="G229" s="34"/>
      <c r="H229" s="32"/>
      <c r="I229" s="30"/>
      <c r="J229" s="30"/>
      <c r="K229" s="33"/>
      <c r="Q229" s="1">
        <f t="shared" si="7"/>
        <v>0</v>
      </c>
    </row>
    <row r="230" spans="1:17" x14ac:dyDescent="0.2">
      <c r="A230" s="1">
        <f t="shared" si="6"/>
        <v>0</v>
      </c>
      <c r="B230" s="35">
        <f>COUNTIF($C$4:C230,C230)</f>
        <v>0</v>
      </c>
      <c r="C230" s="30"/>
      <c r="D230" s="34"/>
      <c r="E230" s="34"/>
      <c r="F230" s="31"/>
      <c r="G230" s="34"/>
      <c r="H230" s="32"/>
      <c r="I230" s="30"/>
      <c r="J230" s="30"/>
      <c r="K230" s="33"/>
      <c r="Q230" s="1">
        <f t="shared" si="7"/>
        <v>0</v>
      </c>
    </row>
    <row r="231" spans="1:17" x14ac:dyDescent="0.2">
      <c r="A231" s="1">
        <f t="shared" si="6"/>
        <v>0</v>
      </c>
      <c r="B231" s="35">
        <f>COUNTIF($C$4:C231,C231)</f>
        <v>0</v>
      </c>
      <c r="C231" s="30"/>
      <c r="D231" s="34"/>
      <c r="E231" s="34"/>
      <c r="F231" s="31"/>
      <c r="G231" s="34"/>
      <c r="H231" s="32"/>
      <c r="I231" s="30"/>
      <c r="J231" s="30"/>
      <c r="K231" s="33"/>
      <c r="Q231" s="1">
        <f t="shared" si="7"/>
        <v>0</v>
      </c>
    </row>
    <row r="232" spans="1:17" x14ac:dyDescent="0.2">
      <c r="A232" s="1">
        <f t="shared" si="6"/>
        <v>0</v>
      </c>
      <c r="B232" s="35">
        <f>COUNTIF($C$4:C232,C232)</f>
        <v>0</v>
      </c>
      <c r="C232" s="30"/>
      <c r="D232" s="34"/>
      <c r="E232" s="34"/>
      <c r="F232" s="31"/>
      <c r="G232" s="34"/>
      <c r="H232" s="32"/>
      <c r="I232" s="30"/>
      <c r="J232" s="30"/>
      <c r="K232" s="33"/>
      <c r="Q232" s="1">
        <f t="shared" si="7"/>
        <v>0</v>
      </c>
    </row>
    <row r="233" spans="1:17" x14ac:dyDescent="0.2">
      <c r="A233" s="1">
        <f t="shared" si="6"/>
        <v>0</v>
      </c>
      <c r="B233" s="35">
        <f>COUNTIF($C$4:C233,C233)</f>
        <v>0</v>
      </c>
      <c r="C233" s="30"/>
      <c r="D233" s="34"/>
      <c r="E233" s="34"/>
      <c r="F233" s="31"/>
      <c r="G233" s="34"/>
      <c r="H233" s="32"/>
      <c r="I233" s="30"/>
      <c r="J233" s="30"/>
      <c r="K233" s="33"/>
      <c r="Q233" s="1">
        <f t="shared" si="7"/>
        <v>0</v>
      </c>
    </row>
    <row r="234" spans="1:17" x14ac:dyDescent="0.2">
      <c r="A234" s="1">
        <f t="shared" si="6"/>
        <v>0</v>
      </c>
      <c r="B234" s="35">
        <f>COUNTIF($C$4:C234,C234)</f>
        <v>0</v>
      </c>
      <c r="C234" s="30"/>
      <c r="D234" s="34"/>
      <c r="E234" s="34"/>
      <c r="F234" s="31"/>
      <c r="G234" s="34"/>
      <c r="H234" s="32"/>
      <c r="I234" s="30"/>
      <c r="J234" s="30"/>
      <c r="K234" s="33"/>
      <c r="Q234" s="1">
        <f t="shared" si="7"/>
        <v>0</v>
      </c>
    </row>
    <row r="235" spans="1:17" x14ac:dyDescent="0.2">
      <c r="A235" s="1">
        <f t="shared" si="6"/>
        <v>0</v>
      </c>
      <c r="B235" s="35">
        <f>COUNTIF($C$4:C235,C235)</f>
        <v>0</v>
      </c>
      <c r="C235" s="30"/>
      <c r="D235" s="34"/>
      <c r="E235" s="34"/>
      <c r="F235" s="31"/>
      <c r="G235" s="34"/>
      <c r="H235" s="32"/>
      <c r="I235" s="30"/>
      <c r="J235" s="30"/>
      <c r="K235" s="33"/>
      <c r="Q235" s="1">
        <f t="shared" si="7"/>
        <v>0</v>
      </c>
    </row>
    <row r="236" spans="1:17" x14ac:dyDescent="0.2">
      <c r="A236" s="1">
        <f t="shared" si="6"/>
        <v>0</v>
      </c>
      <c r="B236" s="35">
        <f>COUNTIF($C$4:C236,C236)</f>
        <v>0</v>
      </c>
      <c r="C236" s="30"/>
      <c r="D236" s="34"/>
      <c r="E236" s="34"/>
      <c r="F236" s="31"/>
      <c r="G236" s="34"/>
      <c r="H236" s="32"/>
      <c r="I236" s="30"/>
      <c r="J236" s="30"/>
      <c r="K236" s="33"/>
      <c r="Q236" s="1">
        <f t="shared" si="7"/>
        <v>0</v>
      </c>
    </row>
    <row r="237" spans="1:17" x14ac:dyDescent="0.2">
      <c r="A237" s="1">
        <f t="shared" si="6"/>
        <v>0</v>
      </c>
      <c r="B237" s="35">
        <f>COUNTIF($C$4:C237,C237)</f>
        <v>0</v>
      </c>
      <c r="C237" s="30"/>
      <c r="D237" s="34"/>
      <c r="E237" s="34"/>
      <c r="F237" s="31"/>
      <c r="G237" s="34"/>
      <c r="H237" s="32"/>
      <c r="I237" s="30"/>
      <c r="J237" s="30"/>
      <c r="K237" s="33"/>
      <c r="Q237" s="1">
        <f t="shared" si="7"/>
        <v>0</v>
      </c>
    </row>
    <row r="238" spans="1:17" x14ac:dyDescent="0.2">
      <c r="A238" s="1">
        <f t="shared" si="6"/>
        <v>0</v>
      </c>
      <c r="B238" s="35">
        <f>COUNTIF($C$4:C238,C238)</f>
        <v>0</v>
      </c>
      <c r="C238" s="30"/>
      <c r="D238" s="34"/>
      <c r="E238" s="34"/>
      <c r="F238" s="31"/>
      <c r="G238" s="34"/>
      <c r="H238" s="32"/>
      <c r="I238" s="30"/>
      <c r="J238" s="30"/>
      <c r="K238" s="33"/>
      <c r="Q238" s="1">
        <f t="shared" si="7"/>
        <v>0</v>
      </c>
    </row>
    <row r="239" spans="1:17" x14ac:dyDescent="0.2">
      <c r="A239" s="1">
        <f t="shared" si="6"/>
        <v>0</v>
      </c>
      <c r="B239" s="35">
        <f>COUNTIF($C$4:C239,C239)</f>
        <v>0</v>
      </c>
      <c r="C239" s="30"/>
      <c r="D239" s="34"/>
      <c r="E239" s="34"/>
      <c r="F239" s="31"/>
      <c r="G239" s="34"/>
      <c r="H239" s="32"/>
      <c r="I239" s="30"/>
      <c r="J239" s="30"/>
      <c r="K239" s="33"/>
      <c r="Q239" s="1">
        <f t="shared" si="7"/>
        <v>0</v>
      </c>
    </row>
    <row r="240" spans="1:17" x14ac:dyDescent="0.2">
      <c r="A240" s="1">
        <f t="shared" si="6"/>
        <v>0</v>
      </c>
      <c r="B240" s="35">
        <f>COUNTIF($C$4:C240,C240)</f>
        <v>0</v>
      </c>
      <c r="C240" s="30"/>
      <c r="D240" s="34"/>
      <c r="E240" s="34"/>
      <c r="F240" s="31"/>
      <c r="G240" s="34"/>
      <c r="H240" s="32"/>
      <c r="I240" s="30"/>
      <c r="J240" s="30"/>
      <c r="K240" s="33"/>
      <c r="Q240" s="1">
        <f t="shared" si="7"/>
        <v>0</v>
      </c>
    </row>
    <row r="241" spans="1:17" x14ac:dyDescent="0.2">
      <c r="A241" s="1">
        <f t="shared" si="6"/>
        <v>0</v>
      </c>
      <c r="B241" s="35">
        <f>COUNTIF($C$4:C241,C241)</f>
        <v>0</v>
      </c>
      <c r="C241" s="30"/>
      <c r="D241" s="34"/>
      <c r="E241" s="34"/>
      <c r="F241" s="31"/>
      <c r="G241" s="34"/>
      <c r="H241" s="32"/>
      <c r="I241" s="30"/>
      <c r="J241" s="30"/>
      <c r="K241" s="33"/>
      <c r="Q241" s="1">
        <f t="shared" si="7"/>
        <v>0</v>
      </c>
    </row>
    <row r="242" spans="1:17" x14ac:dyDescent="0.2">
      <c r="A242" s="1">
        <f t="shared" si="6"/>
        <v>0</v>
      </c>
      <c r="B242" s="35">
        <f>COUNTIF($C$4:C242,C242)</f>
        <v>0</v>
      </c>
      <c r="C242" s="30"/>
      <c r="D242" s="34"/>
      <c r="E242" s="34"/>
      <c r="F242" s="31"/>
      <c r="G242" s="34"/>
      <c r="H242" s="32"/>
      <c r="I242" s="30"/>
      <c r="J242" s="30"/>
      <c r="K242" s="33"/>
      <c r="Q242" s="1">
        <f t="shared" si="7"/>
        <v>0</v>
      </c>
    </row>
    <row r="243" spans="1:17" x14ac:dyDescent="0.2">
      <c r="A243" s="1">
        <f t="shared" si="6"/>
        <v>0</v>
      </c>
      <c r="B243" s="35">
        <f>COUNTIF($C$4:C243,C243)</f>
        <v>0</v>
      </c>
      <c r="C243" s="30"/>
      <c r="D243" s="34"/>
      <c r="E243" s="34"/>
      <c r="F243" s="31"/>
      <c r="G243" s="34"/>
      <c r="H243" s="32"/>
      <c r="I243" s="30"/>
      <c r="J243" s="30"/>
      <c r="K243" s="33"/>
      <c r="Q243" s="1">
        <f t="shared" si="7"/>
        <v>0</v>
      </c>
    </row>
    <row r="244" spans="1:17" x14ac:dyDescent="0.2">
      <c r="A244" s="1">
        <f t="shared" si="6"/>
        <v>0</v>
      </c>
      <c r="B244" s="35">
        <f>COUNTIF($C$4:C244,C244)</f>
        <v>0</v>
      </c>
      <c r="C244" s="30"/>
      <c r="D244" s="34"/>
      <c r="E244" s="34"/>
      <c r="F244" s="31"/>
      <c r="G244" s="34"/>
      <c r="H244" s="32"/>
      <c r="I244" s="30"/>
      <c r="J244" s="30"/>
      <c r="K244" s="33"/>
      <c r="Q244" s="1">
        <f t="shared" si="7"/>
        <v>0</v>
      </c>
    </row>
    <row r="245" spans="1:17" x14ac:dyDescent="0.2">
      <c r="A245" s="1">
        <f t="shared" si="6"/>
        <v>0</v>
      </c>
      <c r="B245" s="35">
        <f>COUNTIF($C$4:C245,C245)</f>
        <v>0</v>
      </c>
      <c r="C245" s="30"/>
      <c r="D245" s="34"/>
      <c r="E245" s="34"/>
      <c r="F245" s="31"/>
      <c r="G245" s="34"/>
      <c r="H245" s="32"/>
      <c r="I245" s="30"/>
      <c r="J245" s="30"/>
      <c r="K245" s="33"/>
      <c r="Q245" s="1">
        <f t="shared" si="7"/>
        <v>0</v>
      </c>
    </row>
    <row r="246" spans="1:17" x14ac:dyDescent="0.2">
      <c r="A246" s="1">
        <f t="shared" si="6"/>
        <v>0</v>
      </c>
      <c r="B246" s="35">
        <f>COUNTIF($C$4:C246,C246)</f>
        <v>0</v>
      </c>
      <c r="C246" s="30"/>
      <c r="D246" s="34"/>
      <c r="E246" s="34"/>
      <c r="F246" s="31"/>
      <c r="G246" s="34"/>
      <c r="H246" s="32"/>
      <c r="I246" s="30"/>
      <c r="J246" s="30"/>
      <c r="K246" s="33"/>
      <c r="Q246" s="1">
        <f t="shared" si="7"/>
        <v>0</v>
      </c>
    </row>
    <row r="247" spans="1:17" x14ac:dyDescent="0.2">
      <c r="A247" s="1">
        <f t="shared" si="6"/>
        <v>0</v>
      </c>
      <c r="B247" s="35">
        <f>COUNTIF($C$4:C247,C247)</f>
        <v>0</v>
      </c>
      <c r="C247" s="30"/>
      <c r="D247" s="34"/>
      <c r="E247" s="34"/>
      <c r="F247" s="31"/>
      <c r="G247" s="34"/>
      <c r="H247" s="32"/>
      <c r="I247" s="30"/>
      <c r="J247" s="30"/>
      <c r="K247" s="33"/>
      <c r="Q247" s="1">
        <f t="shared" si="7"/>
        <v>0</v>
      </c>
    </row>
    <row r="248" spans="1:17" x14ac:dyDescent="0.2">
      <c r="A248" s="1">
        <f t="shared" si="6"/>
        <v>0</v>
      </c>
      <c r="B248" s="35">
        <f>COUNTIF($C$4:C248,C248)</f>
        <v>0</v>
      </c>
      <c r="C248" s="30"/>
      <c r="D248" s="34"/>
      <c r="E248" s="34"/>
      <c r="F248" s="31"/>
      <c r="G248" s="34"/>
      <c r="H248" s="32"/>
      <c r="I248" s="30"/>
      <c r="J248" s="30"/>
      <c r="K248" s="33"/>
      <c r="Q248" s="1">
        <f t="shared" si="7"/>
        <v>0</v>
      </c>
    </row>
    <row r="249" spans="1:17" x14ac:dyDescent="0.2">
      <c r="A249" s="1">
        <f t="shared" si="6"/>
        <v>0</v>
      </c>
      <c r="B249" s="35">
        <f>COUNTIF($C$4:C249,C249)</f>
        <v>0</v>
      </c>
      <c r="C249" s="30"/>
      <c r="D249" s="34"/>
      <c r="E249" s="34"/>
      <c r="F249" s="31"/>
      <c r="G249" s="34"/>
      <c r="H249" s="32"/>
      <c r="I249" s="30"/>
      <c r="J249" s="30"/>
      <c r="K249" s="33"/>
      <c r="Q249" s="1">
        <f t="shared" si="7"/>
        <v>0</v>
      </c>
    </row>
    <row r="250" spans="1:17" x14ac:dyDescent="0.2">
      <c r="A250" s="1">
        <f t="shared" si="6"/>
        <v>0</v>
      </c>
      <c r="B250" s="35">
        <f>COUNTIF($C$4:C250,C250)</f>
        <v>0</v>
      </c>
      <c r="C250" s="30"/>
      <c r="D250" s="34"/>
      <c r="E250" s="34"/>
      <c r="F250" s="31"/>
      <c r="G250" s="34"/>
      <c r="H250" s="32"/>
      <c r="I250" s="30"/>
      <c r="J250" s="30"/>
      <c r="K250" s="33"/>
      <c r="Q250" s="1">
        <f t="shared" si="7"/>
        <v>0</v>
      </c>
    </row>
    <row r="251" spans="1:17" x14ac:dyDescent="0.2">
      <c r="A251" s="1">
        <f t="shared" si="6"/>
        <v>0</v>
      </c>
      <c r="B251" s="35">
        <f>COUNTIF($C$4:C251,C251)</f>
        <v>0</v>
      </c>
      <c r="C251" s="30"/>
      <c r="D251" s="34"/>
      <c r="E251" s="34"/>
      <c r="F251" s="31"/>
      <c r="G251" s="34"/>
      <c r="H251" s="32"/>
      <c r="I251" s="30"/>
      <c r="J251" s="30"/>
      <c r="K251" s="33"/>
      <c r="Q251" s="1">
        <f t="shared" si="7"/>
        <v>0</v>
      </c>
    </row>
    <row r="252" spans="1:17" x14ac:dyDescent="0.2">
      <c r="A252" s="1">
        <f t="shared" si="6"/>
        <v>0</v>
      </c>
      <c r="B252" s="35">
        <f>COUNTIF($C$4:C252,C252)</f>
        <v>0</v>
      </c>
      <c r="C252" s="30"/>
      <c r="D252" s="34"/>
      <c r="E252" s="34"/>
      <c r="F252" s="31"/>
      <c r="G252" s="34"/>
      <c r="H252" s="32"/>
      <c r="I252" s="30"/>
      <c r="J252" s="30"/>
      <c r="K252" s="33"/>
      <c r="Q252" s="1">
        <f t="shared" si="7"/>
        <v>0</v>
      </c>
    </row>
    <row r="253" spans="1:17" x14ac:dyDescent="0.2">
      <c r="A253" s="1">
        <f t="shared" si="6"/>
        <v>0</v>
      </c>
      <c r="B253" s="35">
        <f>COUNTIF($C$4:C253,C253)</f>
        <v>0</v>
      </c>
      <c r="C253" s="30"/>
      <c r="D253" s="34"/>
      <c r="E253" s="34"/>
      <c r="F253" s="31"/>
      <c r="G253" s="34"/>
      <c r="H253" s="32"/>
      <c r="I253" s="30"/>
      <c r="J253" s="30"/>
      <c r="K253" s="33"/>
      <c r="Q253" s="1">
        <f t="shared" si="7"/>
        <v>0</v>
      </c>
    </row>
    <row r="254" spans="1:17" x14ac:dyDescent="0.2">
      <c r="A254" s="1">
        <f t="shared" si="6"/>
        <v>0</v>
      </c>
      <c r="B254" s="35">
        <f>COUNTIF($C$4:C254,C254)</f>
        <v>0</v>
      </c>
      <c r="C254" s="30"/>
      <c r="D254" s="34"/>
      <c r="E254" s="34"/>
      <c r="F254" s="31"/>
      <c r="G254" s="34"/>
      <c r="H254" s="32"/>
      <c r="I254" s="30"/>
      <c r="J254" s="30"/>
      <c r="K254" s="33"/>
      <c r="Q254" s="1">
        <f t="shared" si="7"/>
        <v>0</v>
      </c>
    </row>
    <row r="255" spans="1:17" x14ac:dyDescent="0.2">
      <c r="A255" s="1">
        <f t="shared" si="6"/>
        <v>0</v>
      </c>
      <c r="B255" s="35">
        <f>COUNTIF($C$4:C255,C255)</f>
        <v>0</v>
      </c>
      <c r="C255" s="30"/>
      <c r="D255" s="34"/>
      <c r="E255" s="34"/>
      <c r="F255" s="31"/>
      <c r="G255" s="34"/>
      <c r="H255" s="32"/>
      <c r="I255" s="30"/>
      <c r="J255" s="30"/>
      <c r="K255" s="33"/>
      <c r="Q255" s="1">
        <f t="shared" si="7"/>
        <v>0</v>
      </c>
    </row>
    <row r="256" spans="1:17" x14ac:dyDescent="0.2">
      <c r="A256" s="1">
        <f t="shared" si="6"/>
        <v>0</v>
      </c>
      <c r="B256" s="35">
        <f>COUNTIF($C$4:C256,C256)</f>
        <v>0</v>
      </c>
      <c r="C256" s="30"/>
      <c r="D256" s="34"/>
      <c r="E256" s="34"/>
      <c r="F256" s="31"/>
      <c r="G256" s="34"/>
      <c r="H256" s="32"/>
      <c r="I256" s="30"/>
      <c r="J256" s="30"/>
      <c r="K256" s="33"/>
      <c r="Q256" s="1">
        <f t="shared" si="7"/>
        <v>0</v>
      </c>
    </row>
    <row r="257" spans="1:17" x14ac:dyDescent="0.2">
      <c r="A257" s="1">
        <f t="shared" si="6"/>
        <v>0</v>
      </c>
      <c r="B257" s="35">
        <f>COUNTIF($C$4:C257,C257)</f>
        <v>0</v>
      </c>
      <c r="C257" s="30"/>
      <c r="D257" s="34"/>
      <c r="E257" s="34"/>
      <c r="F257" s="31"/>
      <c r="G257" s="34"/>
      <c r="H257" s="32"/>
      <c r="I257" s="30"/>
      <c r="J257" s="30"/>
      <c r="K257" s="33"/>
      <c r="Q257" s="1">
        <f t="shared" si="7"/>
        <v>0</v>
      </c>
    </row>
    <row r="258" spans="1:17" x14ac:dyDescent="0.2">
      <c r="A258" s="1">
        <f t="shared" si="6"/>
        <v>0</v>
      </c>
      <c r="B258" s="35">
        <f>COUNTIF($C$4:C258,C258)</f>
        <v>0</v>
      </c>
      <c r="C258" s="30"/>
      <c r="D258" s="34"/>
      <c r="E258" s="34"/>
      <c r="F258" s="31"/>
      <c r="G258" s="34"/>
      <c r="H258" s="32"/>
      <c r="I258" s="30"/>
      <c r="J258" s="30"/>
      <c r="K258" s="33"/>
      <c r="Q258" s="1">
        <f t="shared" si="7"/>
        <v>0</v>
      </c>
    </row>
    <row r="259" spans="1:17" x14ac:dyDescent="0.2">
      <c r="A259" s="1">
        <f t="shared" si="6"/>
        <v>0</v>
      </c>
      <c r="B259" s="35">
        <f>COUNTIF($C$4:C259,C259)</f>
        <v>0</v>
      </c>
      <c r="C259" s="30"/>
      <c r="D259" s="34"/>
      <c r="E259" s="34"/>
      <c r="F259" s="31"/>
      <c r="G259" s="34"/>
      <c r="H259" s="32"/>
      <c r="I259" s="30"/>
      <c r="J259" s="30"/>
      <c r="K259" s="33"/>
      <c r="Q259" s="1">
        <f t="shared" si="7"/>
        <v>0</v>
      </c>
    </row>
    <row r="260" spans="1:17" x14ac:dyDescent="0.2">
      <c r="A260" s="1">
        <f t="shared" ref="A260:A323" si="8">IF($A$1=Q260,A259+1,A259)</f>
        <v>0</v>
      </c>
      <c r="B260" s="35">
        <f>COUNTIF($C$4:C260,C260)</f>
        <v>0</v>
      </c>
      <c r="C260" s="30"/>
      <c r="D260" s="34"/>
      <c r="E260" s="34"/>
      <c r="F260" s="31"/>
      <c r="G260" s="34"/>
      <c r="H260" s="32"/>
      <c r="I260" s="30"/>
      <c r="J260" s="30"/>
      <c r="K260" s="33"/>
      <c r="Q260" s="1">
        <f t="shared" si="7"/>
        <v>0</v>
      </c>
    </row>
    <row r="261" spans="1:17" x14ac:dyDescent="0.2">
      <c r="A261" s="1">
        <f t="shared" si="8"/>
        <v>0</v>
      </c>
      <c r="B261" s="35">
        <f>COUNTIF($C$4:C261,C261)</f>
        <v>0</v>
      </c>
      <c r="C261" s="30"/>
      <c r="D261" s="34"/>
      <c r="E261" s="34"/>
      <c r="F261" s="31"/>
      <c r="G261" s="34"/>
      <c r="H261" s="32"/>
      <c r="I261" s="30"/>
      <c r="J261" s="30"/>
      <c r="K261" s="33"/>
      <c r="Q261" s="1">
        <f t="shared" ref="Q261:Q324" si="9">IF(ISERROR(VLOOKUP(C261,$O$1:$Q$2,3,FALSE))=TRUE,0,VLOOKUP(C261,$O$1:$Q$2,3,FALSE))</f>
        <v>0</v>
      </c>
    </row>
    <row r="262" spans="1:17" x14ac:dyDescent="0.2">
      <c r="A262" s="1">
        <f t="shared" si="8"/>
        <v>0</v>
      </c>
      <c r="B262" s="35">
        <f>COUNTIF($C$4:C262,C262)</f>
        <v>0</v>
      </c>
      <c r="C262" s="30"/>
      <c r="D262" s="34"/>
      <c r="E262" s="34"/>
      <c r="F262" s="31"/>
      <c r="G262" s="34"/>
      <c r="H262" s="32"/>
      <c r="I262" s="30"/>
      <c r="J262" s="30"/>
      <c r="K262" s="33"/>
      <c r="Q262" s="1">
        <f t="shared" si="9"/>
        <v>0</v>
      </c>
    </row>
    <row r="263" spans="1:17" x14ac:dyDescent="0.2">
      <c r="A263" s="1">
        <f t="shared" si="8"/>
        <v>0</v>
      </c>
      <c r="B263" s="35">
        <f>COUNTIF($C$4:C263,C263)</f>
        <v>0</v>
      </c>
      <c r="C263" s="30"/>
      <c r="D263" s="34"/>
      <c r="E263" s="34"/>
      <c r="F263" s="31"/>
      <c r="G263" s="34"/>
      <c r="H263" s="32"/>
      <c r="I263" s="30"/>
      <c r="J263" s="30"/>
      <c r="K263" s="33"/>
      <c r="Q263" s="1">
        <f t="shared" si="9"/>
        <v>0</v>
      </c>
    </row>
    <row r="264" spans="1:17" x14ac:dyDescent="0.2">
      <c r="A264" s="1">
        <f t="shared" si="8"/>
        <v>0</v>
      </c>
      <c r="B264" s="35">
        <f>COUNTIF($C$4:C264,C264)</f>
        <v>0</v>
      </c>
      <c r="C264" s="30"/>
      <c r="D264" s="34"/>
      <c r="E264" s="34"/>
      <c r="F264" s="31"/>
      <c r="G264" s="34"/>
      <c r="H264" s="32"/>
      <c r="I264" s="30"/>
      <c r="J264" s="30"/>
      <c r="K264" s="33"/>
      <c r="Q264" s="1">
        <f t="shared" si="9"/>
        <v>0</v>
      </c>
    </row>
    <row r="265" spans="1:17" x14ac:dyDescent="0.2">
      <c r="A265" s="1">
        <f t="shared" si="8"/>
        <v>0</v>
      </c>
      <c r="B265" s="35">
        <f>COUNTIF($C$4:C265,C265)</f>
        <v>0</v>
      </c>
      <c r="C265" s="30"/>
      <c r="D265" s="34"/>
      <c r="E265" s="34"/>
      <c r="F265" s="31"/>
      <c r="G265" s="34"/>
      <c r="H265" s="32"/>
      <c r="I265" s="30"/>
      <c r="J265" s="30"/>
      <c r="K265" s="33"/>
      <c r="Q265" s="1">
        <f t="shared" si="9"/>
        <v>0</v>
      </c>
    </row>
    <row r="266" spans="1:17" x14ac:dyDescent="0.2">
      <c r="A266" s="1">
        <f t="shared" si="8"/>
        <v>0</v>
      </c>
      <c r="B266" s="35">
        <f>COUNTIF($C$4:C266,C266)</f>
        <v>0</v>
      </c>
      <c r="C266" s="30"/>
      <c r="D266" s="34"/>
      <c r="E266" s="34"/>
      <c r="F266" s="31"/>
      <c r="G266" s="34"/>
      <c r="H266" s="32"/>
      <c r="I266" s="30"/>
      <c r="J266" s="30"/>
      <c r="K266" s="33"/>
      <c r="Q266" s="1">
        <f t="shared" si="9"/>
        <v>0</v>
      </c>
    </row>
    <row r="267" spans="1:17" x14ac:dyDescent="0.2">
      <c r="A267" s="1">
        <f t="shared" si="8"/>
        <v>0</v>
      </c>
      <c r="B267" s="35">
        <f>COUNTIF($C$4:C267,C267)</f>
        <v>0</v>
      </c>
      <c r="C267" s="30"/>
      <c r="D267" s="34"/>
      <c r="E267" s="34"/>
      <c r="F267" s="31"/>
      <c r="G267" s="34"/>
      <c r="H267" s="32"/>
      <c r="I267" s="30"/>
      <c r="J267" s="30"/>
      <c r="K267" s="33"/>
      <c r="Q267" s="1">
        <f t="shared" si="9"/>
        <v>0</v>
      </c>
    </row>
    <row r="268" spans="1:17" x14ac:dyDescent="0.2">
      <c r="A268" s="1">
        <f t="shared" si="8"/>
        <v>0</v>
      </c>
      <c r="B268" s="35">
        <f>COUNTIF($C$4:C268,C268)</f>
        <v>0</v>
      </c>
      <c r="C268" s="30"/>
      <c r="D268" s="34"/>
      <c r="E268" s="34"/>
      <c r="F268" s="31"/>
      <c r="G268" s="34"/>
      <c r="H268" s="32"/>
      <c r="I268" s="30"/>
      <c r="J268" s="30"/>
      <c r="K268" s="33"/>
      <c r="Q268" s="1">
        <f t="shared" si="9"/>
        <v>0</v>
      </c>
    </row>
    <row r="269" spans="1:17" x14ac:dyDescent="0.2">
      <c r="A269" s="1">
        <f t="shared" si="8"/>
        <v>0</v>
      </c>
      <c r="B269" s="35">
        <f>COUNTIF($C$4:C269,C269)</f>
        <v>0</v>
      </c>
      <c r="C269" s="30"/>
      <c r="D269" s="34"/>
      <c r="E269" s="34"/>
      <c r="F269" s="31"/>
      <c r="G269" s="34"/>
      <c r="H269" s="32"/>
      <c r="I269" s="30"/>
      <c r="J269" s="30"/>
      <c r="K269" s="33"/>
      <c r="Q269" s="1">
        <f t="shared" si="9"/>
        <v>0</v>
      </c>
    </row>
    <row r="270" spans="1:17" x14ac:dyDescent="0.2">
      <c r="A270" s="1">
        <f t="shared" si="8"/>
        <v>0</v>
      </c>
      <c r="B270" s="35">
        <f>COUNTIF($C$4:C270,C270)</f>
        <v>0</v>
      </c>
      <c r="C270" s="30"/>
      <c r="D270" s="34"/>
      <c r="E270" s="34"/>
      <c r="F270" s="31"/>
      <c r="G270" s="34"/>
      <c r="H270" s="32"/>
      <c r="I270" s="30"/>
      <c r="J270" s="30"/>
      <c r="K270" s="33"/>
      <c r="Q270" s="1">
        <f t="shared" si="9"/>
        <v>0</v>
      </c>
    </row>
    <row r="271" spans="1:17" x14ac:dyDescent="0.2">
      <c r="A271" s="1">
        <f t="shared" si="8"/>
        <v>0</v>
      </c>
      <c r="B271" s="35">
        <f>COUNTIF($C$4:C271,C271)</f>
        <v>0</v>
      </c>
      <c r="C271" s="30"/>
      <c r="D271" s="34"/>
      <c r="E271" s="34"/>
      <c r="F271" s="31"/>
      <c r="G271" s="34"/>
      <c r="H271" s="32"/>
      <c r="I271" s="30"/>
      <c r="J271" s="30"/>
      <c r="K271" s="33"/>
      <c r="Q271" s="1">
        <f t="shared" si="9"/>
        <v>0</v>
      </c>
    </row>
    <row r="272" spans="1:17" x14ac:dyDescent="0.2">
      <c r="A272" s="1">
        <f t="shared" si="8"/>
        <v>0</v>
      </c>
      <c r="B272" s="35">
        <f>COUNTIF($C$4:C272,C272)</f>
        <v>0</v>
      </c>
      <c r="C272" s="30"/>
      <c r="D272" s="34"/>
      <c r="E272" s="34"/>
      <c r="F272" s="31"/>
      <c r="G272" s="34"/>
      <c r="H272" s="32"/>
      <c r="I272" s="30"/>
      <c r="J272" s="30"/>
      <c r="K272" s="33"/>
      <c r="Q272" s="1">
        <f t="shared" si="9"/>
        <v>0</v>
      </c>
    </row>
    <row r="273" spans="1:17" x14ac:dyDescent="0.2">
      <c r="A273" s="1">
        <f t="shared" si="8"/>
        <v>0</v>
      </c>
      <c r="B273" s="35">
        <f>COUNTIF($C$4:C273,C273)</f>
        <v>0</v>
      </c>
      <c r="C273" s="30"/>
      <c r="D273" s="34"/>
      <c r="E273" s="34"/>
      <c r="F273" s="31"/>
      <c r="G273" s="34"/>
      <c r="H273" s="32"/>
      <c r="I273" s="30"/>
      <c r="J273" s="30"/>
      <c r="K273" s="33"/>
      <c r="Q273" s="1">
        <f t="shared" si="9"/>
        <v>0</v>
      </c>
    </row>
    <row r="274" spans="1:17" x14ac:dyDescent="0.2">
      <c r="A274" s="1">
        <f t="shared" si="8"/>
        <v>0</v>
      </c>
      <c r="B274" s="35">
        <f>COUNTIF($C$4:C274,C274)</f>
        <v>0</v>
      </c>
      <c r="C274" s="30"/>
      <c r="D274" s="34"/>
      <c r="E274" s="34"/>
      <c r="F274" s="31"/>
      <c r="G274" s="34"/>
      <c r="H274" s="32"/>
      <c r="I274" s="30"/>
      <c r="J274" s="30"/>
      <c r="K274" s="33"/>
      <c r="Q274" s="1">
        <f t="shared" si="9"/>
        <v>0</v>
      </c>
    </row>
    <row r="275" spans="1:17" x14ac:dyDescent="0.2">
      <c r="A275" s="1">
        <f t="shared" si="8"/>
        <v>0</v>
      </c>
      <c r="B275" s="35">
        <f>COUNTIF($C$4:C275,C275)</f>
        <v>0</v>
      </c>
      <c r="C275" s="30"/>
      <c r="D275" s="34"/>
      <c r="E275" s="34"/>
      <c r="F275" s="31"/>
      <c r="G275" s="34"/>
      <c r="H275" s="32"/>
      <c r="I275" s="30"/>
      <c r="J275" s="30"/>
      <c r="K275" s="33"/>
      <c r="Q275" s="1">
        <f t="shared" si="9"/>
        <v>0</v>
      </c>
    </row>
    <row r="276" spans="1:17" x14ac:dyDescent="0.2">
      <c r="A276" s="1">
        <f t="shared" si="8"/>
        <v>0</v>
      </c>
      <c r="B276" s="35">
        <f>COUNTIF($C$4:C276,C276)</f>
        <v>0</v>
      </c>
      <c r="C276" s="30"/>
      <c r="D276" s="34"/>
      <c r="E276" s="34"/>
      <c r="F276" s="31"/>
      <c r="G276" s="34"/>
      <c r="H276" s="32"/>
      <c r="I276" s="30"/>
      <c r="J276" s="30"/>
      <c r="K276" s="33"/>
      <c r="Q276" s="1">
        <f t="shared" si="9"/>
        <v>0</v>
      </c>
    </row>
    <row r="277" spans="1:17" x14ac:dyDescent="0.2">
      <c r="A277" s="1">
        <f t="shared" si="8"/>
        <v>0</v>
      </c>
      <c r="B277" s="35">
        <f>COUNTIF($C$4:C277,C277)</f>
        <v>0</v>
      </c>
      <c r="C277" s="30"/>
      <c r="D277" s="34"/>
      <c r="E277" s="34"/>
      <c r="F277" s="31"/>
      <c r="G277" s="34"/>
      <c r="H277" s="32"/>
      <c r="I277" s="30"/>
      <c r="J277" s="30"/>
      <c r="K277" s="33"/>
      <c r="Q277" s="1">
        <f t="shared" si="9"/>
        <v>0</v>
      </c>
    </row>
    <row r="278" spans="1:17" x14ac:dyDescent="0.2">
      <c r="A278" s="1">
        <f t="shared" si="8"/>
        <v>0</v>
      </c>
      <c r="B278" s="35">
        <f>COUNTIF($C$4:C278,C278)</f>
        <v>0</v>
      </c>
      <c r="C278" s="30"/>
      <c r="D278" s="34"/>
      <c r="E278" s="34"/>
      <c r="F278" s="31"/>
      <c r="G278" s="34"/>
      <c r="H278" s="32"/>
      <c r="I278" s="30"/>
      <c r="J278" s="30"/>
      <c r="K278" s="33"/>
      <c r="Q278" s="1">
        <f t="shared" si="9"/>
        <v>0</v>
      </c>
    </row>
    <row r="279" spans="1:17" x14ac:dyDescent="0.2">
      <c r="A279" s="1">
        <f t="shared" si="8"/>
        <v>0</v>
      </c>
      <c r="B279" s="35">
        <f>COUNTIF($C$4:C279,C279)</f>
        <v>0</v>
      </c>
      <c r="C279" s="30"/>
      <c r="D279" s="34"/>
      <c r="E279" s="34"/>
      <c r="F279" s="31"/>
      <c r="G279" s="34"/>
      <c r="H279" s="32"/>
      <c r="I279" s="30"/>
      <c r="J279" s="30"/>
      <c r="K279" s="33"/>
      <c r="Q279" s="1">
        <f t="shared" si="9"/>
        <v>0</v>
      </c>
    </row>
    <row r="280" spans="1:17" x14ac:dyDescent="0.2">
      <c r="A280" s="1">
        <f t="shared" si="8"/>
        <v>0</v>
      </c>
      <c r="B280" s="35">
        <f>COUNTIF($C$4:C280,C280)</f>
        <v>0</v>
      </c>
      <c r="C280" s="30"/>
      <c r="D280" s="34"/>
      <c r="E280" s="34"/>
      <c r="F280" s="31"/>
      <c r="G280" s="34"/>
      <c r="H280" s="32"/>
      <c r="I280" s="30"/>
      <c r="J280" s="30"/>
      <c r="K280" s="33"/>
      <c r="Q280" s="1">
        <f t="shared" si="9"/>
        <v>0</v>
      </c>
    </row>
    <row r="281" spans="1:17" x14ac:dyDescent="0.2">
      <c r="A281" s="1">
        <f t="shared" si="8"/>
        <v>0</v>
      </c>
      <c r="B281" s="35">
        <f>COUNTIF($C$4:C281,C281)</f>
        <v>0</v>
      </c>
      <c r="C281" s="30"/>
      <c r="D281" s="34"/>
      <c r="E281" s="34"/>
      <c r="F281" s="31"/>
      <c r="G281" s="34"/>
      <c r="H281" s="32"/>
      <c r="I281" s="30"/>
      <c r="J281" s="30"/>
      <c r="K281" s="33"/>
      <c r="Q281" s="1">
        <f t="shared" si="9"/>
        <v>0</v>
      </c>
    </row>
    <row r="282" spans="1:17" x14ac:dyDescent="0.2">
      <c r="A282" s="1">
        <f t="shared" si="8"/>
        <v>0</v>
      </c>
      <c r="B282" s="35">
        <f>COUNTIF($C$4:C282,C282)</f>
        <v>0</v>
      </c>
      <c r="C282" s="30"/>
      <c r="D282" s="34"/>
      <c r="E282" s="34"/>
      <c r="F282" s="31"/>
      <c r="G282" s="34"/>
      <c r="H282" s="32"/>
      <c r="I282" s="30"/>
      <c r="J282" s="30"/>
      <c r="K282" s="33"/>
      <c r="Q282" s="1">
        <f t="shared" si="9"/>
        <v>0</v>
      </c>
    </row>
    <row r="283" spans="1:17" x14ac:dyDescent="0.2">
      <c r="A283" s="1">
        <f t="shared" si="8"/>
        <v>0</v>
      </c>
      <c r="B283" s="35">
        <f>COUNTIF($C$4:C283,C283)</f>
        <v>0</v>
      </c>
      <c r="C283" s="30"/>
      <c r="D283" s="34"/>
      <c r="E283" s="34"/>
      <c r="F283" s="31"/>
      <c r="G283" s="34"/>
      <c r="H283" s="32"/>
      <c r="I283" s="30"/>
      <c r="J283" s="30"/>
      <c r="K283" s="33"/>
      <c r="Q283" s="1">
        <f t="shared" si="9"/>
        <v>0</v>
      </c>
    </row>
    <row r="284" spans="1:17" x14ac:dyDescent="0.2">
      <c r="A284" s="1">
        <f t="shared" si="8"/>
        <v>0</v>
      </c>
      <c r="B284" s="35">
        <f>COUNTIF($C$4:C284,C284)</f>
        <v>0</v>
      </c>
      <c r="C284" s="30"/>
      <c r="D284" s="34"/>
      <c r="E284" s="34"/>
      <c r="F284" s="31"/>
      <c r="G284" s="34"/>
      <c r="H284" s="32"/>
      <c r="I284" s="30"/>
      <c r="J284" s="30"/>
      <c r="K284" s="33"/>
      <c r="Q284" s="1">
        <f t="shared" si="9"/>
        <v>0</v>
      </c>
    </row>
    <row r="285" spans="1:17" x14ac:dyDescent="0.2">
      <c r="A285" s="1">
        <f t="shared" si="8"/>
        <v>0</v>
      </c>
      <c r="B285" s="35">
        <f>COUNTIF($C$4:C285,C285)</f>
        <v>0</v>
      </c>
      <c r="C285" s="30"/>
      <c r="D285" s="34"/>
      <c r="E285" s="34"/>
      <c r="F285" s="31"/>
      <c r="G285" s="34"/>
      <c r="H285" s="32"/>
      <c r="I285" s="30"/>
      <c r="J285" s="30"/>
      <c r="K285" s="33"/>
      <c r="Q285" s="1">
        <f t="shared" si="9"/>
        <v>0</v>
      </c>
    </row>
    <row r="286" spans="1:17" x14ac:dyDescent="0.2">
      <c r="A286" s="1">
        <f t="shared" si="8"/>
        <v>0</v>
      </c>
      <c r="B286" s="35">
        <f>COUNTIF($C$4:C286,C286)</f>
        <v>0</v>
      </c>
      <c r="C286" s="30"/>
      <c r="D286" s="34"/>
      <c r="E286" s="34"/>
      <c r="F286" s="31"/>
      <c r="G286" s="34"/>
      <c r="H286" s="32"/>
      <c r="I286" s="30"/>
      <c r="J286" s="30"/>
      <c r="K286" s="33"/>
      <c r="Q286" s="1">
        <f t="shared" si="9"/>
        <v>0</v>
      </c>
    </row>
    <row r="287" spans="1:17" x14ac:dyDescent="0.2">
      <c r="A287" s="1">
        <f t="shared" si="8"/>
        <v>0</v>
      </c>
      <c r="B287" s="35">
        <f>COUNTIF($C$4:C287,C287)</f>
        <v>0</v>
      </c>
      <c r="C287" s="30"/>
      <c r="D287" s="34"/>
      <c r="E287" s="34"/>
      <c r="F287" s="31"/>
      <c r="G287" s="34"/>
      <c r="H287" s="32"/>
      <c r="I287" s="30"/>
      <c r="J287" s="30"/>
      <c r="K287" s="33"/>
      <c r="Q287" s="1">
        <f t="shared" si="9"/>
        <v>0</v>
      </c>
    </row>
    <row r="288" spans="1:17" x14ac:dyDescent="0.2">
      <c r="A288" s="1">
        <f t="shared" si="8"/>
        <v>0</v>
      </c>
      <c r="B288" s="35">
        <f>COUNTIF($C$4:C288,C288)</f>
        <v>0</v>
      </c>
      <c r="C288" s="30"/>
      <c r="D288" s="34"/>
      <c r="E288" s="34"/>
      <c r="F288" s="31"/>
      <c r="G288" s="34"/>
      <c r="H288" s="32"/>
      <c r="I288" s="30"/>
      <c r="J288" s="30"/>
      <c r="K288" s="33"/>
      <c r="Q288" s="1">
        <f t="shared" si="9"/>
        <v>0</v>
      </c>
    </row>
    <row r="289" spans="1:17" x14ac:dyDescent="0.2">
      <c r="A289" s="1">
        <f t="shared" si="8"/>
        <v>0</v>
      </c>
      <c r="B289" s="35">
        <f>COUNTIF($C$4:C289,C289)</f>
        <v>0</v>
      </c>
      <c r="C289" s="30"/>
      <c r="D289" s="34"/>
      <c r="E289" s="34"/>
      <c r="F289" s="31"/>
      <c r="G289" s="34"/>
      <c r="H289" s="32"/>
      <c r="I289" s="30"/>
      <c r="J289" s="30"/>
      <c r="K289" s="33"/>
      <c r="Q289" s="1">
        <f t="shared" si="9"/>
        <v>0</v>
      </c>
    </row>
    <row r="290" spans="1:17" x14ac:dyDescent="0.2">
      <c r="A290" s="1">
        <f t="shared" si="8"/>
        <v>0</v>
      </c>
      <c r="B290" s="35">
        <f>COUNTIF($C$4:C290,C290)</f>
        <v>0</v>
      </c>
      <c r="C290" s="30"/>
      <c r="D290" s="34"/>
      <c r="E290" s="34"/>
      <c r="F290" s="31"/>
      <c r="G290" s="34"/>
      <c r="H290" s="32"/>
      <c r="I290" s="30"/>
      <c r="J290" s="30"/>
      <c r="K290" s="33"/>
      <c r="Q290" s="1">
        <f t="shared" si="9"/>
        <v>0</v>
      </c>
    </row>
    <row r="291" spans="1:17" x14ac:dyDescent="0.2">
      <c r="A291" s="1">
        <f t="shared" si="8"/>
        <v>0</v>
      </c>
      <c r="B291" s="35">
        <f>COUNTIF($C$4:C291,C291)</f>
        <v>0</v>
      </c>
      <c r="C291" s="30"/>
      <c r="D291" s="34"/>
      <c r="E291" s="34"/>
      <c r="F291" s="31"/>
      <c r="G291" s="34"/>
      <c r="H291" s="32"/>
      <c r="I291" s="30"/>
      <c r="J291" s="30"/>
      <c r="K291" s="33"/>
      <c r="Q291" s="1">
        <f t="shared" si="9"/>
        <v>0</v>
      </c>
    </row>
    <row r="292" spans="1:17" x14ac:dyDescent="0.2">
      <c r="A292" s="1">
        <f t="shared" si="8"/>
        <v>0</v>
      </c>
      <c r="B292" s="35">
        <f>COUNTIF($C$4:C292,C292)</f>
        <v>0</v>
      </c>
      <c r="C292" s="30"/>
      <c r="D292" s="34"/>
      <c r="E292" s="34"/>
      <c r="F292" s="31"/>
      <c r="G292" s="34"/>
      <c r="H292" s="32"/>
      <c r="I292" s="30"/>
      <c r="J292" s="30"/>
      <c r="K292" s="33"/>
      <c r="Q292" s="1">
        <f t="shared" si="9"/>
        <v>0</v>
      </c>
    </row>
    <row r="293" spans="1:17" x14ac:dyDescent="0.2">
      <c r="A293" s="1">
        <f t="shared" si="8"/>
        <v>0</v>
      </c>
      <c r="B293" s="35">
        <f>COUNTIF($C$4:C293,C293)</f>
        <v>0</v>
      </c>
      <c r="C293" s="30"/>
      <c r="D293" s="34"/>
      <c r="E293" s="34"/>
      <c r="F293" s="31"/>
      <c r="G293" s="34"/>
      <c r="H293" s="32"/>
      <c r="I293" s="30"/>
      <c r="J293" s="30"/>
      <c r="K293" s="33"/>
      <c r="Q293" s="1">
        <f t="shared" si="9"/>
        <v>0</v>
      </c>
    </row>
    <row r="294" spans="1:17" x14ac:dyDescent="0.2">
      <c r="A294" s="1">
        <f t="shared" si="8"/>
        <v>0</v>
      </c>
      <c r="B294" s="35">
        <f>COUNTIF($C$4:C294,C294)</f>
        <v>0</v>
      </c>
      <c r="C294" s="30"/>
      <c r="D294" s="34"/>
      <c r="E294" s="34"/>
      <c r="F294" s="31"/>
      <c r="G294" s="34"/>
      <c r="H294" s="32"/>
      <c r="I294" s="30"/>
      <c r="J294" s="30"/>
      <c r="K294" s="33"/>
      <c r="Q294" s="1">
        <f t="shared" si="9"/>
        <v>0</v>
      </c>
    </row>
    <row r="295" spans="1:17" x14ac:dyDescent="0.2">
      <c r="A295" s="1">
        <f t="shared" si="8"/>
        <v>0</v>
      </c>
      <c r="B295" s="35">
        <f>COUNTIF($C$4:C295,C295)</f>
        <v>0</v>
      </c>
      <c r="C295" s="30"/>
      <c r="D295" s="34"/>
      <c r="E295" s="34"/>
      <c r="F295" s="31"/>
      <c r="G295" s="34"/>
      <c r="H295" s="32"/>
      <c r="I295" s="30"/>
      <c r="J295" s="30"/>
      <c r="K295" s="33"/>
      <c r="Q295" s="1">
        <f t="shared" si="9"/>
        <v>0</v>
      </c>
    </row>
    <row r="296" spans="1:17" x14ac:dyDescent="0.2">
      <c r="A296" s="1">
        <f t="shared" si="8"/>
        <v>0</v>
      </c>
      <c r="B296" s="35">
        <f>COUNTIF($C$4:C296,C296)</f>
        <v>0</v>
      </c>
      <c r="C296" s="30"/>
      <c r="D296" s="34"/>
      <c r="E296" s="34"/>
      <c r="F296" s="31"/>
      <c r="G296" s="34"/>
      <c r="H296" s="32"/>
      <c r="I296" s="30"/>
      <c r="J296" s="30"/>
      <c r="K296" s="33"/>
      <c r="Q296" s="1">
        <f t="shared" si="9"/>
        <v>0</v>
      </c>
    </row>
    <row r="297" spans="1:17" x14ac:dyDescent="0.2">
      <c r="A297" s="1">
        <f t="shared" si="8"/>
        <v>0</v>
      </c>
      <c r="B297" s="35">
        <f>COUNTIF($C$4:C297,C297)</f>
        <v>0</v>
      </c>
      <c r="C297" s="30"/>
      <c r="D297" s="34"/>
      <c r="E297" s="34"/>
      <c r="F297" s="31"/>
      <c r="G297" s="34"/>
      <c r="H297" s="32"/>
      <c r="I297" s="30"/>
      <c r="J297" s="30"/>
      <c r="K297" s="33"/>
      <c r="Q297" s="1">
        <f t="shared" si="9"/>
        <v>0</v>
      </c>
    </row>
    <row r="298" spans="1:17" x14ac:dyDescent="0.2">
      <c r="A298" s="1">
        <f t="shared" si="8"/>
        <v>0</v>
      </c>
      <c r="B298" s="35">
        <f>COUNTIF($C$4:C298,C298)</f>
        <v>0</v>
      </c>
      <c r="C298" s="30"/>
      <c r="D298" s="34"/>
      <c r="E298" s="34"/>
      <c r="F298" s="31"/>
      <c r="G298" s="34"/>
      <c r="H298" s="32"/>
      <c r="I298" s="30"/>
      <c r="J298" s="30"/>
      <c r="K298" s="33"/>
      <c r="Q298" s="1">
        <f t="shared" si="9"/>
        <v>0</v>
      </c>
    </row>
    <row r="299" spans="1:17" x14ac:dyDescent="0.2">
      <c r="A299" s="1">
        <f t="shared" si="8"/>
        <v>0</v>
      </c>
      <c r="B299" s="35">
        <f>COUNTIF($C$4:C299,C299)</f>
        <v>0</v>
      </c>
      <c r="C299" s="30"/>
      <c r="D299" s="34"/>
      <c r="E299" s="34"/>
      <c r="F299" s="31"/>
      <c r="G299" s="34"/>
      <c r="H299" s="32"/>
      <c r="I299" s="30"/>
      <c r="J299" s="30"/>
      <c r="K299" s="33"/>
      <c r="Q299" s="1">
        <f t="shared" si="9"/>
        <v>0</v>
      </c>
    </row>
    <row r="300" spans="1:17" x14ac:dyDescent="0.2">
      <c r="A300" s="1">
        <f t="shared" si="8"/>
        <v>0</v>
      </c>
      <c r="B300" s="35">
        <f>COUNTIF($C$4:C300,C300)</f>
        <v>0</v>
      </c>
      <c r="C300" s="30"/>
      <c r="D300" s="34"/>
      <c r="E300" s="34"/>
      <c r="F300" s="31"/>
      <c r="G300" s="34"/>
      <c r="H300" s="32"/>
      <c r="I300" s="30"/>
      <c r="J300" s="30"/>
      <c r="K300" s="33"/>
      <c r="Q300" s="1">
        <f t="shared" si="9"/>
        <v>0</v>
      </c>
    </row>
    <row r="301" spans="1:17" x14ac:dyDescent="0.2">
      <c r="A301" s="1">
        <f t="shared" si="8"/>
        <v>0</v>
      </c>
      <c r="B301" s="35">
        <f>COUNTIF($C$4:C301,C301)</f>
        <v>0</v>
      </c>
      <c r="C301" s="30"/>
      <c r="D301" s="34"/>
      <c r="E301" s="34"/>
      <c r="F301" s="31"/>
      <c r="G301" s="34"/>
      <c r="H301" s="32"/>
      <c r="I301" s="30"/>
      <c r="J301" s="30"/>
      <c r="K301" s="33"/>
      <c r="Q301" s="1">
        <f t="shared" si="9"/>
        <v>0</v>
      </c>
    </row>
    <row r="302" spans="1:17" x14ac:dyDescent="0.2">
      <c r="A302" s="1">
        <f t="shared" si="8"/>
        <v>0</v>
      </c>
      <c r="B302" s="35">
        <f>COUNTIF($C$4:C302,C302)</f>
        <v>0</v>
      </c>
      <c r="C302" s="30"/>
      <c r="D302" s="34"/>
      <c r="E302" s="34"/>
      <c r="F302" s="31"/>
      <c r="G302" s="34"/>
      <c r="H302" s="32"/>
      <c r="I302" s="30"/>
      <c r="J302" s="30"/>
      <c r="K302" s="33"/>
      <c r="Q302" s="1">
        <f t="shared" si="9"/>
        <v>0</v>
      </c>
    </row>
    <row r="303" spans="1:17" x14ac:dyDescent="0.2">
      <c r="A303" s="1">
        <f t="shared" si="8"/>
        <v>0</v>
      </c>
      <c r="B303" s="35">
        <f>COUNTIF($C$4:C303,C303)</f>
        <v>0</v>
      </c>
      <c r="C303" s="30"/>
      <c r="D303" s="34"/>
      <c r="E303" s="34"/>
      <c r="F303" s="31"/>
      <c r="G303" s="34"/>
      <c r="H303" s="32"/>
      <c r="I303" s="30"/>
      <c r="J303" s="30"/>
      <c r="K303" s="33"/>
      <c r="Q303" s="1">
        <f t="shared" si="9"/>
        <v>0</v>
      </c>
    </row>
    <row r="304" spans="1:17" x14ac:dyDescent="0.2">
      <c r="A304" s="1">
        <f t="shared" si="8"/>
        <v>0</v>
      </c>
      <c r="B304" s="35">
        <f>COUNTIF($C$4:C304,C304)</f>
        <v>0</v>
      </c>
      <c r="C304" s="30"/>
      <c r="D304" s="34"/>
      <c r="E304" s="34"/>
      <c r="F304" s="31"/>
      <c r="G304" s="34"/>
      <c r="H304" s="32"/>
      <c r="I304" s="30"/>
      <c r="J304" s="30"/>
      <c r="K304" s="33"/>
      <c r="Q304" s="1">
        <f t="shared" si="9"/>
        <v>0</v>
      </c>
    </row>
    <row r="305" spans="1:17" x14ac:dyDescent="0.2">
      <c r="A305" s="1">
        <f t="shared" si="8"/>
        <v>0</v>
      </c>
      <c r="B305" s="35">
        <f>COUNTIF($C$4:C305,C305)</f>
        <v>0</v>
      </c>
      <c r="C305" s="30"/>
      <c r="D305" s="34"/>
      <c r="E305" s="34"/>
      <c r="F305" s="31"/>
      <c r="G305" s="34"/>
      <c r="H305" s="32"/>
      <c r="I305" s="30"/>
      <c r="J305" s="30"/>
      <c r="K305" s="33"/>
      <c r="Q305" s="1">
        <f t="shared" si="9"/>
        <v>0</v>
      </c>
    </row>
    <row r="306" spans="1:17" x14ac:dyDescent="0.2">
      <c r="A306" s="1">
        <f t="shared" si="8"/>
        <v>0</v>
      </c>
      <c r="B306" s="35">
        <f>COUNTIF($C$4:C306,C306)</f>
        <v>0</v>
      </c>
      <c r="C306" s="30"/>
      <c r="D306" s="34"/>
      <c r="E306" s="34"/>
      <c r="F306" s="31"/>
      <c r="G306" s="34"/>
      <c r="H306" s="32"/>
      <c r="I306" s="30"/>
      <c r="J306" s="30"/>
      <c r="K306" s="33"/>
      <c r="Q306" s="1">
        <f t="shared" si="9"/>
        <v>0</v>
      </c>
    </row>
    <row r="307" spans="1:17" x14ac:dyDescent="0.2">
      <c r="A307" s="1">
        <f t="shared" si="8"/>
        <v>0</v>
      </c>
      <c r="B307" s="35">
        <f>COUNTIF($C$4:C307,C307)</f>
        <v>0</v>
      </c>
      <c r="C307" s="30"/>
      <c r="D307" s="34"/>
      <c r="E307" s="34"/>
      <c r="F307" s="31"/>
      <c r="G307" s="34"/>
      <c r="H307" s="32"/>
      <c r="I307" s="30"/>
      <c r="J307" s="30"/>
      <c r="K307" s="33"/>
      <c r="Q307" s="1">
        <f t="shared" si="9"/>
        <v>0</v>
      </c>
    </row>
    <row r="308" spans="1:17" x14ac:dyDescent="0.2">
      <c r="A308" s="1">
        <f t="shared" si="8"/>
        <v>0</v>
      </c>
      <c r="B308" s="35">
        <f>COUNTIF($C$4:C308,C308)</f>
        <v>0</v>
      </c>
      <c r="C308" s="30"/>
      <c r="D308" s="34"/>
      <c r="E308" s="34"/>
      <c r="F308" s="31"/>
      <c r="G308" s="34"/>
      <c r="H308" s="32"/>
      <c r="I308" s="30"/>
      <c r="J308" s="30"/>
      <c r="K308" s="33"/>
      <c r="Q308" s="1">
        <f t="shared" si="9"/>
        <v>0</v>
      </c>
    </row>
    <row r="309" spans="1:17" x14ac:dyDescent="0.2">
      <c r="A309" s="1">
        <f t="shared" si="8"/>
        <v>0</v>
      </c>
      <c r="B309" s="35">
        <f>COUNTIF($C$4:C309,C309)</f>
        <v>0</v>
      </c>
      <c r="C309" s="30"/>
      <c r="D309" s="34"/>
      <c r="E309" s="34"/>
      <c r="F309" s="31"/>
      <c r="G309" s="34"/>
      <c r="H309" s="32"/>
      <c r="I309" s="30"/>
      <c r="J309" s="30"/>
      <c r="K309" s="33"/>
      <c r="Q309" s="1">
        <f t="shared" si="9"/>
        <v>0</v>
      </c>
    </row>
    <row r="310" spans="1:17" x14ac:dyDescent="0.2">
      <c r="A310" s="1">
        <f t="shared" si="8"/>
        <v>0</v>
      </c>
      <c r="B310" s="35">
        <f>COUNTIF($C$4:C310,C310)</f>
        <v>0</v>
      </c>
      <c r="C310" s="30"/>
      <c r="D310" s="34"/>
      <c r="E310" s="34"/>
      <c r="F310" s="31"/>
      <c r="G310" s="34"/>
      <c r="H310" s="32"/>
      <c r="I310" s="30"/>
      <c r="J310" s="30"/>
      <c r="K310" s="33"/>
      <c r="Q310" s="1">
        <f t="shared" si="9"/>
        <v>0</v>
      </c>
    </row>
    <row r="311" spans="1:17" x14ac:dyDescent="0.2">
      <c r="A311" s="1">
        <f t="shared" si="8"/>
        <v>0</v>
      </c>
      <c r="B311" s="35">
        <f>COUNTIF($C$4:C311,C311)</f>
        <v>0</v>
      </c>
      <c r="C311" s="30"/>
      <c r="D311" s="34"/>
      <c r="E311" s="34"/>
      <c r="F311" s="31"/>
      <c r="G311" s="34"/>
      <c r="H311" s="32"/>
      <c r="I311" s="30"/>
      <c r="J311" s="30"/>
      <c r="K311" s="33"/>
      <c r="Q311" s="1">
        <f t="shared" si="9"/>
        <v>0</v>
      </c>
    </row>
    <row r="312" spans="1:17" x14ac:dyDescent="0.2">
      <c r="A312" s="1">
        <f t="shared" si="8"/>
        <v>0</v>
      </c>
      <c r="B312" s="35">
        <f>COUNTIF($C$4:C312,C312)</f>
        <v>0</v>
      </c>
      <c r="C312" s="30"/>
      <c r="D312" s="34"/>
      <c r="E312" s="34"/>
      <c r="F312" s="31"/>
      <c r="G312" s="34"/>
      <c r="H312" s="32"/>
      <c r="I312" s="30"/>
      <c r="J312" s="30"/>
      <c r="K312" s="33"/>
      <c r="Q312" s="1">
        <f t="shared" si="9"/>
        <v>0</v>
      </c>
    </row>
    <row r="313" spans="1:17" x14ac:dyDescent="0.2">
      <c r="A313" s="1">
        <f t="shared" si="8"/>
        <v>0</v>
      </c>
      <c r="B313" s="35">
        <f>COUNTIF($C$4:C313,C313)</f>
        <v>0</v>
      </c>
      <c r="C313" s="30"/>
      <c r="D313" s="34"/>
      <c r="E313" s="34"/>
      <c r="F313" s="31"/>
      <c r="G313" s="34"/>
      <c r="H313" s="32"/>
      <c r="I313" s="30"/>
      <c r="J313" s="30"/>
      <c r="K313" s="33"/>
      <c r="Q313" s="1">
        <f t="shared" si="9"/>
        <v>0</v>
      </c>
    </row>
    <row r="314" spans="1:17" x14ac:dyDescent="0.2">
      <c r="A314" s="1">
        <f t="shared" si="8"/>
        <v>0</v>
      </c>
      <c r="B314" s="35">
        <f>COUNTIF($C$4:C314,C314)</f>
        <v>0</v>
      </c>
      <c r="C314" s="30"/>
      <c r="D314" s="34"/>
      <c r="E314" s="34"/>
      <c r="F314" s="31"/>
      <c r="G314" s="34"/>
      <c r="H314" s="32"/>
      <c r="I314" s="30"/>
      <c r="J314" s="30"/>
      <c r="K314" s="33"/>
      <c r="Q314" s="1">
        <f t="shared" si="9"/>
        <v>0</v>
      </c>
    </row>
    <row r="315" spans="1:17" x14ac:dyDescent="0.2">
      <c r="A315" s="1">
        <f t="shared" si="8"/>
        <v>0</v>
      </c>
      <c r="B315" s="35">
        <f>COUNTIF($C$4:C315,C315)</f>
        <v>0</v>
      </c>
      <c r="C315" s="30"/>
      <c r="D315" s="34"/>
      <c r="E315" s="34"/>
      <c r="F315" s="31"/>
      <c r="G315" s="34"/>
      <c r="H315" s="32"/>
      <c r="I315" s="30"/>
      <c r="J315" s="30"/>
      <c r="K315" s="33"/>
      <c r="Q315" s="1">
        <f t="shared" si="9"/>
        <v>0</v>
      </c>
    </row>
    <row r="316" spans="1:17" x14ac:dyDescent="0.2">
      <c r="A316" s="1">
        <f t="shared" si="8"/>
        <v>0</v>
      </c>
      <c r="B316" s="35">
        <f>COUNTIF($C$4:C316,C316)</f>
        <v>0</v>
      </c>
      <c r="C316" s="30"/>
      <c r="D316" s="34"/>
      <c r="E316" s="34"/>
      <c r="F316" s="31"/>
      <c r="G316" s="34"/>
      <c r="H316" s="32"/>
      <c r="I316" s="30"/>
      <c r="J316" s="30"/>
      <c r="K316" s="33"/>
      <c r="Q316" s="1">
        <f t="shared" si="9"/>
        <v>0</v>
      </c>
    </row>
    <row r="317" spans="1:17" x14ac:dyDescent="0.2">
      <c r="A317" s="1">
        <f t="shared" si="8"/>
        <v>0</v>
      </c>
      <c r="B317" s="35">
        <f>COUNTIF($C$4:C317,C317)</f>
        <v>0</v>
      </c>
      <c r="C317" s="30"/>
      <c r="D317" s="34"/>
      <c r="E317" s="34"/>
      <c r="F317" s="31"/>
      <c r="G317" s="34"/>
      <c r="H317" s="32"/>
      <c r="I317" s="30"/>
      <c r="J317" s="30"/>
      <c r="K317" s="33"/>
      <c r="Q317" s="1">
        <f t="shared" si="9"/>
        <v>0</v>
      </c>
    </row>
    <row r="318" spans="1:17" x14ac:dyDescent="0.2">
      <c r="A318" s="1">
        <f t="shared" si="8"/>
        <v>0</v>
      </c>
      <c r="B318" s="35">
        <f>COUNTIF($C$4:C318,C318)</f>
        <v>0</v>
      </c>
      <c r="C318" s="30"/>
      <c r="D318" s="34"/>
      <c r="E318" s="34"/>
      <c r="F318" s="31"/>
      <c r="G318" s="34"/>
      <c r="H318" s="32"/>
      <c r="I318" s="30"/>
      <c r="J318" s="30"/>
      <c r="K318" s="33"/>
      <c r="Q318" s="1">
        <f t="shared" si="9"/>
        <v>0</v>
      </c>
    </row>
    <row r="319" spans="1:17" x14ac:dyDescent="0.2">
      <c r="A319" s="1">
        <f t="shared" si="8"/>
        <v>0</v>
      </c>
      <c r="B319" s="35">
        <f>COUNTIF($C$4:C319,C319)</f>
        <v>0</v>
      </c>
      <c r="C319" s="30"/>
      <c r="D319" s="34"/>
      <c r="E319" s="34"/>
      <c r="F319" s="31"/>
      <c r="G319" s="34"/>
      <c r="H319" s="32"/>
      <c r="I319" s="30"/>
      <c r="J319" s="30"/>
      <c r="K319" s="33"/>
      <c r="Q319" s="1">
        <f t="shared" si="9"/>
        <v>0</v>
      </c>
    </row>
    <row r="320" spans="1:17" x14ac:dyDescent="0.2">
      <c r="A320" s="1">
        <f t="shared" si="8"/>
        <v>0</v>
      </c>
      <c r="B320" s="35">
        <f>COUNTIF($C$4:C320,C320)</f>
        <v>0</v>
      </c>
      <c r="C320" s="30"/>
      <c r="D320" s="34"/>
      <c r="E320" s="34"/>
      <c r="F320" s="31"/>
      <c r="G320" s="34"/>
      <c r="H320" s="32"/>
      <c r="I320" s="30"/>
      <c r="J320" s="30"/>
      <c r="K320" s="33"/>
      <c r="Q320" s="1">
        <f t="shared" si="9"/>
        <v>0</v>
      </c>
    </row>
    <row r="321" spans="1:17" x14ac:dyDescent="0.2">
      <c r="A321" s="1">
        <f t="shared" si="8"/>
        <v>0</v>
      </c>
      <c r="B321" s="35">
        <f>COUNTIF($C$4:C321,C321)</f>
        <v>0</v>
      </c>
      <c r="C321" s="30"/>
      <c r="D321" s="34"/>
      <c r="E321" s="34"/>
      <c r="F321" s="31"/>
      <c r="G321" s="34"/>
      <c r="H321" s="32"/>
      <c r="I321" s="30"/>
      <c r="J321" s="30"/>
      <c r="K321" s="33"/>
      <c r="Q321" s="1">
        <f t="shared" si="9"/>
        <v>0</v>
      </c>
    </row>
    <row r="322" spans="1:17" x14ac:dyDescent="0.2">
      <c r="A322" s="1">
        <f t="shared" si="8"/>
        <v>0</v>
      </c>
      <c r="B322" s="35">
        <f>COUNTIF($C$4:C322,C322)</f>
        <v>0</v>
      </c>
      <c r="C322" s="30"/>
      <c r="D322" s="34"/>
      <c r="E322" s="34"/>
      <c r="F322" s="31"/>
      <c r="G322" s="34"/>
      <c r="H322" s="32"/>
      <c r="I322" s="30"/>
      <c r="J322" s="30"/>
      <c r="K322" s="33"/>
      <c r="Q322" s="1">
        <f t="shared" si="9"/>
        <v>0</v>
      </c>
    </row>
    <row r="323" spans="1:17" x14ac:dyDescent="0.2">
      <c r="A323" s="1">
        <f t="shared" si="8"/>
        <v>0</v>
      </c>
      <c r="B323" s="35">
        <f>COUNTIF($C$4:C323,C323)</f>
        <v>0</v>
      </c>
      <c r="C323" s="30"/>
      <c r="D323" s="34"/>
      <c r="E323" s="34"/>
      <c r="F323" s="31"/>
      <c r="G323" s="34"/>
      <c r="H323" s="32"/>
      <c r="I323" s="30"/>
      <c r="J323" s="30"/>
      <c r="K323" s="33"/>
      <c r="Q323" s="1">
        <f t="shared" si="9"/>
        <v>0</v>
      </c>
    </row>
    <row r="324" spans="1:17" x14ac:dyDescent="0.2">
      <c r="A324" s="1">
        <f t="shared" ref="A324:A387" si="10">IF($A$1=Q324,A323+1,A323)</f>
        <v>0</v>
      </c>
      <c r="B324" s="35">
        <f>COUNTIF($C$4:C324,C324)</f>
        <v>0</v>
      </c>
      <c r="C324" s="30"/>
      <c r="D324" s="34"/>
      <c r="E324" s="34"/>
      <c r="F324" s="31"/>
      <c r="G324" s="34"/>
      <c r="H324" s="32"/>
      <c r="I324" s="30"/>
      <c r="J324" s="30"/>
      <c r="K324" s="33"/>
      <c r="Q324" s="1">
        <f t="shared" si="9"/>
        <v>0</v>
      </c>
    </row>
    <row r="325" spans="1:17" x14ac:dyDescent="0.2">
      <c r="A325" s="1">
        <f t="shared" si="10"/>
        <v>0</v>
      </c>
      <c r="B325" s="35">
        <f>COUNTIF($C$4:C325,C325)</f>
        <v>0</v>
      </c>
      <c r="C325" s="30"/>
      <c r="D325" s="34"/>
      <c r="E325" s="34"/>
      <c r="F325" s="31"/>
      <c r="G325" s="34"/>
      <c r="H325" s="32"/>
      <c r="I325" s="30"/>
      <c r="J325" s="30"/>
      <c r="K325" s="33"/>
      <c r="Q325" s="1">
        <f t="shared" ref="Q325:Q388" si="11">IF(ISERROR(VLOOKUP(C325,$O$1:$Q$2,3,FALSE))=TRUE,0,VLOOKUP(C325,$O$1:$Q$2,3,FALSE))</f>
        <v>0</v>
      </c>
    </row>
    <row r="326" spans="1:17" x14ac:dyDescent="0.2">
      <c r="A326" s="1">
        <f t="shared" si="10"/>
        <v>0</v>
      </c>
      <c r="B326" s="35">
        <f>COUNTIF($C$4:C326,C326)</f>
        <v>0</v>
      </c>
      <c r="C326" s="30"/>
      <c r="D326" s="34"/>
      <c r="E326" s="34"/>
      <c r="F326" s="31"/>
      <c r="G326" s="34"/>
      <c r="H326" s="32"/>
      <c r="I326" s="30"/>
      <c r="J326" s="30"/>
      <c r="K326" s="33"/>
      <c r="Q326" s="1">
        <f t="shared" si="11"/>
        <v>0</v>
      </c>
    </row>
    <row r="327" spans="1:17" x14ac:dyDescent="0.2">
      <c r="A327" s="1">
        <f t="shared" si="10"/>
        <v>0</v>
      </c>
      <c r="B327" s="35">
        <f>COUNTIF($C$4:C327,C327)</f>
        <v>0</v>
      </c>
      <c r="C327" s="30"/>
      <c r="D327" s="34"/>
      <c r="E327" s="34"/>
      <c r="F327" s="31"/>
      <c r="G327" s="34"/>
      <c r="H327" s="32"/>
      <c r="I327" s="30"/>
      <c r="J327" s="30"/>
      <c r="K327" s="33"/>
      <c r="Q327" s="1">
        <f t="shared" si="11"/>
        <v>0</v>
      </c>
    </row>
    <row r="328" spans="1:17" x14ac:dyDescent="0.2">
      <c r="A328" s="1">
        <f t="shared" si="10"/>
        <v>0</v>
      </c>
      <c r="B328" s="35">
        <f>COUNTIF($C$4:C328,C328)</f>
        <v>0</v>
      </c>
      <c r="C328" s="30"/>
      <c r="D328" s="34"/>
      <c r="E328" s="34"/>
      <c r="F328" s="31"/>
      <c r="G328" s="34"/>
      <c r="H328" s="32"/>
      <c r="I328" s="30"/>
      <c r="J328" s="30"/>
      <c r="K328" s="33"/>
      <c r="Q328" s="1">
        <f t="shared" si="11"/>
        <v>0</v>
      </c>
    </row>
    <row r="329" spans="1:17" x14ac:dyDescent="0.2">
      <c r="A329" s="1">
        <f t="shared" si="10"/>
        <v>0</v>
      </c>
      <c r="B329" s="35">
        <f>COUNTIF($C$4:C329,C329)</f>
        <v>0</v>
      </c>
      <c r="C329" s="30"/>
      <c r="D329" s="34"/>
      <c r="E329" s="34"/>
      <c r="F329" s="31"/>
      <c r="G329" s="34"/>
      <c r="H329" s="32"/>
      <c r="I329" s="30"/>
      <c r="J329" s="30"/>
      <c r="K329" s="33"/>
      <c r="Q329" s="1">
        <f t="shared" si="11"/>
        <v>0</v>
      </c>
    </row>
    <row r="330" spans="1:17" x14ac:dyDescent="0.2">
      <c r="A330" s="1">
        <f t="shared" si="10"/>
        <v>0</v>
      </c>
      <c r="B330" s="35">
        <f>COUNTIF($C$4:C330,C330)</f>
        <v>0</v>
      </c>
      <c r="C330" s="30"/>
      <c r="D330" s="34"/>
      <c r="E330" s="34"/>
      <c r="F330" s="31"/>
      <c r="G330" s="34"/>
      <c r="H330" s="32"/>
      <c r="I330" s="30"/>
      <c r="J330" s="30"/>
      <c r="K330" s="33"/>
      <c r="Q330" s="1">
        <f t="shared" si="11"/>
        <v>0</v>
      </c>
    </row>
    <row r="331" spans="1:17" x14ac:dyDescent="0.2">
      <c r="A331" s="1">
        <f t="shared" si="10"/>
        <v>0</v>
      </c>
      <c r="B331" s="35">
        <f>COUNTIF($C$4:C331,C331)</f>
        <v>0</v>
      </c>
      <c r="C331" s="30"/>
      <c r="D331" s="34"/>
      <c r="E331" s="34"/>
      <c r="F331" s="31"/>
      <c r="G331" s="34"/>
      <c r="H331" s="32"/>
      <c r="I331" s="30"/>
      <c r="J331" s="30"/>
      <c r="K331" s="33"/>
      <c r="Q331" s="1">
        <f t="shared" si="11"/>
        <v>0</v>
      </c>
    </row>
    <row r="332" spans="1:17" x14ac:dyDescent="0.2">
      <c r="A332" s="1">
        <f t="shared" si="10"/>
        <v>0</v>
      </c>
      <c r="B332" s="35">
        <f>COUNTIF($C$4:C332,C332)</f>
        <v>0</v>
      </c>
      <c r="C332" s="30"/>
      <c r="D332" s="34"/>
      <c r="E332" s="34"/>
      <c r="F332" s="31"/>
      <c r="G332" s="34"/>
      <c r="H332" s="32"/>
      <c r="I332" s="30"/>
      <c r="J332" s="30"/>
      <c r="K332" s="33"/>
      <c r="Q332" s="1">
        <f t="shared" si="11"/>
        <v>0</v>
      </c>
    </row>
    <row r="333" spans="1:17" x14ac:dyDescent="0.2">
      <c r="A333" s="1">
        <f t="shared" si="10"/>
        <v>0</v>
      </c>
      <c r="B333" s="35">
        <f>COUNTIF($C$4:C333,C333)</f>
        <v>0</v>
      </c>
      <c r="C333" s="30"/>
      <c r="D333" s="34"/>
      <c r="E333" s="34"/>
      <c r="F333" s="31"/>
      <c r="G333" s="34"/>
      <c r="H333" s="32"/>
      <c r="I333" s="30"/>
      <c r="J333" s="30"/>
      <c r="K333" s="33"/>
      <c r="Q333" s="1">
        <f t="shared" si="11"/>
        <v>0</v>
      </c>
    </row>
    <row r="334" spans="1:17" x14ac:dyDescent="0.2">
      <c r="A334" s="1">
        <f t="shared" si="10"/>
        <v>0</v>
      </c>
      <c r="B334" s="35">
        <f>COUNTIF($C$4:C334,C334)</f>
        <v>0</v>
      </c>
      <c r="C334" s="30"/>
      <c r="D334" s="34"/>
      <c r="E334" s="34"/>
      <c r="F334" s="31"/>
      <c r="G334" s="34"/>
      <c r="H334" s="32"/>
      <c r="I334" s="30"/>
      <c r="J334" s="30"/>
      <c r="K334" s="33"/>
      <c r="Q334" s="1">
        <f t="shared" si="11"/>
        <v>0</v>
      </c>
    </row>
    <row r="335" spans="1:17" x14ac:dyDescent="0.2">
      <c r="A335" s="1">
        <f t="shared" si="10"/>
        <v>0</v>
      </c>
      <c r="B335" s="35">
        <f>COUNTIF($C$4:C335,C335)</f>
        <v>0</v>
      </c>
      <c r="C335" s="30"/>
      <c r="D335" s="34"/>
      <c r="E335" s="34"/>
      <c r="F335" s="31"/>
      <c r="G335" s="34"/>
      <c r="H335" s="32"/>
      <c r="I335" s="30"/>
      <c r="J335" s="30"/>
      <c r="K335" s="33"/>
      <c r="Q335" s="1">
        <f t="shared" si="11"/>
        <v>0</v>
      </c>
    </row>
    <row r="336" spans="1:17" x14ac:dyDescent="0.2">
      <c r="A336" s="1">
        <f t="shared" si="10"/>
        <v>0</v>
      </c>
      <c r="B336" s="35">
        <f>COUNTIF($C$4:C336,C336)</f>
        <v>0</v>
      </c>
      <c r="C336" s="30"/>
      <c r="D336" s="34"/>
      <c r="E336" s="34"/>
      <c r="F336" s="31"/>
      <c r="G336" s="34"/>
      <c r="H336" s="32"/>
      <c r="I336" s="30"/>
      <c r="J336" s="30"/>
      <c r="K336" s="33"/>
      <c r="Q336" s="1">
        <f t="shared" si="11"/>
        <v>0</v>
      </c>
    </row>
    <row r="337" spans="1:17" x14ac:dyDescent="0.2">
      <c r="A337" s="1">
        <f t="shared" si="10"/>
        <v>0</v>
      </c>
      <c r="B337" s="35">
        <f>COUNTIF($C$4:C337,C337)</f>
        <v>0</v>
      </c>
      <c r="C337" s="30"/>
      <c r="D337" s="34"/>
      <c r="E337" s="34"/>
      <c r="F337" s="31"/>
      <c r="G337" s="34"/>
      <c r="H337" s="32"/>
      <c r="I337" s="30"/>
      <c r="J337" s="30"/>
      <c r="K337" s="33"/>
      <c r="Q337" s="1">
        <f t="shared" si="11"/>
        <v>0</v>
      </c>
    </row>
    <row r="338" spans="1:17" x14ac:dyDescent="0.2">
      <c r="A338" s="1">
        <f t="shared" si="10"/>
        <v>0</v>
      </c>
      <c r="B338" s="35">
        <f>COUNTIF($C$4:C338,C338)</f>
        <v>0</v>
      </c>
      <c r="C338" s="30"/>
      <c r="D338" s="34"/>
      <c r="E338" s="34"/>
      <c r="F338" s="31"/>
      <c r="G338" s="34"/>
      <c r="H338" s="32"/>
      <c r="I338" s="30"/>
      <c r="J338" s="30"/>
      <c r="K338" s="33"/>
      <c r="Q338" s="1">
        <f t="shared" si="11"/>
        <v>0</v>
      </c>
    </row>
    <row r="339" spans="1:17" x14ac:dyDescent="0.2">
      <c r="A339" s="1">
        <f t="shared" si="10"/>
        <v>0</v>
      </c>
      <c r="B339" s="35">
        <f>COUNTIF($C$4:C339,C339)</f>
        <v>0</v>
      </c>
      <c r="C339" s="30"/>
      <c r="D339" s="34"/>
      <c r="E339" s="34"/>
      <c r="F339" s="31"/>
      <c r="G339" s="34"/>
      <c r="H339" s="32"/>
      <c r="I339" s="30"/>
      <c r="J339" s="30"/>
      <c r="K339" s="33"/>
      <c r="Q339" s="1">
        <f t="shared" si="11"/>
        <v>0</v>
      </c>
    </row>
    <row r="340" spans="1:17" x14ac:dyDescent="0.2">
      <c r="A340" s="1">
        <f t="shared" si="10"/>
        <v>0</v>
      </c>
      <c r="B340" s="35">
        <f>COUNTIF($C$4:C340,C340)</f>
        <v>0</v>
      </c>
      <c r="C340" s="30"/>
      <c r="D340" s="34"/>
      <c r="E340" s="34"/>
      <c r="F340" s="31"/>
      <c r="G340" s="34"/>
      <c r="H340" s="32"/>
      <c r="I340" s="30"/>
      <c r="J340" s="30"/>
      <c r="K340" s="33"/>
      <c r="Q340" s="1">
        <f t="shared" si="11"/>
        <v>0</v>
      </c>
    </row>
    <row r="341" spans="1:17" x14ac:dyDescent="0.2">
      <c r="A341" s="1">
        <f t="shared" si="10"/>
        <v>0</v>
      </c>
      <c r="B341" s="35">
        <f>COUNTIF($C$4:C341,C341)</f>
        <v>0</v>
      </c>
      <c r="C341" s="30"/>
      <c r="D341" s="34"/>
      <c r="E341" s="34"/>
      <c r="F341" s="31"/>
      <c r="G341" s="34"/>
      <c r="H341" s="32"/>
      <c r="I341" s="30"/>
      <c r="J341" s="30"/>
      <c r="K341" s="33"/>
      <c r="Q341" s="1">
        <f t="shared" si="11"/>
        <v>0</v>
      </c>
    </row>
    <row r="342" spans="1:17" x14ac:dyDescent="0.2">
      <c r="A342" s="1">
        <f t="shared" si="10"/>
        <v>0</v>
      </c>
      <c r="B342" s="35">
        <f>COUNTIF($C$4:C342,C342)</f>
        <v>0</v>
      </c>
      <c r="C342" s="30"/>
      <c r="D342" s="34"/>
      <c r="E342" s="34"/>
      <c r="F342" s="31"/>
      <c r="G342" s="34"/>
      <c r="H342" s="32"/>
      <c r="I342" s="30"/>
      <c r="J342" s="30"/>
      <c r="K342" s="33"/>
      <c r="Q342" s="1">
        <f t="shared" si="11"/>
        <v>0</v>
      </c>
    </row>
    <row r="343" spans="1:17" x14ac:dyDescent="0.2">
      <c r="A343" s="1">
        <f t="shared" si="10"/>
        <v>0</v>
      </c>
      <c r="B343" s="35">
        <f>COUNTIF($C$4:C343,C343)</f>
        <v>0</v>
      </c>
      <c r="C343" s="30"/>
      <c r="D343" s="34"/>
      <c r="E343" s="34"/>
      <c r="F343" s="31"/>
      <c r="G343" s="34"/>
      <c r="H343" s="32"/>
      <c r="I343" s="30"/>
      <c r="J343" s="30"/>
      <c r="K343" s="33"/>
      <c r="Q343" s="1">
        <f t="shared" si="11"/>
        <v>0</v>
      </c>
    </row>
    <row r="344" spans="1:17" x14ac:dyDescent="0.2">
      <c r="A344" s="1">
        <f t="shared" si="10"/>
        <v>0</v>
      </c>
      <c r="B344" s="35">
        <f>COUNTIF($C$4:C344,C344)</f>
        <v>0</v>
      </c>
      <c r="C344" s="30"/>
      <c r="D344" s="34"/>
      <c r="E344" s="34"/>
      <c r="F344" s="31"/>
      <c r="G344" s="34"/>
      <c r="H344" s="32"/>
      <c r="I344" s="30"/>
      <c r="J344" s="30"/>
      <c r="K344" s="33"/>
      <c r="Q344" s="1">
        <f t="shared" si="11"/>
        <v>0</v>
      </c>
    </row>
    <row r="345" spans="1:17" x14ac:dyDescent="0.2">
      <c r="A345" s="1">
        <f t="shared" si="10"/>
        <v>0</v>
      </c>
      <c r="B345" s="35">
        <f>COUNTIF($C$4:C345,C345)</f>
        <v>0</v>
      </c>
      <c r="C345" s="30"/>
      <c r="D345" s="34"/>
      <c r="E345" s="34"/>
      <c r="F345" s="31"/>
      <c r="G345" s="34"/>
      <c r="H345" s="32"/>
      <c r="I345" s="30"/>
      <c r="J345" s="30"/>
      <c r="K345" s="33"/>
      <c r="Q345" s="1">
        <f t="shared" si="11"/>
        <v>0</v>
      </c>
    </row>
    <row r="346" spans="1:17" x14ac:dyDescent="0.2">
      <c r="A346" s="1">
        <f t="shared" si="10"/>
        <v>0</v>
      </c>
      <c r="B346" s="35">
        <f>COUNTIF($C$4:C346,C346)</f>
        <v>0</v>
      </c>
      <c r="C346" s="30"/>
      <c r="D346" s="34"/>
      <c r="E346" s="34"/>
      <c r="F346" s="31"/>
      <c r="G346" s="34"/>
      <c r="H346" s="32"/>
      <c r="I346" s="30"/>
      <c r="J346" s="30"/>
      <c r="K346" s="33"/>
      <c r="Q346" s="1">
        <f t="shared" si="11"/>
        <v>0</v>
      </c>
    </row>
    <row r="347" spans="1:17" x14ac:dyDescent="0.2">
      <c r="A347" s="1">
        <f t="shared" si="10"/>
        <v>0</v>
      </c>
      <c r="B347" s="35">
        <f>COUNTIF($C$4:C347,C347)</f>
        <v>0</v>
      </c>
      <c r="C347" s="30"/>
      <c r="D347" s="34"/>
      <c r="E347" s="34"/>
      <c r="F347" s="31"/>
      <c r="G347" s="34"/>
      <c r="H347" s="32"/>
      <c r="I347" s="30"/>
      <c r="J347" s="30"/>
      <c r="K347" s="33"/>
      <c r="Q347" s="1">
        <f t="shared" si="11"/>
        <v>0</v>
      </c>
    </row>
    <row r="348" spans="1:17" x14ac:dyDescent="0.2">
      <c r="A348" s="1">
        <f t="shared" si="10"/>
        <v>0</v>
      </c>
      <c r="B348" s="35">
        <f>COUNTIF($C$4:C348,C348)</f>
        <v>0</v>
      </c>
      <c r="C348" s="30"/>
      <c r="D348" s="34"/>
      <c r="E348" s="34"/>
      <c r="F348" s="31"/>
      <c r="G348" s="34"/>
      <c r="H348" s="32"/>
      <c r="I348" s="30"/>
      <c r="J348" s="30"/>
      <c r="K348" s="33"/>
      <c r="Q348" s="1">
        <f t="shared" si="11"/>
        <v>0</v>
      </c>
    </row>
    <row r="349" spans="1:17" x14ac:dyDescent="0.2">
      <c r="A349" s="1">
        <f t="shared" si="10"/>
        <v>0</v>
      </c>
      <c r="B349" s="35">
        <f>COUNTIF($C$4:C349,C349)</f>
        <v>0</v>
      </c>
      <c r="C349" s="30"/>
      <c r="D349" s="34"/>
      <c r="E349" s="34"/>
      <c r="F349" s="31"/>
      <c r="G349" s="34"/>
      <c r="H349" s="32"/>
      <c r="I349" s="30"/>
      <c r="J349" s="30"/>
      <c r="K349" s="33"/>
      <c r="Q349" s="1">
        <f t="shared" si="11"/>
        <v>0</v>
      </c>
    </row>
    <row r="350" spans="1:17" x14ac:dyDescent="0.2">
      <c r="A350" s="1">
        <f t="shared" si="10"/>
        <v>0</v>
      </c>
      <c r="B350" s="35">
        <f>COUNTIF($C$4:C350,C350)</f>
        <v>0</v>
      </c>
      <c r="C350" s="30"/>
      <c r="D350" s="34"/>
      <c r="E350" s="34"/>
      <c r="F350" s="31"/>
      <c r="G350" s="34"/>
      <c r="H350" s="32"/>
      <c r="I350" s="30"/>
      <c r="J350" s="30"/>
      <c r="K350" s="33"/>
      <c r="Q350" s="1">
        <f t="shared" si="11"/>
        <v>0</v>
      </c>
    </row>
    <row r="351" spans="1:17" x14ac:dyDescent="0.2">
      <c r="A351" s="1">
        <f t="shared" si="10"/>
        <v>0</v>
      </c>
      <c r="B351" s="35">
        <f>COUNTIF($C$4:C351,C351)</f>
        <v>0</v>
      </c>
      <c r="C351" s="30"/>
      <c r="D351" s="34"/>
      <c r="E351" s="34"/>
      <c r="F351" s="31"/>
      <c r="G351" s="34"/>
      <c r="H351" s="32"/>
      <c r="I351" s="30"/>
      <c r="J351" s="30"/>
      <c r="K351" s="33"/>
      <c r="Q351" s="1">
        <f t="shared" si="11"/>
        <v>0</v>
      </c>
    </row>
    <row r="352" spans="1:17" x14ac:dyDescent="0.2">
      <c r="A352" s="1">
        <f t="shared" si="10"/>
        <v>0</v>
      </c>
      <c r="B352" s="35">
        <f>COUNTIF($C$4:C352,C352)</f>
        <v>0</v>
      </c>
      <c r="C352" s="30"/>
      <c r="D352" s="34"/>
      <c r="E352" s="34"/>
      <c r="F352" s="31"/>
      <c r="G352" s="34"/>
      <c r="H352" s="32"/>
      <c r="I352" s="30"/>
      <c r="J352" s="30"/>
      <c r="K352" s="33"/>
      <c r="Q352" s="1">
        <f t="shared" si="11"/>
        <v>0</v>
      </c>
    </row>
    <row r="353" spans="1:17" x14ac:dyDescent="0.2">
      <c r="A353" s="1">
        <f t="shared" si="10"/>
        <v>0</v>
      </c>
      <c r="B353" s="35">
        <f>COUNTIF($C$4:C353,C353)</f>
        <v>0</v>
      </c>
      <c r="C353" s="30"/>
      <c r="D353" s="34"/>
      <c r="E353" s="34"/>
      <c r="F353" s="31"/>
      <c r="G353" s="34"/>
      <c r="H353" s="32"/>
      <c r="I353" s="30"/>
      <c r="J353" s="30"/>
      <c r="K353" s="33"/>
      <c r="Q353" s="1">
        <f t="shared" si="11"/>
        <v>0</v>
      </c>
    </row>
    <row r="354" spans="1:17" x14ac:dyDescent="0.2">
      <c r="A354" s="1">
        <f t="shared" si="10"/>
        <v>0</v>
      </c>
      <c r="B354" s="35">
        <f>COUNTIF($C$4:C354,C354)</f>
        <v>0</v>
      </c>
      <c r="C354" s="30"/>
      <c r="D354" s="34"/>
      <c r="E354" s="34"/>
      <c r="F354" s="31"/>
      <c r="G354" s="34"/>
      <c r="H354" s="32"/>
      <c r="I354" s="30"/>
      <c r="J354" s="30"/>
      <c r="K354" s="33"/>
      <c r="Q354" s="1">
        <f t="shared" si="11"/>
        <v>0</v>
      </c>
    </row>
    <row r="355" spans="1:17" x14ac:dyDescent="0.2">
      <c r="A355" s="1">
        <f t="shared" si="10"/>
        <v>0</v>
      </c>
      <c r="B355" s="35">
        <f>COUNTIF($C$4:C355,C355)</f>
        <v>0</v>
      </c>
      <c r="C355" s="30"/>
      <c r="D355" s="34"/>
      <c r="E355" s="34"/>
      <c r="F355" s="31"/>
      <c r="G355" s="34"/>
      <c r="H355" s="32"/>
      <c r="I355" s="30"/>
      <c r="J355" s="30"/>
      <c r="K355" s="33"/>
      <c r="Q355" s="1">
        <f t="shared" si="11"/>
        <v>0</v>
      </c>
    </row>
    <row r="356" spans="1:17" x14ac:dyDescent="0.2">
      <c r="A356" s="1">
        <f t="shared" si="10"/>
        <v>0</v>
      </c>
      <c r="B356" s="35">
        <f>COUNTIF($C$4:C356,C356)</f>
        <v>0</v>
      </c>
      <c r="C356" s="30"/>
      <c r="D356" s="34"/>
      <c r="E356" s="34"/>
      <c r="F356" s="31"/>
      <c r="G356" s="34"/>
      <c r="H356" s="32"/>
      <c r="I356" s="30"/>
      <c r="J356" s="30"/>
      <c r="K356" s="33"/>
      <c r="Q356" s="1">
        <f t="shared" si="11"/>
        <v>0</v>
      </c>
    </row>
    <row r="357" spans="1:17" x14ac:dyDescent="0.2">
      <c r="A357" s="1">
        <f t="shared" si="10"/>
        <v>0</v>
      </c>
      <c r="B357" s="35">
        <f>COUNTIF($C$4:C357,C357)</f>
        <v>0</v>
      </c>
      <c r="C357" s="30"/>
      <c r="D357" s="34"/>
      <c r="E357" s="34"/>
      <c r="F357" s="31"/>
      <c r="G357" s="34"/>
      <c r="H357" s="32"/>
      <c r="I357" s="30"/>
      <c r="J357" s="30"/>
      <c r="K357" s="33"/>
      <c r="Q357" s="1">
        <f t="shared" si="11"/>
        <v>0</v>
      </c>
    </row>
    <row r="358" spans="1:17" x14ac:dyDescent="0.2">
      <c r="A358" s="1">
        <f t="shared" si="10"/>
        <v>0</v>
      </c>
      <c r="B358" s="35">
        <f>COUNTIF($C$4:C358,C358)</f>
        <v>0</v>
      </c>
      <c r="C358" s="30"/>
      <c r="D358" s="34"/>
      <c r="E358" s="34"/>
      <c r="F358" s="31"/>
      <c r="G358" s="34"/>
      <c r="H358" s="32"/>
      <c r="I358" s="30"/>
      <c r="J358" s="30"/>
      <c r="K358" s="33"/>
      <c r="Q358" s="1">
        <f t="shared" si="11"/>
        <v>0</v>
      </c>
    </row>
    <row r="359" spans="1:17" x14ac:dyDescent="0.2">
      <c r="A359" s="1">
        <f t="shared" si="10"/>
        <v>0</v>
      </c>
      <c r="B359" s="35">
        <f>COUNTIF($C$4:C359,C359)</f>
        <v>0</v>
      </c>
      <c r="C359" s="30"/>
      <c r="D359" s="34"/>
      <c r="E359" s="34"/>
      <c r="F359" s="31"/>
      <c r="G359" s="34"/>
      <c r="H359" s="32"/>
      <c r="I359" s="30"/>
      <c r="J359" s="30"/>
      <c r="K359" s="33"/>
      <c r="Q359" s="1">
        <f t="shared" si="11"/>
        <v>0</v>
      </c>
    </row>
    <row r="360" spans="1:17" x14ac:dyDescent="0.2">
      <c r="A360" s="1">
        <f t="shared" si="10"/>
        <v>0</v>
      </c>
      <c r="B360" s="35">
        <f>COUNTIF($C$4:C360,C360)</f>
        <v>0</v>
      </c>
      <c r="C360" s="30"/>
      <c r="D360" s="34"/>
      <c r="E360" s="34"/>
      <c r="F360" s="31"/>
      <c r="G360" s="34"/>
      <c r="H360" s="32"/>
      <c r="I360" s="30"/>
      <c r="J360" s="30"/>
      <c r="K360" s="33"/>
      <c r="Q360" s="1">
        <f t="shared" si="11"/>
        <v>0</v>
      </c>
    </row>
    <row r="361" spans="1:17" x14ac:dyDescent="0.2">
      <c r="A361" s="1">
        <f t="shared" si="10"/>
        <v>0</v>
      </c>
      <c r="B361" s="35">
        <f>COUNTIF($C$4:C361,C361)</f>
        <v>0</v>
      </c>
      <c r="C361" s="30"/>
      <c r="D361" s="34"/>
      <c r="E361" s="34"/>
      <c r="F361" s="31"/>
      <c r="G361" s="34"/>
      <c r="H361" s="32"/>
      <c r="I361" s="30"/>
      <c r="J361" s="30"/>
      <c r="K361" s="33"/>
      <c r="Q361" s="1">
        <f t="shared" si="11"/>
        <v>0</v>
      </c>
    </row>
    <row r="362" spans="1:17" x14ac:dyDescent="0.2">
      <c r="A362" s="1">
        <f t="shared" si="10"/>
        <v>0</v>
      </c>
      <c r="B362" s="35">
        <f>COUNTIF($C$4:C362,C362)</f>
        <v>0</v>
      </c>
      <c r="C362" s="30"/>
      <c r="D362" s="34"/>
      <c r="E362" s="34"/>
      <c r="F362" s="31"/>
      <c r="G362" s="34"/>
      <c r="H362" s="32"/>
      <c r="I362" s="30"/>
      <c r="J362" s="30"/>
      <c r="K362" s="33"/>
      <c r="Q362" s="1">
        <f t="shared" si="11"/>
        <v>0</v>
      </c>
    </row>
    <row r="363" spans="1:17" x14ac:dyDescent="0.2">
      <c r="A363" s="1">
        <f t="shared" si="10"/>
        <v>0</v>
      </c>
      <c r="B363" s="35">
        <f>COUNTIF($C$4:C363,C363)</f>
        <v>0</v>
      </c>
      <c r="C363" s="30"/>
      <c r="D363" s="34"/>
      <c r="E363" s="34"/>
      <c r="F363" s="31"/>
      <c r="G363" s="34"/>
      <c r="H363" s="32"/>
      <c r="I363" s="30"/>
      <c r="J363" s="30"/>
      <c r="K363" s="33"/>
      <c r="Q363" s="1">
        <f t="shared" si="11"/>
        <v>0</v>
      </c>
    </row>
    <row r="364" spans="1:17" x14ac:dyDescent="0.2">
      <c r="A364" s="1">
        <f t="shared" si="10"/>
        <v>0</v>
      </c>
      <c r="B364" s="35">
        <f>COUNTIF($C$4:C364,C364)</f>
        <v>0</v>
      </c>
      <c r="C364" s="30"/>
      <c r="D364" s="34"/>
      <c r="E364" s="34"/>
      <c r="F364" s="31"/>
      <c r="G364" s="34"/>
      <c r="H364" s="32"/>
      <c r="I364" s="30"/>
      <c r="J364" s="30"/>
      <c r="K364" s="33"/>
      <c r="Q364" s="1">
        <f t="shared" si="11"/>
        <v>0</v>
      </c>
    </row>
    <row r="365" spans="1:17" x14ac:dyDescent="0.2">
      <c r="A365" s="1">
        <f t="shared" si="10"/>
        <v>0</v>
      </c>
      <c r="B365" s="35">
        <f>COUNTIF($C$4:C365,C365)</f>
        <v>0</v>
      </c>
      <c r="C365" s="30"/>
      <c r="D365" s="34"/>
      <c r="E365" s="34"/>
      <c r="F365" s="31"/>
      <c r="G365" s="34"/>
      <c r="H365" s="32"/>
      <c r="I365" s="30"/>
      <c r="J365" s="30"/>
      <c r="K365" s="33"/>
      <c r="Q365" s="1">
        <f t="shared" si="11"/>
        <v>0</v>
      </c>
    </row>
    <row r="366" spans="1:17" x14ac:dyDescent="0.2">
      <c r="A366" s="1">
        <f t="shared" si="10"/>
        <v>0</v>
      </c>
      <c r="B366" s="35">
        <f>COUNTIF($C$4:C366,C366)</f>
        <v>0</v>
      </c>
      <c r="C366" s="30"/>
      <c r="D366" s="34"/>
      <c r="E366" s="34"/>
      <c r="F366" s="31"/>
      <c r="G366" s="34"/>
      <c r="H366" s="32"/>
      <c r="I366" s="30"/>
      <c r="J366" s="30"/>
      <c r="K366" s="33"/>
      <c r="Q366" s="1">
        <f t="shared" si="11"/>
        <v>0</v>
      </c>
    </row>
    <row r="367" spans="1:17" x14ac:dyDescent="0.2">
      <c r="A367" s="1">
        <f t="shared" si="10"/>
        <v>0</v>
      </c>
      <c r="B367" s="35">
        <f>COUNTIF($C$4:C367,C367)</f>
        <v>0</v>
      </c>
      <c r="C367" s="30"/>
      <c r="D367" s="34"/>
      <c r="E367" s="34"/>
      <c r="F367" s="31"/>
      <c r="G367" s="34"/>
      <c r="H367" s="32"/>
      <c r="I367" s="30"/>
      <c r="J367" s="30"/>
      <c r="K367" s="33"/>
      <c r="Q367" s="1">
        <f t="shared" si="11"/>
        <v>0</v>
      </c>
    </row>
    <row r="368" spans="1:17" x14ac:dyDescent="0.2">
      <c r="A368" s="1">
        <f t="shared" si="10"/>
        <v>0</v>
      </c>
      <c r="B368" s="35">
        <f>COUNTIF($C$4:C368,C368)</f>
        <v>0</v>
      </c>
      <c r="C368" s="30"/>
      <c r="D368" s="34"/>
      <c r="E368" s="34"/>
      <c r="F368" s="31"/>
      <c r="G368" s="34"/>
      <c r="H368" s="32"/>
      <c r="I368" s="30"/>
      <c r="J368" s="30"/>
      <c r="K368" s="33"/>
      <c r="Q368" s="1">
        <f t="shared" si="11"/>
        <v>0</v>
      </c>
    </row>
    <row r="369" spans="1:17" x14ac:dyDescent="0.2">
      <c r="A369" s="1">
        <f t="shared" si="10"/>
        <v>0</v>
      </c>
      <c r="B369" s="35">
        <f>COUNTIF($C$4:C369,C369)</f>
        <v>0</v>
      </c>
      <c r="C369" s="30"/>
      <c r="D369" s="34"/>
      <c r="E369" s="34"/>
      <c r="F369" s="31"/>
      <c r="G369" s="34"/>
      <c r="H369" s="32"/>
      <c r="I369" s="30"/>
      <c r="J369" s="30"/>
      <c r="K369" s="33"/>
      <c r="Q369" s="1">
        <f t="shared" si="11"/>
        <v>0</v>
      </c>
    </row>
    <row r="370" spans="1:17" x14ac:dyDescent="0.2">
      <c r="A370" s="1">
        <f t="shared" si="10"/>
        <v>0</v>
      </c>
      <c r="B370" s="35">
        <f>COUNTIF($C$4:C370,C370)</f>
        <v>0</v>
      </c>
      <c r="C370" s="30"/>
      <c r="D370" s="34"/>
      <c r="E370" s="34"/>
      <c r="F370" s="31"/>
      <c r="G370" s="34"/>
      <c r="H370" s="32"/>
      <c r="I370" s="30"/>
      <c r="J370" s="30"/>
      <c r="K370" s="33"/>
      <c r="Q370" s="1">
        <f t="shared" si="11"/>
        <v>0</v>
      </c>
    </row>
    <row r="371" spans="1:17" x14ac:dyDescent="0.2">
      <c r="A371" s="1">
        <f t="shared" si="10"/>
        <v>0</v>
      </c>
      <c r="B371" s="35">
        <f>COUNTIF($C$4:C371,C371)</f>
        <v>0</v>
      </c>
      <c r="C371" s="30"/>
      <c r="D371" s="34"/>
      <c r="E371" s="34"/>
      <c r="F371" s="31"/>
      <c r="G371" s="34"/>
      <c r="H371" s="32"/>
      <c r="I371" s="30"/>
      <c r="J371" s="30"/>
      <c r="K371" s="33"/>
      <c r="Q371" s="1">
        <f t="shared" si="11"/>
        <v>0</v>
      </c>
    </row>
    <row r="372" spans="1:17" x14ac:dyDescent="0.2">
      <c r="A372" s="1">
        <f t="shared" si="10"/>
        <v>0</v>
      </c>
      <c r="B372" s="35">
        <f>COUNTIF($C$4:C372,C372)</f>
        <v>0</v>
      </c>
      <c r="C372" s="30"/>
      <c r="D372" s="34"/>
      <c r="E372" s="34"/>
      <c r="F372" s="31"/>
      <c r="G372" s="34"/>
      <c r="H372" s="32"/>
      <c r="I372" s="30"/>
      <c r="J372" s="30"/>
      <c r="K372" s="33"/>
      <c r="Q372" s="1">
        <f t="shared" si="11"/>
        <v>0</v>
      </c>
    </row>
    <row r="373" spans="1:17" x14ac:dyDescent="0.2">
      <c r="A373" s="1">
        <f t="shared" si="10"/>
        <v>0</v>
      </c>
      <c r="B373" s="35">
        <f>COUNTIF($C$4:C373,C373)</f>
        <v>0</v>
      </c>
      <c r="C373" s="30"/>
      <c r="D373" s="34"/>
      <c r="E373" s="34"/>
      <c r="F373" s="31"/>
      <c r="G373" s="34"/>
      <c r="H373" s="32"/>
      <c r="I373" s="30"/>
      <c r="J373" s="30"/>
      <c r="K373" s="33"/>
      <c r="Q373" s="1">
        <f t="shared" si="11"/>
        <v>0</v>
      </c>
    </row>
    <row r="374" spans="1:17" x14ac:dyDescent="0.2">
      <c r="A374" s="1">
        <f t="shared" si="10"/>
        <v>0</v>
      </c>
      <c r="B374" s="35">
        <f>COUNTIF($C$4:C374,C374)</f>
        <v>0</v>
      </c>
      <c r="C374" s="30"/>
      <c r="D374" s="34"/>
      <c r="E374" s="34"/>
      <c r="F374" s="31"/>
      <c r="G374" s="34"/>
      <c r="H374" s="32"/>
      <c r="I374" s="30"/>
      <c r="J374" s="30"/>
      <c r="K374" s="33"/>
      <c r="Q374" s="1">
        <f t="shared" si="11"/>
        <v>0</v>
      </c>
    </row>
    <row r="375" spans="1:17" x14ac:dyDescent="0.2">
      <c r="A375" s="1">
        <f t="shared" si="10"/>
        <v>0</v>
      </c>
      <c r="B375" s="35">
        <f>COUNTIF($C$4:C375,C375)</f>
        <v>0</v>
      </c>
      <c r="C375" s="30"/>
      <c r="D375" s="34"/>
      <c r="E375" s="34"/>
      <c r="F375" s="31"/>
      <c r="G375" s="34"/>
      <c r="H375" s="32"/>
      <c r="I375" s="30"/>
      <c r="J375" s="30"/>
      <c r="K375" s="33"/>
      <c r="Q375" s="1">
        <f t="shared" si="11"/>
        <v>0</v>
      </c>
    </row>
    <row r="376" spans="1:17" x14ac:dyDescent="0.2">
      <c r="A376" s="1">
        <f t="shared" si="10"/>
        <v>0</v>
      </c>
      <c r="B376" s="35">
        <f>COUNTIF($C$4:C376,C376)</f>
        <v>0</v>
      </c>
      <c r="C376" s="30"/>
      <c r="D376" s="34"/>
      <c r="E376" s="34"/>
      <c r="F376" s="31"/>
      <c r="G376" s="34"/>
      <c r="H376" s="32"/>
      <c r="I376" s="30"/>
      <c r="J376" s="30"/>
      <c r="K376" s="33"/>
      <c r="Q376" s="1">
        <f t="shared" si="11"/>
        <v>0</v>
      </c>
    </row>
    <row r="377" spans="1:17" x14ac:dyDescent="0.2">
      <c r="A377" s="1">
        <f t="shared" si="10"/>
        <v>0</v>
      </c>
      <c r="B377" s="35">
        <f>COUNTIF($C$4:C377,C377)</f>
        <v>0</v>
      </c>
      <c r="C377" s="30"/>
      <c r="D377" s="34"/>
      <c r="E377" s="34"/>
      <c r="F377" s="31"/>
      <c r="G377" s="34"/>
      <c r="H377" s="32"/>
      <c r="I377" s="30"/>
      <c r="J377" s="30"/>
      <c r="K377" s="33"/>
      <c r="Q377" s="1">
        <f t="shared" si="11"/>
        <v>0</v>
      </c>
    </row>
    <row r="378" spans="1:17" x14ac:dyDescent="0.2">
      <c r="A378" s="1">
        <f t="shared" si="10"/>
        <v>0</v>
      </c>
      <c r="B378" s="35">
        <f>COUNTIF($C$4:C378,C378)</f>
        <v>0</v>
      </c>
      <c r="C378" s="30"/>
      <c r="D378" s="34"/>
      <c r="E378" s="34"/>
      <c r="F378" s="31"/>
      <c r="G378" s="34"/>
      <c r="H378" s="32"/>
      <c r="I378" s="30"/>
      <c r="J378" s="30"/>
      <c r="K378" s="33"/>
      <c r="Q378" s="1">
        <f t="shared" si="11"/>
        <v>0</v>
      </c>
    </row>
    <row r="379" spans="1:17" x14ac:dyDescent="0.2">
      <c r="A379" s="1">
        <f t="shared" si="10"/>
        <v>0</v>
      </c>
      <c r="B379" s="35">
        <f>COUNTIF($C$4:C379,C379)</f>
        <v>0</v>
      </c>
      <c r="C379" s="30"/>
      <c r="D379" s="34"/>
      <c r="E379" s="34"/>
      <c r="F379" s="31"/>
      <c r="G379" s="34"/>
      <c r="H379" s="32"/>
      <c r="I379" s="30"/>
      <c r="J379" s="30"/>
      <c r="K379" s="33"/>
      <c r="Q379" s="1">
        <f t="shared" si="11"/>
        <v>0</v>
      </c>
    </row>
    <row r="380" spans="1:17" x14ac:dyDescent="0.2">
      <c r="A380" s="1">
        <f t="shared" si="10"/>
        <v>0</v>
      </c>
      <c r="B380" s="35">
        <f>COUNTIF($C$4:C380,C380)</f>
        <v>0</v>
      </c>
      <c r="C380" s="30"/>
      <c r="D380" s="34"/>
      <c r="E380" s="34"/>
      <c r="F380" s="31"/>
      <c r="G380" s="34"/>
      <c r="H380" s="32"/>
      <c r="I380" s="30"/>
      <c r="J380" s="30"/>
      <c r="K380" s="33"/>
      <c r="Q380" s="1">
        <f t="shared" si="11"/>
        <v>0</v>
      </c>
    </row>
    <row r="381" spans="1:17" x14ac:dyDescent="0.2">
      <c r="A381" s="1">
        <f t="shared" si="10"/>
        <v>0</v>
      </c>
      <c r="B381" s="35">
        <f>COUNTIF($C$4:C381,C381)</f>
        <v>0</v>
      </c>
      <c r="C381" s="30"/>
      <c r="D381" s="34"/>
      <c r="E381" s="34"/>
      <c r="F381" s="31"/>
      <c r="G381" s="34"/>
      <c r="H381" s="32"/>
      <c r="I381" s="30"/>
      <c r="J381" s="30"/>
      <c r="K381" s="33"/>
      <c r="Q381" s="1">
        <f t="shared" si="11"/>
        <v>0</v>
      </c>
    </row>
    <row r="382" spans="1:17" x14ac:dyDescent="0.2">
      <c r="A382" s="1">
        <f t="shared" si="10"/>
        <v>0</v>
      </c>
      <c r="B382" s="35">
        <f>COUNTIF($C$4:C382,C382)</f>
        <v>0</v>
      </c>
      <c r="C382" s="30"/>
      <c r="D382" s="34"/>
      <c r="E382" s="34"/>
      <c r="F382" s="31"/>
      <c r="G382" s="34"/>
      <c r="H382" s="32"/>
      <c r="I382" s="30"/>
      <c r="J382" s="30"/>
      <c r="K382" s="33"/>
      <c r="Q382" s="1">
        <f t="shared" si="11"/>
        <v>0</v>
      </c>
    </row>
    <row r="383" spans="1:17" x14ac:dyDescent="0.2">
      <c r="A383" s="1">
        <f t="shared" si="10"/>
        <v>0</v>
      </c>
      <c r="B383" s="35">
        <f>COUNTIF($C$4:C383,C383)</f>
        <v>0</v>
      </c>
      <c r="C383" s="30"/>
      <c r="D383" s="34"/>
      <c r="E383" s="34"/>
      <c r="F383" s="31"/>
      <c r="G383" s="34"/>
      <c r="H383" s="32"/>
      <c r="I383" s="30"/>
      <c r="J383" s="30"/>
      <c r="K383" s="33"/>
      <c r="Q383" s="1">
        <f t="shared" si="11"/>
        <v>0</v>
      </c>
    </row>
    <row r="384" spans="1:17" x14ac:dyDescent="0.2">
      <c r="A384" s="1">
        <f t="shared" si="10"/>
        <v>0</v>
      </c>
      <c r="B384" s="35">
        <f>COUNTIF($C$4:C384,C384)</f>
        <v>0</v>
      </c>
      <c r="C384" s="30"/>
      <c r="D384" s="34"/>
      <c r="E384" s="34"/>
      <c r="F384" s="31"/>
      <c r="G384" s="34"/>
      <c r="H384" s="32"/>
      <c r="I384" s="30"/>
      <c r="J384" s="30"/>
      <c r="K384" s="33"/>
      <c r="Q384" s="1">
        <f t="shared" si="11"/>
        <v>0</v>
      </c>
    </row>
    <row r="385" spans="1:17" x14ac:dyDescent="0.2">
      <c r="A385" s="1">
        <f t="shared" si="10"/>
        <v>0</v>
      </c>
      <c r="B385" s="35">
        <f>COUNTIF($C$4:C385,C385)</f>
        <v>0</v>
      </c>
      <c r="C385" s="30"/>
      <c r="D385" s="34"/>
      <c r="E385" s="34"/>
      <c r="F385" s="31"/>
      <c r="G385" s="34"/>
      <c r="H385" s="32"/>
      <c r="I385" s="30"/>
      <c r="J385" s="30"/>
      <c r="K385" s="33"/>
      <c r="Q385" s="1">
        <f t="shared" si="11"/>
        <v>0</v>
      </c>
    </row>
    <row r="386" spans="1:17" x14ac:dyDescent="0.2">
      <c r="A386" s="1">
        <f t="shared" si="10"/>
        <v>0</v>
      </c>
      <c r="B386" s="35">
        <f>COUNTIF($C$4:C386,C386)</f>
        <v>0</v>
      </c>
      <c r="C386" s="30"/>
      <c r="D386" s="34"/>
      <c r="E386" s="34"/>
      <c r="F386" s="31"/>
      <c r="G386" s="34"/>
      <c r="H386" s="32"/>
      <c r="I386" s="30"/>
      <c r="J386" s="30"/>
      <c r="K386" s="33"/>
      <c r="Q386" s="1">
        <f t="shared" si="11"/>
        <v>0</v>
      </c>
    </row>
    <row r="387" spans="1:17" x14ac:dyDescent="0.2">
      <c r="A387" s="1">
        <f t="shared" si="10"/>
        <v>0</v>
      </c>
      <c r="B387" s="35">
        <f>COUNTIF($C$4:C387,C387)</f>
        <v>0</v>
      </c>
      <c r="C387" s="30"/>
      <c r="D387" s="34"/>
      <c r="E387" s="34"/>
      <c r="F387" s="31"/>
      <c r="G387" s="34"/>
      <c r="H387" s="32"/>
      <c r="I387" s="30"/>
      <c r="J387" s="30"/>
      <c r="K387" s="33"/>
      <c r="Q387" s="1">
        <f t="shared" si="11"/>
        <v>0</v>
      </c>
    </row>
    <row r="388" spans="1:17" x14ac:dyDescent="0.2">
      <c r="A388" s="1">
        <f t="shared" ref="A388:A451" si="12">IF($A$1=Q388,A387+1,A387)</f>
        <v>0</v>
      </c>
      <c r="B388" s="35">
        <f>COUNTIF($C$4:C388,C388)</f>
        <v>0</v>
      </c>
      <c r="C388" s="30"/>
      <c r="D388" s="34"/>
      <c r="E388" s="34"/>
      <c r="F388" s="31"/>
      <c r="G388" s="34"/>
      <c r="H388" s="32"/>
      <c r="I388" s="30"/>
      <c r="J388" s="30"/>
      <c r="K388" s="33"/>
      <c r="Q388" s="1">
        <f t="shared" si="11"/>
        <v>0</v>
      </c>
    </row>
    <row r="389" spans="1:17" x14ac:dyDescent="0.2">
      <c r="A389" s="1">
        <f t="shared" si="12"/>
        <v>0</v>
      </c>
      <c r="B389" s="35">
        <f>COUNTIF($C$4:C389,C389)</f>
        <v>0</v>
      </c>
      <c r="C389" s="30"/>
      <c r="D389" s="34"/>
      <c r="E389" s="34"/>
      <c r="F389" s="31"/>
      <c r="G389" s="34"/>
      <c r="H389" s="32"/>
      <c r="I389" s="30"/>
      <c r="J389" s="30"/>
      <c r="K389" s="33"/>
      <c r="Q389" s="1">
        <f t="shared" ref="Q389:Q452" si="13">IF(ISERROR(VLOOKUP(C389,$O$1:$Q$2,3,FALSE))=TRUE,0,VLOOKUP(C389,$O$1:$Q$2,3,FALSE))</f>
        <v>0</v>
      </c>
    </row>
    <row r="390" spans="1:17" x14ac:dyDescent="0.2">
      <c r="A390" s="1">
        <f t="shared" si="12"/>
        <v>0</v>
      </c>
      <c r="B390" s="35">
        <f>COUNTIF($C$4:C390,C390)</f>
        <v>0</v>
      </c>
      <c r="C390" s="30"/>
      <c r="D390" s="34"/>
      <c r="E390" s="34"/>
      <c r="F390" s="31"/>
      <c r="G390" s="34"/>
      <c r="H390" s="32"/>
      <c r="I390" s="30"/>
      <c r="J390" s="30"/>
      <c r="K390" s="33"/>
      <c r="Q390" s="1">
        <f t="shared" si="13"/>
        <v>0</v>
      </c>
    </row>
    <row r="391" spans="1:17" x14ac:dyDescent="0.2">
      <c r="A391" s="1">
        <f t="shared" si="12"/>
        <v>0</v>
      </c>
      <c r="B391" s="35">
        <f>COUNTIF($C$4:C391,C391)</f>
        <v>0</v>
      </c>
      <c r="C391" s="30"/>
      <c r="D391" s="34"/>
      <c r="E391" s="34"/>
      <c r="F391" s="31"/>
      <c r="G391" s="34"/>
      <c r="H391" s="32"/>
      <c r="I391" s="30"/>
      <c r="J391" s="30"/>
      <c r="K391" s="33"/>
      <c r="Q391" s="1">
        <f t="shared" si="13"/>
        <v>0</v>
      </c>
    </row>
    <row r="392" spans="1:17" x14ac:dyDescent="0.2">
      <c r="A392" s="1">
        <f t="shared" si="12"/>
        <v>0</v>
      </c>
      <c r="B392" s="35">
        <f>COUNTIF($C$4:C392,C392)</f>
        <v>0</v>
      </c>
      <c r="C392" s="30"/>
      <c r="D392" s="34"/>
      <c r="E392" s="34"/>
      <c r="F392" s="31"/>
      <c r="G392" s="34"/>
      <c r="H392" s="32"/>
      <c r="I392" s="30"/>
      <c r="J392" s="30"/>
      <c r="K392" s="33"/>
      <c r="Q392" s="1">
        <f t="shared" si="13"/>
        <v>0</v>
      </c>
    </row>
    <row r="393" spans="1:17" x14ac:dyDescent="0.2">
      <c r="A393" s="1">
        <f t="shared" si="12"/>
        <v>0</v>
      </c>
      <c r="B393" s="35">
        <f>COUNTIF($C$4:C393,C393)</f>
        <v>0</v>
      </c>
      <c r="C393" s="30"/>
      <c r="D393" s="34"/>
      <c r="E393" s="34"/>
      <c r="F393" s="31"/>
      <c r="G393" s="34"/>
      <c r="H393" s="32"/>
      <c r="I393" s="30"/>
      <c r="J393" s="30"/>
      <c r="K393" s="33"/>
      <c r="Q393" s="1">
        <f t="shared" si="13"/>
        <v>0</v>
      </c>
    </row>
    <row r="394" spans="1:17" x14ac:dyDescent="0.2">
      <c r="A394" s="1">
        <f t="shared" si="12"/>
        <v>0</v>
      </c>
      <c r="B394" s="35">
        <f>COUNTIF($C$4:C394,C394)</f>
        <v>0</v>
      </c>
      <c r="C394" s="30"/>
      <c r="D394" s="34"/>
      <c r="E394" s="34"/>
      <c r="F394" s="31"/>
      <c r="G394" s="34"/>
      <c r="H394" s="32"/>
      <c r="I394" s="30"/>
      <c r="J394" s="30"/>
      <c r="K394" s="33"/>
      <c r="Q394" s="1">
        <f t="shared" si="13"/>
        <v>0</v>
      </c>
    </row>
    <row r="395" spans="1:17" x14ac:dyDescent="0.2">
      <c r="A395" s="1">
        <f t="shared" si="12"/>
        <v>0</v>
      </c>
      <c r="B395" s="35">
        <f>COUNTIF($C$4:C395,C395)</f>
        <v>0</v>
      </c>
      <c r="C395" s="30"/>
      <c r="D395" s="34"/>
      <c r="E395" s="34"/>
      <c r="F395" s="31"/>
      <c r="G395" s="34"/>
      <c r="H395" s="32"/>
      <c r="I395" s="30"/>
      <c r="J395" s="30"/>
      <c r="K395" s="33"/>
      <c r="Q395" s="1">
        <f t="shared" si="13"/>
        <v>0</v>
      </c>
    </row>
    <row r="396" spans="1:17" x14ac:dyDescent="0.2">
      <c r="A396" s="1">
        <f t="shared" si="12"/>
        <v>0</v>
      </c>
      <c r="B396" s="35">
        <f>COUNTIF($C$4:C396,C396)</f>
        <v>0</v>
      </c>
      <c r="C396" s="30"/>
      <c r="D396" s="34"/>
      <c r="E396" s="34"/>
      <c r="F396" s="31"/>
      <c r="G396" s="34"/>
      <c r="H396" s="32"/>
      <c r="I396" s="30"/>
      <c r="J396" s="30"/>
      <c r="K396" s="33"/>
      <c r="Q396" s="1">
        <f t="shared" si="13"/>
        <v>0</v>
      </c>
    </row>
    <row r="397" spans="1:17" x14ac:dyDescent="0.2">
      <c r="A397" s="1">
        <f t="shared" si="12"/>
        <v>0</v>
      </c>
      <c r="B397" s="35">
        <f>COUNTIF($C$4:C397,C397)</f>
        <v>0</v>
      </c>
      <c r="C397" s="30"/>
      <c r="D397" s="34"/>
      <c r="E397" s="34"/>
      <c r="F397" s="31"/>
      <c r="G397" s="34"/>
      <c r="H397" s="32"/>
      <c r="I397" s="30"/>
      <c r="J397" s="30"/>
      <c r="K397" s="33"/>
      <c r="Q397" s="1">
        <f t="shared" si="13"/>
        <v>0</v>
      </c>
    </row>
    <row r="398" spans="1:17" x14ac:dyDescent="0.2">
      <c r="A398" s="1">
        <f t="shared" si="12"/>
        <v>0</v>
      </c>
      <c r="B398" s="35">
        <f>COUNTIF($C$4:C398,C398)</f>
        <v>0</v>
      </c>
      <c r="C398" s="30"/>
      <c r="D398" s="34"/>
      <c r="E398" s="34"/>
      <c r="F398" s="31"/>
      <c r="G398" s="34"/>
      <c r="H398" s="32"/>
      <c r="I398" s="30"/>
      <c r="J398" s="30"/>
      <c r="K398" s="33"/>
      <c r="Q398" s="1">
        <f t="shared" si="13"/>
        <v>0</v>
      </c>
    </row>
    <row r="399" spans="1:17" x14ac:dyDescent="0.2">
      <c r="A399" s="1">
        <f t="shared" si="12"/>
        <v>0</v>
      </c>
      <c r="B399" s="35">
        <f>COUNTIF($C$4:C399,C399)</f>
        <v>0</v>
      </c>
      <c r="C399" s="30"/>
      <c r="D399" s="34"/>
      <c r="E399" s="34"/>
      <c r="F399" s="31"/>
      <c r="G399" s="34"/>
      <c r="H399" s="32"/>
      <c r="I399" s="30"/>
      <c r="J399" s="30"/>
      <c r="K399" s="33"/>
      <c r="Q399" s="1">
        <f t="shared" si="13"/>
        <v>0</v>
      </c>
    </row>
    <row r="400" spans="1:17" x14ac:dyDescent="0.2">
      <c r="A400" s="1">
        <f t="shared" si="12"/>
        <v>0</v>
      </c>
      <c r="B400" s="35">
        <f>COUNTIF($C$4:C400,C400)</f>
        <v>0</v>
      </c>
      <c r="C400" s="30"/>
      <c r="D400" s="34"/>
      <c r="E400" s="34"/>
      <c r="F400" s="31"/>
      <c r="G400" s="34"/>
      <c r="H400" s="32"/>
      <c r="I400" s="30"/>
      <c r="J400" s="30"/>
      <c r="K400" s="33"/>
      <c r="Q400" s="1">
        <f t="shared" si="13"/>
        <v>0</v>
      </c>
    </row>
    <row r="401" spans="1:17" x14ac:dyDescent="0.2">
      <c r="A401" s="1">
        <f t="shared" si="12"/>
        <v>0</v>
      </c>
      <c r="B401" s="35">
        <f>COUNTIF($C$4:C401,C401)</f>
        <v>0</v>
      </c>
      <c r="C401" s="30"/>
      <c r="D401" s="34"/>
      <c r="E401" s="34"/>
      <c r="F401" s="31"/>
      <c r="G401" s="34"/>
      <c r="H401" s="32"/>
      <c r="I401" s="30"/>
      <c r="J401" s="30"/>
      <c r="K401" s="33"/>
      <c r="Q401" s="1">
        <f t="shared" si="13"/>
        <v>0</v>
      </c>
    </row>
    <row r="402" spans="1:17" x14ac:dyDescent="0.2">
      <c r="A402" s="1">
        <f t="shared" si="12"/>
        <v>0</v>
      </c>
      <c r="B402" s="35">
        <f>COUNTIF($C$4:C402,C402)</f>
        <v>0</v>
      </c>
      <c r="C402" s="30"/>
      <c r="D402" s="34"/>
      <c r="E402" s="34"/>
      <c r="F402" s="31"/>
      <c r="G402" s="34"/>
      <c r="H402" s="32"/>
      <c r="I402" s="30"/>
      <c r="J402" s="30"/>
      <c r="K402" s="33"/>
      <c r="Q402" s="1">
        <f t="shared" si="13"/>
        <v>0</v>
      </c>
    </row>
    <row r="403" spans="1:17" x14ac:dyDescent="0.2">
      <c r="A403" s="1">
        <f t="shared" si="12"/>
        <v>0</v>
      </c>
      <c r="B403" s="35">
        <f>COUNTIF($C$4:C403,C403)</f>
        <v>0</v>
      </c>
      <c r="C403" s="30"/>
      <c r="D403" s="34"/>
      <c r="E403" s="34"/>
      <c r="F403" s="31"/>
      <c r="G403" s="34"/>
      <c r="H403" s="32"/>
      <c r="I403" s="30"/>
      <c r="J403" s="30"/>
      <c r="K403" s="33"/>
      <c r="Q403" s="1">
        <f t="shared" si="13"/>
        <v>0</v>
      </c>
    </row>
    <row r="404" spans="1:17" x14ac:dyDescent="0.2">
      <c r="A404" s="1">
        <f t="shared" si="12"/>
        <v>0</v>
      </c>
      <c r="B404" s="35">
        <f>COUNTIF($C$4:C404,C404)</f>
        <v>0</v>
      </c>
      <c r="C404" s="30"/>
      <c r="D404" s="34"/>
      <c r="E404" s="34"/>
      <c r="F404" s="31"/>
      <c r="G404" s="34"/>
      <c r="H404" s="32"/>
      <c r="I404" s="30"/>
      <c r="J404" s="30"/>
      <c r="K404" s="33"/>
      <c r="Q404" s="1">
        <f t="shared" si="13"/>
        <v>0</v>
      </c>
    </row>
    <row r="405" spans="1:17" x14ac:dyDescent="0.2">
      <c r="A405" s="1">
        <f t="shared" si="12"/>
        <v>0</v>
      </c>
      <c r="B405" s="35">
        <f>COUNTIF($C$4:C405,C405)</f>
        <v>0</v>
      </c>
      <c r="C405" s="30"/>
      <c r="D405" s="34"/>
      <c r="E405" s="34"/>
      <c r="F405" s="31"/>
      <c r="G405" s="34"/>
      <c r="H405" s="32"/>
      <c r="I405" s="30"/>
      <c r="J405" s="30"/>
      <c r="K405" s="33"/>
      <c r="Q405" s="1">
        <f t="shared" si="13"/>
        <v>0</v>
      </c>
    </row>
    <row r="406" spans="1:17" x14ac:dyDescent="0.2">
      <c r="A406" s="1">
        <f t="shared" si="12"/>
        <v>0</v>
      </c>
      <c r="B406" s="35">
        <f>COUNTIF($C$4:C406,C406)</f>
        <v>0</v>
      </c>
      <c r="C406" s="30"/>
      <c r="D406" s="34"/>
      <c r="E406" s="34"/>
      <c r="F406" s="31"/>
      <c r="G406" s="34"/>
      <c r="H406" s="32"/>
      <c r="I406" s="30"/>
      <c r="J406" s="30"/>
      <c r="K406" s="33"/>
      <c r="Q406" s="1">
        <f t="shared" si="13"/>
        <v>0</v>
      </c>
    </row>
    <row r="407" spans="1:17" x14ac:dyDescent="0.2">
      <c r="A407" s="1">
        <f t="shared" si="12"/>
        <v>0</v>
      </c>
      <c r="B407" s="35">
        <f>COUNTIF($C$4:C407,C407)</f>
        <v>0</v>
      </c>
      <c r="C407" s="30"/>
      <c r="D407" s="34"/>
      <c r="E407" s="34"/>
      <c r="F407" s="31"/>
      <c r="G407" s="34"/>
      <c r="H407" s="32"/>
      <c r="I407" s="30"/>
      <c r="J407" s="30"/>
      <c r="K407" s="33"/>
      <c r="Q407" s="1">
        <f t="shared" si="13"/>
        <v>0</v>
      </c>
    </row>
    <row r="408" spans="1:17" x14ac:dyDescent="0.2">
      <c r="A408" s="1">
        <f t="shared" si="12"/>
        <v>0</v>
      </c>
      <c r="B408" s="35">
        <f>COUNTIF($C$4:C408,C408)</f>
        <v>0</v>
      </c>
      <c r="C408" s="30"/>
      <c r="D408" s="34"/>
      <c r="E408" s="34"/>
      <c r="F408" s="31"/>
      <c r="G408" s="34"/>
      <c r="H408" s="32"/>
      <c r="I408" s="30"/>
      <c r="J408" s="30"/>
      <c r="K408" s="33"/>
      <c r="Q408" s="1">
        <f t="shared" si="13"/>
        <v>0</v>
      </c>
    </row>
    <row r="409" spans="1:17" x14ac:dyDescent="0.2">
      <c r="A409" s="1">
        <f t="shared" si="12"/>
        <v>0</v>
      </c>
      <c r="B409" s="35">
        <f>COUNTIF($C$4:C409,C409)</f>
        <v>0</v>
      </c>
      <c r="C409" s="30"/>
      <c r="D409" s="34"/>
      <c r="E409" s="34"/>
      <c r="F409" s="31"/>
      <c r="G409" s="34"/>
      <c r="H409" s="32"/>
      <c r="I409" s="30"/>
      <c r="J409" s="30"/>
      <c r="K409" s="33"/>
      <c r="Q409" s="1">
        <f t="shared" si="13"/>
        <v>0</v>
      </c>
    </row>
    <row r="410" spans="1:17" x14ac:dyDescent="0.2">
      <c r="A410" s="1">
        <f t="shared" si="12"/>
        <v>0</v>
      </c>
      <c r="B410" s="35">
        <f>COUNTIF($C$4:C410,C410)</f>
        <v>0</v>
      </c>
      <c r="C410" s="30"/>
      <c r="D410" s="34"/>
      <c r="E410" s="34"/>
      <c r="F410" s="31"/>
      <c r="G410" s="34"/>
      <c r="H410" s="32"/>
      <c r="I410" s="30"/>
      <c r="J410" s="30"/>
      <c r="K410" s="33"/>
      <c r="Q410" s="1">
        <f t="shared" si="13"/>
        <v>0</v>
      </c>
    </row>
    <row r="411" spans="1:17" x14ac:dyDescent="0.2">
      <c r="A411" s="1">
        <f t="shared" si="12"/>
        <v>0</v>
      </c>
      <c r="B411" s="35">
        <f>COUNTIF($C$4:C411,C411)</f>
        <v>0</v>
      </c>
      <c r="C411" s="30"/>
      <c r="D411" s="34"/>
      <c r="E411" s="34"/>
      <c r="F411" s="31"/>
      <c r="G411" s="34"/>
      <c r="H411" s="32"/>
      <c r="I411" s="30"/>
      <c r="J411" s="30"/>
      <c r="K411" s="33"/>
      <c r="Q411" s="1">
        <f t="shared" si="13"/>
        <v>0</v>
      </c>
    </row>
    <row r="412" spans="1:17" x14ac:dyDescent="0.2">
      <c r="A412" s="1">
        <f t="shared" si="12"/>
        <v>0</v>
      </c>
      <c r="B412" s="35">
        <f>COUNTIF($C$4:C412,C412)</f>
        <v>0</v>
      </c>
      <c r="C412" s="30"/>
      <c r="D412" s="34"/>
      <c r="E412" s="34"/>
      <c r="F412" s="31"/>
      <c r="G412" s="34"/>
      <c r="H412" s="32"/>
      <c r="I412" s="30"/>
      <c r="J412" s="30"/>
      <c r="K412" s="33"/>
      <c r="Q412" s="1">
        <f t="shared" si="13"/>
        <v>0</v>
      </c>
    </row>
    <row r="413" spans="1:17" x14ac:dyDescent="0.2">
      <c r="A413" s="1">
        <f t="shared" si="12"/>
        <v>0</v>
      </c>
      <c r="B413" s="35">
        <f>COUNTIF($C$4:C413,C413)</f>
        <v>0</v>
      </c>
      <c r="C413" s="30"/>
      <c r="D413" s="34"/>
      <c r="E413" s="34"/>
      <c r="F413" s="31"/>
      <c r="G413" s="34"/>
      <c r="H413" s="32"/>
      <c r="I413" s="30"/>
      <c r="J413" s="30"/>
      <c r="K413" s="33"/>
      <c r="Q413" s="1">
        <f t="shared" si="13"/>
        <v>0</v>
      </c>
    </row>
    <row r="414" spans="1:17" x14ac:dyDescent="0.2">
      <c r="A414" s="1">
        <f t="shared" si="12"/>
        <v>0</v>
      </c>
      <c r="B414" s="35">
        <f>COUNTIF($C$4:C414,C414)</f>
        <v>0</v>
      </c>
      <c r="C414" s="30"/>
      <c r="D414" s="34"/>
      <c r="E414" s="34"/>
      <c r="F414" s="31"/>
      <c r="G414" s="34"/>
      <c r="H414" s="32"/>
      <c r="I414" s="30"/>
      <c r="J414" s="30"/>
      <c r="K414" s="33"/>
      <c r="Q414" s="1">
        <f t="shared" si="13"/>
        <v>0</v>
      </c>
    </row>
    <row r="415" spans="1:17" x14ac:dyDescent="0.2">
      <c r="A415" s="1">
        <f t="shared" si="12"/>
        <v>0</v>
      </c>
      <c r="B415" s="35">
        <f>COUNTIF($C$4:C415,C415)</f>
        <v>0</v>
      </c>
      <c r="C415" s="30"/>
      <c r="D415" s="34"/>
      <c r="E415" s="34"/>
      <c r="F415" s="31"/>
      <c r="G415" s="34"/>
      <c r="H415" s="32"/>
      <c r="I415" s="30"/>
      <c r="J415" s="30"/>
      <c r="K415" s="33"/>
      <c r="Q415" s="1">
        <f t="shared" si="13"/>
        <v>0</v>
      </c>
    </row>
    <row r="416" spans="1:17" x14ac:dyDescent="0.2">
      <c r="A416" s="1">
        <f t="shared" si="12"/>
        <v>0</v>
      </c>
      <c r="B416" s="35">
        <f>COUNTIF($C$4:C416,C416)</f>
        <v>0</v>
      </c>
      <c r="C416" s="30"/>
      <c r="D416" s="34"/>
      <c r="E416" s="34"/>
      <c r="F416" s="31"/>
      <c r="G416" s="34"/>
      <c r="H416" s="32"/>
      <c r="I416" s="30"/>
      <c r="J416" s="30"/>
      <c r="K416" s="33"/>
      <c r="Q416" s="1">
        <f t="shared" si="13"/>
        <v>0</v>
      </c>
    </row>
    <row r="417" spans="1:17" x14ac:dyDescent="0.2">
      <c r="A417" s="1">
        <f t="shared" si="12"/>
        <v>0</v>
      </c>
      <c r="B417" s="35">
        <f>COUNTIF($C$4:C417,C417)</f>
        <v>0</v>
      </c>
      <c r="C417" s="30"/>
      <c r="D417" s="34"/>
      <c r="E417" s="34"/>
      <c r="F417" s="31"/>
      <c r="G417" s="34"/>
      <c r="H417" s="32"/>
      <c r="I417" s="30"/>
      <c r="J417" s="30"/>
      <c r="K417" s="33"/>
      <c r="Q417" s="1">
        <f t="shared" si="13"/>
        <v>0</v>
      </c>
    </row>
    <row r="418" spans="1:17" x14ac:dyDescent="0.2">
      <c r="A418" s="1">
        <f t="shared" si="12"/>
        <v>0</v>
      </c>
      <c r="B418" s="35">
        <f>COUNTIF($C$4:C418,C418)</f>
        <v>0</v>
      </c>
      <c r="C418" s="30"/>
      <c r="D418" s="34"/>
      <c r="E418" s="34"/>
      <c r="F418" s="31"/>
      <c r="G418" s="34"/>
      <c r="H418" s="32"/>
      <c r="I418" s="30"/>
      <c r="J418" s="30"/>
      <c r="K418" s="33"/>
      <c r="Q418" s="1">
        <f t="shared" si="13"/>
        <v>0</v>
      </c>
    </row>
    <row r="419" spans="1:17" x14ac:dyDescent="0.2">
      <c r="A419" s="1">
        <f t="shared" si="12"/>
        <v>0</v>
      </c>
      <c r="B419" s="35">
        <f>COUNTIF($C$4:C419,C419)</f>
        <v>0</v>
      </c>
      <c r="C419" s="30"/>
      <c r="D419" s="34"/>
      <c r="E419" s="34"/>
      <c r="F419" s="31"/>
      <c r="G419" s="34"/>
      <c r="H419" s="32"/>
      <c r="I419" s="30"/>
      <c r="J419" s="30"/>
      <c r="K419" s="33"/>
      <c r="Q419" s="1">
        <f t="shared" si="13"/>
        <v>0</v>
      </c>
    </row>
    <row r="420" spans="1:17" x14ac:dyDescent="0.2">
      <c r="A420" s="1">
        <f t="shared" si="12"/>
        <v>0</v>
      </c>
      <c r="B420" s="35">
        <f>COUNTIF($C$4:C420,C420)</f>
        <v>0</v>
      </c>
      <c r="C420" s="30"/>
      <c r="D420" s="34"/>
      <c r="E420" s="34"/>
      <c r="F420" s="31"/>
      <c r="G420" s="34"/>
      <c r="H420" s="32"/>
      <c r="I420" s="30"/>
      <c r="J420" s="30"/>
      <c r="K420" s="33"/>
      <c r="Q420" s="1">
        <f t="shared" si="13"/>
        <v>0</v>
      </c>
    </row>
    <row r="421" spans="1:17" x14ac:dyDescent="0.2">
      <c r="A421" s="1">
        <f t="shared" si="12"/>
        <v>0</v>
      </c>
      <c r="B421" s="35">
        <f>COUNTIF($C$4:C421,C421)</f>
        <v>0</v>
      </c>
      <c r="C421" s="30"/>
      <c r="D421" s="34"/>
      <c r="E421" s="34"/>
      <c r="F421" s="31"/>
      <c r="G421" s="34"/>
      <c r="H421" s="32"/>
      <c r="I421" s="30"/>
      <c r="J421" s="30"/>
      <c r="K421" s="33"/>
      <c r="Q421" s="1">
        <f t="shared" si="13"/>
        <v>0</v>
      </c>
    </row>
    <row r="422" spans="1:17" x14ac:dyDescent="0.2">
      <c r="A422" s="1">
        <f t="shared" si="12"/>
        <v>0</v>
      </c>
      <c r="B422" s="35">
        <f>COUNTIF($C$4:C422,C422)</f>
        <v>0</v>
      </c>
      <c r="C422" s="30"/>
      <c r="D422" s="34"/>
      <c r="E422" s="34"/>
      <c r="F422" s="31"/>
      <c r="G422" s="34"/>
      <c r="H422" s="32"/>
      <c r="I422" s="30"/>
      <c r="J422" s="30"/>
      <c r="K422" s="33"/>
      <c r="Q422" s="1">
        <f t="shared" si="13"/>
        <v>0</v>
      </c>
    </row>
    <row r="423" spans="1:17" x14ac:dyDescent="0.2">
      <c r="A423" s="1">
        <f t="shared" si="12"/>
        <v>0</v>
      </c>
      <c r="B423" s="35">
        <f>COUNTIF($C$4:C423,C423)</f>
        <v>0</v>
      </c>
      <c r="C423" s="30"/>
      <c r="D423" s="34"/>
      <c r="E423" s="34"/>
      <c r="F423" s="31"/>
      <c r="G423" s="34"/>
      <c r="H423" s="32"/>
      <c r="I423" s="30"/>
      <c r="J423" s="30"/>
      <c r="K423" s="33"/>
      <c r="Q423" s="1">
        <f t="shared" si="13"/>
        <v>0</v>
      </c>
    </row>
    <row r="424" spans="1:17" x14ac:dyDescent="0.2">
      <c r="A424" s="1">
        <f t="shared" si="12"/>
        <v>0</v>
      </c>
      <c r="B424" s="35">
        <f>COUNTIF($C$4:C424,C424)</f>
        <v>0</v>
      </c>
      <c r="C424" s="30"/>
      <c r="D424" s="34"/>
      <c r="E424" s="34"/>
      <c r="F424" s="31"/>
      <c r="G424" s="34"/>
      <c r="H424" s="32"/>
      <c r="I424" s="30"/>
      <c r="J424" s="30"/>
      <c r="K424" s="33"/>
      <c r="Q424" s="1">
        <f t="shared" si="13"/>
        <v>0</v>
      </c>
    </row>
    <row r="425" spans="1:17" x14ac:dyDescent="0.2">
      <c r="A425" s="1">
        <f t="shared" si="12"/>
        <v>0</v>
      </c>
      <c r="B425" s="35">
        <f>COUNTIF($C$4:C425,C425)</f>
        <v>0</v>
      </c>
      <c r="C425" s="30"/>
      <c r="D425" s="34"/>
      <c r="E425" s="34"/>
      <c r="F425" s="31"/>
      <c r="G425" s="34"/>
      <c r="H425" s="32"/>
      <c r="I425" s="30"/>
      <c r="J425" s="30"/>
      <c r="K425" s="33"/>
      <c r="Q425" s="1">
        <f t="shared" si="13"/>
        <v>0</v>
      </c>
    </row>
    <row r="426" spans="1:17" x14ac:dyDescent="0.2">
      <c r="A426" s="1">
        <f t="shared" si="12"/>
        <v>0</v>
      </c>
      <c r="B426" s="35">
        <f>COUNTIF($C$4:C426,C426)</f>
        <v>0</v>
      </c>
      <c r="C426" s="30"/>
      <c r="D426" s="34"/>
      <c r="E426" s="34"/>
      <c r="F426" s="31"/>
      <c r="G426" s="34"/>
      <c r="H426" s="32"/>
      <c r="I426" s="30"/>
      <c r="J426" s="30"/>
      <c r="K426" s="33"/>
      <c r="Q426" s="1">
        <f t="shared" si="13"/>
        <v>0</v>
      </c>
    </row>
    <row r="427" spans="1:17" x14ac:dyDescent="0.2">
      <c r="A427" s="1">
        <f t="shared" si="12"/>
        <v>0</v>
      </c>
      <c r="B427" s="35">
        <f>COUNTIF($C$4:C427,C427)</f>
        <v>0</v>
      </c>
      <c r="C427" s="30"/>
      <c r="D427" s="34"/>
      <c r="E427" s="34"/>
      <c r="F427" s="31"/>
      <c r="G427" s="34"/>
      <c r="H427" s="32"/>
      <c r="I427" s="30"/>
      <c r="J427" s="30"/>
      <c r="K427" s="33"/>
      <c r="Q427" s="1">
        <f t="shared" si="13"/>
        <v>0</v>
      </c>
    </row>
    <row r="428" spans="1:17" x14ac:dyDescent="0.2">
      <c r="A428" s="1">
        <f t="shared" si="12"/>
        <v>0</v>
      </c>
      <c r="B428" s="35">
        <f>COUNTIF($C$4:C428,C428)</f>
        <v>0</v>
      </c>
      <c r="C428" s="30"/>
      <c r="D428" s="34"/>
      <c r="E428" s="34"/>
      <c r="F428" s="31"/>
      <c r="G428" s="34"/>
      <c r="H428" s="32"/>
      <c r="I428" s="30"/>
      <c r="J428" s="30"/>
      <c r="K428" s="33"/>
      <c r="Q428" s="1">
        <f t="shared" si="13"/>
        <v>0</v>
      </c>
    </row>
    <row r="429" spans="1:17" x14ac:dyDescent="0.2">
      <c r="A429" s="1">
        <f t="shared" si="12"/>
        <v>0</v>
      </c>
      <c r="B429" s="35">
        <f>COUNTIF($C$4:C429,C429)</f>
        <v>0</v>
      </c>
      <c r="C429" s="30"/>
      <c r="D429" s="34"/>
      <c r="E429" s="34"/>
      <c r="F429" s="31"/>
      <c r="G429" s="34"/>
      <c r="H429" s="32"/>
      <c r="I429" s="30"/>
      <c r="J429" s="30"/>
      <c r="K429" s="33"/>
      <c r="Q429" s="1">
        <f t="shared" si="13"/>
        <v>0</v>
      </c>
    </row>
    <row r="430" spans="1:17" x14ac:dyDescent="0.2">
      <c r="A430" s="1">
        <f t="shared" si="12"/>
        <v>0</v>
      </c>
      <c r="B430" s="35">
        <f>COUNTIF($C$4:C430,C430)</f>
        <v>0</v>
      </c>
      <c r="C430" s="30"/>
      <c r="D430" s="34"/>
      <c r="E430" s="34"/>
      <c r="F430" s="31"/>
      <c r="G430" s="34"/>
      <c r="H430" s="32"/>
      <c r="I430" s="30"/>
      <c r="J430" s="30"/>
      <c r="K430" s="33"/>
      <c r="Q430" s="1">
        <f t="shared" si="13"/>
        <v>0</v>
      </c>
    </row>
    <row r="431" spans="1:17" x14ac:dyDescent="0.2">
      <c r="A431" s="1">
        <f t="shared" si="12"/>
        <v>0</v>
      </c>
      <c r="B431" s="35">
        <f>COUNTIF($C$4:C431,C431)</f>
        <v>0</v>
      </c>
      <c r="C431" s="30"/>
      <c r="D431" s="34"/>
      <c r="E431" s="34"/>
      <c r="F431" s="31"/>
      <c r="G431" s="34"/>
      <c r="H431" s="32"/>
      <c r="I431" s="30"/>
      <c r="J431" s="30"/>
      <c r="K431" s="33"/>
      <c r="Q431" s="1">
        <f t="shared" si="13"/>
        <v>0</v>
      </c>
    </row>
    <row r="432" spans="1:17" x14ac:dyDescent="0.2">
      <c r="A432" s="1">
        <f t="shared" si="12"/>
        <v>0</v>
      </c>
      <c r="B432" s="35">
        <f>COUNTIF($C$4:C432,C432)</f>
        <v>0</v>
      </c>
      <c r="C432" s="30"/>
      <c r="D432" s="34"/>
      <c r="E432" s="34"/>
      <c r="F432" s="31"/>
      <c r="G432" s="34"/>
      <c r="H432" s="32"/>
      <c r="I432" s="30"/>
      <c r="J432" s="30"/>
      <c r="K432" s="33"/>
      <c r="Q432" s="1">
        <f t="shared" si="13"/>
        <v>0</v>
      </c>
    </row>
    <row r="433" spans="1:17" x14ac:dyDescent="0.2">
      <c r="A433" s="1">
        <f t="shared" si="12"/>
        <v>0</v>
      </c>
      <c r="B433" s="35">
        <f>COUNTIF($C$4:C433,C433)</f>
        <v>0</v>
      </c>
      <c r="C433" s="30"/>
      <c r="D433" s="34"/>
      <c r="E433" s="34"/>
      <c r="F433" s="31"/>
      <c r="G433" s="34"/>
      <c r="H433" s="32"/>
      <c r="I433" s="30"/>
      <c r="J433" s="30"/>
      <c r="K433" s="33"/>
      <c r="Q433" s="1">
        <f t="shared" si="13"/>
        <v>0</v>
      </c>
    </row>
    <row r="434" spans="1:17" x14ac:dyDescent="0.2">
      <c r="A434" s="1">
        <f t="shared" si="12"/>
        <v>0</v>
      </c>
      <c r="B434" s="35">
        <f>COUNTIF($C$4:C434,C434)</f>
        <v>0</v>
      </c>
      <c r="C434" s="30"/>
      <c r="D434" s="34"/>
      <c r="E434" s="34"/>
      <c r="F434" s="31"/>
      <c r="G434" s="34"/>
      <c r="H434" s="32"/>
      <c r="I434" s="30"/>
      <c r="J434" s="30"/>
      <c r="K434" s="33"/>
      <c r="Q434" s="1">
        <f t="shared" si="13"/>
        <v>0</v>
      </c>
    </row>
    <row r="435" spans="1:17" x14ac:dyDescent="0.2">
      <c r="A435" s="1">
        <f t="shared" si="12"/>
        <v>0</v>
      </c>
      <c r="B435" s="35">
        <f>COUNTIF($C$4:C435,C435)</f>
        <v>0</v>
      </c>
      <c r="C435" s="30"/>
      <c r="D435" s="34"/>
      <c r="E435" s="34"/>
      <c r="F435" s="31"/>
      <c r="G435" s="34"/>
      <c r="H435" s="32"/>
      <c r="I435" s="30"/>
      <c r="J435" s="30"/>
      <c r="K435" s="33"/>
      <c r="Q435" s="1">
        <f t="shared" si="13"/>
        <v>0</v>
      </c>
    </row>
    <row r="436" spans="1:17" x14ac:dyDescent="0.2">
      <c r="A436" s="1">
        <f t="shared" si="12"/>
        <v>0</v>
      </c>
      <c r="B436" s="35">
        <f>COUNTIF($C$4:C436,C436)</f>
        <v>0</v>
      </c>
      <c r="C436" s="30"/>
      <c r="D436" s="34"/>
      <c r="E436" s="34"/>
      <c r="F436" s="31"/>
      <c r="G436" s="34"/>
      <c r="H436" s="32"/>
      <c r="I436" s="30"/>
      <c r="J436" s="30"/>
      <c r="K436" s="33"/>
      <c r="Q436" s="1">
        <f t="shared" si="13"/>
        <v>0</v>
      </c>
    </row>
    <row r="437" spans="1:17" x14ac:dyDescent="0.2">
      <c r="A437" s="1">
        <f t="shared" si="12"/>
        <v>0</v>
      </c>
      <c r="B437" s="35">
        <f>COUNTIF($C$4:C437,C437)</f>
        <v>0</v>
      </c>
      <c r="C437" s="30"/>
      <c r="D437" s="34"/>
      <c r="E437" s="34"/>
      <c r="F437" s="31"/>
      <c r="G437" s="34"/>
      <c r="H437" s="32"/>
      <c r="I437" s="30"/>
      <c r="J437" s="30"/>
      <c r="K437" s="33"/>
      <c r="Q437" s="1">
        <f t="shared" si="13"/>
        <v>0</v>
      </c>
    </row>
    <row r="438" spans="1:17" x14ac:dyDescent="0.2">
      <c r="A438" s="1">
        <f t="shared" si="12"/>
        <v>0</v>
      </c>
      <c r="B438" s="35">
        <f>COUNTIF($C$4:C438,C438)</f>
        <v>0</v>
      </c>
      <c r="C438" s="30"/>
      <c r="D438" s="34"/>
      <c r="E438" s="34"/>
      <c r="F438" s="31"/>
      <c r="G438" s="34"/>
      <c r="H438" s="32"/>
      <c r="I438" s="30"/>
      <c r="J438" s="30"/>
      <c r="K438" s="33"/>
      <c r="Q438" s="1">
        <f t="shared" si="13"/>
        <v>0</v>
      </c>
    </row>
    <row r="439" spans="1:17" x14ac:dyDescent="0.2">
      <c r="A439" s="1">
        <f t="shared" si="12"/>
        <v>0</v>
      </c>
      <c r="B439" s="35">
        <f>COUNTIF($C$4:C439,C439)</f>
        <v>0</v>
      </c>
      <c r="C439" s="30"/>
      <c r="D439" s="34"/>
      <c r="E439" s="34"/>
      <c r="F439" s="31"/>
      <c r="G439" s="34"/>
      <c r="H439" s="32"/>
      <c r="I439" s="30"/>
      <c r="J439" s="30"/>
      <c r="K439" s="33"/>
      <c r="Q439" s="1">
        <f t="shared" si="13"/>
        <v>0</v>
      </c>
    </row>
    <row r="440" spans="1:17" x14ac:dyDescent="0.2">
      <c r="A440" s="1">
        <f t="shared" si="12"/>
        <v>0</v>
      </c>
      <c r="B440" s="35">
        <f>COUNTIF($C$4:C440,C440)</f>
        <v>0</v>
      </c>
      <c r="C440" s="30"/>
      <c r="D440" s="34"/>
      <c r="E440" s="34"/>
      <c r="F440" s="31"/>
      <c r="G440" s="34"/>
      <c r="H440" s="32"/>
      <c r="I440" s="30"/>
      <c r="J440" s="30"/>
      <c r="K440" s="33"/>
      <c r="Q440" s="1">
        <f t="shared" si="13"/>
        <v>0</v>
      </c>
    </row>
    <row r="441" spans="1:17" x14ac:dyDescent="0.2">
      <c r="A441" s="1">
        <f t="shared" si="12"/>
        <v>0</v>
      </c>
      <c r="B441" s="35">
        <f>COUNTIF($C$4:C441,C441)</f>
        <v>0</v>
      </c>
      <c r="C441" s="30"/>
      <c r="D441" s="34"/>
      <c r="E441" s="34"/>
      <c r="F441" s="31"/>
      <c r="G441" s="34"/>
      <c r="H441" s="32"/>
      <c r="I441" s="30"/>
      <c r="J441" s="30"/>
      <c r="K441" s="33"/>
      <c r="Q441" s="1">
        <f t="shared" si="13"/>
        <v>0</v>
      </c>
    </row>
    <row r="442" spans="1:17" x14ac:dyDescent="0.2">
      <c r="A442" s="1">
        <f t="shared" si="12"/>
        <v>0</v>
      </c>
      <c r="B442" s="35">
        <f>COUNTIF($C$4:C442,C442)</f>
        <v>0</v>
      </c>
      <c r="C442" s="30"/>
      <c r="D442" s="34"/>
      <c r="E442" s="34"/>
      <c r="F442" s="31"/>
      <c r="G442" s="34"/>
      <c r="H442" s="32"/>
      <c r="I442" s="30"/>
      <c r="J442" s="30"/>
      <c r="K442" s="33"/>
      <c r="Q442" s="1">
        <f t="shared" si="13"/>
        <v>0</v>
      </c>
    </row>
    <row r="443" spans="1:17" x14ac:dyDescent="0.2">
      <c r="A443" s="1">
        <f t="shared" si="12"/>
        <v>0</v>
      </c>
      <c r="B443" s="35">
        <f>COUNTIF($C$4:C443,C443)</f>
        <v>0</v>
      </c>
      <c r="C443" s="30"/>
      <c r="D443" s="34"/>
      <c r="E443" s="34"/>
      <c r="F443" s="31"/>
      <c r="G443" s="34"/>
      <c r="H443" s="32"/>
      <c r="I443" s="30"/>
      <c r="J443" s="30"/>
      <c r="K443" s="33"/>
      <c r="Q443" s="1">
        <f t="shared" si="13"/>
        <v>0</v>
      </c>
    </row>
    <row r="444" spans="1:17" x14ac:dyDescent="0.2">
      <c r="A444" s="1">
        <f t="shared" si="12"/>
        <v>0</v>
      </c>
      <c r="B444" s="35">
        <f>COUNTIF($C$4:C444,C444)</f>
        <v>0</v>
      </c>
      <c r="C444" s="30"/>
      <c r="D444" s="34"/>
      <c r="E444" s="34"/>
      <c r="F444" s="31"/>
      <c r="G444" s="34"/>
      <c r="H444" s="32"/>
      <c r="I444" s="30"/>
      <c r="J444" s="30"/>
      <c r="K444" s="33"/>
      <c r="Q444" s="1">
        <f t="shared" si="13"/>
        <v>0</v>
      </c>
    </row>
    <row r="445" spans="1:17" x14ac:dyDescent="0.2">
      <c r="A445" s="1">
        <f t="shared" si="12"/>
        <v>0</v>
      </c>
      <c r="B445" s="35">
        <f>COUNTIF($C$4:C445,C445)</f>
        <v>0</v>
      </c>
      <c r="C445" s="30"/>
      <c r="D445" s="34"/>
      <c r="E445" s="34"/>
      <c r="F445" s="31"/>
      <c r="G445" s="34"/>
      <c r="H445" s="32"/>
      <c r="I445" s="30"/>
      <c r="J445" s="30"/>
      <c r="K445" s="33"/>
      <c r="Q445" s="1">
        <f t="shared" si="13"/>
        <v>0</v>
      </c>
    </row>
    <row r="446" spans="1:17" x14ac:dyDescent="0.2">
      <c r="A446" s="1">
        <f t="shared" si="12"/>
        <v>0</v>
      </c>
      <c r="B446" s="35">
        <f>COUNTIF($C$4:C446,C446)</f>
        <v>0</v>
      </c>
      <c r="C446" s="30"/>
      <c r="D446" s="34"/>
      <c r="E446" s="34"/>
      <c r="F446" s="31"/>
      <c r="G446" s="34"/>
      <c r="H446" s="32"/>
      <c r="I446" s="30"/>
      <c r="J446" s="30"/>
      <c r="K446" s="33"/>
      <c r="Q446" s="1">
        <f t="shared" si="13"/>
        <v>0</v>
      </c>
    </row>
    <row r="447" spans="1:17" x14ac:dyDescent="0.2">
      <c r="A447" s="1">
        <f t="shared" si="12"/>
        <v>0</v>
      </c>
      <c r="B447" s="35">
        <f>COUNTIF($C$4:C447,C447)</f>
        <v>0</v>
      </c>
      <c r="C447" s="30"/>
      <c r="D447" s="34"/>
      <c r="E447" s="34"/>
      <c r="F447" s="31"/>
      <c r="G447" s="34"/>
      <c r="H447" s="32"/>
      <c r="I447" s="30"/>
      <c r="J447" s="30"/>
      <c r="K447" s="33"/>
      <c r="Q447" s="1">
        <f t="shared" si="13"/>
        <v>0</v>
      </c>
    </row>
    <row r="448" spans="1:17" x14ac:dyDescent="0.2">
      <c r="A448" s="1">
        <f t="shared" si="12"/>
        <v>0</v>
      </c>
      <c r="B448" s="35">
        <f>COUNTIF($C$4:C448,C448)</f>
        <v>0</v>
      </c>
      <c r="C448" s="30"/>
      <c r="D448" s="34"/>
      <c r="E448" s="34"/>
      <c r="F448" s="31"/>
      <c r="G448" s="34"/>
      <c r="H448" s="32"/>
      <c r="I448" s="30"/>
      <c r="J448" s="30"/>
      <c r="K448" s="33"/>
      <c r="Q448" s="1">
        <f t="shared" si="13"/>
        <v>0</v>
      </c>
    </row>
    <row r="449" spans="1:17" x14ac:dyDescent="0.2">
      <c r="A449" s="1">
        <f t="shared" si="12"/>
        <v>0</v>
      </c>
      <c r="B449" s="35">
        <f>COUNTIF($C$4:C449,C449)</f>
        <v>0</v>
      </c>
      <c r="C449" s="30"/>
      <c r="D449" s="34"/>
      <c r="E449" s="34"/>
      <c r="F449" s="31"/>
      <c r="G449" s="34"/>
      <c r="H449" s="32"/>
      <c r="I449" s="30"/>
      <c r="J449" s="30"/>
      <c r="K449" s="33"/>
      <c r="Q449" s="1">
        <f t="shared" si="13"/>
        <v>0</v>
      </c>
    </row>
    <row r="450" spans="1:17" x14ac:dyDescent="0.2">
      <c r="A450" s="1">
        <f t="shared" si="12"/>
        <v>0</v>
      </c>
      <c r="B450" s="35">
        <f>COUNTIF($C$4:C450,C450)</f>
        <v>0</v>
      </c>
      <c r="C450" s="30"/>
      <c r="D450" s="34"/>
      <c r="E450" s="34"/>
      <c r="F450" s="31"/>
      <c r="G450" s="34"/>
      <c r="H450" s="32"/>
      <c r="I450" s="30"/>
      <c r="J450" s="30"/>
      <c r="K450" s="33"/>
      <c r="Q450" s="1">
        <f t="shared" si="13"/>
        <v>0</v>
      </c>
    </row>
    <row r="451" spans="1:17" x14ac:dyDescent="0.2">
      <c r="A451" s="1">
        <f t="shared" si="12"/>
        <v>0</v>
      </c>
      <c r="B451" s="35">
        <f>COUNTIF($C$4:C451,C451)</f>
        <v>0</v>
      </c>
      <c r="C451" s="30"/>
      <c r="D451" s="34"/>
      <c r="E451" s="34"/>
      <c r="F451" s="31"/>
      <c r="G451" s="34"/>
      <c r="H451" s="32"/>
      <c r="I451" s="30"/>
      <c r="J451" s="30"/>
      <c r="K451" s="33"/>
      <c r="Q451" s="1">
        <f t="shared" si="13"/>
        <v>0</v>
      </c>
    </row>
    <row r="452" spans="1:17" x14ac:dyDescent="0.2">
      <c r="A452" s="1">
        <f t="shared" ref="A452:A500" si="14">IF($A$1=Q452,A451+1,A451)</f>
        <v>0</v>
      </c>
      <c r="B452" s="35">
        <f>COUNTIF($C$4:C452,C452)</f>
        <v>0</v>
      </c>
      <c r="C452" s="30"/>
      <c r="D452" s="34"/>
      <c r="E452" s="34"/>
      <c r="F452" s="31"/>
      <c r="G452" s="34"/>
      <c r="H452" s="32"/>
      <c r="I452" s="30"/>
      <c r="J452" s="30"/>
      <c r="K452" s="33"/>
      <c r="Q452" s="1">
        <f t="shared" si="13"/>
        <v>0</v>
      </c>
    </row>
    <row r="453" spans="1:17" x14ac:dyDescent="0.2">
      <c r="A453" s="1">
        <f t="shared" si="14"/>
        <v>0</v>
      </c>
      <c r="B453" s="35">
        <f>COUNTIF($C$4:C453,C453)</f>
        <v>0</v>
      </c>
      <c r="C453" s="30"/>
      <c r="D453" s="34"/>
      <c r="E453" s="34"/>
      <c r="F453" s="31"/>
      <c r="G453" s="34"/>
      <c r="H453" s="32"/>
      <c r="I453" s="30"/>
      <c r="J453" s="30"/>
      <c r="K453" s="33"/>
      <c r="Q453" s="1">
        <f t="shared" ref="Q453:Q500" si="15">IF(ISERROR(VLOOKUP(C453,$O$1:$Q$2,3,FALSE))=TRUE,0,VLOOKUP(C453,$O$1:$Q$2,3,FALSE))</f>
        <v>0</v>
      </c>
    </row>
    <row r="454" spans="1:17" x14ac:dyDescent="0.2">
      <c r="A454" s="1">
        <f t="shared" si="14"/>
        <v>0</v>
      </c>
      <c r="B454" s="35">
        <f>COUNTIF($C$4:C454,C454)</f>
        <v>0</v>
      </c>
      <c r="C454" s="30"/>
      <c r="D454" s="34"/>
      <c r="E454" s="34"/>
      <c r="F454" s="31"/>
      <c r="G454" s="34"/>
      <c r="H454" s="32"/>
      <c r="I454" s="30"/>
      <c r="J454" s="30"/>
      <c r="K454" s="33"/>
      <c r="Q454" s="1">
        <f t="shared" si="15"/>
        <v>0</v>
      </c>
    </row>
    <row r="455" spans="1:17" x14ac:dyDescent="0.2">
      <c r="A455" s="1">
        <f t="shared" si="14"/>
        <v>0</v>
      </c>
      <c r="B455" s="35">
        <f>COUNTIF($C$4:C455,C455)</f>
        <v>0</v>
      </c>
      <c r="C455" s="30"/>
      <c r="D455" s="34"/>
      <c r="E455" s="34"/>
      <c r="F455" s="31"/>
      <c r="G455" s="34"/>
      <c r="H455" s="32"/>
      <c r="I455" s="30"/>
      <c r="J455" s="30"/>
      <c r="K455" s="33"/>
      <c r="Q455" s="1">
        <f t="shared" si="15"/>
        <v>0</v>
      </c>
    </row>
    <row r="456" spans="1:17" x14ac:dyDescent="0.2">
      <c r="A456" s="1">
        <f t="shared" si="14"/>
        <v>0</v>
      </c>
      <c r="B456" s="35">
        <f>COUNTIF($C$4:C456,C456)</f>
        <v>0</v>
      </c>
      <c r="C456" s="30"/>
      <c r="D456" s="34"/>
      <c r="E456" s="34"/>
      <c r="F456" s="31"/>
      <c r="G456" s="34"/>
      <c r="H456" s="32"/>
      <c r="I456" s="30"/>
      <c r="J456" s="30"/>
      <c r="K456" s="33"/>
      <c r="Q456" s="1">
        <f t="shared" si="15"/>
        <v>0</v>
      </c>
    </row>
    <row r="457" spans="1:17" x14ac:dyDescent="0.2">
      <c r="A457" s="1">
        <f t="shared" si="14"/>
        <v>0</v>
      </c>
      <c r="B457" s="35">
        <f>COUNTIF($C$4:C457,C457)</f>
        <v>0</v>
      </c>
      <c r="C457" s="30"/>
      <c r="D457" s="34"/>
      <c r="E457" s="34"/>
      <c r="F457" s="31"/>
      <c r="G457" s="34"/>
      <c r="H457" s="32"/>
      <c r="I457" s="30"/>
      <c r="J457" s="30"/>
      <c r="K457" s="33"/>
      <c r="Q457" s="1">
        <f t="shared" si="15"/>
        <v>0</v>
      </c>
    </row>
    <row r="458" spans="1:17" x14ac:dyDescent="0.2">
      <c r="A458" s="1">
        <f t="shared" si="14"/>
        <v>0</v>
      </c>
      <c r="B458" s="35">
        <f>COUNTIF($C$4:C458,C458)</f>
        <v>0</v>
      </c>
      <c r="C458" s="30"/>
      <c r="D458" s="34"/>
      <c r="E458" s="34"/>
      <c r="F458" s="31"/>
      <c r="G458" s="34"/>
      <c r="H458" s="32"/>
      <c r="I458" s="30"/>
      <c r="J458" s="30"/>
      <c r="K458" s="33"/>
      <c r="Q458" s="1">
        <f t="shared" si="15"/>
        <v>0</v>
      </c>
    </row>
    <row r="459" spans="1:17" x14ac:dyDescent="0.2">
      <c r="A459" s="1">
        <f t="shared" si="14"/>
        <v>0</v>
      </c>
      <c r="B459" s="35">
        <f>COUNTIF($C$4:C459,C459)</f>
        <v>0</v>
      </c>
      <c r="C459" s="30"/>
      <c r="D459" s="34"/>
      <c r="E459" s="34"/>
      <c r="F459" s="31"/>
      <c r="G459" s="34"/>
      <c r="H459" s="32"/>
      <c r="I459" s="30"/>
      <c r="J459" s="30"/>
      <c r="K459" s="33"/>
      <c r="Q459" s="1">
        <f t="shared" si="15"/>
        <v>0</v>
      </c>
    </row>
    <row r="460" spans="1:17" x14ac:dyDescent="0.2">
      <c r="A460" s="1">
        <f t="shared" si="14"/>
        <v>0</v>
      </c>
      <c r="B460" s="35">
        <f>COUNTIF($C$4:C460,C460)</f>
        <v>0</v>
      </c>
      <c r="C460" s="30"/>
      <c r="D460" s="34"/>
      <c r="E460" s="34"/>
      <c r="F460" s="31"/>
      <c r="G460" s="34"/>
      <c r="H460" s="32"/>
      <c r="I460" s="30"/>
      <c r="J460" s="30"/>
      <c r="K460" s="33"/>
      <c r="Q460" s="1">
        <f t="shared" si="15"/>
        <v>0</v>
      </c>
    </row>
    <row r="461" spans="1:17" x14ac:dyDescent="0.2">
      <c r="A461" s="1">
        <f t="shared" si="14"/>
        <v>0</v>
      </c>
      <c r="B461" s="35">
        <f>COUNTIF($C$4:C461,C461)</f>
        <v>0</v>
      </c>
      <c r="C461" s="30"/>
      <c r="D461" s="34"/>
      <c r="E461" s="34"/>
      <c r="F461" s="31"/>
      <c r="G461" s="34"/>
      <c r="H461" s="32"/>
      <c r="I461" s="30"/>
      <c r="J461" s="30"/>
      <c r="K461" s="33"/>
      <c r="Q461" s="1">
        <f t="shared" si="15"/>
        <v>0</v>
      </c>
    </row>
    <row r="462" spans="1:17" x14ac:dyDescent="0.2">
      <c r="A462" s="1">
        <f t="shared" si="14"/>
        <v>0</v>
      </c>
      <c r="B462" s="35">
        <f>COUNTIF($C$4:C462,C462)</f>
        <v>0</v>
      </c>
      <c r="C462" s="30"/>
      <c r="D462" s="34"/>
      <c r="E462" s="34"/>
      <c r="F462" s="31"/>
      <c r="G462" s="34"/>
      <c r="H462" s="32"/>
      <c r="I462" s="30"/>
      <c r="J462" s="30"/>
      <c r="K462" s="33"/>
      <c r="Q462" s="1">
        <f t="shared" si="15"/>
        <v>0</v>
      </c>
    </row>
    <row r="463" spans="1:17" x14ac:dyDescent="0.2">
      <c r="A463" s="1">
        <f t="shared" si="14"/>
        <v>0</v>
      </c>
      <c r="B463" s="35">
        <f>COUNTIF($C$4:C463,C463)</f>
        <v>0</v>
      </c>
      <c r="C463" s="30"/>
      <c r="D463" s="34"/>
      <c r="E463" s="34"/>
      <c r="F463" s="31"/>
      <c r="G463" s="34"/>
      <c r="H463" s="32"/>
      <c r="I463" s="30"/>
      <c r="J463" s="30"/>
      <c r="K463" s="33"/>
      <c r="Q463" s="1">
        <f t="shared" si="15"/>
        <v>0</v>
      </c>
    </row>
    <row r="464" spans="1:17" x14ac:dyDescent="0.2">
      <c r="A464" s="1">
        <f t="shared" si="14"/>
        <v>0</v>
      </c>
      <c r="B464" s="35">
        <f>COUNTIF($C$4:C464,C464)</f>
        <v>0</v>
      </c>
      <c r="C464" s="30"/>
      <c r="D464" s="34"/>
      <c r="E464" s="34"/>
      <c r="F464" s="31"/>
      <c r="G464" s="34"/>
      <c r="H464" s="32"/>
      <c r="I464" s="30"/>
      <c r="J464" s="30"/>
      <c r="K464" s="33"/>
      <c r="Q464" s="1">
        <f t="shared" si="15"/>
        <v>0</v>
      </c>
    </row>
    <row r="465" spans="1:17" x14ac:dyDescent="0.2">
      <c r="A465" s="1">
        <f t="shared" si="14"/>
        <v>0</v>
      </c>
      <c r="B465" s="35">
        <f>COUNTIF($C$4:C465,C465)</f>
        <v>0</v>
      </c>
      <c r="C465" s="30"/>
      <c r="D465" s="34"/>
      <c r="E465" s="34"/>
      <c r="F465" s="31"/>
      <c r="G465" s="34"/>
      <c r="H465" s="32"/>
      <c r="I465" s="30"/>
      <c r="J465" s="30"/>
      <c r="K465" s="33"/>
      <c r="Q465" s="1">
        <f t="shared" si="15"/>
        <v>0</v>
      </c>
    </row>
    <row r="466" spans="1:17" x14ac:dyDescent="0.2">
      <c r="A466" s="1">
        <f t="shared" si="14"/>
        <v>0</v>
      </c>
      <c r="B466" s="35">
        <f>COUNTIF($C$4:C466,C466)</f>
        <v>0</v>
      </c>
      <c r="C466" s="30"/>
      <c r="D466" s="34"/>
      <c r="E466" s="34"/>
      <c r="F466" s="31"/>
      <c r="G466" s="34"/>
      <c r="H466" s="32"/>
      <c r="I466" s="30"/>
      <c r="J466" s="30"/>
      <c r="K466" s="33"/>
      <c r="Q466" s="1">
        <f t="shared" si="15"/>
        <v>0</v>
      </c>
    </row>
    <row r="467" spans="1:17" x14ac:dyDescent="0.2">
      <c r="A467" s="1">
        <f t="shared" si="14"/>
        <v>0</v>
      </c>
      <c r="B467" s="35">
        <f>COUNTIF($C$4:C467,C467)</f>
        <v>0</v>
      </c>
      <c r="C467" s="30"/>
      <c r="D467" s="34"/>
      <c r="E467" s="34"/>
      <c r="F467" s="31"/>
      <c r="G467" s="34"/>
      <c r="H467" s="32"/>
      <c r="I467" s="30"/>
      <c r="J467" s="30"/>
      <c r="K467" s="33"/>
      <c r="Q467" s="1">
        <f t="shared" si="15"/>
        <v>0</v>
      </c>
    </row>
    <row r="468" spans="1:17" x14ac:dyDescent="0.2">
      <c r="A468" s="1">
        <f t="shared" si="14"/>
        <v>0</v>
      </c>
      <c r="B468" s="35">
        <f>COUNTIF($C$4:C468,C468)</f>
        <v>0</v>
      </c>
      <c r="C468" s="30"/>
      <c r="D468" s="34"/>
      <c r="E468" s="34"/>
      <c r="F468" s="31"/>
      <c r="G468" s="34"/>
      <c r="H468" s="32"/>
      <c r="I468" s="30"/>
      <c r="J468" s="30"/>
      <c r="K468" s="33"/>
      <c r="Q468" s="1">
        <f t="shared" si="15"/>
        <v>0</v>
      </c>
    </row>
    <row r="469" spans="1:17" x14ac:dyDescent="0.2">
      <c r="A469" s="1">
        <f t="shared" si="14"/>
        <v>0</v>
      </c>
      <c r="B469" s="35">
        <f>COUNTIF($C$4:C469,C469)</f>
        <v>0</v>
      </c>
      <c r="C469" s="30"/>
      <c r="D469" s="34"/>
      <c r="E469" s="34"/>
      <c r="F469" s="31"/>
      <c r="G469" s="34"/>
      <c r="H469" s="32"/>
      <c r="I469" s="30"/>
      <c r="J469" s="30"/>
      <c r="K469" s="33"/>
      <c r="Q469" s="1">
        <f t="shared" si="15"/>
        <v>0</v>
      </c>
    </row>
    <row r="470" spans="1:17" x14ac:dyDescent="0.2">
      <c r="A470" s="1">
        <f t="shared" si="14"/>
        <v>0</v>
      </c>
      <c r="B470" s="35">
        <f>COUNTIF($C$4:C470,C470)</f>
        <v>0</v>
      </c>
      <c r="C470" s="30"/>
      <c r="D470" s="34"/>
      <c r="E470" s="34"/>
      <c r="F470" s="31"/>
      <c r="G470" s="34"/>
      <c r="H470" s="32"/>
      <c r="I470" s="30"/>
      <c r="J470" s="30"/>
      <c r="K470" s="33"/>
      <c r="Q470" s="1">
        <f t="shared" si="15"/>
        <v>0</v>
      </c>
    </row>
    <row r="471" spans="1:17" x14ac:dyDescent="0.2">
      <c r="A471" s="1">
        <f t="shared" si="14"/>
        <v>0</v>
      </c>
      <c r="B471" s="35">
        <f>COUNTIF($C$4:C471,C471)</f>
        <v>0</v>
      </c>
      <c r="C471" s="30"/>
      <c r="D471" s="34"/>
      <c r="E471" s="34"/>
      <c r="F471" s="31"/>
      <c r="G471" s="34"/>
      <c r="H471" s="32"/>
      <c r="I471" s="30"/>
      <c r="J471" s="30"/>
      <c r="K471" s="33"/>
      <c r="Q471" s="1">
        <f t="shared" si="15"/>
        <v>0</v>
      </c>
    </row>
    <row r="472" spans="1:17" x14ac:dyDescent="0.2">
      <c r="A472" s="1">
        <f t="shared" si="14"/>
        <v>0</v>
      </c>
      <c r="B472" s="35">
        <f>COUNTIF($C$4:C472,C472)</f>
        <v>0</v>
      </c>
      <c r="C472" s="30"/>
      <c r="D472" s="34"/>
      <c r="E472" s="34"/>
      <c r="F472" s="31"/>
      <c r="G472" s="34"/>
      <c r="H472" s="32"/>
      <c r="I472" s="30"/>
      <c r="J472" s="30"/>
      <c r="K472" s="33"/>
      <c r="Q472" s="1">
        <f t="shared" si="15"/>
        <v>0</v>
      </c>
    </row>
    <row r="473" spans="1:17" x14ac:dyDescent="0.2">
      <c r="A473" s="1">
        <f t="shared" si="14"/>
        <v>0</v>
      </c>
      <c r="B473" s="35">
        <f>COUNTIF($C$4:C473,C473)</f>
        <v>0</v>
      </c>
      <c r="C473" s="30"/>
      <c r="D473" s="34"/>
      <c r="E473" s="34"/>
      <c r="F473" s="31"/>
      <c r="G473" s="34"/>
      <c r="H473" s="32"/>
      <c r="I473" s="30"/>
      <c r="J473" s="30"/>
      <c r="K473" s="33"/>
      <c r="Q473" s="1">
        <f t="shared" si="15"/>
        <v>0</v>
      </c>
    </row>
    <row r="474" spans="1:17" x14ac:dyDescent="0.2">
      <c r="A474" s="1">
        <f t="shared" si="14"/>
        <v>0</v>
      </c>
      <c r="B474" s="35">
        <f>COUNTIF($C$4:C474,C474)</f>
        <v>0</v>
      </c>
      <c r="C474" s="30"/>
      <c r="D474" s="34"/>
      <c r="E474" s="34"/>
      <c r="F474" s="31"/>
      <c r="G474" s="34"/>
      <c r="H474" s="32"/>
      <c r="I474" s="30"/>
      <c r="J474" s="30"/>
      <c r="K474" s="33"/>
      <c r="Q474" s="1">
        <f t="shared" si="15"/>
        <v>0</v>
      </c>
    </row>
    <row r="475" spans="1:17" x14ac:dyDescent="0.2">
      <c r="A475" s="1">
        <f t="shared" si="14"/>
        <v>0</v>
      </c>
      <c r="B475" s="35">
        <f>COUNTIF($C$4:C475,C475)</f>
        <v>0</v>
      </c>
      <c r="C475" s="30"/>
      <c r="D475" s="34"/>
      <c r="E475" s="34"/>
      <c r="F475" s="31"/>
      <c r="G475" s="34"/>
      <c r="H475" s="32"/>
      <c r="I475" s="30"/>
      <c r="J475" s="30"/>
      <c r="K475" s="33"/>
      <c r="Q475" s="1">
        <f t="shared" si="15"/>
        <v>0</v>
      </c>
    </row>
    <row r="476" spans="1:17" x14ac:dyDescent="0.2">
      <c r="A476" s="1">
        <f t="shared" si="14"/>
        <v>0</v>
      </c>
      <c r="B476" s="35">
        <f>COUNTIF($C$4:C476,C476)</f>
        <v>0</v>
      </c>
      <c r="C476" s="30"/>
      <c r="D476" s="34"/>
      <c r="E476" s="34"/>
      <c r="F476" s="31"/>
      <c r="G476" s="34"/>
      <c r="H476" s="32"/>
      <c r="I476" s="30"/>
      <c r="J476" s="30"/>
      <c r="K476" s="33"/>
      <c r="Q476" s="1">
        <f t="shared" si="15"/>
        <v>0</v>
      </c>
    </row>
    <row r="477" spans="1:17" x14ac:dyDescent="0.2">
      <c r="A477" s="1">
        <f t="shared" si="14"/>
        <v>0</v>
      </c>
      <c r="B477" s="35">
        <f>COUNTIF($C$4:C477,C477)</f>
        <v>0</v>
      </c>
      <c r="C477" s="30"/>
      <c r="D477" s="34"/>
      <c r="E477" s="34"/>
      <c r="F477" s="31"/>
      <c r="G477" s="34"/>
      <c r="H477" s="32"/>
      <c r="I477" s="30"/>
      <c r="J477" s="30"/>
      <c r="K477" s="33"/>
      <c r="Q477" s="1">
        <f t="shared" si="15"/>
        <v>0</v>
      </c>
    </row>
    <row r="478" spans="1:17" x14ac:dyDescent="0.2">
      <c r="A478" s="1">
        <f t="shared" si="14"/>
        <v>0</v>
      </c>
      <c r="B478" s="35">
        <f>COUNTIF($C$4:C478,C478)</f>
        <v>0</v>
      </c>
      <c r="C478" s="30"/>
      <c r="D478" s="34"/>
      <c r="E478" s="34"/>
      <c r="F478" s="31"/>
      <c r="G478" s="34"/>
      <c r="H478" s="32"/>
      <c r="I478" s="30"/>
      <c r="J478" s="30"/>
      <c r="K478" s="33"/>
      <c r="Q478" s="1">
        <f t="shared" si="15"/>
        <v>0</v>
      </c>
    </row>
    <row r="479" spans="1:17" x14ac:dyDescent="0.2">
      <c r="A479" s="1">
        <f t="shared" si="14"/>
        <v>0</v>
      </c>
      <c r="B479" s="35">
        <f>COUNTIF($C$4:C479,C479)</f>
        <v>0</v>
      </c>
      <c r="C479" s="30"/>
      <c r="D479" s="34"/>
      <c r="E479" s="34"/>
      <c r="F479" s="31"/>
      <c r="G479" s="34"/>
      <c r="H479" s="32"/>
      <c r="I479" s="30"/>
      <c r="J479" s="30"/>
      <c r="K479" s="33"/>
      <c r="Q479" s="1">
        <f t="shared" si="15"/>
        <v>0</v>
      </c>
    </row>
    <row r="480" spans="1:17" x14ac:dyDescent="0.2">
      <c r="A480" s="1">
        <f t="shared" si="14"/>
        <v>0</v>
      </c>
      <c r="B480" s="35">
        <f>COUNTIF($C$4:C480,C480)</f>
        <v>0</v>
      </c>
      <c r="C480" s="30"/>
      <c r="D480" s="34"/>
      <c r="E480" s="34"/>
      <c r="F480" s="31"/>
      <c r="G480" s="34"/>
      <c r="H480" s="32"/>
      <c r="I480" s="30"/>
      <c r="J480" s="30"/>
      <c r="K480" s="33"/>
      <c r="Q480" s="1">
        <f t="shared" si="15"/>
        <v>0</v>
      </c>
    </row>
    <row r="481" spans="1:17" x14ac:dyDescent="0.2">
      <c r="A481" s="1">
        <f t="shared" si="14"/>
        <v>0</v>
      </c>
      <c r="B481" s="35">
        <f>COUNTIF($C$4:C481,C481)</f>
        <v>0</v>
      </c>
      <c r="C481" s="30"/>
      <c r="D481" s="34"/>
      <c r="E481" s="34"/>
      <c r="F481" s="31"/>
      <c r="G481" s="34"/>
      <c r="H481" s="32"/>
      <c r="I481" s="30"/>
      <c r="J481" s="30"/>
      <c r="K481" s="33"/>
      <c r="Q481" s="1">
        <f t="shared" si="15"/>
        <v>0</v>
      </c>
    </row>
    <row r="482" spans="1:17" x14ac:dyDescent="0.2">
      <c r="A482" s="1">
        <f t="shared" si="14"/>
        <v>0</v>
      </c>
      <c r="B482" s="35">
        <f>COUNTIF($C$4:C482,C482)</f>
        <v>0</v>
      </c>
      <c r="C482" s="30"/>
      <c r="D482" s="34"/>
      <c r="E482" s="34"/>
      <c r="F482" s="31"/>
      <c r="G482" s="34"/>
      <c r="H482" s="32"/>
      <c r="I482" s="30"/>
      <c r="J482" s="30"/>
      <c r="K482" s="33"/>
      <c r="Q482" s="1">
        <f t="shared" si="15"/>
        <v>0</v>
      </c>
    </row>
    <row r="483" spans="1:17" x14ac:dyDescent="0.2">
      <c r="A483" s="1">
        <f t="shared" si="14"/>
        <v>0</v>
      </c>
      <c r="B483" s="35">
        <f>COUNTIF($C$4:C483,C483)</f>
        <v>0</v>
      </c>
      <c r="C483" s="30"/>
      <c r="D483" s="34"/>
      <c r="E483" s="34"/>
      <c r="F483" s="31"/>
      <c r="G483" s="34"/>
      <c r="H483" s="32"/>
      <c r="I483" s="30"/>
      <c r="J483" s="30"/>
      <c r="K483" s="33"/>
      <c r="Q483" s="1">
        <f t="shared" si="15"/>
        <v>0</v>
      </c>
    </row>
    <row r="484" spans="1:17" x14ac:dyDescent="0.2">
      <c r="A484" s="1">
        <f t="shared" si="14"/>
        <v>0</v>
      </c>
      <c r="B484" s="35">
        <f>COUNTIF($C$4:C484,C484)</f>
        <v>0</v>
      </c>
      <c r="C484" s="30"/>
      <c r="D484" s="34"/>
      <c r="E484" s="34"/>
      <c r="F484" s="31"/>
      <c r="G484" s="34"/>
      <c r="H484" s="32"/>
      <c r="I484" s="30"/>
      <c r="J484" s="30"/>
      <c r="K484" s="33"/>
      <c r="Q484" s="1">
        <f t="shared" si="15"/>
        <v>0</v>
      </c>
    </row>
    <row r="485" spans="1:17" x14ac:dyDescent="0.2">
      <c r="A485" s="1">
        <f t="shared" si="14"/>
        <v>0</v>
      </c>
      <c r="B485" s="35">
        <f>COUNTIF($C$4:C485,C485)</f>
        <v>0</v>
      </c>
      <c r="C485" s="30"/>
      <c r="D485" s="34"/>
      <c r="E485" s="34"/>
      <c r="F485" s="31"/>
      <c r="G485" s="34"/>
      <c r="H485" s="32"/>
      <c r="I485" s="30"/>
      <c r="J485" s="30"/>
      <c r="K485" s="33"/>
      <c r="Q485" s="1">
        <f t="shared" si="15"/>
        <v>0</v>
      </c>
    </row>
    <row r="486" spans="1:17" x14ac:dyDescent="0.2">
      <c r="A486" s="1">
        <f t="shared" si="14"/>
        <v>0</v>
      </c>
      <c r="B486" s="35">
        <f>COUNTIF($C$4:C486,C486)</f>
        <v>0</v>
      </c>
      <c r="C486" s="30"/>
      <c r="D486" s="34"/>
      <c r="E486" s="34"/>
      <c r="F486" s="31"/>
      <c r="G486" s="34"/>
      <c r="H486" s="32"/>
      <c r="I486" s="30"/>
      <c r="J486" s="30"/>
      <c r="K486" s="33"/>
      <c r="Q486" s="1">
        <f t="shared" si="15"/>
        <v>0</v>
      </c>
    </row>
    <row r="487" spans="1:17" x14ac:dyDescent="0.2">
      <c r="A487" s="1">
        <f t="shared" si="14"/>
        <v>0</v>
      </c>
      <c r="B487" s="35">
        <f>COUNTIF($C$4:C487,C487)</f>
        <v>0</v>
      </c>
      <c r="C487" s="30"/>
      <c r="D487" s="34"/>
      <c r="E487" s="34"/>
      <c r="F487" s="31"/>
      <c r="G487" s="34"/>
      <c r="H487" s="32"/>
      <c r="I487" s="30"/>
      <c r="J487" s="30"/>
      <c r="K487" s="33"/>
      <c r="Q487" s="1">
        <f t="shared" si="15"/>
        <v>0</v>
      </c>
    </row>
    <row r="488" spans="1:17" x14ac:dyDescent="0.2">
      <c r="A488" s="1">
        <f t="shared" si="14"/>
        <v>0</v>
      </c>
      <c r="B488" s="35">
        <f>COUNTIF($C$4:C488,C488)</f>
        <v>0</v>
      </c>
      <c r="C488" s="30"/>
      <c r="D488" s="34"/>
      <c r="E488" s="34"/>
      <c r="F488" s="31"/>
      <c r="G488" s="34"/>
      <c r="H488" s="32"/>
      <c r="I488" s="30"/>
      <c r="J488" s="30"/>
      <c r="K488" s="33"/>
      <c r="Q488" s="1">
        <f t="shared" si="15"/>
        <v>0</v>
      </c>
    </row>
    <row r="489" spans="1:17" x14ac:dyDescent="0.2">
      <c r="A489" s="1">
        <f t="shared" si="14"/>
        <v>0</v>
      </c>
      <c r="B489" s="35">
        <f>COUNTIF($C$4:C489,C489)</f>
        <v>0</v>
      </c>
      <c r="C489" s="30"/>
      <c r="D489" s="34"/>
      <c r="E489" s="34"/>
      <c r="F489" s="31"/>
      <c r="G489" s="34"/>
      <c r="H489" s="32"/>
      <c r="I489" s="30"/>
      <c r="J489" s="30"/>
      <c r="K489" s="33"/>
      <c r="Q489" s="1">
        <f t="shared" si="15"/>
        <v>0</v>
      </c>
    </row>
    <row r="490" spans="1:17" x14ac:dyDescent="0.2">
      <c r="A490" s="1">
        <f t="shared" si="14"/>
        <v>0</v>
      </c>
      <c r="B490" s="35">
        <f>COUNTIF($C$4:C490,C490)</f>
        <v>0</v>
      </c>
      <c r="C490" s="30"/>
      <c r="D490" s="34"/>
      <c r="E490" s="34"/>
      <c r="F490" s="31"/>
      <c r="G490" s="34"/>
      <c r="H490" s="32"/>
      <c r="I490" s="30"/>
      <c r="J490" s="30"/>
      <c r="K490" s="33"/>
      <c r="Q490" s="1">
        <f t="shared" si="15"/>
        <v>0</v>
      </c>
    </row>
    <row r="491" spans="1:17" x14ac:dyDescent="0.2">
      <c r="A491" s="1">
        <f t="shared" si="14"/>
        <v>0</v>
      </c>
      <c r="B491" s="35">
        <f>COUNTIF($C$4:C491,C491)</f>
        <v>0</v>
      </c>
      <c r="C491" s="30"/>
      <c r="D491" s="34"/>
      <c r="E491" s="34"/>
      <c r="F491" s="31"/>
      <c r="G491" s="34"/>
      <c r="H491" s="32"/>
      <c r="I491" s="30"/>
      <c r="J491" s="30"/>
      <c r="K491" s="33"/>
      <c r="Q491" s="1">
        <f t="shared" si="15"/>
        <v>0</v>
      </c>
    </row>
    <row r="492" spans="1:17" x14ac:dyDescent="0.2">
      <c r="A492" s="1">
        <f t="shared" si="14"/>
        <v>0</v>
      </c>
      <c r="B492" s="35">
        <f>COUNTIF($C$4:C492,C492)</f>
        <v>0</v>
      </c>
      <c r="C492" s="30"/>
      <c r="D492" s="34"/>
      <c r="E492" s="34"/>
      <c r="F492" s="31"/>
      <c r="G492" s="34"/>
      <c r="H492" s="32"/>
      <c r="I492" s="30"/>
      <c r="J492" s="30"/>
      <c r="K492" s="33"/>
      <c r="Q492" s="1">
        <f t="shared" si="15"/>
        <v>0</v>
      </c>
    </row>
    <row r="493" spans="1:17" x14ac:dyDescent="0.2">
      <c r="A493" s="1">
        <f t="shared" si="14"/>
        <v>0</v>
      </c>
      <c r="B493" s="35">
        <f>COUNTIF($C$4:C493,C493)</f>
        <v>0</v>
      </c>
      <c r="C493" s="30"/>
      <c r="D493" s="34"/>
      <c r="E493" s="34"/>
      <c r="F493" s="31"/>
      <c r="G493" s="34"/>
      <c r="H493" s="32"/>
      <c r="I493" s="30"/>
      <c r="J493" s="30"/>
      <c r="K493" s="33"/>
      <c r="Q493" s="1">
        <f t="shared" si="15"/>
        <v>0</v>
      </c>
    </row>
    <row r="494" spans="1:17" x14ac:dyDescent="0.2">
      <c r="A494" s="1">
        <f t="shared" si="14"/>
        <v>0</v>
      </c>
      <c r="B494" s="35">
        <f>COUNTIF($C$4:C494,C494)</f>
        <v>0</v>
      </c>
      <c r="C494" s="30"/>
      <c r="D494" s="34"/>
      <c r="E494" s="34"/>
      <c r="F494" s="31"/>
      <c r="G494" s="34"/>
      <c r="H494" s="32"/>
      <c r="I494" s="30"/>
      <c r="J494" s="30"/>
      <c r="K494" s="33"/>
      <c r="Q494" s="1">
        <f t="shared" si="15"/>
        <v>0</v>
      </c>
    </row>
    <row r="495" spans="1:17" x14ac:dyDescent="0.2">
      <c r="A495" s="1">
        <f t="shared" si="14"/>
        <v>0</v>
      </c>
      <c r="B495" s="35">
        <f>COUNTIF($C$4:C495,C495)</f>
        <v>0</v>
      </c>
      <c r="C495" s="30"/>
      <c r="D495" s="34"/>
      <c r="E495" s="34"/>
      <c r="F495" s="31"/>
      <c r="G495" s="34"/>
      <c r="H495" s="32"/>
      <c r="I495" s="30"/>
      <c r="J495" s="30"/>
      <c r="K495" s="33"/>
      <c r="Q495" s="1">
        <f t="shared" si="15"/>
        <v>0</v>
      </c>
    </row>
    <row r="496" spans="1:17" x14ac:dyDescent="0.2">
      <c r="A496" s="1">
        <f t="shared" si="14"/>
        <v>0</v>
      </c>
      <c r="B496" s="35">
        <f>COUNTIF($C$4:C496,C496)</f>
        <v>0</v>
      </c>
      <c r="C496" s="30"/>
      <c r="D496" s="34"/>
      <c r="E496" s="34"/>
      <c r="F496" s="31"/>
      <c r="G496" s="34"/>
      <c r="H496" s="32"/>
      <c r="I496" s="30"/>
      <c r="J496" s="30"/>
      <c r="K496" s="33"/>
      <c r="Q496" s="1">
        <f t="shared" si="15"/>
        <v>0</v>
      </c>
    </row>
    <row r="497" spans="1:17" x14ac:dyDescent="0.2">
      <c r="A497" s="1">
        <f t="shared" si="14"/>
        <v>0</v>
      </c>
      <c r="B497" s="35">
        <f>COUNTIF($C$4:C497,C497)</f>
        <v>0</v>
      </c>
      <c r="C497" s="30"/>
      <c r="D497" s="34"/>
      <c r="E497" s="34"/>
      <c r="F497" s="31"/>
      <c r="G497" s="34"/>
      <c r="H497" s="32"/>
      <c r="I497" s="30"/>
      <c r="J497" s="30"/>
      <c r="K497" s="33"/>
      <c r="Q497" s="1">
        <f t="shared" si="15"/>
        <v>0</v>
      </c>
    </row>
    <row r="498" spans="1:17" x14ac:dyDescent="0.2">
      <c r="A498" s="1">
        <f t="shared" si="14"/>
        <v>0</v>
      </c>
      <c r="B498" s="35">
        <f>COUNTIF($C$4:C498,C498)</f>
        <v>0</v>
      </c>
      <c r="C498" s="30"/>
      <c r="D498" s="34"/>
      <c r="E498" s="34"/>
      <c r="F498" s="31"/>
      <c r="G498" s="34"/>
      <c r="H498" s="32"/>
      <c r="I498" s="30"/>
      <c r="J498" s="30"/>
      <c r="K498" s="33"/>
      <c r="Q498" s="1">
        <f t="shared" si="15"/>
        <v>0</v>
      </c>
    </row>
    <row r="499" spans="1:17" x14ac:dyDescent="0.2">
      <c r="A499" s="1">
        <f t="shared" si="14"/>
        <v>0</v>
      </c>
      <c r="B499" s="35">
        <f>COUNTIF($C$4:C499,C499)</f>
        <v>0</v>
      </c>
      <c r="C499" s="30"/>
      <c r="D499" s="34"/>
      <c r="E499" s="34"/>
      <c r="F499" s="31"/>
      <c r="G499" s="34"/>
      <c r="H499" s="32"/>
      <c r="I499" s="30"/>
      <c r="J499" s="30"/>
      <c r="K499" s="33"/>
      <c r="Q499" s="1">
        <f t="shared" si="15"/>
        <v>0</v>
      </c>
    </row>
    <row r="500" spans="1:17" x14ac:dyDescent="0.2">
      <c r="A500" s="1">
        <f t="shared" si="14"/>
        <v>0</v>
      </c>
      <c r="B500" s="35">
        <f>COUNTIF($C$4:C500,C500)</f>
        <v>0</v>
      </c>
      <c r="C500" s="30"/>
      <c r="D500" s="34"/>
      <c r="E500" s="34"/>
      <c r="F500" s="31"/>
      <c r="G500" s="34"/>
      <c r="H500" s="32"/>
      <c r="I500" s="30"/>
      <c r="J500" s="30"/>
      <c r="K500" s="33"/>
      <c r="Q500" s="1">
        <f t="shared" si="15"/>
        <v>0</v>
      </c>
    </row>
  </sheetData>
  <sheetProtection algorithmName="SHA-512" hashValue="MlP6gaK+s03LVm1ZcIxWtb+6eNgk/GZRtvbav8OvfKqEzvCYf3GYzM4lJmEj75ZfoxX9Ca4Oc5qxAp7xQvdZEQ==" saltValue="HzSEgJQpIjK5G1WLfBrpGg==" spinCount="100000" sheet="1" objects="1" scenarios="1"/>
  <mergeCells count="1">
    <mergeCell ref="C2:D2"/>
  </mergeCells>
  <phoneticPr fontId="2" type="noConversion"/>
  <conditionalFormatting sqref="C2:D2">
    <cfRule type="cellIs" dxfId="1" priority="1" stopIfTrue="1" operator="equal">
      <formula>""</formula>
    </cfRule>
  </conditionalFormatting>
  <dataValidations count="3">
    <dataValidation type="date" allowBlank="1" showInputMessage="1" showErrorMessage="1" errorTitle="Hiba!" error="Ebbe az oszlopba 2025 jan.1-2025.dec.31 közötti dátum írható." sqref="H4:H500" xr:uid="{00000000-0002-0000-0000-000000000000}">
      <formula1>$M$1</formula1>
      <formula2>$M$2</formula2>
    </dataValidation>
    <dataValidation type="list" allowBlank="1" showInputMessage="1" showErrorMessage="1" errorTitle="Hiba!" error="Ebbe az oszlopba &quot;Kifizetés&quot; vagy &quot;Befizetés&quot; szavakat lehet írni." sqref="C4:C500" xr:uid="{00000000-0002-0000-0000-000001000000}">
      <formula1>$O$1:$O$2</formula1>
    </dataValidation>
    <dataValidation type="decimal" operator="lessThanOrEqual" allowBlank="1" showInputMessage="1" showErrorMessage="1" errorTitle="Hiba!" error="Hmm ... Milliós tételt kiadni DP-n. Nem sok?" sqref="F4:F500" xr:uid="{00000000-0002-0000-0000-000002000000}">
      <formula1>999999</formula1>
    </dataValidation>
  </dataValidations>
  <pageMargins left="0.75" right="0.75" top="1" bottom="1" header="0.5" footer="0.5"/>
  <pageSetup paperSize="9"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2"/>
  </sheetPr>
  <dimension ref="A1:AQ33"/>
  <sheetViews>
    <sheetView showGridLines="0" showRowColHeaders="0" zoomScaleNormal="100" workbookViewId="0">
      <selection activeCell="I1" sqref="I1"/>
    </sheetView>
  </sheetViews>
  <sheetFormatPr defaultColWidth="0" defaultRowHeight="12.75" zeroHeight="1" x14ac:dyDescent="0.2"/>
  <cols>
    <col min="1" max="1" width="9.140625" style="1" customWidth="1"/>
    <col min="2" max="2" width="1.28515625" style="1" customWidth="1"/>
    <col min="3" max="3" width="5" style="1" customWidth="1"/>
    <col min="4" max="4" width="3" style="1" customWidth="1"/>
    <col min="5" max="5" width="13" style="1" customWidth="1"/>
    <col min="6" max="8" width="9.140625" style="1" customWidth="1"/>
    <col min="9" max="9" width="10.28515625" style="1" customWidth="1"/>
    <col min="10" max="11" width="8.140625" style="1" customWidth="1"/>
    <col min="12" max="12" width="1.28515625" style="1" customWidth="1"/>
    <col min="13" max="13" width="5" style="1" customWidth="1"/>
    <col min="14" max="14" width="3" style="1" customWidth="1"/>
    <col min="15" max="15" width="13" style="1" customWidth="1"/>
    <col min="16" max="18" width="9.140625" style="1" customWidth="1"/>
    <col min="19" max="19" width="10.28515625" style="1" customWidth="1"/>
    <col min="20" max="20" width="9.140625" style="1" customWidth="1"/>
    <col min="21" max="22" width="8.85546875" style="1" hidden="1" customWidth="1"/>
    <col min="23" max="24" width="10.140625" style="1" hidden="1" customWidth="1"/>
    <col min="25" max="26" width="8.85546875" style="1" hidden="1" customWidth="1"/>
    <col min="27" max="16384" width="11.7109375" style="1" hidden="1"/>
  </cols>
  <sheetData>
    <row r="1" spans="2:43" ht="30.75" customHeight="1" thickTop="1" thickBot="1" x14ac:dyDescent="0.25">
      <c r="C1" s="47" t="s">
        <v>27</v>
      </c>
      <c r="D1" s="47"/>
      <c r="E1" s="47"/>
      <c r="F1" s="47"/>
      <c r="G1" s="47"/>
      <c r="H1" s="47"/>
      <c r="I1" s="25" t="s">
        <v>25</v>
      </c>
      <c r="K1" s="42" t="s">
        <v>83</v>
      </c>
      <c r="L1" s="42"/>
      <c r="M1" s="42"/>
      <c r="N1" s="42"/>
      <c r="O1" s="42"/>
      <c r="P1" s="42"/>
      <c r="Q1" s="42"/>
      <c r="R1" s="42"/>
      <c r="S1" s="27"/>
      <c r="V1" s="1">
        <f>IF(S1=2,2,1)</f>
        <v>1</v>
      </c>
      <c r="W1" s="1" t="str">
        <f>IF(ISERROR(VLOOKUP(I1,X1:Y2,2,FALSE))=TRUE,Y1,VLOOKUP(I1,X1:Y2,2,FALSE))</f>
        <v>p</v>
      </c>
      <c r="X1" s="1" t="str">
        <f>Adatok!P1</f>
        <v>PLATĂ</v>
      </c>
      <c r="Y1" s="1" t="s">
        <v>28</v>
      </c>
      <c r="Z1" s="1" t="str">
        <f>Adatok!P1</f>
        <v>PLATĂ</v>
      </c>
      <c r="AA1" s="1" t="s">
        <v>75</v>
      </c>
      <c r="AD1" s="1">
        <v>100000</v>
      </c>
      <c r="AE1" s="1">
        <f>ROUNDDOWN($W$9/AD1,0)</f>
        <v>0</v>
      </c>
      <c r="AG1" s="1">
        <v>9</v>
      </c>
      <c r="AH1" s="1" t="s">
        <v>32</v>
      </c>
      <c r="AI1" s="1" t="str">
        <f t="shared" ref="AI1:AI9" si="0">IF($AE$3&lt;&gt;0,AQ1,AP1)</f>
        <v>nouăzeci</v>
      </c>
      <c r="AJ1" s="1" t="s">
        <v>33</v>
      </c>
      <c r="AK1" s="1" t="s">
        <v>32</v>
      </c>
      <c r="AL1" s="1" t="str">
        <f t="shared" ref="AL1:AL9" si="1">IF($AE$6&lt;&gt;0,AQ1,AP1)</f>
        <v>nouăzeci</v>
      </c>
      <c r="AM1" s="1" t="s">
        <v>33</v>
      </c>
      <c r="AP1" s="1" t="s">
        <v>34</v>
      </c>
      <c r="AQ1" s="1" t="s">
        <v>58</v>
      </c>
    </row>
    <row r="2" spans="2:43" ht="41.25" customHeight="1" thickTop="1" thickBot="1" x14ac:dyDescent="0.25">
      <c r="C2" s="56" t="s">
        <v>31</v>
      </c>
      <c r="D2" s="56"/>
      <c r="E2" s="56"/>
      <c r="F2" s="56"/>
      <c r="G2" s="56"/>
      <c r="H2" s="56"/>
      <c r="I2" s="26"/>
      <c r="K2" s="42"/>
      <c r="L2" s="42"/>
      <c r="M2" s="42"/>
      <c r="N2" s="42"/>
      <c r="O2" s="42"/>
      <c r="P2" s="42"/>
      <c r="Q2" s="42"/>
      <c r="R2" s="42"/>
      <c r="W2" s="1" t="str">
        <f>IF(ISERROR(VLOOKUP(I1,X1:Z2,3,FALSE))=TRUE,Z1,VLOOKUP(I1,X1:Z2,3,FALSE))</f>
        <v>PLATĂ</v>
      </c>
      <c r="X2" s="1" t="str">
        <f>Adatok!P2</f>
        <v>INCASARE</v>
      </c>
      <c r="Y2" s="1" t="s">
        <v>29</v>
      </c>
      <c r="Z2" s="1" t="str">
        <f>Adatok!P2</f>
        <v>INCASARE</v>
      </c>
      <c r="AA2" s="1" t="s">
        <v>74</v>
      </c>
      <c r="AD2" s="1">
        <v>10000</v>
      </c>
      <c r="AE2" s="1">
        <f>ROUNDDOWN(($W$9-AD1*AE1)/AD2,0)</f>
        <v>0</v>
      </c>
      <c r="AG2" s="1">
        <v>8</v>
      </c>
      <c r="AH2" s="1" t="s">
        <v>35</v>
      </c>
      <c r="AI2" s="1" t="str">
        <f t="shared" si="0"/>
        <v>optzeci</v>
      </c>
      <c r="AJ2" s="1" t="s">
        <v>36</v>
      </c>
      <c r="AK2" s="1" t="s">
        <v>35</v>
      </c>
      <c r="AL2" s="1" t="str">
        <f t="shared" si="1"/>
        <v>optzeci</v>
      </c>
      <c r="AM2" s="1" t="s">
        <v>36</v>
      </c>
      <c r="AP2" s="1" t="s">
        <v>37</v>
      </c>
      <c r="AQ2" s="1" t="s">
        <v>59</v>
      </c>
    </row>
    <row r="3" spans="2:43" ht="13.5" thickTop="1" x14ac:dyDescent="0.2">
      <c r="AD3" s="1">
        <v>1000</v>
      </c>
      <c r="AE3" s="1">
        <f>ROUNDDOWN(($W$9-AD1*AE1-AD2*AE2)/AD3,0)</f>
        <v>0</v>
      </c>
      <c r="AG3" s="1">
        <v>7</v>
      </c>
      <c r="AH3" s="1" t="s">
        <v>38</v>
      </c>
      <c r="AI3" s="1" t="str">
        <f t="shared" si="0"/>
        <v>şaptezeci</v>
      </c>
      <c r="AJ3" s="1" t="s">
        <v>39</v>
      </c>
      <c r="AK3" s="1" t="s">
        <v>38</v>
      </c>
      <c r="AL3" s="1" t="str">
        <f t="shared" si="1"/>
        <v>şaptezeci</v>
      </c>
      <c r="AM3" s="1" t="s">
        <v>39</v>
      </c>
      <c r="AP3" s="1" t="s">
        <v>40</v>
      </c>
      <c r="AQ3" s="1" t="s">
        <v>60</v>
      </c>
    </row>
    <row r="4" spans="2:43" x14ac:dyDescent="0.2">
      <c r="B4" s="2"/>
      <c r="C4" s="3" t="str">
        <f>X4</f>
        <v>Parohia Reformată</v>
      </c>
      <c r="D4" s="3"/>
      <c r="E4" s="3"/>
      <c r="F4" s="3"/>
      <c r="G4" s="3"/>
      <c r="H4" s="3"/>
      <c r="I4" s="4"/>
      <c r="K4" s="5"/>
      <c r="L4" s="2"/>
      <c r="M4" s="3" t="str">
        <f>X4</f>
        <v>Parohia Reformată</v>
      </c>
      <c r="N4" s="3"/>
      <c r="O4" s="3"/>
      <c r="P4" s="3"/>
      <c r="Q4" s="3"/>
      <c r="R4" s="3"/>
      <c r="S4" s="4"/>
      <c r="W4" s="1">
        <f>MAX(Adatok!A3:A500)</f>
        <v>0</v>
      </c>
      <c r="X4" s="1" t="str">
        <f>TRIM("Parohia Reformată "&amp;Adatok!C2)</f>
        <v>Parohia Reformată</v>
      </c>
      <c r="AD4" s="1">
        <v>100</v>
      </c>
      <c r="AE4" s="1">
        <f>ROUNDDOWN(($W$9-AD1*AE1-AD2*AE2-AD3*AE3)/AD4,0)</f>
        <v>0</v>
      </c>
      <c r="AG4" s="1">
        <v>6</v>
      </c>
      <c r="AH4" s="1" t="s">
        <v>41</v>
      </c>
      <c r="AI4" s="1" t="str">
        <f t="shared" si="0"/>
        <v>şaizeci</v>
      </c>
      <c r="AJ4" s="1" t="s">
        <v>61</v>
      </c>
      <c r="AK4" s="1" t="s">
        <v>41</v>
      </c>
      <c r="AL4" s="1" t="str">
        <f t="shared" si="1"/>
        <v>şaizeci</v>
      </c>
      <c r="AM4" s="1" t="s">
        <v>61</v>
      </c>
      <c r="AP4" s="1" t="s">
        <v>42</v>
      </c>
      <c r="AQ4" s="1" t="s">
        <v>62</v>
      </c>
    </row>
    <row r="5" spans="2:43" x14ac:dyDescent="0.2">
      <c r="B5" s="6"/>
      <c r="C5" s="43" t="str">
        <f>X5&amp;W2&amp;Z5</f>
        <v>Dispoziţie de PLATĂ către caserie</v>
      </c>
      <c r="D5" s="43"/>
      <c r="E5" s="43"/>
      <c r="F5" s="43"/>
      <c r="G5" s="43"/>
      <c r="H5" s="43"/>
      <c r="I5" s="44"/>
      <c r="K5" s="5"/>
      <c r="L5" s="6"/>
      <c r="M5" s="43" t="str">
        <f>C5</f>
        <v>Dispoziţie de PLATĂ către caserie</v>
      </c>
      <c r="N5" s="43"/>
      <c r="O5" s="43"/>
      <c r="P5" s="43"/>
      <c r="Q5" s="43"/>
      <c r="R5" s="43"/>
      <c r="S5" s="44"/>
      <c r="W5" s="1">
        <f>IF(OR(I2=0,I2="",I2&gt;W4),W4,I2)</f>
        <v>0</v>
      </c>
      <c r="X5" s="1" t="s">
        <v>16</v>
      </c>
      <c r="Z5" s="1" t="s">
        <v>30</v>
      </c>
      <c r="AA5" s="1">
        <v>0</v>
      </c>
      <c r="AD5" s="1">
        <v>10</v>
      </c>
      <c r="AE5" s="1">
        <f>ROUNDDOWN(($W$9-AD1*AE1-AD2*AE2-AD3*AE3-AD4*AE4)/AD5,0)</f>
        <v>0</v>
      </c>
      <c r="AG5" s="1">
        <v>5</v>
      </c>
      <c r="AH5" s="1" t="s">
        <v>43</v>
      </c>
      <c r="AI5" s="1" t="str">
        <f t="shared" si="0"/>
        <v>cincizeci</v>
      </c>
      <c r="AJ5" s="1" t="s">
        <v>44</v>
      </c>
      <c r="AK5" s="1" t="s">
        <v>43</v>
      </c>
      <c r="AL5" s="1" t="str">
        <f t="shared" si="1"/>
        <v>cincizeci</v>
      </c>
      <c r="AM5" s="1" t="s">
        <v>44</v>
      </c>
      <c r="AP5" s="1" t="s">
        <v>45</v>
      </c>
      <c r="AQ5" s="1" t="s">
        <v>63</v>
      </c>
    </row>
    <row r="6" spans="2:43" x14ac:dyDescent="0.2">
      <c r="B6" s="6"/>
      <c r="G6" s="63" t="str">
        <f>"nr. "&amp;V6&amp;" din "&amp;AB6</f>
        <v>nr. 0 din 00.01.1900</v>
      </c>
      <c r="H6" s="63"/>
      <c r="I6" s="64"/>
      <c r="K6" s="5"/>
      <c r="L6" s="6"/>
      <c r="Q6" s="63" t="str">
        <f>G6</f>
        <v>nr. 0 din 00.01.1900</v>
      </c>
      <c r="R6" s="63"/>
      <c r="S6" s="64"/>
      <c r="V6" s="1">
        <f>VLOOKUP($W$5,Adatok!$A$2:$O$500,2,FALSE)</f>
        <v>0</v>
      </c>
      <c r="W6" s="7">
        <f>VLOOKUP($W$5,Adatok!$A$2:$O$500,8,FALSE)</f>
        <v>0</v>
      </c>
      <c r="X6" s="1" t="s">
        <v>0</v>
      </c>
      <c r="Y6" s="1">
        <f>YEAR(W6)</f>
        <v>1900</v>
      </c>
      <c r="Z6" s="1">
        <f>MONTH(W6)</f>
        <v>1</v>
      </c>
      <c r="AA6" s="1">
        <f>DAY(W6)</f>
        <v>0</v>
      </c>
      <c r="AB6" s="1" t="str">
        <f>IF(AA6&lt;10,AA5&amp;AA6,AA6)&amp;"."&amp;IF(Z6&lt;10,AA5&amp;Z6,Z6)&amp;"."&amp;Y6</f>
        <v>00.01.1900</v>
      </c>
      <c r="AD6" s="1">
        <v>1</v>
      </c>
      <c r="AE6" s="1">
        <f>ROUNDDOWN(($W$9-AD1*AE1-AD2*AE2-AD3*AE3-AD4*AE4-AD5*AE5)/AD6,0)</f>
        <v>0</v>
      </c>
      <c r="AG6" s="1">
        <v>4</v>
      </c>
      <c r="AH6" s="1" t="s">
        <v>46</v>
      </c>
      <c r="AI6" s="1" t="str">
        <f t="shared" si="0"/>
        <v>patruzeci</v>
      </c>
      <c r="AJ6" s="1" t="s">
        <v>47</v>
      </c>
      <c r="AK6" s="1" t="s">
        <v>46</v>
      </c>
      <c r="AL6" s="1" t="str">
        <f t="shared" si="1"/>
        <v>patruzeci</v>
      </c>
      <c r="AM6" s="1" t="s">
        <v>47</v>
      </c>
      <c r="AP6" s="1" t="s">
        <v>48</v>
      </c>
      <c r="AQ6" s="1" t="s">
        <v>64</v>
      </c>
    </row>
    <row r="7" spans="2:43" ht="17.25" customHeight="1" x14ac:dyDescent="0.2">
      <c r="B7" s="6"/>
      <c r="C7" s="59" t="s">
        <v>82</v>
      </c>
      <c r="D7" s="59"/>
      <c r="E7" s="59"/>
      <c r="F7" s="54" t="str">
        <f>W7</f>
        <v xml:space="preserve"> _______________________ </v>
      </c>
      <c r="G7" s="54"/>
      <c r="H7" s="54"/>
      <c r="I7" s="55"/>
      <c r="K7" s="5"/>
      <c r="L7" s="6"/>
      <c r="M7" s="59" t="s">
        <v>82</v>
      </c>
      <c r="N7" s="59"/>
      <c r="O7" s="59"/>
      <c r="P7" s="54" t="str">
        <f>F7</f>
        <v xml:space="preserve"> _______________________ </v>
      </c>
      <c r="Q7" s="54"/>
      <c r="R7" s="54"/>
      <c r="S7" s="55"/>
      <c r="W7" s="1" t="str">
        <f>IF(VLOOKUP($W$5,Adatok!$A$2:$O$500,4,FALSE)&lt;&gt;0,VLOOKUP($W$5,Adatok!$A$2:$O$500,4,FALSE)," _______________________ ")</f>
        <v xml:space="preserve"> _______________________ </v>
      </c>
      <c r="X7" s="1" t="s">
        <v>1</v>
      </c>
      <c r="AG7" s="1">
        <v>3</v>
      </c>
      <c r="AH7" s="1" t="s">
        <v>49</v>
      </c>
      <c r="AI7" s="1" t="str">
        <f t="shared" si="0"/>
        <v>treizeci</v>
      </c>
      <c r="AJ7" s="1" t="s">
        <v>50</v>
      </c>
      <c r="AK7" s="1" t="s">
        <v>49</v>
      </c>
      <c r="AL7" s="1" t="str">
        <f t="shared" si="1"/>
        <v>treizeci</v>
      </c>
      <c r="AM7" s="1" t="s">
        <v>50</v>
      </c>
      <c r="AP7" s="1" t="s">
        <v>51</v>
      </c>
      <c r="AQ7" s="1" t="s">
        <v>65</v>
      </c>
    </row>
    <row r="8" spans="2:43" ht="18" customHeight="1" x14ac:dyDescent="0.2">
      <c r="B8" s="6"/>
      <c r="C8" s="59" t="s">
        <v>81</v>
      </c>
      <c r="D8" s="59"/>
      <c r="E8" s="59"/>
      <c r="F8" s="54" t="str">
        <f>IF(W8&lt;&gt;0,W8,"__________________________")</f>
        <v>__________________________</v>
      </c>
      <c r="G8" s="54"/>
      <c r="H8" s="54"/>
      <c r="I8" s="55"/>
      <c r="K8" s="5"/>
      <c r="L8" s="6"/>
      <c r="M8" s="59" t="s">
        <v>81</v>
      </c>
      <c r="N8" s="59"/>
      <c r="O8" s="59"/>
      <c r="P8" s="54" t="str">
        <f>F8</f>
        <v>__________________________</v>
      </c>
      <c r="Q8" s="54"/>
      <c r="R8" s="54"/>
      <c r="S8" s="55"/>
      <c r="W8" s="1">
        <f>VLOOKUP($W$5,Adatok!$A$2:$O$500,5,FALSE)</f>
        <v>0</v>
      </c>
      <c r="X8" s="1" t="s">
        <v>2</v>
      </c>
      <c r="AG8" s="1">
        <v>2</v>
      </c>
      <c r="AH8" s="1" t="s">
        <v>52</v>
      </c>
      <c r="AI8" s="1" t="str">
        <f t="shared" si="0"/>
        <v>douăzeci</v>
      </c>
      <c r="AJ8" s="1" t="s">
        <v>53</v>
      </c>
      <c r="AK8" s="1" t="s">
        <v>52</v>
      </c>
      <c r="AL8" s="1" t="str">
        <f t="shared" si="1"/>
        <v>douăzeci</v>
      </c>
      <c r="AM8" s="1" t="s">
        <v>53</v>
      </c>
      <c r="AP8" s="1" t="s">
        <v>54</v>
      </c>
      <c r="AQ8" s="1" t="s">
        <v>66</v>
      </c>
    </row>
    <row r="9" spans="2:43" x14ac:dyDescent="0.2">
      <c r="B9" s="6"/>
      <c r="C9" s="60" t="str">
        <f>X9&amp;Z9&amp;Y9&amp;AH22</f>
        <v xml:space="preserve">Suma:  ,00 lei adică Lei </v>
      </c>
      <c r="D9" s="60"/>
      <c r="E9" s="60"/>
      <c r="F9" s="60"/>
      <c r="G9" s="60"/>
      <c r="H9" s="60"/>
      <c r="I9" s="61"/>
      <c r="K9" s="5"/>
      <c r="L9" s="6"/>
      <c r="M9" s="60" t="str">
        <f>C9</f>
        <v xml:space="preserve">Suma:  ,00 lei adică Lei </v>
      </c>
      <c r="N9" s="60"/>
      <c r="O9" s="60"/>
      <c r="P9" s="60"/>
      <c r="Q9" s="60"/>
      <c r="R9" s="60"/>
      <c r="S9" s="61"/>
      <c r="W9" s="1">
        <f>ROUND(VLOOKUP($W$5,Adatok!$A$2:$O$500,6,FALSE),2)</f>
        <v>0</v>
      </c>
      <c r="X9" s="1" t="s">
        <v>90</v>
      </c>
      <c r="Y9" s="1" t="s">
        <v>89</v>
      </c>
      <c r="Z9" s="8" t="str">
        <f>CONCATENATE(AC9,AC10,AC11,AC12,AC13,AC14,AC15,AC16,AC17,AC18,AC19)</f>
        <v xml:space="preserve"> ,00</v>
      </c>
      <c r="AA9" s="8">
        <f>ROUNDDOWN($W$9,-5)</f>
        <v>0</v>
      </c>
      <c r="AB9" s="1">
        <f>AA9/100000</f>
        <v>0</v>
      </c>
      <c r="AC9" s="1" t="str">
        <f>IF(AA9&lt;&gt;0,ROUND(AB9,0),"")</f>
        <v/>
      </c>
      <c r="AG9" s="1">
        <v>1</v>
      </c>
      <c r="AH9" s="1" t="s">
        <v>55</v>
      </c>
      <c r="AI9" s="1" t="str">
        <f t="shared" si="0"/>
        <v>zece</v>
      </c>
      <c r="AJ9" s="1" t="s">
        <v>69</v>
      </c>
      <c r="AK9" s="1" t="s">
        <v>55</v>
      </c>
      <c r="AL9" s="1" t="str">
        <f t="shared" si="1"/>
        <v>zece</v>
      </c>
      <c r="AM9" s="1" t="str">
        <f>IF(AE5=1,"un","unu")</f>
        <v>unu</v>
      </c>
      <c r="AP9" s="1" t="s">
        <v>56</v>
      </c>
      <c r="AQ9" s="1" t="s">
        <v>57</v>
      </c>
    </row>
    <row r="10" spans="2:43" x14ac:dyDescent="0.2">
      <c r="B10" s="6"/>
      <c r="D10" s="9" t="s">
        <v>3</v>
      </c>
      <c r="F10" s="9" t="s">
        <v>4</v>
      </c>
      <c r="I10" s="10"/>
      <c r="K10" s="5"/>
      <c r="L10" s="6"/>
      <c r="N10" s="9" t="s">
        <v>3</v>
      </c>
      <c r="P10" s="9" t="s">
        <v>4</v>
      </c>
      <c r="S10" s="10"/>
      <c r="X10" s="1">
        <v>0</v>
      </c>
      <c r="AA10" s="8">
        <f>ROUNDDOWN($W$9,-4)</f>
        <v>0</v>
      </c>
      <c r="AB10" s="8">
        <f>(AA10-AA9)/10000</f>
        <v>0</v>
      </c>
      <c r="AC10" s="1" t="str">
        <f>IF(AA10&lt;&gt;0,ROUND(AB10,0),"")</f>
        <v/>
      </c>
      <c r="AG10" s="1">
        <v>0</v>
      </c>
      <c r="AH10" s="1" t="str">
        <f>""</f>
        <v/>
      </c>
      <c r="AI10" s="1" t="str">
        <f>""</f>
        <v/>
      </c>
      <c r="AJ10" s="1" t="str">
        <f>""</f>
        <v/>
      </c>
      <c r="AK10" s="1" t="str">
        <f>""</f>
        <v/>
      </c>
      <c r="AL10" s="1" t="str">
        <f>""</f>
        <v/>
      </c>
      <c r="AM10" s="1" t="str">
        <f>""</f>
        <v/>
      </c>
    </row>
    <row r="11" spans="2:43" x14ac:dyDescent="0.2">
      <c r="B11" s="6"/>
      <c r="I11" s="10"/>
      <c r="K11" s="5"/>
      <c r="L11" s="6"/>
      <c r="S11" s="10"/>
      <c r="X11" s="1">
        <v>0</v>
      </c>
      <c r="AA11" s="1">
        <f>ROUNDDOWN($W$9,-3)</f>
        <v>0</v>
      </c>
      <c r="AB11" s="1">
        <f>(AA11-AA10)/1000</f>
        <v>0</v>
      </c>
      <c r="AC11" s="1" t="str">
        <f>IF(AA11&lt;&gt;0,ROUND(AB11,0),"")</f>
        <v/>
      </c>
      <c r="AH11" s="1" t="s">
        <v>67</v>
      </c>
    </row>
    <row r="12" spans="2:43" x14ac:dyDescent="0.2">
      <c r="B12" s="6"/>
      <c r="C12" s="42" t="str">
        <f>X12&amp;W12</f>
        <v xml:space="preserve">Scopul încasării - plăţii:  _________________________________ </v>
      </c>
      <c r="D12" s="42"/>
      <c r="E12" s="42"/>
      <c r="F12" s="42"/>
      <c r="G12" s="42"/>
      <c r="H12" s="42"/>
      <c r="I12" s="62"/>
      <c r="K12" s="5"/>
      <c r="L12" s="6"/>
      <c r="M12" s="42" t="str">
        <f>C12</f>
        <v xml:space="preserve">Scopul încasării - plăţii:  _________________________________ </v>
      </c>
      <c r="N12" s="42"/>
      <c r="O12" s="42"/>
      <c r="P12" s="42"/>
      <c r="Q12" s="42"/>
      <c r="R12" s="42"/>
      <c r="S12" s="62"/>
      <c r="W12" s="1" t="str">
        <f>IF(VLOOKUP($W$5,Adatok!$A$2:$O$500,7,FALSE)&lt;&gt;0,VLOOKUP($W$5,Adatok!$A$2:$O$500,7,FALSE)," _________________________________ ")</f>
        <v xml:space="preserve"> _________________________________ </v>
      </c>
      <c r="X12" s="1" t="s">
        <v>5</v>
      </c>
      <c r="AC12" s="1" t="s">
        <v>87</v>
      </c>
      <c r="AG12" s="1" t="str">
        <f>VLOOKUP($AE$1,$AG$1:$AM$10,2,FALSE)</f>
        <v/>
      </c>
      <c r="AH12" s="1" t="str">
        <f>AG12</f>
        <v/>
      </c>
    </row>
    <row r="13" spans="2:43" x14ac:dyDescent="0.2">
      <c r="B13" s="6"/>
      <c r="C13" s="42"/>
      <c r="D13" s="42"/>
      <c r="E13" s="42"/>
      <c r="F13" s="42"/>
      <c r="G13" s="42"/>
      <c r="H13" s="42"/>
      <c r="I13" s="62"/>
      <c r="K13" s="5"/>
      <c r="L13" s="6"/>
      <c r="M13" s="42"/>
      <c r="N13" s="42"/>
      <c r="O13" s="42"/>
      <c r="P13" s="42"/>
      <c r="Q13" s="42"/>
      <c r="R13" s="42"/>
      <c r="S13" s="62"/>
      <c r="X13" s="1">
        <v>0</v>
      </c>
      <c r="AA13" s="1">
        <f>ROUNDDOWN($W$9,-2)</f>
        <v>0</v>
      </c>
      <c r="AB13" s="1">
        <f>(AA13-AA11)/100</f>
        <v>0</v>
      </c>
      <c r="AC13" s="1" t="str">
        <f>IF(AA13&lt;&gt;0,ROUND(AB13,0),"")</f>
        <v/>
      </c>
      <c r="AG13" s="1" t="str">
        <f>VLOOKUP($AE$2,$AG$1:$AM$10,3,FALSE)</f>
        <v/>
      </c>
      <c r="AH13" s="1" t="str">
        <f>IF(AE2=1,AG14,AG13)</f>
        <v/>
      </c>
    </row>
    <row r="14" spans="2:43" x14ac:dyDescent="0.2">
      <c r="B14" s="11"/>
      <c r="I14" s="10"/>
      <c r="K14" s="5"/>
      <c r="L14" s="11"/>
      <c r="S14" s="10"/>
      <c r="X14" s="1">
        <v>0</v>
      </c>
      <c r="AA14" s="1">
        <f>ROUNDDOWN($W$9,-1)</f>
        <v>0</v>
      </c>
      <c r="AB14" s="1">
        <f>(AA14-AA13)/10</f>
        <v>0</v>
      </c>
      <c r="AC14" s="1" t="str">
        <f>IF(AA14&lt;&gt;0,ROUND(AB14,0),"")</f>
        <v/>
      </c>
      <c r="AG14" s="1" t="str">
        <f>VLOOKUP($AE$3,$AG$1:$AM$8010,4,FALSE)</f>
        <v/>
      </c>
      <c r="AH14" s="1" t="str">
        <f>IF(AE2=1,AG13,AG14)</f>
        <v/>
      </c>
    </row>
    <row r="15" spans="2:43" ht="12.75" customHeight="1" x14ac:dyDescent="0.2">
      <c r="B15" s="6"/>
      <c r="C15" s="48" t="s">
        <v>12</v>
      </c>
      <c r="D15" s="12" t="s">
        <v>6</v>
      </c>
      <c r="E15" s="13"/>
      <c r="F15" s="12" t="s">
        <v>8</v>
      </c>
      <c r="G15" s="13"/>
      <c r="H15" s="12" t="s">
        <v>10</v>
      </c>
      <c r="I15" s="13"/>
      <c r="K15" s="5"/>
      <c r="L15" s="6"/>
      <c r="M15" s="48" t="s">
        <v>12</v>
      </c>
      <c r="N15" s="12" t="s">
        <v>6</v>
      </c>
      <c r="O15" s="13"/>
      <c r="P15" s="12" t="s">
        <v>8</v>
      </c>
      <c r="Q15" s="13"/>
      <c r="R15" s="12" t="s">
        <v>10</v>
      </c>
      <c r="S15" s="13"/>
      <c r="X15" s="1" t="s">
        <v>12</v>
      </c>
      <c r="AA15" s="1">
        <f>ROUNDDOWN($W$9,0)</f>
        <v>0</v>
      </c>
      <c r="AB15" s="1">
        <f>AA15-AA14</f>
        <v>0</v>
      </c>
      <c r="AC15" s="1" t="str">
        <f>IF(AA15&lt;&gt;0,ROUND(AB15,0),"")</f>
        <v/>
      </c>
      <c r="AG15" s="1" t="str">
        <f>IF(SUM(AE1:AE3)&lt;&gt;0,"mii","")</f>
        <v/>
      </c>
      <c r="AH15" s="1" t="str">
        <f>AG15</f>
        <v/>
      </c>
    </row>
    <row r="16" spans="2:43" x14ac:dyDescent="0.2">
      <c r="B16" s="6"/>
      <c r="C16" s="49"/>
      <c r="D16" s="14" t="s">
        <v>7</v>
      </c>
      <c r="E16" s="15"/>
      <c r="F16" s="14" t="s">
        <v>9</v>
      </c>
      <c r="G16" s="15"/>
      <c r="H16" s="14" t="s">
        <v>11</v>
      </c>
      <c r="I16" s="15"/>
      <c r="K16" s="5"/>
      <c r="L16" s="6"/>
      <c r="M16" s="49"/>
      <c r="N16" s="14" t="s">
        <v>7</v>
      </c>
      <c r="O16" s="15"/>
      <c r="P16" s="14" t="s">
        <v>9</v>
      </c>
      <c r="Q16" s="15"/>
      <c r="R16" s="14" t="s">
        <v>11</v>
      </c>
      <c r="S16" s="15"/>
      <c r="AC16" s="1" t="s">
        <v>88</v>
      </c>
      <c r="AG16" s="1" t="str">
        <f>VLOOKUP($AE$4,$AG$1:$AM$8010,5,FALSE)</f>
        <v/>
      </c>
      <c r="AH16" s="1" t="str">
        <f>AG16</f>
        <v/>
      </c>
    </row>
    <row r="17" spans="2:34" ht="37.5" customHeight="1" x14ac:dyDescent="0.2">
      <c r="B17" s="11"/>
      <c r="C17" s="50"/>
      <c r="D17" s="16"/>
      <c r="E17" s="17"/>
      <c r="F17" s="16"/>
      <c r="G17" s="17"/>
      <c r="H17" s="16"/>
      <c r="I17" s="17"/>
      <c r="K17" s="5"/>
      <c r="L17" s="11"/>
      <c r="M17" s="50"/>
      <c r="N17" s="16"/>
      <c r="O17" s="17"/>
      <c r="P17" s="16"/>
      <c r="Q17" s="17"/>
      <c r="R17" s="16"/>
      <c r="S17" s="17"/>
      <c r="AC17" s="1">
        <f>IF(AD17=0,0,"")</f>
        <v>0</v>
      </c>
      <c r="AD17" s="1">
        <f>ROUND((W9-ROUNDDOWN(W9,0))*100,0)</f>
        <v>0</v>
      </c>
      <c r="AG17" s="1" t="str">
        <f>VLOOKUP($AE$5,$AG$1:$AM$8010,6,FALSE)</f>
        <v/>
      </c>
      <c r="AH17" s="1" t="str">
        <f>IF(AE5=1,AG18,AG17)</f>
        <v/>
      </c>
    </row>
    <row r="18" spans="2:34" x14ac:dyDescent="0.2">
      <c r="K18" s="5"/>
      <c r="X18" s="7" t="str">
        <f>IF($W$1=$Y$2,"",IF(VLOOKUP($W$5,Adatok!$A$2:$O$500,9,FALSE)&lt;&gt;0,VLOOKUP($W$5,Adatok!$A$2:$O$500,9,FALSE),"___"))</f>
        <v>___</v>
      </c>
      <c r="AC18" s="1">
        <f>IF(OR(AD17=0,AD17&lt;10),0,"")</f>
        <v>0</v>
      </c>
      <c r="AG18" s="1" t="str">
        <f>VLOOKUP($AE$6,$AG$1:$AM$8010,7,FALSE)</f>
        <v/>
      </c>
      <c r="AH18" s="1" t="str">
        <f>IF(AE5=1,AG17,AG18)</f>
        <v/>
      </c>
    </row>
    <row r="19" spans="2:34" x14ac:dyDescent="0.2">
      <c r="B19" s="18"/>
      <c r="K19" s="5"/>
      <c r="L19" s="18"/>
      <c r="X19" s="7" t="str">
        <f>IF($W$1=$Y$2,"",IF(VLOOKUP($W$5,Adatok!$A$2:$O$500,10,FALSE)&lt;&gt;0,VLOOKUP($W$5,Adatok!$A$2:$O$500,10,FALSE),"_____"))</f>
        <v>_____</v>
      </c>
      <c r="AC19" s="1" t="str">
        <f>IF(AD17&lt;&gt;0,ROUND(AD17,0),"")</f>
        <v/>
      </c>
      <c r="AH19" s="1" t="s">
        <v>68</v>
      </c>
    </row>
    <row r="20" spans="2:34" ht="12.75" customHeight="1" x14ac:dyDescent="0.2">
      <c r="B20" s="6"/>
      <c r="C20" s="51" t="s">
        <v>13</v>
      </c>
      <c r="D20" s="2"/>
      <c r="E20" s="3" t="s">
        <v>14</v>
      </c>
      <c r="F20" s="3"/>
      <c r="G20" s="3"/>
      <c r="H20" s="3"/>
      <c r="I20" s="4"/>
      <c r="K20" s="5"/>
      <c r="L20" s="6"/>
      <c r="M20" s="51" t="s">
        <v>13</v>
      </c>
      <c r="N20" s="2"/>
      <c r="O20" s="3" t="s">
        <v>14</v>
      </c>
      <c r="P20" s="3"/>
      <c r="Q20" s="3"/>
      <c r="R20" s="3"/>
      <c r="S20" s="4"/>
      <c r="X20" s="19" t="str">
        <f>TRIM(IF($W$1=$Y$2,"",IF(VLOOKUP($W$5,Adatok!$A$2:$O$500,11,FALSE)&lt;&gt;0,VLOOKUP($W$5,Adatok!$A$2:$O$500,11,FALSE),"_______________")))</f>
        <v>_______________</v>
      </c>
      <c r="AG20" s="1">
        <f>ROUND(SUM(ROUNDDOWN($W$9,2),-ROUNDDOWN($W$9,0))*100,0)</f>
        <v>0</v>
      </c>
      <c r="AH20" s="1" t="str">
        <f>IF(AG20&gt;=1,AG20,"")</f>
        <v/>
      </c>
    </row>
    <row r="21" spans="2:34" ht="24.75" customHeight="1" x14ac:dyDescent="0.2">
      <c r="B21" s="6"/>
      <c r="C21" s="52"/>
      <c r="D21" s="6"/>
      <c r="E21" s="67" t="str">
        <f>X21&amp;X18&amp;Y21&amp;X19&amp;Z21&amp;X20</f>
        <v>Actul de identitate: ___ Seria: _____ Nr:_______________</v>
      </c>
      <c r="F21" s="67"/>
      <c r="G21" s="67"/>
      <c r="H21" s="67"/>
      <c r="I21" s="68"/>
      <c r="K21" s="5"/>
      <c r="L21" s="6"/>
      <c r="M21" s="52"/>
      <c r="N21" s="6"/>
      <c r="O21" s="67" t="str">
        <f>E21</f>
        <v>Actul de identitate: ___ Seria: _____ Nr:_______________</v>
      </c>
      <c r="P21" s="67"/>
      <c r="Q21" s="67"/>
      <c r="R21" s="67"/>
      <c r="S21" s="68"/>
      <c r="X21" s="1" t="s">
        <v>80</v>
      </c>
      <c r="Y21" s="1" t="s">
        <v>79</v>
      </c>
      <c r="Z21" s="1" t="s">
        <v>78</v>
      </c>
      <c r="AG21" s="1" t="str">
        <f>VLOOKUP(AE8010,$AG$1:$AM$8010,2,FALSE)</f>
        <v/>
      </c>
      <c r="AH21" s="1" t="str">
        <f>IF(AG20&gt;=1," bani","")</f>
        <v/>
      </c>
    </row>
    <row r="22" spans="2:34" ht="23.25" customHeight="1" x14ac:dyDescent="0.2">
      <c r="B22" s="6"/>
      <c r="C22" s="52"/>
      <c r="D22" s="6"/>
      <c r="E22" s="66" t="s">
        <v>70</v>
      </c>
      <c r="F22" s="66"/>
      <c r="G22" s="19" t="str">
        <f>X22</f>
        <v>,00 lei</v>
      </c>
      <c r="I22" s="10"/>
      <c r="K22" s="5"/>
      <c r="L22" s="6"/>
      <c r="M22" s="52"/>
      <c r="N22" s="6"/>
      <c r="O22" s="66" t="s">
        <v>70</v>
      </c>
      <c r="P22" s="66"/>
      <c r="Q22" s="19" t="str">
        <f>G22</f>
        <v>,00 lei</v>
      </c>
      <c r="S22" s="10"/>
      <c r="X22" s="19" t="str">
        <f>TRIM(IF($W$1=$Y$2,"",Z9&amp;Y9))</f>
        <v>,00 lei</v>
      </c>
      <c r="AH22" s="1" t="str">
        <f>AH11&amp;PROPER(CONCATENATE(AH12,AH13,AH14,AH15,AH16,AH17,AH18,AH19,AH20,AH21))</f>
        <v xml:space="preserve">adică Lei </v>
      </c>
    </row>
    <row r="23" spans="2:34" x14ac:dyDescent="0.2">
      <c r="B23" s="6"/>
      <c r="C23" s="52"/>
      <c r="D23" s="6"/>
      <c r="G23" s="1" t="s">
        <v>3</v>
      </c>
      <c r="I23" s="10"/>
      <c r="K23" s="5"/>
      <c r="L23" s="6"/>
      <c r="M23" s="52"/>
      <c r="N23" s="6"/>
      <c r="Q23" s="1" t="s">
        <v>3</v>
      </c>
      <c r="S23" s="10"/>
      <c r="X23" s="19"/>
    </row>
    <row r="24" spans="2:34" ht="22.5" customHeight="1" x14ac:dyDescent="0.2">
      <c r="B24" s="6"/>
      <c r="C24" s="52"/>
      <c r="D24" s="6"/>
      <c r="F24" s="21" t="s">
        <v>71</v>
      </c>
      <c r="G24" s="22" t="str">
        <f>X24</f>
        <v>00.01.1900</v>
      </c>
      <c r="I24" s="10"/>
      <c r="K24" s="5"/>
      <c r="L24" s="6"/>
      <c r="M24" s="52"/>
      <c r="N24" s="6"/>
      <c r="P24" s="21" t="s">
        <v>71</v>
      </c>
      <c r="Q24" s="22" t="str">
        <f>G24</f>
        <v>00.01.1900</v>
      </c>
      <c r="S24" s="10"/>
      <c r="X24" s="19" t="str">
        <f>TRIM(IF($W$1=$Y$2,"",AB6))</f>
        <v>00.01.1900</v>
      </c>
    </row>
    <row r="25" spans="2:34" ht="20.25" customHeight="1" x14ac:dyDescent="0.2">
      <c r="B25" s="11"/>
      <c r="C25" s="53"/>
      <c r="D25" s="11"/>
      <c r="E25" s="18"/>
      <c r="F25" s="23" t="s">
        <v>72</v>
      </c>
      <c r="G25" s="57" t="s">
        <v>73</v>
      </c>
      <c r="H25" s="57"/>
      <c r="I25" s="58"/>
      <c r="K25" s="5"/>
      <c r="L25" s="11"/>
      <c r="M25" s="53"/>
      <c r="N25" s="11"/>
      <c r="O25" s="18"/>
      <c r="P25" s="23" t="s">
        <v>72</v>
      </c>
      <c r="Q25" s="57" t="s">
        <v>73</v>
      </c>
      <c r="R25" s="57"/>
      <c r="S25" s="58"/>
    </row>
    <row r="26" spans="2:34" x14ac:dyDescent="0.2">
      <c r="B26" s="6"/>
      <c r="I26" s="10"/>
      <c r="K26" s="5"/>
      <c r="L26" s="6"/>
      <c r="S26" s="10"/>
    </row>
    <row r="27" spans="2:34" x14ac:dyDescent="0.2">
      <c r="B27" s="6"/>
      <c r="D27" s="1" t="s">
        <v>15</v>
      </c>
      <c r="I27" s="10"/>
      <c r="K27" s="5"/>
      <c r="L27" s="6"/>
      <c r="N27" s="1" t="s">
        <v>15</v>
      </c>
      <c r="S27" s="10"/>
    </row>
    <row r="28" spans="2:34" x14ac:dyDescent="0.2">
      <c r="B28" s="6"/>
      <c r="D28" s="1" t="str">
        <f>X28&amp;Z9&amp;Y9</f>
        <v xml:space="preserve">Plătit suma de:  ,00 lei </v>
      </c>
      <c r="G28" s="45"/>
      <c r="H28" s="45"/>
      <c r="I28" s="46"/>
      <c r="K28" s="5"/>
      <c r="L28" s="6"/>
      <c r="N28" s="1" t="str">
        <f>D28</f>
        <v xml:space="preserve">Plătit suma de:  ,00 lei </v>
      </c>
      <c r="Q28" s="45"/>
      <c r="R28" s="45"/>
      <c r="S28" s="46"/>
      <c r="X28" s="1" t="str">
        <f>IF(ISERROR(VLOOKUP(I1,X1:AA2,4,FALSE))=TRUE,AA1,VLOOKUP(I1,X1:AA2,4,FALSE))</f>
        <v xml:space="preserve">Plătit suma de: </v>
      </c>
    </row>
    <row r="29" spans="2:34" x14ac:dyDescent="0.2">
      <c r="B29" s="6"/>
      <c r="E29" s="65" t="s">
        <v>3</v>
      </c>
      <c r="F29" s="65"/>
      <c r="G29" s="9"/>
      <c r="I29" s="10"/>
      <c r="K29" s="5"/>
      <c r="L29" s="6"/>
      <c r="O29" s="65" t="s">
        <v>3</v>
      </c>
      <c r="P29" s="65"/>
      <c r="Q29" s="9"/>
      <c r="S29" s="10"/>
    </row>
    <row r="30" spans="2:34" ht="22.5" customHeight="1" x14ac:dyDescent="0.2">
      <c r="B30" s="6"/>
      <c r="F30" s="20" t="s">
        <v>76</v>
      </c>
      <c r="G30" s="1" t="str">
        <f>AB6</f>
        <v>00.01.1900</v>
      </c>
      <c r="I30" s="10"/>
      <c r="K30" s="5"/>
      <c r="L30" s="6"/>
      <c r="P30" s="20" t="s">
        <v>76</v>
      </c>
      <c r="Q30" s="1" t="str">
        <f>G30</f>
        <v>00.01.1900</v>
      </c>
      <c r="S30" s="10"/>
    </row>
    <row r="31" spans="2:34" ht="22.5" customHeight="1" x14ac:dyDescent="0.2">
      <c r="B31" s="11"/>
      <c r="C31" s="18"/>
      <c r="D31" s="18"/>
      <c r="E31" s="18"/>
      <c r="F31" s="24" t="s">
        <v>77</v>
      </c>
      <c r="G31" s="57" t="s">
        <v>73</v>
      </c>
      <c r="H31" s="57"/>
      <c r="I31" s="58"/>
      <c r="K31" s="5"/>
      <c r="L31" s="11"/>
      <c r="M31" s="18"/>
      <c r="N31" s="18"/>
      <c r="O31" s="18"/>
      <c r="P31" s="24" t="s">
        <v>77</v>
      </c>
      <c r="Q31" s="57" t="s">
        <v>73</v>
      </c>
      <c r="R31" s="57"/>
      <c r="S31" s="58"/>
    </row>
    <row r="32" spans="2:34" x14ac:dyDescent="0.2"/>
    <row r="33" x14ac:dyDescent="0.2"/>
  </sheetData>
  <sheetProtection algorithmName="SHA-512" hashValue="v+frIo6tODawjHaFl+lkd/PxOD6KvqlgSLUxZuEmy1DLAVnzptlo14zYjeiIvgHks78RgaGEkiqgA45s3EDZMA==" saltValue="k7OxyM7+jB0xlsaQoN0Zjw==" spinCount="100000" sheet="1" objects="1" scenarios="1"/>
  <mergeCells count="35">
    <mergeCell ref="M7:O7"/>
    <mergeCell ref="P7:S7"/>
    <mergeCell ref="Q28:S28"/>
    <mergeCell ref="O29:P29"/>
    <mergeCell ref="Q31:S31"/>
    <mergeCell ref="M15:M17"/>
    <mergeCell ref="M20:M25"/>
    <mergeCell ref="O22:P22"/>
    <mergeCell ref="Q25:S25"/>
    <mergeCell ref="O21:S21"/>
    <mergeCell ref="E29:F29"/>
    <mergeCell ref="G31:I31"/>
    <mergeCell ref="C7:E7"/>
    <mergeCell ref="C8:E8"/>
    <mergeCell ref="G6:I6"/>
    <mergeCell ref="C9:I9"/>
    <mergeCell ref="C12:I13"/>
    <mergeCell ref="E22:F22"/>
    <mergeCell ref="E21:I21"/>
    <mergeCell ref="K1:R2"/>
    <mergeCell ref="C5:I5"/>
    <mergeCell ref="G28:I28"/>
    <mergeCell ref="C1:H1"/>
    <mergeCell ref="C15:C17"/>
    <mergeCell ref="C20:C25"/>
    <mergeCell ref="F7:I7"/>
    <mergeCell ref="F8:I8"/>
    <mergeCell ref="C2:H2"/>
    <mergeCell ref="G25:I25"/>
    <mergeCell ref="M8:O8"/>
    <mergeCell ref="P8:S8"/>
    <mergeCell ref="M9:S9"/>
    <mergeCell ref="M12:S13"/>
    <mergeCell ref="M5:S5"/>
    <mergeCell ref="Q6:S6"/>
  </mergeCells>
  <phoneticPr fontId="2" type="noConversion"/>
  <conditionalFormatting sqref="L4:S31">
    <cfRule type="expression" dxfId="0" priority="1" stopIfTrue="1">
      <formula>$V$1=1</formula>
    </cfRule>
  </conditionalFormatting>
  <dataValidations count="3">
    <dataValidation type="whole" allowBlank="1" showInputMessage="1" showErrorMessage="1" sqref="I2" xr:uid="{00000000-0002-0000-0100-000000000000}">
      <formula1>1</formula1>
      <formula2>W4</formula2>
    </dataValidation>
    <dataValidation type="list" allowBlank="1" showInputMessage="1" showErrorMessage="1" errorTitle="Hiba!" error="Ide csak &quot;Kifizetés&quot; vagy &quot;Bevételezés&quot; szavakat lehet írni, vagy kiválsztani a lenyílóbol_x000a_." sqref="I1" xr:uid="{00000000-0002-0000-0100-000001000000}">
      <formula1>$X$1:$X$2</formula1>
    </dataValidation>
    <dataValidation type="whole" allowBlank="1" showInputMessage="1" showErrorMessage="1" errorTitle="Hiba!" error="Ebbe a cellába 1-est, vagy 2-öst lehet írni." sqref="S1" xr:uid="{00000000-0002-0000-0100-000002000000}">
      <formula1>1</formula1>
      <formula2>2</formula2>
    </dataValidation>
  </dataValidations>
  <pageMargins left="0.59055118110236227" right="0.59055118110236227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Adatok</vt:lpstr>
      <vt:lpstr>DP</vt:lpstr>
      <vt:lpstr>Munka3</vt:lpstr>
      <vt:lpstr>DP!Nyomtatási_terület</vt:lpstr>
    </vt:vector>
  </TitlesOfParts>
  <Company>Esp Hiv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2023-11-28T06:07:20Z</cp:lastPrinted>
  <dcterms:created xsi:type="dcterms:W3CDTF">2011-12-15T08:34:23Z</dcterms:created>
  <dcterms:modified xsi:type="dcterms:W3CDTF">2026-01-04T13:38:51Z</dcterms:modified>
</cp:coreProperties>
</file>