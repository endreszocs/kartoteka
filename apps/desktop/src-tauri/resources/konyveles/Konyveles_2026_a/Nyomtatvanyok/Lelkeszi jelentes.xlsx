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33f81537aedd25/Desktop/2026/Konyveles_2026_b/Nyomtatvanyok/"/>
    </mc:Choice>
  </mc:AlternateContent>
  <xr:revisionPtr revIDLastSave="5257" documentId="8_{2D1BAC0B-F4A6-4DD0-8859-C722481CA5A9}" xr6:coauthVersionLast="47" xr6:coauthVersionMax="47" xr10:uidLastSave="{46C1C8AB-1905-4DC3-807E-D4423695A5F8}"/>
  <bookViews>
    <workbookView xWindow="-120" yWindow="-120" windowWidth="29040" windowHeight="15720" tabRatio="754" xr2:uid="{6A830A17-6DB6-4383-AC51-7791CC48BC8A}"/>
  </bookViews>
  <sheets>
    <sheet name="Adatlap" sheetId="2" r:id="rId1"/>
    <sheet name="Jelentes" sheetId="1" r:id="rId2"/>
    <sheet name="Sugo_lelkeszi jelenteshez" sheetId="7" r:id="rId3"/>
  </sheets>
  <definedNames>
    <definedName name="DeDu">#REF!</definedName>
    <definedName name="evek">Adatlap!$C$1:$M$1</definedName>
    <definedName name="NaploNy">#REF!:INDEX(#REF!,#REF!)</definedName>
    <definedName name="_xlnm.Print_Area" localSheetId="1">Jelentes!$A$2:$N$213</definedName>
    <definedName name="Szolgalatok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/>
  <c r="R3" i="1" l="1"/>
  <c r="M189" i="2" l="1"/>
  <c r="M206" i="2"/>
  <c r="M204" i="2"/>
  <c r="M202" i="2"/>
  <c r="M200" i="2"/>
  <c r="M198" i="2"/>
  <c r="M191" i="2"/>
  <c r="M190" i="2"/>
  <c r="M188" i="2"/>
  <c r="M187" i="2"/>
  <c r="M182" i="2"/>
  <c r="M179" i="2"/>
  <c r="M176" i="2"/>
  <c r="M171" i="2"/>
  <c r="M172" i="2"/>
  <c r="M170" i="2"/>
  <c r="M168" i="2"/>
  <c r="M169" i="2"/>
  <c r="M166" i="2"/>
  <c r="M116" i="2"/>
  <c r="M113" i="2"/>
  <c r="M48" i="2" l="1"/>
  <c r="M49" i="2"/>
  <c r="M29" i="2"/>
  <c r="M28" i="2"/>
  <c r="M27" i="2"/>
  <c r="M26" i="2"/>
  <c r="M25" i="2"/>
  <c r="M24" i="2"/>
  <c r="M22" i="2"/>
  <c r="M21" i="2"/>
  <c r="M18" i="2"/>
  <c r="M19" i="2"/>
  <c r="M13" i="2"/>
  <c r="M12" i="2"/>
  <c r="E41" i="2" l="1"/>
  <c r="F41" i="2"/>
  <c r="G41" i="2"/>
  <c r="H41" i="2"/>
  <c r="I41" i="2"/>
  <c r="J41" i="2"/>
  <c r="K41" i="2"/>
  <c r="L41" i="2"/>
  <c r="D41" i="2"/>
  <c r="D5" i="2" l="1"/>
  <c r="E5" i="2" s="1"/>
  <c r="F5" i="2" s="1"/>
  <c r="G5" i="2" s="1"/>
  <c r="H5" i="2" s="1"/>
  <c r="I5" i="2" s="1"/>
  <c r="J5" i="2" s="1"/>
  <c r="K5" i="2" s="1"/>
  <c r="L5" i="2" s="1"/>
  <c r="D4" i="2"/>
  <c r="E4" i="2" s="1"/>
  <c r="F4" i="2" s="1"/>
  <c r="G4" i="2" s="1"/>
  <c r="H4" i="2" s="1"/>
  <c r="I4" i="2" s="1"/>
  <c r="J4" i="2" s="1"/>
  <c r="K4" i="2" s="1"/>
  <c r="L4" i="2" s="1"/>
  <c r="W15" i="1"/>
  <c r="V15" i="1"/>
  <c r="D189" i="2"/>
  <c r="E189" i="2" s="1"/>
  <c r="F189" i="2" s="1"/>
  <c r="G189" i="2" s="1"/>
  <c r="H189" i="2" s="1"/>
  <c r="I189" i="2" s="1"/>
  <c r="J189" i="2" s="1"/>
  <c r="K189" i="2" s="1"/>
  <c r="L189" i="2" s="1"/>
  <c r="D1" i="2"/>
  <c r="L16" i="1"/>
  <c r="W14" i="1"/>
  <c r="V14" i="1"/>
  <c r="W13" i="1"/>
  <c r="V13" i="1"/>
  <c r="V11" i="1"/>
  <c r="V4" i="1"/>
  <c r="V211" i="1"/>
  <c r="V212" i="1"/>
  <c r="V209" i="1"/>
  <c r="V208" i="1"/>
  <c r="V206" i="1"/>
  <c r="V205" i="1"/>
  <c r="V204" i="1"/>
  <c r="V203" i="1"/>
  <c r="V202" i="1"/>
  <c r="V201" i="1"/>
  <c r="V199" i="1"/>
  <c r="V197" i="1"/>
  <c r="V196" i="1"/>
  <c r="V194" i="1"/>
  <c r="V193" i="1"/>
  <c r="V191" i="1"/>
  <c r="V189" i="1"/>
  <c r="V186" i="1"/>
  <c r="V184" i="1"/>
  <c r="V181" i="1"/>
  <c r="V182" i="1"/>
  <c r="V177" i="1"/>
  <c r="V178" i="1"/>
  <c r="V179" i="1"/>
  <c r="V175" i="1"/>
  <c r="V174" i="1"/>
  <c r="V170" i="1"/>
  <c r="V171" i="1"/>
  <c r="V172" i="1"/>
  <c r="V167" i="1"/>
  <c r="V168" i="1"/>
  <c r="V169" i="1"/>
  <c r="V164" i="1"/>
  <c r="V165" i="1"/>
  <c r="V166" i="1"/>
  <c r="V163" i="1"/>
  <c r="V162" i="1"/>
  <c r="V161" i="1"/>
  <c r="V159" i="1"/>
  <c r="V158" i="1"/>
  <c r="W158" i="1"/>
  <c r="V155" i="1"/>
  <c r="V156" i="1"/>
  <c r="V157" i="1"/>
  <c r="V154" i="1"/>
  <c r="V153" i="1"/>
  <c r="W153" i="1"/>
  <c r="V152" i="1"/>
  <c r="V151" i="1"/>
  <c r="V150" i="1"/>
  <c r="V149" i="1"/>
  <c r="V147" i="1"/>
  <c r="V145" i="1"/>
  <c r="V142" i="1"/>
  <c r="V141" i="1"/>
  <c r="V140" i="1"/>
  <c r="V139" i="1"/>
  <c r="V138" i="1"/>
  <c r="V137" i="1"/>
  <c r="V129" i="1"/>
  <c r="V130" i="1"/>
  <c r="V131" i="1"/>
  <c r="V132" i="1"/>
  <c r="V133" i="1"/>
  <c r="V134" i="1"/>
  <c r="V128" i="1"/>
  <c r="V127" i="1"/>
  <c r="V126" i="1"/>
  <c r="V123" i="1"/>
  <c r="V122" i="1"/>
  <c r="V121" i="1"/>
  <c r="V120" i="1"/>
  <c r="V119" i="1"/>
  <c r="V118" i="1"/>
  <c r="V117" i="1"/>
  <c r="V116" i="1"/>
  <c r="V113" i="1"/>
  <c r="V112" i="1"/>
  <c r="V111" i="1"/>
  <c r="V110" i="1"/>
  <c r="V109" i="1"/>
  <c r="V108" i="1"/>
  <c r="V104" i="1"/>
  <c r="V103" i="1"/>
  <c r="W102" i="1"/>
  <c r="V102" i="1"/>
  <c r="V101" i="1"/>
  <c r="V100" i="1"/>
  <c r="W99" i="1"/>
  <c r="V99" i="1"/>
  <c r="V98" i="1"/>
  <c r="W97" i="1"/>
  <c r="V97" i="1"/>
  <c r="V96" i="1"/>
  <c r="W95" i="1"/>
  <c r="V95" i="1"/>
  <c r="V94" i="1"/>
  <c r="V93" i="1"/>
  <c r="V92" i="1"/>
  <c r="V91" i="1"/>
  <c r="V90" i="1"/>
  <c r="Y89" i="1"/>
  <c r="X89" i="1"/>
  <c r="W89" i="1"/>
  <c r="V89" i="1"/>
  <c r="W88" i="1"/>
  <c r="V88" i="1"/>
  <c r="X87" i="1"/>
  <c r="W87" i="1"/>
  <c r="V87" i="1"/>
  <c r="W83" i="1"/>
  <c r="V83" i="1"/>
  <c r="V82" i="1"/>
  <c r="W81" i="1"/>
  <c r="V81" i="1"/>
  <c r="W79" i="1"/>
  <c r="V79" i="1"/>
  <c r="W77" i="1"/>
  <c r="W76" i="1"/>
  <c r="W75" i="1"/>
  <c r="W74" i="1"/>
  <c r="W73" i="1"/>
  <c r="W72" i="1"/>
  <c r="W71" i="1"/>
  <c r="W70" i="1"/>
  <c r="V77" i="1"/>
  <c r="V76" i="1"/>
  <c r="V75" i="1"/>
  <c r="V74" i="1"/>
  <c r="V73" i="1"/>
  <c r="V72" i="1"/>
  <c r="V71" i="1"/>
  <c r="V70" i="1"/>
  <c r="W69" i="1"/>
  <c r="V69" i="1"/>
  <c r="W67" i="1"/>
  <c r="V67" i="1"/>
  <c r="W65" i="1"/>
  <c r="V65" i="1"/>
  <c r="V63" i="1"/>
  <c r="V62" i="1"/>
  <c r="V61" i="1"/>
  <c r="V60" i="1"/>
  <c r="V59" i="1"/>
  <c r="V58" i="1"/>
  <c r="W59" i="1"/>
  <c r="W58" i="1"/>
  <c r="W57" i="1"/>
  <c r="V57" i="1"/>
  <c r="W56" i="1"/>
  <c r="V56" i="1"/>
  <c r="W51" i="1"/>
  <c r="V51" i="1"/>
  <c r="V50" i="1"/>
  <c r="W50" i="1"/>
  <c r="V48" i="1"/>
  <c r="V47" i="1"/>
  <c r="V46" i="1"/>
  <c r="V45" i="1"/>
  <c r="V43" i="1"/>
  <c r="V42" i="1"/>
  <c r="V41" i="1"/>
  <c r="V40" i="1"/>
  <c r="Z39" i="1"/>
  <c r="Y39" i="1"/>
  <c r="X39" i="1"/>
  <c r="W39" i="1"/>
  <c r="V39" i="1"/>
  <c r="V37" i="1"/>
  <c r="V36" i="1"/>
  <c r="V35" i="1"/>
  <c r="W31" i="1"/>
  <c r="V31" i="1"/>
  <c r="W30" i="1"/>
  <c r="V30" i="1"/>
  <c r="W29" i="1"/>
  <c r="V29" i="1"/>
  <c r="V28" i="1"/>
  <c r="W27" i="1"/>
  <c r="V27" i="1"/>
  <c r="V26" i="1"/>
  <c r="W25" i="1"/>
  <c r="V25" i="1"/>
  <c r="W22" i="1"/>
  <c r="V22" i="1"/>
  <c r="W21" i="1"/>
  <c r="V21" i="1"/>
  <c r="W20" i="1"/>
  <c r="V20" i="1"/>
  <c r="R10" i="1"/>
  <c r="S10" i="1" s="1"/>
  <c r="E1" i="2" l="1"/>
  <c r="A10" i="1"/>
  <c r="F1" i="2" l="1"/>
  <c r="A3" i="1"/>
  <c r="G1" i="2" l="1"/>
  <c r="H1" i="2" l="1"/>
  <c r="I1" i="2" l="1"/>
  <c r="J1" i="2" l="1"/>
  <c r="K1" i="2" l="1"/>
  <c r="L1" i="2" l="1"/>
  <c r="R1" i="1" l="1"/>
  <c r="Q212" i="1" l="1" a="1"/>
  <c r="Q212" i="1" s="1"/>
  <c r="A212" i="1" s="1"/>
  <c r="Q25" i="1" a="1"/>
  <c r="Q25" i="1" s="1"/>
  <c r="I25" i="1" s="1"/>
  <c r="R29" i="1" a="1"/>
  <c r="R29" i="1" s="1"/>
  <c r="K29" i="1" s="1"/>
  <c r="Q30" i="1" a="1"/>
  <c r="Q30" i="1" s="1"/>
  <c r="I30" i="1" s="1"/>
  <c r="Q93" i="1" a="1"/>
  <c r="Q93" i="1" s="1"/>
  <c r="Q39" i="1" a="1"/>
  <c r="Q39" i="1" s="1"/>
  <c r="S39" i="1" a="1"/>
  <c r="S39" i="1" s="1"/>
  <c r="G39" i="1" s="1"/>
  <c r="Q15" i="1" a="1"/>
  <c r="Q15" i="1" s="1"/>
  <c r="C15" i="1" s="1"/>
  <c r="Q155" i="1" a="1"/>
  <c r="Q155" i="1" s="1"/>
  <c r="B155" i="1" s="1"/>
  <c r="Q35" i="1" a="1"/>
  <c r="Q35" i="1" s="1"/>
  <c r="B35" i="1" s="1"/>
  <c r="Q166" i="1" a="1"/>
  <c r="Q166" i="1" s="1"/>
  <c r="B166" i="1" s="1"/>
  <c r="R97" i="1" a="1"/>
  <c r="R97" i="1" s="1"/>
  <c r="I97" i="1" s="1"/>
  <c r="Q181" i="1" a="1"/>
  <c r="Q181" i="1" s="1"/>
  <c r="H181" i="1" s="1"/>
  <c r="Q163" i="1" a="1"/>
  <c r="Q163" i="1" s="1"/>
  <c r="B163" i="1" s="1"/>
  <c r="Q209" i="1" a="1"/>
  <c r="Q209" i="1" s="1"/>
  <c r="A209" i="1" s="1"/>
  <c r="Q128" i="1" a="1"/>
  <c r="Q128" i="1" s="1"/>
  <c r="B128" i="1" s="1"/>
  <c r="Q186" i="1" a="1"/>
  <c r="Q186" i="1" s="1"/>
  <c r="B186" i="1" s="1"/>
  <c r="Q97" i="1" a="1"/>
  <c r="Q97" i="1" s="1"/>
  <c r="B97" i="1" s="1"/>
  <c r="T39" i="1" a="1"/>
  <c r="T39" i="1" s="1"/>
  <c r="Q31" i="1" a="1"/>
  <c r="Q31" i="1" s="1"/>
  <c r="I31" i="1" s="1"/>
  <c r="R39" i="1" a="1"/>
  <c r="R39" i="1" s="1"/>
  <c r="E39" i="1" s="1"/>
  <c r="Q96" i="1" a="1"/>
  <c r="Q96" i="1" s="1"/>
  <c r="B96" i="1" s="1"/>
  <c r="Q157" i="1" a="1"/>
  <c r="Q157" i="1" s="1"/>
  <c r="B157" i="1" s="1"/>
  <c r="Q127" i="1" a="1"/>
  <c r="Q127" i="1" s="1"/>
  <c r="B127" i="1" s="1"/>
  <c r="Q103" i="1" a="1"/>
  <c r="Q103" i="1" s="1"/>
  <c r="B103" i="1" s="1"/>
  <c r="Q133" i="1" a="1"/>
  <c r="Q133" i="1" s="1"/>
  <c r="B133" i="1" s="1"/>
  <c r="Q134" i="1" a="1"/>
  <c r="Q134" i="1" s="1"/>
  <c r="B134" i="1" s="1"/>
  <c r="Q122" i="1" a="1"/>
  <c r="Q122" i="1" s="1"/>
  <c r="B122" i="1" s="1"/>
  <c r="Q131" i="1" a="1"/>
  <c r="Q131" i="1" s="1"/>
  <c r="B131" i="1" s="1"/>
  <c r="Q149" i="1" a="1"/>
  <c r="Q149" i="1" s="1"/>
  <c r="Q182" i="1" a="1"/>
  <c r="Q182" i="1" s="1"/>
  <c r="Q130" i="1" a="1"/>
  <c r="Q130" i="1" s="1"/>
  <c r="B130" i="1" s="1"/>
  <c r="Q197" i="1" a="1"/>
  <c r="Q197" i="1" s="1"/>
  <c r="B197" i="1" s="1"/>
  <c r="Q13" i="1" a="1"/>
  <c r="Q13" i="1" s="1"/>
  <c r="Q142" i="1" a="1"/>
  <c r="Q142" i="1" s="1"/>
  <c r="B142" i="1" s="1"/>
  <c r="Q168" i="1" a="1"/>
  <c r="Q168" i="1" s="1"/>
  <c r="B168" i="1" s="1"/>
  <c r="Q4" i="1" a="1"/>
  <c r="Q4" i="1" s="1"/>
  <c r="A4" i="1" s="1"/>
  <c r="Q28" i="1" a="1"/>
  <c r="Q28" i="1" s="1"/>
  <c r="E28" i="1" s="1"/>
  <c r="R158" i="1" a="1"/>
  <c r="R158" i="1" s="1"/>
  <c r="Q47" i="1" a="1"/>
  <c r="Q47" i="1" s="1"/>
  <c r="J47" i="1" s="1"/>
  <c r="Q112" i="1" a="1"/>
  <c r="Q112" i="1" s="1"/>
  <c r="B112" i="1" s="1"/>
  <c r="Q116" i="1" a="1"/>
  <c r="Q116" i="1" s="1"/>
  <c r="B116" i="1" s="1"/>
  <c r="R99" i="1" a="1"/>
  <c r="R99" i="1" s="1"/>
  <c r="R25" i="1" a="1"/>
  <c r="R25" i="1" s="1"/>
  <c r="K25" i="1" s="1"/>
  <c r="Q165" i="1" a="1"/>
  <c r="Q165" i="1" s="1"/>
  <c r="B165" i="1" s="1"/>
  <c r="Q42" i="1" a="1"/>
  <c r="Q42" i="1" s="1"/>
  <c r="B42" i="1" s="1"/>
  <c r="Q178" i="1" a="1"/>
  <c r="Q178" i="1" s="1"/>
  <c r="H178" i="1" s="1"/>
  <c r="Q108" i="1" a="1"/>
  <c r="Q108" i="1" s="1"/>
  <c r="B108" i="1" s="1"/>
  <c r="R27" i="1" a="1"/>
  <c r="R27" i="1" s="1"/>
  <c r="K27" i="1" s="1"/>
  <c r="Q199" i="1" a="1"/>
  <c r="Q199" i="1" s="1"/>
  <c r="B199" i="1" s="1"/>
  <c r="Q41" i="1" a="1"/>
  <c r="Q41" i="1" s="1"/>
  <c r="B41" i="1" s="1"/>
  <c r="Q45" i="1" a="1"/>
  <c r="Q45" i="1" s="1"/>
  <c r="J45" i="1" s="1"/>
  <c r="R13" i="1" a="1"/>
  <c r="R13" i="1" s="1"/>
  <c r="Q191" i="1" a="1"/>
  <c r="Q191" i="1" s="1"/>
  <c r="Q208" i="1" a="1"/>
  <c r="Q208" i="1" s="1"/>
  <c r="A208" i="1" s="1"/>
  <c r="Q147" i="1" a="1"/>
  <c r="Q147" i="1" s="1"/>
  <c r="B147" i="1" s="1"/>
  <c r="Q159" i="1" a="1"/>
  <c r="Q159" i="1" s="1"/>
  <c r="B159" i="1" s="1"/>
  <c r="Q117" i="1" a="1"/>
  <c r="Q117" i="1" s="1"/>
  <c r="B117" i="1" s="1"/>
  <c r="Q141" i="1" a="1"/>
  <c r="Q141" i="1" s="1"/>
  <c r="B141" i="1" s="1"/>
  <c r="Q184" i="1" a="1"/>
  <c r="Q184" i="1" s="1"/>
  <c r="B184" i="1" s="1"/>
  <c r="Q89" i="1" a="1"/>
  <c r="Q89" i="1" s="1"/>
  <c r="Q175" i="1" a="1"/>
  <c r="Q175" i="1" s="1"/>
  <c r="H175" i="1" s="1"/>
  <c r="Q158" i="1" a="1"/>
  <c r="Q158" i="1" s="1"/>
  <c r="Q189" i="1" a="1"/>
  <c r="Q189" i="1" s="1"/>
  <c r="B189" i="1" s="1"/>
  <c r="Q156" i="1" a="1"/>
  <c r="Q156" i="1" s="1"/>
  <c r="B156" i="1" s="1"/>
  <c r="Q11" i="1" a="1"/>
  <c r="Q11" i="1" s="1"/>
  <c r="A11" i="1" s="1"/>
  <c r="Q171" i="1" a="1"/>
  <c r="Q171" i="1" s="1"/>
  <c r="B171" i="1" s="1"/>
  <c r="Q174" i="1" a="1"/>
  <c r="Q174" i="1" s="1"/>
  <c r="H174" i="1" s="1"/>
  <c r="Q92" i="1" a="1"/>
  <c r="Q92" i="1" s="1"/>
  <c r="B92" i="1" s="1"/>
  <c r="Q138" i="1" a="1"/>
  <c r="Q138" i="1" s="1"/>
  <c r="B138" i="1" s="1"/>
  <c r="Q140" i="1" a="1"/>
  <c r="Q140" i="1" s="1"/>
  <c r="B140" i="1" s="1"/>
  <c r="Q123" i="1" a="1"/>
  <c r="Q123" i="1" s="1"/>
  <c r="B123" i="1" s="1"/>
  <c r="R31" i="1" a="1"/>
  <c r="R31" i="1" s="1"/>
  <c r="K31" i="1" s="1"/>
  <c r="Q177" i="1" a="1"/>
  <c r="Q177" i="1" s="1"/>
  <c r="H177" i="1" s="1"/>
  <c r="R51" i="1" a="1"/>
  <c r="R51" i="1" s="1"/>
  <c r="G51" i="1" s="1"/>
  <c r="Q196" i="1" a="1"/>
  <c r="Q196" i="1" s="1"/>
  <c r="B196" i="1" s="1"/>
  <c r="Q120" i="1" a="1"/>
  <c r="Q120" i="1" s="1"/>
  <c r="B120" i="1" s="1"/>
  <c r="Q37" i="1" a="1"/>
  <c r="Q37" i="1" s="1"/>
  <c r="B37" i="1" s="1"/>
  <c r="U39" i="1" a="1"/>
  <c r="U39" i="1" s="1"/>
  <c r="Q205" i="1" a="1"/>
  <c r="Q205" i="1" s="1"/>
  <c r="B205" i="1" s="1"/>
  <c r="Q161" i="1" a="1"/>
  <c r="Q161" i="1" s="1"/>
  <c r="B161" i="1" s="1"/>
  <c r="Q151" i="1" a="1"/>
  <c r="Q151" i="1" s="1"/>
  <c r="B151" i="1" s="1"/>
  <c r="S89" i="1" a="1"/>
  <c r="S89" i="1" s="1"/>
  <c r="Q132" i="1" a="1"/>
  <c r="Q132" i="1" s="1"/>
  <c r="B132" i="1" s="1"/>
  <c r="Q137" i="1" a="1"/>
  <c r="Q137" i="1" s="1"/>
  <c r="B137" i="1" s="1"/>
  <c r="Q170" i="1" a="1"/>
  <c r="Q170" i="1" s="1"/>
  <c r="B170" i="1" s="1"/>
  <c r="R102" i="1" a="1"/>
  <c r="R102" i="1" s="1"/>
  <c r="Q101" i="1" a="1"/>
  <c r="Q101" i="1" s="1"/>
  <c r="B101" i="1" s="1"/>
  <c r="Q202" i="1" a="1"/>
  <c r="Q202" i="1" s="1"/>
  <c r="B202" i="1" s="1"/>
  <c r="Q121" i="1" a="1"/>
  <c r="Q121" i="1" s="1"/>
  <c r="B121" i="1" s="1"/>
  <c r="Q172" i="1" a="1"/>
  <c r="Q172" i="1" s="1"/>
  <c r="B172" i="1" s="1"/>
  <c r="Q113" i="1" a="1"/>
  <c r="Q113" i="1" s="1"/>
  <c r="B113" i="1" s="1"/>
  <c r="Q154" i="1" a="1"/>
  <c r="Q154" i="1" s="1"/>
  <c r="B154" i="1" s="1"/>
  <c r="Q100" i="1" a="1"/>
  <c r="Q100" i="1" s="1"/>
  <c r="B100" i="1" s="1"/>
  <c r="Q139" i="1" a="1"/>
  <c r="Q139" i="1" s="1"/>
  <c r="B139" i="1" s="1"/>
  <c r="Q129" i="1" a="1"/>
  <c r="Q129" i="1" s="1"/>
  <c r="B129" i="1" s="1"/>
  <c r="Q193" i="1" a="1"/>
  <c r="Q193" i="1" s="1"/>
  <c r="B193" i="1" s="1"/>
  <c r="Q179" i="1" a="1"/>
  <c r="Q179" i="1" s="1"/>
  <c r="Q102" i="1" a="1"/>
  <c r="Q102" i="1" s="1"/>
  <c r="R30" i="1" a="1"/>
  <c r="R30" i="1" s="1"/>
  <c r="K30" i="1" s="1"/>
  <c r="Q162" i="1" a="1"/>
  <c r="Q162" i="1" s="1"/>
  <c r="B162" i="1" s="1"/>
  <c r="Q169" i="1" a="1"/>
  <c r="Q169" i="1" s="1"/>
  <c r="B169" i="1" s="1"/>
  <c r="Q164" i="1" a="1"/>
  <c r="Q164" i="1" s="1"/>
  <c r="B164" i="1" s="1"/>
  <c r="Q145" i="1" a="1"/>
  <c r="Q145" i="1" s="1"/>
  <c r="B145" i="1" s="1"/>
  <c r="Q204" i="1" a="1"/>
  <c r="Q204" i="1" s="1"/>
  <c r="B204" i="1" s="1"/>
  <c r="Q206" i="1" a="1"/>
  <c r="Q206" i="1" s="1"/>
  <c r="B206" i="1" s="1"/>
  <c r="Q211" i="1" a="1"/>
  <c r="Q211" i="1" s="1"/>
  <c r="A211" i="1" s="1"/>
  <c r="Q126" i="1" a="1"/>
  <c r="Q126" i="1" s="1"/>
  <c r="B126" i="1" s="1"/>
  <c r="Q111" i="1" a="1"/>
  <c r="Q111" i="1" s="1"/>
  <c r="B111" i="1" s="1"/>
  <c r="Q194" i="1" a="1"/>
  <c r="Q194" i="1" s="1"/>
  <c r="B194" i="1" s="1"/>
  <c r="Q203" i="1" a="1"/>
  <c r="Q203" i="1" s="1"/>
  <c r="B203" i="1" s="1"/>
  <c r="Q51" i="1" a="1"/>
  <c r="Q51" i="1" s="1"/>
  <c r="C51" i="1" s="1"/>
  <c r="Q109" i="1" a="1"/>
  <c r="Q109" i="1" s="1"/>
  <c r="B109" i="1" s="1"/>
  <c r="Q46" i="1" a="1"/>
  <c r="Q46" i="1" s="1"/>
  <c r="J46" i="1" s="1"/>
  <c r="Q104" i="1" a="1"/>
  <c r="Q104" i="1" s="1"/>
  <c r="B104" i="1" s="1"/>
  <c r="Q110" i="1" a="1"/>
  <c r="Q110" i="1" s="1"/>
  <c r="I110" i="1" s="1"/>
  <c r="Q99" i="1" a="1"/>
  <c r="Q99" i="1" s="1"/>
  <c r="Q119" i="1" a="1"/>
  <c r="Q119" i="1" s="1"/>
  <c r="B119" i="1" s="1"/>
  <c r="Q167" i="1" a="1"/>
  <c r="Q167" i="1" s="1"/>
  <c r="B167" i="1" s="1"/>
  <c r="Q29" i="1" a="1"/>
  <c r="Q29" i="1" s="1"/>
  <c r="I29" i="1" s="1"/>
  <c r="R14" i="1" a="1"/>
  <c r="R14" i="1" s="1"/>
  <c r="Q118" i="1" a="1"/>
  <c r="Q118" i="1" s="1"/>
  <c r="B118" i="1" s="1"/>
  <c r="Q40" i="1" a="1"/>
  <c r="Q40" i="1" s="1"/>
  <c r="B40" i="1" s="1"/>
  <c r="R15" i="1" a="1"/>
  <c r="R15" i="1" s="1"/>
  <c r="L15" i="1" s="1"/>
  <c r="Q36" i="1" a="1"/>
  <c r="Q36" i="1" s="1"/>
  <c r="B36" i="1" s="1"/>
  <c r="Q14" i="1" a="1"/>
  <c r="Q14" i="1" s="1"/>
  <c r="Q201" i="1" a="1"/>
  <c r="Q201" i="1" s="1"/>
  <c r="B201" i="1" s="1"/>
  <c r="Q26" i="1" a="1"/>
  <c r="Q26" i="1" s="1"/>
  <c r="E26" i="1" s="1"/>
  <c r="Q43" i="1" a="1"/>
  <c r="Q43" i="1" s="1"/>
  <c r="J43" i="1" s="1"/>
  <c r="Q48" i="1" a="1"/>
  <c r="Q48" i="1" s="1"/>
  <c r="J48" i="1" s="1"/>
  <c r="Q27" i="1" a="1"/>
  <c r="Q27" i="1" s="1"/>
  <c r="I27" i="1" s="1"/>
  <c r="Q95" i="1" a="1"/>
  <c r="Q95" i="1" s="1"/>
  <c r="R95" i="1" a="1"/>
  <c r="R95" i="1" s="1"/>
  <c r="B93" i="1"/>
  <c r="M165" i="2"/>
  <c r="R153" i="1" s="1" a="1"/>
  <c r="R153" i="1" s="1"/>
  <c r="M164" i="2"/>
  <c r="Q153" i="1" s="1" a="1"/>
  <c r="Q153" i="1" s="1"/>
  <c r="M108" i="2"/>
  <c r="M107" i="2"/>
  <c r="N27" i="1" l="1"/>
  <c r="J39" i="1"/>
  <c r="B99" i="1"/>
  <c r="N25" i="1"/>
  <c r="B153" i="1"/>
  <c r="B95" i="1"/>
  <c r="S14" i="1"/>
  <c r="T14" i="1"/>
  <c r="U14" i="1"/>
  <c r="S158" i="1"/>
  <c r="B158" i="1" s="1"/>
  <c r="N31" i="1"/>
  <c r="B39" i="1"/>
  <c r="Q38" i="1"/>
  <c r="B38" i="1" s="1"/>
  <c r="B191" i="1"/>
  <c r="Q200" i="1"/>
  <c r="B200" i="1" s="1"/>
  <c r="N30" i="1"/>
  <c r="M163" i="2"/>
  <c r="Q152" i="1" s="1" a="1"/>
  <c r="Q152" i="1" s="1"/>
  <c r="B152" i="1" s="1"/>
  <c r="M161" i="2"/>
  <c r="Q150" i="1" s="1" a="1"/>
  <c r="Q150" i="1" s="1"/>
  <c r="B150" i="1" s="1"/>
  <c r="H182" i="1"/>
  <c r="S13" i="1"/>
  <c r="U13" i="1"/>
  <c r="T13" i="1"/>
  <c r="J44" i="1"/>
  <c r="H179" i="1"/>
  <c r="Q180" i="1"/>
  <c r="H180" i="1" s="1"/>
  <c r="Z102" i="1"/>
  <c r="AB102" i="1"/>
  <c r="AA102" i="1"/>
  <c r="N29" i="1"/>
  <c r="AD102" i="1"/>
  <c r="AE102" i="1"/>
  <c r="AC102" i="1"/>
  <c r="B149" i="1"/>
  <c r="N149" i="1"/>
  <c r="S102" i="1" l="1"/>
  <c r="T102" i="1"/>
  <c r="B102" i="1" s="1"/>
  <c r="Q183" i="1"/>
  <c r="H183" i="1" s="1"/>
  <c r="A14" i="1"/>
  <c r="A13" i="1"/>
  <c r="R247" i="2" l="1"/>
  <c r="V256" i="2"/>
  <c r="Y243" i="2"/>
  <c r="V234" i="2"/>
  <c r="T253" i="2"/>
  <c r="Y256" i="2"/>
  <c r="S246" i="2"/>
  <c r="W245" i="2"/>
  <c r="Y240" i="2"/>
  <c r="Q242" i="2"/>
  <c r="U234" i="2"/>
  <c r="W240" i="2"/>
  <c r="P244" i="2"/>
  <c r="W249" i="2"/>
  <c r="S247" i="2"/>
  <c r="Q245" i="2"/>
  <c r="P250" i="2"/>
  <c r="U239" i="2"/>
  <c r="R249" i="2"/>
  <c r="U230" i="2"/>
  <c r="U232" i="2"/>
  <c r="S230" i="2"/>
  <c r="V237" i="2"/>
  <c r="W242" i="2"/>
  <c r="V232" i="2"/>
  <c r="U231" i="2"/>
  <c r="P252" i="2"/>
  <c r="P232" i="2"/>
  <c r="Q239" i="2"/>
  <c r="Q246" i="2"/>
  <c r="Y231" i="2"/>
  <c r="X253" i="2"/>
  <c r="Y252" i="2"/>
  <c r="V235" i="2"/>
  <c r="Y238" i="2"/>
  <c r="U253" i="2"/>
  <c r="U252" i="2"/>
  <c r="V231" i="2"/>
  <c r="R238" i="2"/>
  <c r="S253" i="2"/>
  <c r="V255" i="2"/>
  <c r="R236" i="2"/>
  <c r="X232" i="2"/>
  <c r="U249" i="2"/>
  <c r="Y232" i="2"/>
  <c r="P240" i="2"/>
  <c r="T238" i="2"/>
  <c r="R245" i="2"/>
  <c r="V238" i="2"/>
  <c r="U255" i="2"/>
  <c r="U243" i="2"/>
  <c r="X243" i="2"/>
  <c r="Q230" i="2"/>
  <c r="W235" i="2"/>
  <c r="Y235" i="2"/>
  <c r="U241" i="2"/>
  <c r="U240" i="2"/>
  <c r="W253" i="2"/>
  <c r="W246" i="2"/>
  <c r="W241" i="2"/>
  <c r="S238" i="2"/>
  <c r="T257" i="2"/>
  <c r="X241" i="2"/>
  <c r="W236" i="2"/>
  <c r="S235" i="2"/>
  <c r="Q236" i="2"/>
  <c r="R250" i="2"/>
  <c r="X238" i="2"/>
  <c r="T237" i="2"/>
  <c r="R243" i="2"/>
  <c r="T251" i="2"/>
  <c r="R234" i="2"/>
  <c r="U256" i="2"/>
  <c r="Y242" i="2"/>
  <c r="W256" i="2"/>
  <c r="Q256" i="2"/>
  <c r="T242" i="2"/>
  <c r="R248" i="2"/>
  <c r="W239" i="2"/>
  <c r="S245" i="2"/>
  <c r="P246" i="2"/>
  <c r="P255" i="2"/>
  <c r="U235" i="2"/>
  <c r="X242" i="2"/>
  <c r="P237" i="2"/>
  <c r="V241" i="2"/>
  <c r="R246" i="2"/>
  <c r="T255" i="2"/>
  <c r="V251" i="2"/>
  <c r="S249" i="2"/>
  <c r="P238" i="2"/>
  <c r="X246" i="2"/>
  <c r="X247" i="2"/>
  <c r="X251" i="2"/>
  <c r="T235" i="2"/>
  <c r="V244" i="2"/>
  <c r="W237" i="2"/>
  <c r="R239" i="2"/>
  <c r="W232" i="2"/>
  <c r="T249" i="2"/>
  <c r="R253" i="2"/>
  <c r="Q243" i="2"/>
  <c r="X235" i="2"/>
  <c r="Q249" i="2"/>
  <c r="P251" i="2"/>
  <c r="V253" i="2"/>
  <c r="P231" i="2"/>
  <c r="R237" i="2"/>
  <c r="S244" i="2"/>
  <c r="R251" i="2"/>
  <c r="Y237" i="2"/>
  <c r="Q248" i="2"/>
  <c r="Q247" i="2"/>
  <c r="Y236" i="2"/>
  <c r="T246" i="2"/>
  <c r="X230" i="2"/>
  <c r="Q237" i="2"/>
  <c r="S256" i="2"/>
  <c r="R252" i="2"/>
  <c r="Y234" i="2"/>
  <c r="R242" i="2"/>
  <c r="Q232" i="2"/>
  <c r="U245" i="2"/>
  <c r="T236" i="2"/>
  <c r="Y247" i="2"/>
  <c r="V257" i="2"/>
  <c r="S232" i="2"/>
  <c r="P257" i="2"/>
  <c r="T245" i="2"/>
  <c r="Y241" i="2"/>
  <c r="S241" i="2"/>
  <c r="Y230" i="2"/>
  <c r="W234" i="2"/>
  <c r="T244" i="2"/>
  <c r="R235" i="2"/>
  <c r="R257" i="2"/>
  <c r="S251" i="2"/>
  <c r="S231" i="2"/>
  <c r="X256" i="2"/>
  <c r="X244" i="2"/>
  <c r="U251" i="2"/>
  <c r="W231" i="2"/>
  <c r="V245" i="2"/>
  <c r="P245" i="2"/>
  <c r="Q257" i="2"/>
  <c r="P230" i="2"/>
  <c r="T241" i="2"/>
  <c r="Y246" i="2"/>
  <c r="X237" i="2"/>
  <c r="Q235" i="2"/>
  <c r="S243" i="2"/>
  <c r="X236" i="2"/>
  <c r="X234" i="2"/>
  <c r="T250" i="2"/>
  <c r="P234" i="2"/>
  <c r="Q234" i="2"/>
  <c r="Q238" i="2"/>
  <c r="P235" i="2"/>
  <c r="P242" i="2"/>
  <c r="Y239" i="2"/>
  <c r="X249" i="2"/>
  <c r="P243" i="2"/>
  <c r="R255" i="2"/>
  <c r="Q244" i="2"/>
  <c r="W257" i="2"/>
  <c r="R240" i="2"/>
  <c r="Q253" i="2"/>
  <c r="U248" i="2"/>
  <c r="V247" i="2"/>
  <c r="T243" i="2"/>
  <c r="S239" i="2"/>
  <c r="V230" i="2"/>
  <c r="T240" i="2"/>
  <c r="W252" i="2"/>
  <c r="Y245" i="2"/>
  <c r="X245" i="2"/>
  <c r="Q231" i="2"/>
  <c r="S236" i="2"/>
  <c r="X257" i="2"/>
  <c r="R256" i="2"/>
  <c r="W255" i="2"/>
  <c r="U244" i="2"/>
  <c r="Y248" i="2"/>
  <c r="R241" i="2"/>
  <c r="T234" i="2"/>
  <c r="T231" i="2"/>
  <c r="S255" i="2"/>
  <c r="Y257" i="2"/>
  <c r="Q250" i="2"/>
  <c r="U257" i="2"/>
  <c r="Q252" i="2"/>
  <c r="V242" i="2"/>
  <c r="V239" i="2"/>
  <c r="Y253" i="2"/>
  <c r="U247" i="2"/>
  <c r="W243" i="2"/>
  <c r="X231" i="2"/>
  <c r="T239" i="2"/>
  <c r="U236" i="2"/>
  <c r="P247" i="2"/>
  <c r="U242" i="2"/>
  <c r="P239" i="2"/>
  <c r="S240" i="2"/>
  <c r="S257" i="2"/>
  <c r="P249" i="2"/>
  <c r="W247" i="2"/>
  <c r="Y249" i="2"/>
  <c r="S242" i="2"/>
  <c r="X239" i="2"/>
  <c r="V250" i="2"/>
  <c r="V248" i="2"/>
  <c r="Q255" i="2"/>
  <c r="Y251" i="2"/>
  <c r="Q251" i="2"/>
  <c r="T256" i="2"/>
  <c r="S237" i="2"/>
  <c r="S252" i="2"/>
  <c r="X252" i="2"/>
  <c r="P236" i="2"/>
  <c r="V243" i="2"/>
  <c r="P256" i="2"/>
  <c r="U237" i="2"/>
  <c r="V236" i="2"/>
  <c r="T248" i="2"/>
  <c r="R230" i="2"/>
  <c r="W244" i="2"/>
  <c r="W238" i="2"/>
  <c r="P253" i="2"/>
  <c r="V252" i="2"/>
  <c r="V249" i="2"/>
  <c r="W251" i="2"/>
  <c r="T252" i="2"/>
  <c r="W248" i="2"/>
  <c r="U246" i="2"/>
  <c r="S234" i="2"/>
  <c r="T232" i="2"/>
  <c r="R232" i="2"/>
  <c r="Y244" i="2"/>
  <c r="U238" i="2"/>
  <c r="S248" i="2"/>
  <c r="R231" i="2"/>
  <c r="P241" i="2"/>
  <c r="W250" i="2"/>
  <c r="X240" i="2"/>
  <c r="P248" i="2"/>
  <c r="V240" i="2"/>
  <c r="S250" i="2"/>
  <c r="Y255" i="2"/>
  <c r="R244" i="2"/>
  <c r="Q240" i="2"/>
  <c r="X255" i="2"/>
  <c r="V246" i="2"/>
  <c r="Q241" i="2"/>
  <c r="X248" i="2"/>
  <c r="T247" i="2"/>
  <c r="X250" i="2"/>
  <c r="T230" i="2"/>
  <c r="W230" i="2"/>
  <c r="Y250" i="2"/>
  <c r="U250" i="2"/>
  <c r="M70" i="2" l="1"/>
  <c r="R70" i="1" s="1" a="1"/>
  <c r="R70" i="1" s="1"/>
  <c r="I70" i="1" s="1"/>
  <c r="M82" i="2"/>
  <c r="R76" i="1" s="1" a="1"/>
  <c r="R76" i="1" s="1"/>
  <c r="I76" i="1" s="1"/>
  <c r="M96" i="2"/>
  <c r="Q88" i="1" s="1" a="1"/>
  <c r="Q88" i="1" s="1"/>
  <c r="B88" i="1" s="1"/>
  <c r="M80" i="2"/>
  <c r="R75" i="1" s="1" a="1"/>
  <c r="R75" i="1" s="1"/>
  <c r="I75" i="1" s="1"/>
  <c r="M68" i="2"/>
  <c r="R69" i="1" s="1" a="1"/>
  <c r="R69" i="1" s="1"/>
  <c r="M97" i="2"/>
  <c r="R88" i="1" s="1" a="1"/>
  <c r="R88" i="1" s="1"/>
  <c r="H88" i="1" s="1"/>
  <c r="M94" i="2"/>
  <c r="R87" i="1" s="1" a="1"/>
  <c r="R87" i="1" s="1"/>
  <c r="H87" i="1" s="1"/>
  <c r="M101" i="2"/>
  <c r="T89" i="1" s="1" a="1"/>
  <c r="T89" i="1" s="1"/>
  <c r="H89" i="1" s="1"/>
  <c r="M99" i="2"/>
  <c r="R89" i="1" s="1" a="1"/>
  <c r="R89" i="1" s="1"/>
  <c r="B89" i="1" s="1"/>
  <c r="M112" i="2"/>
  <c r="Q98" i="1" s="1" a="1"/>
  <c r="Q98" i="1" s="1"/>
  <c r="B98" i="1" s="1"/>
  <c r="M103" i="2"/>
  <c r="Q91" i="1" s="1" a="1"/>
  <c r="Q91" i="1" s="1"/>
  <c r="B91" i="1" s="1"/>
  <c r="M95" i="2"/>
  <c r="S87" i="1" s="1" a="1"/>
  <c r="S87" i="1" s="1"/>
  <c r="K87" i="1" s="1"/>
  <c r="M51" i="2"/>
  <c r="Q56" i="1" s="1" a="1"/>
  <c r="Q56" i="1" s="1"/>
  <c r="M15" i="2"/>
  <c r="R21" i="1" s="1" a="1"/>
  <c r="R21" i="1" s="1"/>
  <c r="K21" i="1" s="1"/>
  <c r="M55" i="2"/>
  <c r="Q58" i="1" s="1" a="1"/>
  <c r="Q58" i="1" s="1"/>
  <c r="G58" i="1" s="1"/>
  <c r="M56" i="2"/>
  <c r="R58" i="1" s="1" a="1"/>
  <c r="R58" i="1" s="1"/>
  <c r="I58" i="1" s="1"/>
  <c r="M62" i="2"/>
  <c r="Q63" i="1" s="1" a="1"/>
  <c r="Q63" i="1" s="1"/>
  <c r="K63" i="1" s="1"/>
  <c r="M57" i="2"/>
  <c r="Q59" i="1" s="1" a="1"/>
  <c r="Q59" i="1" s="1"/>
  <c r="G59" i="1" s="1"/>
  <c r="M46" i="2"/>
  <c r="Q50" i="1" s="1" a="1"/>
  <c r="Q50" i="1" s="1"/>
  <c r="C50" i="1" s="1"/>
  <c r="M16" i="2"/>
  <c r="Q22" i="1" s="1" a="1"/>
  <c r="Q22" i="1" s="1"/>
  <c r="M52" i="2"/>
  <c r="R56" i="1" s="1" a="1"/>
  <c r="R56" i="1" s="1"/>
  <c r="I56" i="1" s="1"/>
  <c r="M58" i="2"/>
  <c r="R59" i="1" s="1" a="1"/>
  <c r="R59" i="1" s="1"/>
  <c r="I59" i="1" s="1"/>
  <c r="M47" i="2"/>
  <c r="R50" i="1" s="1" a="1"/>
  <c r="R50" i="1" s="1"/>
  <c r="G50" i="1" s="1"/>
  <c r="M17" i="2"/>
  <c r="R22" i="1" s="1" a="1"/>
  <c r="R22" i="1" s="1"/>
  <c r="D13" i="2"/>
  <c r="M88" i="2" l="1"/>
  <c r="R81" i="1" s="1" a="1"/>
  <c r="R81" i="1" s="1"/>
  <c r="G81" i="1" s="1"/>
  <c r="M84" i="2"/>
  <c r="R77" i="1" s="1" a="1"/>
  <c r="R77" i="1" s="1"/>
  <c r="I77" i="1" s="1"/>
  <c r="M63" i="2"/>
  <c r="Q65" i="1" s="1" a="1"/>
  <c r="Q65" i="1" s="1"/>
  <c r="C65" i="1" s="1"/>
  <c r="M83" i="2"/>
  <c r="Q77" i="1" s="1" a="1"/>
  <c r="Q77" i="1" s="1"/>
  <c r="E77" i="1" s="1"/>
  <c r="M79" i="2"/>
  <c r="Q75" i="1" s="1" a="1"/>
  <c r="Q75" i="1" s="1"/>
  <c r="E75" i="1" s="1"/>
  <c r="M77" i="2"/>
  <c r="Q74" i="1" s="1" a="1"/>
  <c r="Q74" i="1" s="1"/>
  <c r="E74" i="1" s="1"/>
  <c r="M86" i="2"/>
  <c r="R79" i="1" s="1" a="1"/>
  <c r="R79" i="1" s="1"/>
  <c r="G79" i="1" s="1"/>
  <c r="M73" i="2"/>
  <c r="Q72" i="1" s="1" a="1"/>
  <c r="Q72" i="1" s="1"/>
  <c r="M78" i="2"/>
  <c r="R74" i="1" s="1" a="1"/>
  <c r="R74" i="1" s="1"/>
  <c r="I74" i="1" s="1"/>
  <c r="M64" i="2"/>
  <c r="R65" i="1" s="1" a="1"/>
  <c r="R65" i="1" s="1"/>
  <c r="G65" i="1" s="1"/>
  <c r="M81" i="2"/>
  <c r="Q76" i="1" s="1" a="1"/>
  <c r="Q76" i="1" s="1"/>
  <c r="E76" i="1" s="1"/>
  <c r="M91" i="2"/>
  <c r="R83" i="1" s="1" a="1"/>
  <c r="R83" i="1" s="1"/>
  <c r="K83" i="1" s="1"/>
  <c r="M102" i="2"/>
  <c r="Q90" i="1" s="1" a="1"/>
  <c r="Q90" i="1" s="1"/>
  <c r="B90" i="1" s="1"/>
  <c r="M66" i="2"/>
  <c r="R67" i="1" s="1" a="1"/>
  <c r="R67" i="1" s="1"/>
  <c r="G67" i="1" s="1"/>
  <c r="M89" i="2"/>
  <c r="Q82" i="1" s="1" a="1"/>
  <c r="Q82" i="1" s="1"/>
  <c r="K82" i="1" s="1"/>
  <c r="M74" i="2"/>
  <c r="R72" i="1" s="1" a="1"/>
  <c r="R72" i="1" s="1"/>
  <c r="I72" i="1" s="1"/>
  <c r="M69" i="2"/>
  <c r="Q70" i="1" s="1" a="1"/>
  <c r="Q70" i="1" s="1"/>
  <c r="E70" i="1" s="1"/>
  <c r="M85" i="2"/>
  <c r="Q79" i="1" s="1" a="1"/>
  <c r="Q79" i="1" s="1"/>
  <c r="M72" i="2"/>
  <c r="R71" i="1" s="1" a="1"/>
  <c r="R71" i="1" s="1"/>
  <c r="I71" i="1" s="1"/>
  <c r="M90" i="2"/>
  <c r="Q83" i="1" s="1" a="1"/>
  <c r="Q83" i="1" s="1"/>
  <c r="I83" i="1" s="1"/>
  <c r="M87" i="2"/>
  <c r="Q81" i="1" s="1" a="1"/>
  <c r="Q81" i="1" s="1"/>
  <c r="C81" i="1" s="1"/>
  <c r="M93" i="2"/>
  <c r="Q87" i="1" s="1" a="1"/>
  <c r="Q87" i="1" s="1"/>
  <c r="Q86" i="1" s="1"/>
  <c r="B86" i="1" s="1"/>
  <c r="M67" i="2"/>
  <c r="Q69" i="1" s="1" a="1"/>
  <c r="Q69" i="1" s="1"/>
  <c r="E69" i="1" s="1"/>
  <c r="M75" i="2"/>
  <c r="Q73" i="1" s="1" a="1"/>
  <c r="Q73" i="1" s="1"/>
  <c r="M71" i="2"/>
  <c r="Q71" i="1" s="1" a="1"/>
  <c r="Q71" i="1" s="1"/>
  <c r="E71" i="1" s="1"/>
  <c r="M65" i="2"/>
  <c r="Q67" i="1" s="1" a="1"/>
  <c r="Q67" i="1" s="1"/>
  <c r="C67" i="1" s="1"/>
  <c r="M106" i="2"/>
  <c r="Q94" i="1" s="1" a="1"/>
  <c r="Q94" i="1" s="1"/>
  <c r="M76" i="2"/>
  <c r="R73" i="1" s="1" a="1"/>
  <c r="R73" i="1" s="1"/>
  <c r="I73" i="1" s="1"/>
  <c r="S50" i="1"/>
  <c r="K50" i="1" s="1"/>
  <c r="K59" i="1"/>
  <c r="K58" i="1"/>
  <c r="M61" i="2"/>
  <c r="Q62" i="1" s="1" a="1"/>
  <c r="Q62" i="1" s="1"/>
  <c r="K62" i="1" s="1"/>
  <c r="M54" i="2"/>
  <c r="R57" i="1" s="1" a="1"/>
  <c r="R57" i="1" s="1"/>
  <c r="I57" i="1" s="1"/>
  <c r="I69" i="1"/>
  <c r="M59" i="2"/>
  <c r="Q60" i="1" s="1" a="1"/>
  <c r="Q60" i="1" s="1"/>
  <c r="K60" i="1" s="1"/>
  <c r="M14" i="2"/>
  <c r="Q21" i="1" s="1" a="1"/>
  <c r="Q21" i="1" s="1"/>
  <c r="I21" i="1" s="1"/>
  <c r="N21" i="1" s="1"/>
  <c r="M53" i="2"/>
  <c r="Q57" i="1" s="1" a="1"/>
  <c r="Q57" i="1" s="1"/>
  <c r="M60" i="2"/>
  <c r="Q61" i="1" s="1" a="1"/>
  <c r="Q61" i="1" s="1"/>
  <c r="K61" i="1" s="1"/>
  <c r="D12" i="2"/>
  <c r="E12" i="2" s="1"/>
  <c r="F12" i="2" s="1"/>
  <c r="G12" i="2" s="1"/>
  <c r="I22" i="1"/>
  <c r="E13" i="2"/>
  <c r="F13" i="2" s="1"/>
  <c r="G13" i="2" s="1"/>
  <c r="K22" i="1"/>
  <c r="K56" i="1"/>
  <c r="G56" i="1"/>
  <c r="H13" i="2" l="1"/>
  <c r="I13" i="2" s="1"/>
  <c r="J13" i="2" s="1"/>
  <c r="K13" i="2" s="1"/>
  <c r="L13" i="2" s="1"/>
  <c r="R20" i="1" a="1"/>
  <c r="R20" i="1" s="1"/>
  <c r="H12" i="2"/>
  <c r="I12" i="2" s="1"/>
  <c r="J12" i="2" s="1"/>
  <c r="K12" i="2" s="1"/>
  <c r="L12" i="2" s="1"/>
  <c r="Q20" i="1" a="1"/>
  <c r="Q20" i="1" s="1"/>
  <c r="I20" i="1" s="1"/>
  <c r="M72" i="1"/>
  <c r="M70" i="1"/>
  <c r="M75" i="1"/>
  <c r="M77" i="1"/>
  <c r="M73" i="1"/>
  <c r="E72" i="1"/>
  <c r="M74" i="1"/>
  <c r="M76" i="1"/>
  <c r="E73" i="1"/>
  <c r="B87" i="1"/>
  <c r="M69" i="1"/>
  <c r="M71" i="1"/>
  <c r="K57" i="1"/>
  <c r="K67" i="1"/>
  <c r="M83" i="1"/>
  <c r="K81" i="1"/>
  <c r="K79" i="1"/>
  <c r="Q55" i="1"/>
  <c r="B55" i="1" s="1"/>
  <c r="G57" i="1"/>
  <c r="C79" i="1"/>
  <c r="K65" i="1"/>
  <c r="N22" i="1"/>
  <c r="N24" i="1" s="1"/>
  <c r="I34" i="1" l="1"/>
  <c r="K20" i="1"/>
  <c r="N20" i="1" s="1"/>
  <c r="K34" i="1"/>
  <c r="N23" i="1"/>
  <c r="N34" i="1" l="1"/>
  <c r="N32" i="1" s="1"/>
  <c r="S64" i="1"/>
  <c r="AD74" i="1" s="1"/>
  <c r="N33" i="1"/>
  <c r="T83" i="1"/>
  <c r="N83" i="1" s="1"/>
  <c r="R175" i="1"/>
  <c r="J175" i="1" s="1"/>
  <c r="S81" i="1"/>
  <c r="D81" i="1" s="1"/>
  <c r="AD73" i="1"/>
  <c r="AE73" i="1" s="1"/>
  <c r="U79" i="1"/>
  <c r="L79" i="1" s="1"/>
  <c r="S79" i="1"/>
  <c r="D79" i="1" s="1"/>
  <c r="AA72" i="1"/>
  <c r="AB72" i="1" s="1"/>
  <c r="AA76" i="1"/>
  <c r="Z76" i="1" s="1"/>
  <c r="T77" i="1"/>
  <c r="U77" i="1" s="1"/>
  <c r="AD69" i="1"/>
  <c r="AE69" i="1" s="1"/>
  <c r="AA74" i="1"/>
  <c r="Z74" i="1" s="1"/>
  <c r="AD71" i="1"/>
  <c r="AC71" i="1" s="1"/>
  <c r="AD77" i="1"/>
  <c r="AC77" i="1" s="1"/>
  <c r="T67" i="1"/>
  <c r="H67" i="1" s="1"/>
  <c r="AA70" i="1"/>
  <c r="Z70" i="1" s="1"/>
  <c r="AD76" i="1"/>
  <c r="AC76" i="1" s="1"/>
  <c r="T75" i="1"/>
  <c r="U75" i="1" s="1"/>
  <c r="T70" i="1"/>
  <c r="S70" i="1" s="1"/>
  <c r="AD75" i="1"/>
  <c r="AC75" i="1" s="1"/>
  <c r="AD70" i="1"/>
  <c r="AE70" i="1" s="1"/>
  <c r="AA75" i="1"/>
  <c r="Z75" i="1" s="1"/>
  <c r="AD72" i="1"/>
  <c r="AC72" i="1" s="1"/>
  <c r="T76" i="1"/>
  <c r="U76" i="1" s="1"/>
  <c r="AA71" i="1"/>
  <c r="Z71" i="1" s="1"/>
  <c r="U81" i="1"/>
  <c r="L81" i="1" s="1"/>
  <c r="U67" i="1"/>
  <c r="L67" i="1" s="1"/>
  <c r="U65" i="1"/>
  <c r="L65" i="1" s="1"/>
  <c r="T73" i="1"/>
  <c r="AC74" i="1"/>
  <c r="AE74" i="1"/>
  <c r="T65" i="1" l="1"/>
  <c r="H65" i="1" s="1"/>
  <c r="T74" i="1"/>
  <c r="U74" i="1" s="1"/>
  <c r="T79" i="1"/>
  <c r="H79" i="1" s="1"/>
  <c r="T72" i="1"/>
  <c r="U72" i="1" s="1"/>
  <c r="T69" i="1"/>
  <c r="U69" i="1" s="1"/>
  <c r="S65" i="1"/>
  <c r="D65" i="1" s="1"/>
  <c r="S94" i="1"/>
  <c r="B94" i="1" s="1"/>
  <c r="T71" i="1"/>
  <c r="U71" i="1" s="1"/>
  <c r="S67" i="1"/>
  <c r="D67" i="1" s="1"/>
  <c r="AA73" i="1"/>
  <c r="AB73" i="1" s="1"/>
  <c r="R174" i="1"/>
  <c r="J174" i="1" s="1"/>
  <c r="AA69" i="1"/>
  <c r="Z69" i="1" s="1"/>
  <c r="AA77" i="1"/>
  <c r="AB77" i="1" s="1"/>
  <c r="T81" i="1"/>
  <c r="H81" i="1" s="1"/>
  <c r="S72" i="1"/>
  <c r="N72" i="1" s="1"/>
  <c r="S69" i="1"/>
  <c r="AC73" i="1"/>
  <c r="J73" i="1" s="1"/>
  <c r="AB70" i="1"/>
  <c r="F70" i="1" s="1"/>
  <c r="AB76" i="1"/>
  <c r="F76" i="1" s="1"/>
  <c r="U70" i="1"/>
  <c r="N70" i="1" s="1"/>
  <c r="Z72" i="1"/>
  <c r="F72" i="1" s="1"/>
  <c r="AB74" i="1"/>
  <c r="F74" i="1" s="1"/>
  <c r="AC69" i="1"/>
  <c r="J69" i="1" s="1"/>
  <c r="S77" i="1"/>
  <c r="N77" i="1" s="1"/>
  <c r="AE77" i="1"/>
  <c r="J77" i="1" s="1"/>
  <c r="AE71" i="1"/>
  <c r="J71" i="1" s="1"/>
  <c r="AE75" i="1"/>
  <c r="J75" i="1" s="1"/>
  <c r="AE76" i="1"/>
  <c r="J76" i="1" s="1"/>
  <c r="AB75" i="1"/>
  <c r="F75" i="1" s="1"/>
  <c r="S75" i="1"/>
  <c r="N75" i="1" s="1"/>
  <c r="AC70" i="1"/>
  <c r="J70" i="1" s="1"/>
  <c r="AE72" i="1"/>
  <c r="J72" i="1" s="1"/>
  <c r="AB71" i="1"/>
  <c r="F71" i="1" s="1"/>
  <c r="S76" i="1"/>
  <c r="N76" i="1" s="1"/>
  <c r="U73" i="1"/>
  <c r="S73" i="1"/>
  <c r="J74" i="1"/>
  <c r="N69" i="1" l="1"/>
  <c r="S71" i="1"/>
  <c r="N71" i="1" s="1"/>
  <c r="S74" i="1"/>
  <c r="N74" i="1" s="1"/>
  <c r="AB69" i="1"/>
  <c r="F69" i="1" s="1"/>
  <c r="Z73" i="1"/>
  <c r="F73" i="1" s="1"/>
  <c r="Z77" i="1"/>
  <c r="F77" i="1" s="1"/>
  <c r="N7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<sst xmlns="http://schemas.openxmlformats.org/spreadsheetml/2006/main" count="1309" uniqueCount="505">
  <si>
    <t>Erdélyi Református Egyházkerület</t>
  </si>
  <si>
    <t>Egyházmegyei iktatószám: _________</t>
  </si>
  <si>
    <t>Esperes</t>
  </si>
  <si>
    <t>LELKÉSZI JELENTÉS</t>
  </si>
  <si>
    <t>Lelkipásztor</t>
  </si>
  <si>
    <t>I. Adatok a lélekszámról</t>
  </si>
  <si>
    <t>a
a
a</t>
  </si>
  <si>
    <t>1.</t>
  </si>
  <si>
    <t>Az előző évi lélekszám:</t>
  </si>
  <si>
    <t>férfi:</t>
  </si>
  <si>
    <t xml:space="preserve">nő: </t>
  </si>
  <si>
    <t>együtt:</t>
  </si>
  <si>
    <t>2.</t>
  </si>
  <si>
    <t>Keresztelésben részesült:</t>
  </si>
  <si>
    <t>3.</t>
  </si>
  <si>
    <t>Eltemettetett:</t>
  </si>
  <si>
    <t>4.</t>
  </si>
  <si>
    <t>Természetes szaporulat:</t>
  </si>
  <si>
    <t>5.</t>
  </si>
  <si>
    <t>Természetes apadás:</t>
  </si>
  <si>
    <t>6.</t>
  </si>
  <si>
    <t>Egyházunkba tért:</t>
  </si>
  <si>
    <t>Milyen felekezetből:</t>
  </si>
  <si>
    <t>7.</t>
  </si>
  <si>
    <t>Egyházunkból kitért:</t>
  </si>
  <si>
    <t xml:space="preserve">Milyen felekezetbe: </t>
  </si>
  <si>
    <t>8.</t>
  </si>
  <si>
    <t>Beköltözött az egyházközségbe:</t>
  </si>
  <si>
    <t>9.</t>
  </si>
  <si>
    <t>Kiköltözött más egyházközségbe:</t>
  </si>
  <si>
    <t>10.</t>
  </si>
  <si>
    <t>Kiköltözött külföldre:</t>
  </si>
  <si>
    <t>11.</t>
  </si>
  <si>
    <t>Általános szaporulat:</t>
  </si>
  <si>
    <t>12.</t>
  </si>
  <si>
    <t>Általános apadás:</t>
  </si>
  <si>
    <t>13.</t>
  </si>
  <si>
    <t xml:space="preserve">A gyülekezet lélekszáma dec. 31-én: </t>
  </si>
  <si>
    <t>14.</t>
  </si>
  <si>
    <t>A gyülekezet választói névjegyzékében szereplő tagjainak száma:</t>
  </si>
  <si>
    <t>15.</t>
  </si>
  <si>
    <t>Az egyházfenntartás személyenkénti éves meghatározott összege:</t>
  </si>
  <si>
    <t>16.</t>
  </si>
  <si>
    <t>a
a</t>
  </si>
  <si>
    <t>17.</t>
  </si>
  <si>
    <t>18.</t>
  </si>
  <si>
    <t>19.</t>
  </si>
  <si>
    <t>20.</t>
  </si>
  <si>
    <t>21.</t>
  </si>
  <si>
    <t>Családok száma az előző évben</t>
  </si>
  <si>
    <t>22.</t>
  </si>
  <si>
    <t>Családok száma dec. 31-én</t>
  </si>
  <si>
    <t>Egyező vallású</t>
  </si>
  <si>
    <t>Vegyes vallású</t>
  </si>
  <si>
    <t>Özvegy</t>
  </si>
  <si>
    <t>Egyedülálló, (30 évet betöltött és nőtlen)</t>
  </si>
  <si>
    <t>23.</t>
  </si>
  <si>
    <t>Házassági esküt tett:</t>
  </si>
  <si>
    <t>II. Istentisztelet</t>
  </si>
  <si>
    <t>a. közönséges vasárnapon</t>
  </si>
  <si>
    <t>de.:</t>
  </si>
  <si>
    <t>du.:</t>
  </si>
  <si>
    <t>istentisztelet</t>
  </si>
  <si>
    <t>b. ünnepnapokon</t>
  </si>
  <si>
    <t>c. rendszeres hétköznapi</t>
  </si>
  <si>
    <t>d. bűnbánati héten</t>
  </si>
  <si>
    <t>e. bibliaórák</t>
  </si>
  <si>
    <t>alkalom</t>
  </si>
  <si>
    <t>f. kazuáliák és felkészítők</t>
  </si>
  <si>
    <t>g. más alkalmak</t>
  </si>
  <si>
    <t>h. digitális alkalmak</t>
  </si>
  <si>
    <t>A vasárnapi istentiszteleteken részt vett átlag egy alkalommal:</t>
  </si>
  <si>
    <t>Az ünnepi istentiszteleteken (Újév, Böjtfő, Virágvasárnap, Nagypéntek, Mennybemenetel, Újkenyér, Reformáció, Advent, Óév) részt vett átlag egy alkalommal:</t>
  </si>
  <si>
    <t>Külön a sátoros ünnepeken:</t>
  </si>
  <si>
    <t>Karácsony</t>
  </si>
  <si>
    <t>I. de.:</t>
  </si>
  <si>
    <t>II. de.:</t>
  </si>
  <si>
    <t>III. de.:</t>
  </si>
  <si>
    <t>Húsvét</t>
  </si>
  <si>
    <t>Pünkösd</t>
  </si>
  <si>
    <t>A rendszeresen tartott hétköznapi istentiszteleteken részt vett átlag egy alkalommal:</t>
  </si>
  <si>
    <t>A bűnbánati istentiszteleteken részt vett átlag egy alkalommal:</t>
  </si>
  <si>
    <t>Hány alkalommal volt úrvacsoraosztás az év folyamán?</t>
  </si>
  <si>
    <t>Úrvacsorával élt átlag egy alkalommal:</t>
  </si>
  <si>
    <t>nő:</t>
  </si>
  <si>
    <t>III. Gyülekezetgondozás</t>
  </si>
  <si>
    <t>felnőtt bibliaóra:</t>
  </si>
  <si>
    <t>ifjúsági bibliaóra:</t>
  </si>
  <si>
    <t>presbiteri bibliaóra:</t>
  </si>
  <si>
    <t>nőszövetségi bibliaóra:</t>
  </si>
  <si>
    <t>házasok bibliaórája:</t>
  </si>
  <si>
    <t>Hány vallásos ünnepély volt az év folyamán?</t>
  </si>
  <si>
    <t>Hány szeretetvendégség volt?</t>
  </si>
  <si>
    <t>Az egyetemes imahetet megtartották: vendégszolgálatokkal</t>
  </si>
  <si>
    <t>Ha vendégszolgálatok nélkül tartották, mi az oka?</t>
  </si>
  <si>
    <t>Ezen részt vett átlag egy alkalommal összesen:</t>
  </si>
  <si>
    <t>beteget</t>
  </si>
  <si>
    <t>Pótpresbiterek száma:</t>
  </si>
  <si>
    <t>Hány presbiteri felkészítőt tartottak az év folyamán?</t>
  </si>
  <si>
    <t>Hány körzetre van osztva a gyülekezet?</t>
  </si>
  <si>
    <t>Hány közgyűlést tartottak az év folyamán?</t>
  </si>
  <si>
    <t>IV. Belmissziós tevékenységek</t>
  </si>
  <si>
    <t>Gyerek tevékenységek:</t>
  </si>
  <si>
    <t>a.</t>
  </si>
  <si>
    <t>A gyülekezet (gyülekezeti vallásórákon kívüli) rendszeres gyerekfoglalkozásai:</t>
  </si>
  <si>
    <t>b.</t>
  </si>
  <si>
    <t>Vakációs bibliahetet megtartották: [KOEN program/más program alapján/nem volt vakációs bibliahét]</t>
  </si>
  <si>
    <t xml:space="preserve">Ha más, milyen program alapján tartották: </t>
  </si>
  <si>
    <t>c.</t>
  </si>
  <si>
    <t>A gyülekezet szervezett gyerektábort:</t>
  </si>
  <si>
    <t>d.</t>
  </si>
  <si>
    <t>A gyerekek részt vettek más gyülekezeti vagy egyházmegyei táborban:</t>
  </si>
  <si>
    <t>e.</t>
  </si>
  <si>
    <t>Más belmissziós gyerektevékenység, rendezvény:</t>
  </si>
  <si>
    <t>Ifjúsági tevékenység</t>
  </si>
  <si>
    <t>A gyülekezet ifjúsági bibliaórákon kívüli rendszeres foglalkozásai:</t>
  </si>
  <si>
    <t>Az ifjúsági tevékenységben használják: [FIT7 programot / más programot].</t>
  </si>
  <si>
    <t>A gyülekezet szervezett regionális vagy egyházmegyei ifjúsági találkozót:</t>
  </si>
  <si>
    <t>A gyülekezet szervezett ifitábort:</t>
  </si>
  <si>
    <t>Az ifjak részt vettek más gyülekezeti vagy egyházmegyei táborban:</t>
  </si>
  <si>
    <t>f.</t>
  </si>
  <si>
    <t>Az ifjak részt vettek munkatársképzőn:</t>
  </si>
  <si>
    <t>g.</t>
  </si>
  <si>
    <t>Nőszövetségi tevékenység</t>
  </si>
  <si>
    <t>A gyülekezet nőszövetségi bibliaórákon kívüli rendszeres foglalkozásai:</t>
  </si>
  <si>
    <t xml:space="preserve">A gyülekezetben megszervezték az Ökumenikus Világimanapot </t>
  </si>
  <si>
    <t>vagy részt vettek más gyülekezet által szervezett Ökumenikus Világimanapon</t>
  </si>
  <si>
    <t>A gyülekezetben megszervezték a Kárpát-medencei imanapot</t>
  </si>
  <si>
    <t>vagy részt vettek más gyülekezet által szervezett Kárpát-medencei imanapon</t>
  </si>
  <si>
    <t xml:space="preserve">Más nőszövetségi tevékenység, rendezvény: </t>
  </si>
  <si>
    <t>Presbiterszövetségi tevékenység</t>
  </si>
  <si>
    <t>A gyülekezet presbiterszövetségi tevékenységei, eseményei</t>
  </si>
  <si>
    <t>A gyülekezet szervezett presbiterképző alkalmakat</t>
  </si>
  <si>
    <t>vagy részt vettek más gyülekezet vagy egyházmegyei képzéseken</t>
  </si>
  <si>
    <t>Más presbiterszövetségi tevékenység, rendezvény</t>
  </si>
  <si>
    <t>Egyházközségi kórus vagy énekkar tevékenysége</t>
  </si>
  <si>
    <t>Ha az egyházközségben van énekkar vagy kórus, tevékenységét kérjük tömören összefoglalni.</t>
  </si>
  <si>
    <t>Más belmissziós tevékenységek</t>
  </si>
  <si>
    <t>Kérjük tömören megfogalmazni.</t>
  </si>
  <si>
    <t>V. Vallásos oktatás (csak gyülekezeti)</t>
  </si>
  <si>
    <t>Hány csoportban folyt a vallásóra?</t>
  </si>
  <si>
    <t>Hány vallásóra volt az év folyamán?</t>
  </si>
  <si>
    <t>5</t>
  </si>
  <si>
    <t>6</t>
  </si>
  <si>
    <t>A konfirmációi felkészítés I. évén résztvevők száma:</t>
  </si>
  <si>
    <t>A gyülekezetben [van/nincs] kiskonfirmáció.</t>
  </si>
  <si>
    <t>A kiskonfirmáción, kikérdezésen részt vett:</t>
  </si>
  <si>
    <t>7</t>
  </si>
  <si>
    <t>A konfirmációi felkészítés II. évén résztvevők száma:</t>
  </si>
  <si>
    <t>8</t>
  </si>
  <si>
    <t>Áttérő, illetve felnőtt konfirmáltak száma:</t>
  </si>
  <si>
    <t>VI. Szeretetszolgálat</t>
  </si>
  <si>
    <t>Az egyházközség keretén belül működik-e állandó diakóniai intézmény? (pl. gyerekotthon, idősotthon, beteggondozás stb.)</t>
  </si>
  <si>
    <t>Ha igen, kérjük megnevezni, felsorolni:</t>
  </si>
  <si>
    <t>Az állandó diakóniai szolgálatra költött összeg:</t>
  </si>
  <si>
    <t>Az egyházközségben van-e rendszeres diakóniai szolgálat? (pl. beteglátogatás, betegek, idősek rendszeres segélyezése)</t>
  </si>
  <si>
    <t>A rendszeres diakóniai szolgálatra költött összeg:</t>
  </si>
  <si>
    <t>Az egyházközségben van-e alkalmi diakóniai szolgálat?</t>
  </si>
  <si>
    <t>Az alkalmi diakóniai szolgálatra költött összeg:</t>
  </si>
  <si>
    <t>Más diakóniai szolgálat:</t>
  </si>
  <si>
    <t>Működik-e a gyülekezet területén nem egyházközségi, szeretetszolgálatot végző intézmény?</t>
  </si>
  <si>
    <t>VII. Anyagi helyzet</t>
  </si>
  <si>
    <t>Egyházfenntartói járulék éves összege:</t>
  </si>
  <si>
    <t>A perselypénz éves összege:</t>
  </si>
  <si>
    <t>A zárszámadás tételei:</t>
  </si>
  <si>
    <t>Előző évi egyenleg:</t>
  </si>
  <si>
    <t>Összbevétel:</t>
  </si>
  <si>
    <t>Összkiadás:</t>
  </si>
  <si>
    <t>Egyenleg (a+b-c):</t>
  </si>
  <si>
    <t>Kintlévőségek:</t>
  </si>
  <si>
    <t>Tartozások:</t>
  </si>
  <si>
    <t>Zárás (d+e-f):</t>
  </si>
  <si>
    <t>Az egyházközség eleget tudott-e tenni időben a kifizetési kötelességeinek? (pl. alkalmazottak fizetése, közüzemi és más számlák stb.)</t>
  </si>
  <si>
    <t>Ha az egyházközségnek tartozása van, kérjük részletezni:</t>
  </si>
  <si>
    <t>VIII. Ingatlanok</t>
  </si>
  <si>
    <t>Milyen épületei vannak az egyházközségnek?</t>
  </si>
  <si>
    <t>Milyen új építkezés és épületjavítás történt az év folyamán?</t>
  </si>
  <si>
    <t>A. Új ingatlanberuházás (új építkezés, ingatlanvásárlás) értéke:</t>
  </si>
  <si>
    <t>Milyen új ingatlanberuházás történt?</t>
  </si>
  <si>
    <t>B. Épületek általános javítására költött összeg:</t>
  </si>
  <si>
    <t>Milyen általános javítás történt?</t>
  </si>
  <si>
    <t>C. Épületek karbantartására fordított összeg:</t>
  </si>
  <si>
    <t>Jelentősebb munkálatok:</t>
  </si>
  <si>
    <t>Az év folyamán adományba kapott ingatlanok, alapeszközök értéke:</t>
  </si>
  <si>
    <t>Történt-e az év folyamán ingatlanok, jelentős tárgyak (pl. kegyszerek, műtárgyak, harangok) elidegenítése, épületek lebontása?</t>
  </si>
  <si>
    <t>Ha igen, kérjük felsorolni:</t>
  </si>
  <si>
    <t>IX. Az elmúlt év legjelentősebb gyülekezeti eseményei</t>
  </si>
  <si>
    <t>(amelyek nincsenek belefoglalva az előző fejezetek valamelyikébe, az előző év missziói tervének megvalósulásai)</t>
  </si>
  <si>
    <t>X. Missziói terv</t>
  </si>
  <si>
    <t>Missziói előadó</t>
  </si>
  <si>
    <t xml:space="preserve"> Egyházmegye</t>
  </si>
  <si>
    <t>Határozat száma</t>
  </si>
  <si>
    <t>Milyen felekezetbe:</t>
  </si>
  <si>
    <t>Német</t>
  </si>
  <si>
    <t>Roma</t>
  </si>
  <si>
    <t>más tagok száma</t>
  </si>
  <si>
    <t>du.</t>
  </si>
  <si>
    <t>A vasárnapi istentiszteleteken részt vett átlag egy alkalommal: de.</t>
  </si>
  <si>
    <t>nő</t>
  </si>
  <si>
    <t>Más bibliaórák 1 (kérjük megnevezni):</t>
  </si>
  <si>
    <t>Alkalmak száma:</t>
  </si>
  <si>
    <t>Más bibliaórák 2 (kérjük megnevezni):</t>
  </si>
  <si>
    <t>Fegyelmi esetek oka (vadházasság, iszákosság stb.)</t>
  </si>
  <si>
    <t>Az utolsó esperesi vizitáció dátuma:</t>
  </si>
  <si>
    <t>Az utolsó generális vizitáció dátuma:</t>
  </si>
  <si>
    <t>Nőszövetségi diakóniai munka:</t>
  </si>
  <si>
    <t>A gyülekezeti vallásórás korú gyermekek összlétszáma (ne legyenek benne az I. és II. éves konfirmandusok):</t>
  </si>
  <si>
    <t>Hány gyermekistentisztelet (liturgikus szolgálattal) volt az év folyamán?</t>
  </si>
  <si>
    <t>Hány vasárnapi iskola volt az év folyamán?</t>
  </si>
  <si>
    <t>lány</t>
  </si>
  <si>
    <t>a. Előző évi egyenleg:</t>
  </si>
  <si>
    <t>b. Összbevétel:</t>
  </si>
  <si>
    <t>c. Összkiadás:</t>
  </si>
  <si>
    <t>e. Kintlévőségek:</t>
  </si>
  <si>
    <t>f. Tartozások:</t>
  </si>
  <si>
    <t>Kérjük felsorolni:</t>
  </si>
  <si>
    <t>Lelkipásztor, presbitérium elgondolásai, javaslatai a gyülekezet lelki, erkölcsi, szellemi, anyagi életének jobbítására:</t>
  </si>
  <si>
    <t>Presbiteri gyűlés dátuma</t>
  </si>
  <si>
    <t>Közgyűlés dátuma</t>
  </si>
  <si>
    <t>Egyházközségi iktatószám</t>
  </si>
  <si>
    <t>Főgondnok/Gondnok</t>
  </si>
  <si>
    <t>Brassói</t>
  </si>
  <si>
    <t>Dési</t>
  </si>
  <si>
    <t>Erdővidéki</t>
  </si>
  <si>
    <t>Görgényi</t>
  </si>
  <si>
    <t>Hunyadi</t>
  </si>
  <si>
    <t>Kalotaszegi</t>
  </si>
  <si>
    <t>Kézdi-Orbai</t>
  </si>
  <si>
    <t>Kolozsvári</t>
  </si>
  <si>
    <t>Küküllői</t>
  </si>
  <si>
    <t>Marosi</t>
  </si>
  <si>
    <t>Nagyenyedi</t>
  </si>
  <si>
    <t>Sepsi</t>
  </si>
  <si>
    <t>Székelyudvarhelyi</t>
  </si>
  <si>
    <t>Tordai</t>
  </si>
  <si>
    <t>Töltsd ki az egyházmegye nevét!</t>
  </si>
  <si>
    <t>Főgondnok</t>
  </si>
  <si>
    <t>Gondnok</t>
  </si>
  <si>
    <t>b</t>
  </si>
  <si>
    <t>c</t>
  </si>
  <si>
    <t>d</t>
  </si>
  <si>
    <t>f</t>
  </si>
  <si>
    <t>g</t>
  </si>
  <si>
    <t>h</t>
  </si>
  <si>
    <t>j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</si>
  <si>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</si>
  <si>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</si>
  <si>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</si>
  <si>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</si>
  <si>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</si>
  <si>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</si>
  <si>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</si>
  <si>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</si>
  <si>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</si>
  <si>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</si>
  <si>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z</t>
  </si>
  <si>
    <t>_</t>
  </si>
  <si>
    <t xml:space="preserve"> </t>
  </si>
  <si>
    <t xml:space="preserve">. január </t>
  </si>
  <si>
    <t xml:space="preserve">. február </t>
  </si>
  <si>
    <t xml:space="preserve">. szeptember </t>
  </si>
  <si>
    <t xml:space="preserve">. augusztus </t>
  </si>
  <si>
    <t xml:space="preserve">. március </t>
  </si>
  <si>
    <t xml:space="preserve">. április </t>
  </si>
  <si>
    <t xml:space="preserve">. május </t>
  </si>
  <si>
    <t xml:space="preserve">. június </t>
  </si>
  <si>
    <t xml:space="preserve">. július </t>
  </si>
  <si>
    <t xml:space="preserve">. október </t>
  </si>
  <si>
    <t xml:space="preserve">. november </t>
  </si>
  <si>
    <t xml:space="preserve">. december </t>
  </si>
  <si>
    <t xml:space="preserve">a._közönséges_vasárnapon: de. </t>
  </si>
  <si>
    <t>b._ünnepnapokon: de.</t>
  </si>
  <si>
    <t>c._rendszeres_hétköznapi_i.t.: de.</t>
  </si>
  <si>
    <t>d._bűnbánati_héten: de.</t>
  </si>
  <si>
    <t>Lélekszám százalék számoláshoz</t>
  </si>
  <si>
    <t xml:space="preserve">más bibliaórák - </t>
  </si>
  <si>
    <t>vendégszolgálatokkal</t>
  </si>
  <si>
    <t>vendégszolgálatok nélkül</t>
  </si>
  <si>
    <t xml:space="preserve"> nem volt egyetemes imahét</t>
  </si>
  <si>
    <t>Választott presbiterek száma:</t>
  </si>
  <si>
    <t>KOEN program alapján</t>
  </si>
  <si>
    <t>más program alapján</t>
  </si>
  <si>
    <t>nem volt vakációs bibliahét</t>
  </si>
  <si>
    <t>FIT7 program</t>
  </si>
  <si>
    <t>más program</t>
  </si>
  <si>
    <t xml:space="preserve">A gyülekezet szervezett regionális vagy egyházmegyei nőszövetségi találkozót: </t>
  </si>
  <si>
    <t xml:space="preserve">A gyülekezet szervezett regionális vagy egyházmegyei presbiterszövetségi találkozót: </t>
  </si>
  <si>
    <t>Más belmissziós tevékenységek - kérjük tömören megfogalmazni.</t>
  </si>
  <si>
    <t>Ha van, kérjük megnevezni, felsorolni:</t>
  </si>
  <si>
    <r>
      <t xml:space="preserve">VII. Anyagi helyzet
</t>
    </r>
    <r>
      <rPr>
        <b/>
        <sz val="8"/>
        <color theme="1"/>
        <rFont val="Times New Roman"/>
        <family val="1"/>
        <charset val="238"/>
      </rPr>
      <t>(az összegek lejben értendőek)</t>
    </r>
  </si>
  <si>
    <t xml:space="preserve"> lej.</t>
  </si>
  <si>
    <r>
      <t xml:space="preserve">IX. Az elmúlt év legjelentősebb gyülekezeti eseményei
</t>
    </r>
    <r>
      <rPr>
        <sz val="10"/>
        <color theme="1"/>
        <rFont val="Times New Roman"/>
        <family val="1"/>
        <charset val="238"/>
      </rPr>
      <t>(amelyek nincsenek belefoglalva az előző fejezetek valamelyikébe, az előző év missziói tervének megvalósulásai)</t>
    </r>
  </si>
  <si>
    <r>
      <t xml:space="preserve">X. Missziói terv
</t>
    </r>
    <r>
      <rPr>
        <sz val="10"/>
        <color theme="1"/>
        <rFont val="Times New Roman"/>
        <family val="1"/>
        <charset val="238"/>
      </rPr>
      <t>(Lelkipásztor, presbitérium elgondolásai, javaslatai a gyülekezet lelki, erkölcsi, szellemi, anyagi életének jobbítására)</t>
    </r>
  </si>
  <si>
    <t>a
a
a
a</t>
  </si>
  <si>
    <t>1-én</t>
  </si>
  <si>
    <t>2-án</t>
  </si>
  <si>
    <t>3-án</t>
  </si>
  <si>
    <t>4-én</t>
  </si>
  <si>
    <t>5-én</t>
  </si>
  <si>
    <t>6-án</t>
  </si>
  <si>
    <t>7-én</t>
  </si>
  <si>
    <t>8-án</t>
  </si>
  <si>
    <t>9-én</t>
  </si>
  <si>
    <t>10-én</t>
  </si>
  <si>
    <t>11-én</t>
  </si>
  <si>
    <t>12-én</t>
  </si>
  <si>
    <t>13-án</t>
  </si>
  <si>
    <t>14-én</t>
  </si>
  <si>
    <t>15-én</t>
  </si>
  <si>
    <t>16-án</t>
  </si>
  <si>
    <t>17-én</t>
  </si>
  <si>
    <t>18-án</t>
  </si>
  <si>
    <t>19-én</t>
  </si>
  <si>
    <t>20-án</t>
  </si>
  <si>
    <t>21-én</t>
  </si>
  <si>
    <t>22-én</t>
  </si>
  <si>
    <t>23-án</t>
  </si>
  <si>
    <t>24-én</t>
  </si>
  <si>
    <t>25-én</t>
  </si>
  <si>
    <t>26-án</t>
  </si>
  <si>
    <t>27-én</t>
  </si>
  <si>
    <t>28-án</t>
  </si>
  <si>
    <t>29-én</t>
  </si>
  <si>
    <t>30-án</t>
  </si>
  <si>
    <t>31-én</t>
  </si>
  <si>
    <t xml:space="preserve"> melyből:</t>
  </si>
  <si>
    <t xml:space="preserve">  Oka: </t>
  </si>
  <si>
    <t xml:space="preserve">Ha más, milyen programokat használnak: </t>
  </si>
  <si>
    <t>Ha más, milyen program alapján tartották:</t>
  </si>
  <si>
    <t>Fegyelmi esetek száma:</t>
  </si>
  <si>
    <t>Nem egyező vallású</t>
  </si>
  <si>
    <t>Azonos nemzetiségű</t>
  </si>
  <si>
    <t>Nem azonos nemzetiségű</t>
  </si>
  <si>
    <r>
      <t>Családok</t>
    </r>
    <r>
      <rPr>
        <sz val="11"/>
        <color theme="9" tint="0.79998168889431442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száma</t>
    </r>
    <r>
      <rPr>
        <sz val="11"/>
        <color theme="9" tint="0.79998168889431442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dec. 31-én: Egyező</t>
    </r>
    <r>
      <rPr>
        <sz val="11"/>
        <color theme="9" tint="0.79998168889431442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vallású</t>
    </r>
  </si>
  <si>
    <r>
      <t>Házassági</t>
    </r>
    <r>
      <rPr>
        <sz val="11"/>
        <color theme="9" tint="0.79998168889431442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esküt</t>
    </r>
    <r>
      <rPr>
        <sz val="11"/>
        <color theme="9" tint="0.79998168889431442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tett:    Egyező</t>
    </r>
    <r>
      <rPr>
        <sz val="11"/>
        <color theme="9" tint="0.79998168889431442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vallású</t>
    </r>
  </si>
  <si>
    <t>Karácsony_I. de.</t>
  </si>
  <si>
    <t>Karácsony_II. de.</t>
  </si>
  <si>
    <t>Karácsony_III. de.</t>
  </si>
  <si>
    <t>Húsvét_I. de.</t>
  </si>
  <si>
    <t>Húsvét_II. de.</t>
  </si>
  <si>
    <t>Húsvét_III. de.</t>
  </si>
  <si>
    <t>Pünkösd_I. de.</t>
  </si>
  <si>
    <t>Pünkösd_II. de.</t>
  </si>
  <si>
    <t>Pünkösd_III. de.</t>
  </si>
  <si>
    <t>Eltemettetett: férfi</t>
  </si>
  <si>
    <r>
      <t>Az</t>
    </r>
    <r>
      <rPr>
        <sz val="11"/>
        <color theme="0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előző</t>
    </r>
    <r>
      <rPr>
        <sz val="11"/>
        <color theme="0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évi</t>
    </r>
    <r>
      <rPr>
        <sz val="11"/>
        <color theme="0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 xml:space="preserve">lélekszám: férfi </t>
    </r>
  </si>
  <si>
    <r>
      <t>Keresztelésben</t>
    </r>
    <r>
      <rPr>
        <sz val="11"/>
        <color theme="0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részesült: férfi</t>
    </r>
  </si>
  <si>
    <r>
      <t>Egyházunkba</t>
    </r>
    <r>
      <rPr>
        <sz val="11"/>
        <color theme="0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tért: férfi</t>
    </r>
  </si>
  <si>
    <r>
      <t>Egyházunkból</t>
    </r>
    <r>
      <rPr>
        <sz val="11"/>
        <color theme="0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kitért: férfi</t>
    </r>
  </si>
  <si>
    <r>
      <t>Beköltözött</t>
    </r>
    <r>
      <rPr>
        <sz val="11"/>
        <color theme="0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az</t>
    </r>
    <r>
      <rPr>
        <sz val="11"/>
        <color theme="0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egyházközségbe: férfi</t>
    </r>
  </si>
  <si>
    <r>
      <t>Kiköltözött</t>
    </r>
    <r>
      <rPr>
        <sz val="11"/>
        <color theme="0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más</t>
    </r>
    <r>
      <rPr>
        <sz val="11"/>
        <color theme="0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egyházközségbe: férfi</t>
    </r>
  </si>
  <si>
    <r>
      <t>Kiköltözött</t>
    </r>
    <r>
      <rPr>
        <sz val="11"/>
        <color theme="0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külföldre: férfi</t>
    </r>
  </si>
  <si>
    <t>IGEN</t>
  </si>
  <si>
    <t>NEM</t>
  </si>
  <si>
    <t>VAN</t>
  </si>
  <si>
    <t>NINCS</t>
  </si>
  <si>
    <t>A baloldali zöld cellába kell beírni a listázni kívánt év számát.</t>
  </si>
  <si>
    <t>de</t>
  </si>
  <si>
    <t>du</t>
  </si>
  <si>
    <t>Összesen</t>
  </si>
  <si>
    <t>Betegúrvacsora</t>
  </si>
  <si>
    <t>Úrvacsora templomban</t>
  </si>
  <si>
    <t>Virrasztó</t>
  </si>
  <si>
    <t>Azonos esketés</t>
  </si>
  <si>
    <t>Vegyes esketés</t>
  </si>
  <si>
    <t>Jegyesbeszélgetés</t>
  </si>
  <si>
    <t>Húsvét I. it.</t>
  </si>
  <si>
    <t>Húsvét II. it.</t>
  </si>
  <si>
    <t>Húsvét III. it.</t>
  </si>
  <si>
    <t>Pünkösd I. it.</t>
  </si>
  <si>
    <t>Pünkösd II. it.</t>
  </si>
  <si>
    <t>Pünkösd III. it.</t>
  </si>
  <si>
    <t>Karácsony I. it.</t>
  </si>
  <si>
    <t>Karácsony II. it.</t>
  </si>
  <si>
    <t>Karácsony III. it.</t>
  </si>
  <si>
    <t>Egyéb szolgálat</t>
  </si>
  <si>
    <t>Ünnepi i.t.</t>
  </si>
  <si>
    <t>Keresztelői felkészítő</t>
  </si>
  <si>
    <t>Van-e testvérgyülekezete az egyházközségnek?</t>
  </si>
  <si>
    <t>Ebből konfirmált az év folyamán:              fiú</t>
  </si>
  <si>
    <r>
      <t xml:space="preserve">Gyülekezet lélekszámában jelentős (10 személynél több), más nemzetiségű egyháztagok száma: </t>
    </r>
    <r>
      <rPr>
        <b/>
        <sz val="11"/>
        <color theme="1"/>
        <rFont val="Aptos Narrow"/>
        <family val="2"/>
        <scheme val="minor"/>
      </rPr>
      <t>Román</t>
    </r>
  </si>
  <si>
    <r>
      <t xml:space="preserve">A lelkipásztor az év folyamán meglátogatott: </t>
    </r>
    <r>
      <rPr>
        <b/>
        <sz val="11"/>
        <color theme="1"/>
        <rFont val="Aptos Narrow"/>
        <family val="2"/>
        <scheme val="minor"/>
      </rPr>
      <t>családot</t>
    </r>
  </si>
  <si>
    <t>Ebből vallásórára jár átlag egy alkalommal:</t>
  </si>
  <si>
    <t>v 1.0a</t>
  </si>
  <si>
    <r>
      <t xml:space="preserve"> Egyházközség neve </t>
    </r>
    <r>
      <rPr>
        <sz val="8"/>
        <color theme="1"/>
        <rFont val="Aptos Narrow"/>
        <family val="2"/>
        <scheme val="minor"/>
      </rPr>
      <t>(Református Egyházközség nélkül)</t>
    </r>
  </si>
  <si>
    <t>a
a
a
a
a
a
a</t>
  </si>
  <si>
    <t>Külföldön élő egyháztagok száma, akik életvitelszerűen külföldön élnek, vagy évi több mint 6 hónapot külföldön tartózkodnak:</t>
  </si>
  <si>
    <t>Más településen élő egyháztagok száma:</t>
  </si>
  <si>
    <t>Más gyülekezetben is tagságot vállaló egyháztagok száma:</t>
  </si>
  <si>
    <r>
      <t xml:space="preserve">Az ünnepi istentiszteleteken (Újév, Böjtfő, Virágvasárnap, Nagypéntek, Mennybemenetel, Újkenyér, Reformáció, Advent, Óév) részt vett átlag egy alkalommal: </t>
    </r>
    <r>
      <rPr>
        <b/>
        <sz val="11"/>
        <color theme="1"/>
        <rFont val="Aptos Narrow"/>
        <family val="2"/>
        <scheme val="minor"/>
      </rPr>
      <t>de.</t>
    </r>
  </si>
  <si>
    <r>
      <t xml:space="preserve">A rendszeresen tartott hétköznapi istentisz- teleteken részt vett átlag egy alkalommal:     </t>
    </r>
    <r>
      <rPr>
        <b/>
        <sz val="11"/>
        <color theme="1"/>
        <rFont val="Aptos Narrow"/>
        <family val="2"/>
        <scheme val="minor"/>
      </rPr>
      <t>de.</t>
    </r>
  </si>
  <si>
    <r>
      <t xml:space="preserve">A bűnbánati istentiszteleteken részt vett átlag egy alkalommal:                                                                </t>
    </r>
    <r>
      <rPr>
        <b/>
        <sz val="11"/>
        <color theme="1"/>
        <rFont val="Aptos Narrow"/>
        <family val="2"/>
        <scheme val="minor"/>
      </rPr>
      <t>de.</t>
    </r>
  </si>
  <si>
    <t>Úrvacsorával élt átlag egy alkalommal:     férfi</t>
  </si>
  <si>
    <t xml:space="preserve">A presbiterek végeztek-e családlátogatást? </t>
  </si>
  <si>
    <t>Más belmissziós ifjúsági tevékenység, rendezvény:</t>
  </si>
  <si>
    <t>Az év folyamán új beruházásként alapeszközök beszerzésére (2500 lejnél drágább és nem ingatlan jellegű  beruházás: pl. kegyszerek, műtárgyak, harangok, járművek, számítástechnikai eszközök stb.) fordított összeg:</t>
  </si>
  <si>
    <t>Azon felnőtt egyháztagok száma, akik 5 vagy annál több éve nem fizetik az egyházfenntartói járulékot:</t>
  </si>
  <si>
    <t>Más (kérjük megnevezni)</t>
  </si>
  <si>
    <t>Új fejezetek a korábbi jelentéshez képest: IV. Belmissziós tevékenységek; VI. Szeretetszolgálat; VIII. Ingatlanok</t>
  </si>
  <si>
    <t xml:space="preserve">Fejezeteken belül új sorok is kerültek be a jelentésbe. </t>
  </si>
  <si>
    <t>a
a
a
a
a</t>
  </si>
  <si>
    <t>A papíron leadandó lelkészi jelentést a "Jelentés" munkalapon lehet kinyomtatni. Ezen a lapon nem lehet megváltoztatni az adatokat.</t>
  </si>
  <si>
    <t>A "Jelentés" munkalap fejlécén ki lehet választani a nyomtatáshoz az évszámot, vagy az összesítő lehetőséget.</t>
  </si>
  <si>
    <t>Az "Adatlap" színeiről:</t>
  </si>
  <si>
    <t>Fejezeteket elválasztó sor, nem módosítható</t>
  </si>
  <si>
    <t>Képletet, vagy magyarázatot tartalmazó cella, nem módosítható</t>
  </si>
  <si>
    <t>Kitölthető cella</t>
  </si>
  <si>
    <t>Világosszürke cella, korlátozott adatbeviteli lehetőség, csak a lenyílóban található lehetőségekből lehet választani.</t>
  </si>
  <si>
    <t xml:space="preserve"> Egyházközség neve (Református Egyházközség nélkül)</t>
  </si>
  <si>
    <t xml:space="preserve">Az_előző_évi_lélekszám: férfi </t>
  </si>
  <si>
    <t>Keresztelésben_részesült: férfi</t>
  </si>
  <si>
    <t>Egyházunkba_tért: férfi</t>
  </si>
  <si>
    <t>Egyházunkból_kitért: férfi</t>
  </si>
  <si>
    <t>Beköltözött_az_egyházközségbe: férfi</t>
  </si>
  <si>
    <t>Kiköltözött_más_egyházközségbe: férfi</t>
  </si>
  <si>
    <t>Kiköltözött_külföldre: férfi</t>
  </si>
  <si>
    <t>Gyülekezet lélekszámában jelentős (10 személynél több), más nemzetiségű egyháztagok száma: Román</t>
  </si>
  <si>
    <t>Családok_száma_dec. 31-én: Egyező_vallású</t>
  </si>
  <si>
    <t>Házassági_esküt_tett:    Egyező_vallású</t>
  </si>
  <si>
    <t>Az ünnepi istentiszteleteken (Újév, Böjtfő, Virágvasárnap, Nagypéntek, Mennybemenetel, Újkenyér, Reformáció, Advent, Óév) részt vett átlag egy alkalommal: de.</t>
  </si>
  <si>
    <t>A rendszeresen tartott hétköznapi istentisz- teleteken részt vett átlag egy alkalommal:     de.</t>
  </si>
  <si>
    <t>A bűnbánati istentiszteleteken részt vett átlag egy alkalommal:                                                                de.</t>
  </si>
  <si>
    <t>A lelkipásztor az év folyamán meglátogatott: családot</t>
  </si>
  <si>
    <t/>
  </si>
  <si>
    <t>Az egyházmegye nevét a lenyílóból lehet kiválasztani</t>
  </si>
  <si>
    <t>Az egyházközség nevét egyszer kell beírni, "Református Egyházközség nélkül"</t>
  </si>
  <si>
    <t>Ki lehet választani a gondnok / főgondnok lehetőséget</t>
  </si>
  <si>
    <t>Dátum írható</t>
  </si>
  <si>
    <t>Egész szám írható be. A kezdés évében kell beírni, a későbbi éveknél képlet számolja ki a kezdő lélekszámot</t>
  </si>
  <si>
    <t>Egész szám írható be.</t>
  </si>
  <si>
    <t>Egész szám írható be. A kezdés évében kell beírni, a későbbi éveknél képlet számolja ki az előző évi családszámot.</t>
  </si>
  <si>
    <t>Egész szám írható be, az érvényben levő választók névjegyzéke szerint.</t>
  </si>
  <si>
    <t>Egész szám írható be, a lelkészi jelentés évére vonatkozó összeg, nem a következő évi, amit a közgyűlés megszavaz a lelkészi jelentéssel együtt.</t>
  </si>
  <si>
    <t>Ebben sorban választási lehetőség van: vendégszolgálatokkal / vendégszolgálatok nélkül / nem volt egyetemes imahét</t>
  </si>
  <si>
    <t>Választott presbiterek száma: lelkipásztor(ok) nélkül, beleszámolva a gondnokot, főgondnokot.</t>
  </si>
  <si>
    <t>A pótpresbiterek számához a betöltött tisztségek száma kerül, nem a pótpresbiteri keret száma.</t>
  </si>
  <si>
    <t>[IGEN/NEM] lehetőségek közül választhatsz</t>
  </si>
  <si>
    <t>[VAN/NINCS] lehetőségek közül választhatsz</t>
  </si>
  <si>
    <t>FIT7 program - Fiatal Tanítványok hete - Erdélyi Református Egyházkerület Ifjúsági Szövetsége által összeállított program</t>
  </si>
  <si>
    <t>Ha a felsoroltakon kívül a gyülekezetben van más belmissziós tevékenység, azt lehet itt részletezni.</t>
  </si>
  <si>
    <t>Ezt a fejezetet a számadás alapján kell kitölteni, és azonos számokat kell tartalmaznia a számadással</t>
  </si>
  <si>
    <t>a számadás 1. sora</t>
  </si>
  <si>
    <t>a számadás 52. sora</t>
  </si>
  <si>
    <t>a számadás 112. sora</t>
  </si>
  <si>
    <t>a számadás 116. sora</t>
  </si>
  <si>
    <t>a számadás 128. sora</t>
  </si>
  <si>
    <t>A feljebb, VII.3.f. ponthoz beírt tartozásokat kell részletezni</t>
  </si>
  <si>
    <t>a számadás 97. sorából a csoportnapló alapján külön választani az ingatlanokra vonatkozó részt</t>
  </si>
  <si>
    <t>a számadás 98. sora</t>
  </si>
  <si>
    <t>a számadás 66. sora</t>
  </si>
  <si>
    <t>Dátumot lehet írni</t>
  </si>
  <si>
    <t>Szám</t>
  </si>
  <si>
    <t>Az adatokat a digitális munkanaplóból, a "Szolgálati_alkalmak" lapról veszi át.</t>
  </si>
  <si>
    <t>a számadás 5. sora</t>
  </si>
  <si>
    <t>a számadás 7. sora</t>
  </si>
  <si>
    <t xml:space="preserve">Jelen lelkészi jelentés űrlapot az Igazgatótanács a 2025. október 8-án tartott ülésén 65/2025. szám alatt fogadta el.
 Az új űrlap két változatban érhető el, egyszerű űrlapként, és egybeépítve a digitális munkanaplóval. 
Jelen lelkészi jelentés 2026-tól kötelező. 
A lelkészi jelentés 2026-tól kezdődőleg magába foglalja a lélekszámjelentést, az építési-javítási jelentést, és a diakóniai jelentést.  
A felsorolt jelentéseket nem kell külön elkészíteni, leadni. </t>
  </si>
  <si>
    <t>A kizárólag digitális alkalmak nyilvántartására. A közvetített alkalmakat nem kell ide beírni.</t>
  </si>
  <si>
    <t>Fejléc/évszám</t>
  </si>
  <si>
    <t>Súgó a lelkészi jelentés kitöltéséhez.</t>
  </si>
  <si>
    <t>Az adatokat a digitális munkanaplóból, a "Szolgálati_alkalmak" lapról veszi át. ("F. keresztelő" szolgálatok száma)</t>
  </si>
  <si>
    <t>Az adatokat a digitális munkanaplóból, a "Szolgálati_alkalmak" lapról veszi át. ("N. keresztelő" szolgálatok száma)</t>
  </si>
  <si>
    <t>Az adatokat a digitális munkanaplóból, a "Szolgálati_alkalmak" lapról veszi át. ("F. temetés" szolgálatok száma)</t>
  </si>
  <si>
    <t>Az adatokat a digitális munkanaplóból, a "Szolgálati_alkalmak" lapról veszi át. ("N. temetés" szolgálatok száma)</t>
  </si>
  <si>
    <t xml:space="preserve">Az "Adalap" munkalap 10 kitölthető oszlopot tartalmaz, 10 év jelentését lehet bevezetni. </t>
  </si>
  <si>
    <t>Lelkipásztor neve, egyszer kell beírni, átveszi a következő év, de rá lehet javítani lelkipásztor csere esetében.</t>
  </si>
  <si>
    <t>Ha felsoroltakon kívül van más bibliaóra is, ide lehet beírni a bibliaóra megnevezését</t>
  </si>
  <si>
    <t>KOEN program - a Keresztyén Oktatásért Erkölcsi Nevelésért Alapítvány által összeállított Vakációs Bibliahét programja</t>
  </si>
  <si>
    <t>Az alkalmak számát kell beírni.</t>
  </si>
  <si>
    <t>A felkészítésen részt vevők számát, nem az átlagot kell beírni (pl ha 10 I. éves konfirmandus van, de nincs mindenki ott minden alkalommal, átlagot számolva lehet csak 8,5 lenne).</t>
  </si>
  <si>
    <t>A felkészítésen részt vevők számát, nem az átlagot kell beírni.</t>
  </si>
  <si>
    <t>Szöveg írható be, max. 200 karakter</t>
  </si>
  <si>
    <t>Szöveg, max. 200 karakter</t>
  </si>
  <si>
    <t>Szöveg írható be, max. 400 karakter. A lenti cella tartalmával egyesíti a "Jelentés" munkalap</t>
  </si>
  <si>
    <t>Szöveg írható be, max. 400 karakter. A fenti cella tartalmával egyesíti a "Jelentés" munkalap</t>
  </si>
  <si>
    <t>Alapeszköznek számít minden olyan leltári tárgy, amelynek értéke beszerzéskor meghaladja a Román Kormány által megállapított küszöböt és a használati ideje egy évnél több. Az alapeszközök értékét kormányrendeletek szabályozzák, és időközönként ezt az értéket emelik. 2026 január 1-én ez az érték (2013 július 1-től kezdődőleg)  2.500 lej. Ha a kormány megemeli ezt az értéket, a következő években az új érték  szerint kell besorolni az alapeszközöket.</t>
  </si>
  <si>
    <t>Az áthúzás, kivágás, másolás, beillesztés lehetőségeket ne használd.
Ha valamit rossz helyre írtál, töröld ki  és írd újra a megfelelő helyre.</t>
  </si>
  <si>
    <t>Ha szervezett , kérjük felsorolni:</t>
  </si>
  <si>
    <t>Ha szervezett , kérjük felsorolni.</t>
  </si>
  <si>
    <t>A vasárnap délelőtti istentiszteletek számát kell beírni, egész számmal.</t>
  </si>
  <si>
    <t>A vasárnap délutáni istentiszteletek számát kell beírni, egész számmal.</t>
  </si>
  <si>
    <t>A sátoros ünnepek és Újév, Böjtfő, Virágvasárnap, Nagypéntek, Mennybemenetel, Újkenyér, Reformáció, Advent, Óév délelőtti istentiszteletek száma.</t>
  </si>
  <si>
    <t>A sátoros ünnepek és Újév, Böjtfő, Virágvasárnap, Nagypéntek, Mennybemenetel, Újkenyér, Reformáció, Advent, Óév délutáni istentiszteletek száma.</t>
  </si>
  <si>
    <t>A rendszeresen tartott hétköznap délelőtti istentiszteletek istentiszteletek száma kerül ide. Az alkalmi hétköznapi istentiszteletek nem kerülhetnek ide.</t>
  </si>
  <si>
    <t>A rendszeresen tartott hétköznap délutáni istentiszteletek istentiszteletek száma kerül ide. Az alkalmi hétköznapi istentiszteletek nem kerülhetnek ide.</t>
  </si>
  <si>
    <t>Bűnbánati istentiszteletek száma, délelőtt</t>
  </si>
  <si>
    <t>Bűnbánati istentiszteletek száma, délután</t>
  </si>
  <si>
    <t>Az összes bibliaóra száma kerül ide, a különböző bibliaórák számát a gyülekezetgondozás fejezetben lehet részletezni.</t>
  </si>
  <si>
    <t>Keresztelések, házasságkötések és felkészítőik valamint a temetések és virrasztók száma kerül ide.</t>
  </si>
  <si>
    <t>Azon szolgálatok száma, amelyek nem illeszthetőek be fenti felsorolásba.</t>
  </si>
  <si>
    <t>Ha egy gyülekezetben egy vasárnap vagy ünnepnap délelőtt, vagy délután több istentisztelet van, akkor az átlagot nem az istentiszteletek számával számoljuk, hanem a vasárnapok, ünnepnapok számával.</t>
  </si>
  <si>
    <t>Pl ha egy évben van 45 közönséges vasárnap, és egy gyülekezetben van délelőtt 9 és 11 órától is istentisztelet, akkor összesen 90 vasárnap délelőtti istentisztelet tartanak. Az átlag számításánál az összrésztvevők számát nem 90-nel (a szolgálatok számával) kell osztani, hanem a vasárnapok számával, 45-el. Így kapjuk meg, hogy egy vasárnap délelőtt hányan voltak átlagosan istentiszteleten. Ha a vasárnapok számával osztunk, akkor feleződik ebben az esetben a templomlátogatók átlaga.</t>
  </si>
  <si>
    <t xml:space="preserve">Az úrvacsoraosztások száma azon ünnepek  számát jelenti, amikor volt úrvacsoraosztás, nem pedig úrvacsorás istentiszteletek számát. Pl. ha húsvét I. napján van úrvacsoraosztás de. 9, de. 11 és du. 3 órakor, és húsvét II. napján is van úrvacsoraosztás, akkor ez nem négy alkalmat jelent, hanem egyet, a húsvéti úrvacsorát. </t>
  </si>
  <si>
    <t>Az átlagot a fenti számmal számmal számoljuk ki.</t>
  </si>
  <si>
    <t>A bibliaórák számát kell beírni.</t>
  </si>
  <si>
    <t>Az ünnepélyek számát kell beírni.</t>
  </si>
  <si>
    <t>A szeretetvendégségek számát kell beírni.</t>
  </si>
  <si>
    <t>A meglátogatott családok számát kell beírni.</t>
  </si>
  <si>
    <t>Az össz résztvevők számát osztjuk az imaheti alkalmak számával.</t>
  </si>
  <si>
    <t>A beteglátogatások számát kell beírni.</t>
  </si>
  <si>
    <t>Ha a gyülekezetben több vallásórás csoport van, "a vallásórára járt egy alkalommal" átlag számításnál nem a vallásórák számával osztjuk az össz résztvevők számát, hanem a vallásórás hetek számával. Pl. ha két csoportban folyik a vallásos oktatás, hetente mindkét csoportnak van vallásóra, az első csoportba járnak 10-en, a másodikba 20-an, akkor egy héten 30 gyerek jár vallásórára. Ha a 30-at a vallásórák számával osztjuk, akkor átlag 15 jön ki, de ha a vallásórás hetek számával, akkor megkapjuk a 30-at, mivel ténylegesen 30 gyerek jár a vallásórára.</t>
  </si>
  <si>
    <t xml:space="preserve"> 2 x 400 karakter terjedelemben lehet megfogalmazni</t>
  </si>
  <si>
    <t>(amelyek nincsenek belefoglalva az előző fejezetek valamelyikébe, az előző év missziói tervének megvalósulásai)
 2 x 400 karakter terjedelemben lehet megfogalmazni</t>
  </si>
  <si>
    <t>Lelkipásztor, presbitérium elgondolásai, javaslatai a gyülekezet lelki, erkölcsi, szellemi, anyagi életének jobbítására: 
 2 x 400 karakter terjedelemben lehet megfogalmazni</t>
  </si>
  <si>
    <t>Adatokat bevinni a jelentésbe az csak az "Adatlap" munkalapokon lehet, az ide bevitt adatokat dolgozza fel és rendszerezi a "Jelentés" munkalap.</t>
  </si>
  <si>
    <t>Maros-Mezőségi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</si>
</sst>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/mm/dd;@"/>
    <numFmt numFmtId="165" formatCode="#,##0.00_ ;[Red]\-#,##0.00\ "/>
    <numFmt numFmtId="166" formatCode="#,##0_ ;[Red]\-#,##0\ "/>
    <numFmt numFmtId="167" formatCode="#,##0.0_ ;[Red]\-#,##0.0\ "/>
    <numFmt numFmtId="168" formatCode="0.0"/>
  </numFmts>
  <fonts count="25" x14ac:knownFonts="1">
    <font>
      <sz val="11"/>
      <color theme="1"/>
      <name val="Aptos Narrow"/>
      <family val="2"/>
      <charset val="238"/>
      <scheme val="minor"/>
    </font>
    <font>
      <sz val="12"/>
      <color theme="1"/>
      <name val="Times New Roman"/>
      <family val="1"/>
      <charset val="238"/>
    </font>
    <font>
      <b/>
      <sz val="14"/>
      <color theme="1"/>
      <name val="Times New Roman"/>
      <family val="1"/>
      <charset val="238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  <font>
      <sz val="9"/>
      <color theme="1"/>
      <name val="Times New Roman"/>
      <family val="1"/>
      <charset val="238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12"/>
      <color rgb="FFFF0000"/>
      <name val="Times New Roman"/>
      <family val="1"/>
      <charset val="238"/>
    </font>
    <font>
      <b/>
      <sz val="8"/>
      <color theme="1"/>
      <name val="Times New Roman"/>
      <family val="1"/>
      <charset val="238"/>
    </font>
    <font>
      <sz val="10"/>
      <color theme="1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sz val="11"/>
      <color theme="0" tint="-4.9989318521683403E-2"/>
      <name val="Aptos Narrow"/>
      <family val="2"/>
      <scheme val="minor"/>
    </font>
    <font>
      <sz val="11"/>
      <color theme="0" tint="-4.9989318521683403E-2"/>
      <name val="Aptos Narrow"/>
      <family val="2"/>
      <charset val="238"/>
      <scheme val="minor"/>
    </font>
    <font>
      <b/>
      <sz val="12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9" tint="0.79998168889431442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Times New Roman"/>
      <family val="1"/>
      <charset val="238"/>
    </font>
    <font>
      <sz val="8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rgb="FFFF0000"/>
      <name val="Aptos Narrow"/>
      <family val="2"/>
      <charset val="238"/>
      <scheme val="minor"/>
    </font>
    <font>
      <sz val="8"/>
      <color rgb="FFFF0000"/>
      <name val="Aptos Narrow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gray125">
        <fgColor theme="9" tint="0.79998168889431442"/>
        <bgColor theme="0" tint="-4.9989318521683403E-2"/>
      </patternFill>
    </fill>
    <fill>
      <patternFill patternType="solid">
        <fgColor rgb="FFCC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>
      <left/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/>
      <top/>
      <bottom style="thin">
        <color rgb="FF00B050"/>
      </bottom>
      <diagonal/>
    </border>
    <border>
      <left/>
      <right/>
      <top/>
      <bottom style="thin">
        <color rgb="FF00B05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125">
    <xf numFmtId="0" fontId="0" fillId="0" borderId="0" xfId="0"/>
    <xf numFmtId="0" fontId="0" fillId="0" borderId="0" xfId="0" applyProtection="1">
      <protection hidden="1"/>
    </xf>
    <xf numFmtId="0" fontId="0" fillId="0" borderId="0" xfId="0" applyAlignment="1" applyProtection="1">
      <alignment wrapText="1"/>
      <protection hidden="1"/>
    </xf>
    <xf numFmtId="0" fontId="0" fillId="0" borderId="6" xfId="0" applyBorder="1" applyAlignment="1" applyProtection="1">
      <alignment vertical="top" wrapText="1"/>
      <protection locked="0"/>
    </xf>
    <xf numFmtId="0" fontId="0" fillId="0" borderId="5" xfId="0" applyBorder="1" applyProtection="1">
      <protection locked="0"/>
    </xf>
    <xf numFmtId="164" fontId="0" fillId="0" borderId="5" xfId="0" applyNumberFormat="1" applyBorder="1" applyAlignment="1" applyProtection="1">
      <alignment horizontal="right" indent="4"/>
      <protection locked="0"/>
    </xf>
    <xf numFmtId="49" fontId="0" fillId="0" borderId="5" xfId="0" applyNumberFormat="1" applyBorder="1" applyAlignment="1" applyProtection="1">
      <alignment horizontal="left" indent="4"/>
      <protection locked="0"/>
    </xf>
    <xf numFmtId="166" fontId="0" fillId="0" borderId="7" xfId="0" applyNumberFormat="1" applyBorder="1" applyAlignment="1" applyProtection="1">
      <alignment horizontal="right" vertical="top" indent="4"/>
      <protection locked="0"/>
    </xf>
    <xf numFmtId="166" fontId="0" fillId="0" borderId="5" xfId="0" applyNumberFormat="1" applyBorder="1" applyAlignment="1" applyProtection="1">
      <alignment horizontal="right" vertical="top" indent="4"/>
      <protection locked="0"/>
    </xf>
    <xf numFmtId="0" fontId="0" fillId="0" borderId="7" xfId="0" applyBorder="1" applyAlignment="1" applyProtection="1">
      <alignment vertical="top" wrapText="1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2" borderId="7" xfId="0" applyFill="1" applyBorder="1" applyAlignment="1" applyProtection="1">
      <alignment vertical="center"/>
      <protection locked="0"/>
    </xf>
    <xf numFmtId="0" fontId="0" fillId="2" borderId="5" xfId="0" applyFill="1" applyBorder="1" applyAlignment="1" applyProtection="1">
      <alignment vertical="center"/>
      <protection locked="0"/>
    </xf>
    <xf numFmtId="14" fontId="0" fillId="0" borderId="7" xfId="0" applyNumberFormat="1" applyBorder="1" applyAlignment="1" applyProtection="1">
      <alignment horizontal="right" vertical="center" indent="4"/>
      <protection locked="0"/>
    </xf>
    <xf numFmtId="14" fontId="0" fillId="0" borderId="5" xfId="0" applyNumberFormat="1" applyBorder="1" applyAlignment="1" applyProtection="1">
      <alignment horizontal="right" vertical="center" indent="4"/>
      <protection locked="0"/>
    </xf>
    <xf numFmtId="165" fontId="0" fillId="0" borderId="7" xfId="0" applyNumberFormat="1" applyBorder="1" applyAlignment="1" applyProtection="1">
      <alignment horizontal="right" vertical="top" indent="4"/>
      <protection locked="0"/>
    </xf>
    <xf numFmtId="165" fontId="0" fillId="0" borderId="5" xfId="0" applyNumberFormat="1" applyBorder="1" applyAlignment="1" applyProtection="1">
      <alignment horizontal="right" vertical="top" indent="4"/>
      <protection locked="0"/>
    </xf>
    <xf numFmtId="0" fontId="0" fillId="0" borderId="8" xfId="0" applyBorder="1" applyAlignment="1" applyProtection="1">
      <alignment vertical="top" wrapText="1"/>
      <protection locked="0"/>
    </xf>
    <xf numFmtId="0" fontId="0" fillId="0" borderId="9" xfId="0" applyBorder="1" applyAlignment="1" applyProtection="1">
      <alignment vertical="top" wrapText="1"/>
      <protection locked="0"/>
    </xf>
    <xf numFmtId="166" fontId="0" fillId="0" borderId="10" xfId="0" applyNumberFormat="1" applyBorder="1" applyAlignment="1" applyProtection="1">
      <alignment horizontal="right" vertical="top" indent="4"/>
      <protection locked="0"/>
    </xf>
    <xf numFmtId="166" fontId="0" fillId="0" borderId="11" xfId="0" applyNumberFormat="1" applyBorder="1" applyAlignment="1" applyProtection="1">
      <alignment horizontal="right" vertical="top" indent="4"/>
      <protection locked="0"/>
    </xf>
    <xf numFmtId="165" fontId="0" fillId="0" borderId="11" xfId="0" applyNumberFormat="1" applyBorder="1" applyAlignment="1" applyProtection="1">
      <alignment horizontal="right" vertical="top" indent="4"/>
      <protection locked="0"/>
    </xf>
    <xf numFmtId="0" fontId="0" fillId="3" borderId="6" xfId="0" applyFill="1" applyBorder="1" applyAlignment="1" applyProtection="1">
      <alignment vertical="top" wrapText="1"/>
      <protection hidden="1"/>
    </xf>
    <xf numFmtId="0" fontId="0" fillId="3" borderId="3" xfId="0" applyFill="1" applyBorder="1" applyAlignment="1" applyProtection="1">
      <alignment vertical="top"/>
      <protection hidden="1"/>
    </xf>
    <xf numFmtId="0" fontId="0" fillId="3" borderId="4" xfId="0" applyFill="1" applyBorder="1" applyAlignment="1" applyProtection="1">
      <alignment horizontal="distributed" vertical="top" wrapText="1"/>
      <protection hidden="1"/>
    </xf>
    <xf numFmtId="0" fontId="0" fillId="3" borderId="4" xfId="0" applyFill="1" applyBorder="1" applyAlignment="1" applyProtection="1">
      <alignment vertical="top" wrapText="1"/>
      <protection hidden="1"/>
    </xf>
    <xf numFmtId="0" fontId="0" fillId="3" borderId="4" xfId="0" applyFill="1" applyBorder="1" applyAlignment="1" applyProtection="1">
      <alignment horizontal="right" vertical="top" wrapText="1"/>
      <protection hidden="1"/>
    </xf>
    <xf numFmtId="0" fontId="14" fillId="3" borderId="0" xfId="0" applyFont="1" applyFill="1" applyProtection="1">
      <protection hidden="1"/>
    </xf>
    <xf numFmtId="166" fontId="0" fillId="3" borderId="0" xfId="0" applyNumberFormat="1" applyFill="1" applyProtection="1">
      <protection hidden="1"/>
    </xf>
    <xf numFmtId="0" fontId="0" fillId="3" borderId="0" xfId="0" applyFill="1" applyProtection="1">
      <protection hidden="1"/>
    </xf>
    <xf numFmtId="166" fontId="0" fillId="3" borderId="2" xfId="0" applyNumberFormat="1" applyFill="1" applyBorder="1" applyAlignment="1" applyProtection="1">
      <alignment horizontal="right" vertical="top" indent="4"/>
      <protection hidden="1"/>
    </xf>
    <xf numFmtId="165" fontId="0" fillId="3" borderId="2" xfId="0" applyNumberFormat="1" applyFill="1" applyBorder="1" applyAlignment="1" applyProtection="1">
      <alignment horizontal="right" vertical="top" indent="4"/>
      <protection hidden="1"/>
    </xf>
    <xf numFmtId="0" fontId="13" fillId="4" borderId="4" xfId="0" applyFont="1" applyFill="1" applyBorder="1" applyAlignment="1" applyProtection="1">
      <alignment vertical="top" wrapText="1"/>
      <protection hidden="1"/>
    </xf>
    <xf numFmtId="0" fontId="15" fillId="4" borderId="3" xfId="0" applyFont="1" applyFill="1" applyBorder="1" applyAlignment="1" applyProtection="1">
      <alignment vertical="top"/>
      <protection hidden="1"/>
    </xf>
    <xf numFmtId="0" fontId="13" fillId="4" borderId="7" xfId="0" applyFont="1" applyFill="1" applyBorder="1" applyProtection="1">
      <protection hidden="1"/>
    </xf>
    <xf numFmtId="0" fontId="13" fillId="4" borderId="5" xfId="0" applyFont="1" applyFill="1" applyBorder="1" applyProtection="1">
      <protection hidden="1"/>
    </xf>
    <xf numFmtId="0" fontId="4" fillId="4" borderId="0" xfId="0" applyFont="1" applyFill="1" applyAlignment="1" applyProtection="1">
      <alignment horizontal="center"/>
      <protection hidden="1"/>
    </xf>
    <xf numFmtId="0" fontId="3" fillId="3" borderId="0" xfId="0" applyFont="1" applyFill="1" applyProtection="1">
      <protection hidden="1"/>
    </xf>
    <xf numFmtId="0" fontId="3" fillId="3" borderId="0" xfId="0" applyFont="1" applyFill="1" applyAlignment="1" applyProtection="1">
      <alignment wrapText="1"/>
      <protection hidden="1"/>
    </xf>
    <xf numFmtId="0" fontId="0" fillId="5" borderId="7" xfId="0" applyFill="1" applyBorder="1" applyAlignment="1" applyProtection="1">
      <alignment vertical="center"/>
      <protection locked="0"/>
    </xf>
    <xf numFmtId="0" fontId="16" fillId="4" borderId="4" xfId="0" applyFont="1" applyFill="1" applyBorder="1" applyAlignment="1" applyProtection="1">
      <alignment vertical="top" wrapText="1"/>
      <protection hidden="1"/>
    </xf>
    <xf numFmtId="0" fontId="18" fillId="3" borderId="4" xfId="0" applyFont="1" applyFill="1" applyBorder="1" applyAlignment="1" applyProtection="1">
      <alignment vertical="top"/>
      <protection hidden="1"/>
    </xf>
    <xf numFmtId="0" fontId="18" fillId="3" borderId="4" xfId="0" applyFont="1" applyFill="1" applyBorder="1" applyAlignment="1" applyProtection="1">
      <alignment horizontal="left" vertical="top" wrapText="1" indent="19"/>
      <protection hidden="1"/>
    </xf>
    <xf numFmtId="0" fontId="18" fillId="3" borderId="4" xfId="0" applyFont="1" applyFill="1" applyBorder="1" applyAlignment="1" applyProtection="1">
      <alignment horizontal="right" vertical="top" wrapText="1"/>
      <protection hidden="1"/>
    </xf>
    <xf numFmtId="0" fontId="18" fillId="3" borderId="4" xfId="0" applyFont="1" applyFill="1" applyBorder="1" applyAlignment="1" applyProtection="1">
      <alignment horizontal="left" vertical="top" wrapText="1"/>
      <protection hidden="1"/>
    </xf>
    <xf numFmtId="0" fontId="18" fillId="3" borderId="4" xfId="0" applyFont="1" applyFill="1" applyBorder="1" applyAlignment="1" applyProtection="1">
      <alignment horizontal="left" vertical="top" indent="15"/>
      <protection hidden="1"/>
    </xf>
    <xf numFmtId="0" fontId="18" fillId="3" borderId="4" xfId="0" applyFont="1" applyFill="1" applyBorder="1" applyAlignment="1" applyProtection="1">
      <alignment horizontal="distributed" vertical="top" wrapText="1"/>
      <protection hidden="1"/>
    </xf>
    <xf numFmtId="0" fontId="18" fillId="3" borderId="4" xfId="0" applyFont="1" applyFill="1" applyBorder="1" applyAlignment="1" applyProtection="1">
      <alignment vertical="top" wrapText="1"/>
      <protection hidden="1"/>
    </xf>
    <xf numFmtId="49" fontId="0" fillId="0" borderId="7" xfId="0" applyNumberFormat="1" applyBorder="1" applyAlignment="1" applyProtection="1">
      <alignment vertical="top" wrapText="1"/>
      <protection locked="0"/>
    </xf>
    <xf numFmtId="49" fontId="0" fillId="0" borderId="5" xfId="0" applyNumberFormat="1" applyBorder="1" applyAlignment="1" applyProtection="1">
      <alignment vertical="top" wrapText="1"/>
      <protection locked="0"/>
    </xf>
    <xf numFmtId="0" fontId="13" fillId="4" borderId="1" xfId="0" applyFont="1" applyFill="1" applyBorder="1" applyProtection="1">
      <protection hidden="1"/>
    </xf>
    <xf numFmtId="0" fontId="13" fillId="4" borderId="6" xfId="0" applyFont="1" applyFill="1" applyBorder="1" applyAlignment="1" applyProtection="1">
      <alignment vertical="top" wrapText="1"/>
      <protection hidden="1"/>
    </xf>
    <xf numFmtId="0" fontId="1" fillId="0" borderId="0" xfId="0" applyFont="1" applyProtection="1">
      <protection hidden="1"/>
    </xf>
    <xf numFmtId="0" fontId="1" fillId="0" borderId="0" xfId="0" applyFont="1" applyAlignment="1" applyProtection="1">
      <alignment wrapText="1"/>
      <protection hidden="1"/>
    </xf>
    <xf numFmtId="14" fontId="1" fillId="0" borderId="0" xfId="0" applyNumberFormat="1" applyFont="1" applyProtection="1">
      <protection hidden="1"/>
    </xf>
    <xf numFmtId="0" fontId="11" fillId="0" borderId="0" xfId="0" applyFont="1" applyProtection="1">
      <protection hidden="1"/>
    </xf>
    <xf numFmtId="0" fontId="1" fillId="0" borderId="0" xfId="0" applyFont="1" applyAlignment="1" applyProtection="1">
      <alignment horizontal="right"/>
      <protection hidden="1"/>
    </xf>
    <xf numFmtId="0" fontId="1" fillId="0" borderId="0" xfId="0" applyFont="1" applyAlignment="1" applyProtection="1">
      <alignment vertical="top"/>
      <protection hidden="1"/>
    </xf>
    <xf numFmtId="3" fontId="1" fillId="0" borderId="0" xfId="0" applyNumberFormat="1" applyFont="1" applyAlignment="1" applyProtection="1">
      <alignment shrinkToFit="1"/>
      <protection hidden="1"/>
    </xf>
    <xf numFmtId="0" fontId="1" fillId="0" borderId="0" xfId="0" applyFont="1" applyAlignment="1" applyProtection="1">
      <alignment shrinkToFit="1"/>
      <protection hidden="1"/>
    </xf>
    <xf numFmtId="166" fontId="1" fillId="0" borderId="0" xfId="0" applyNumberFormat="1" applyFont="1" applyAlignment="1" applyProtection="1">
      <alignment shrinkToFit="1"/>
      <protection hidden="1"/>
    </xf>
    <xf numFmtId="0" fontId="6" fillId="0" borderId="0" xfId="0" applyFont="1" applyProtection="1">
      <protection hidden="1"/>
    </xf>
    <xf numFmtId="0" fontId="1" fillId="0" borderId="0" xfId="0" applyFont="1" applyAlignment="1" applyProtection="1">
      <alignment horizontal="right" shrinkToFit="1"/>
      <protection hidden="1"/>
    </xf>
    <xf numFmtId="0" fontId="9" fillId="0" borderId="0" xfId="0" applyFont="1" applyProtection="1">
      <protection hidden="1"/>
    </xf>
    <xf numFmtId="0" fontId="1" fillId="0" borderId="0" xfId="0" applyFont="1" applyAlignment="1" applyProtection="1">
      <alignment horizontal="left"/>
      <protection hidden="1"/>
    </xf>
    <xf numFmtId="0" fontId="1" fillId="0" borderId="0" xfId="1" applyNumberFormat="1" applyFont="1" applyBorder="1" applyAlignment="1" applyProtection="1">
      <alignment horizontal="left"/>
      <protection hidden="1"/>
    </xf>
    <xf numFmtId="0" fontId="12" fillId="0" borderId="0" xfId="0" applyFont="1" applyAlignment="1" applyProtection="1">
      <alignment vertical="top"/>
      <protection hidden="1"/>
    </xf>
    <xf numFmtId="0" fontId="12" fillId="0" borderId="0" xfId="0" applyFont="1" applyProtection="1">
      <protection hidden="1"/>
    </xf>
    <xf numFmtId="165" fontId="1" fillId="0" borderId="0" xfId="0" applyNumberFormat="1" applyFont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0" fontId="19" fillId="3" borderId="4" xfId="0" applyFont="1" applyFill="1" applyBorder="1" applyAlignment="1" applyProtection="1">
      <alignment horizontal="right" vertical="top" wrapText="1"/>
      <protection hidden="1"/>
    </xf>
    <xf numFmtId="168" fontId="1" fillId="0" borderId="0" xfId="1" applyNumberFormat="1" applyFont="1" applyBorder="1" applyAlignment="1" applyProtection="1">
      <alignment horizontal="left"/>
      <protection hidden="1"/>
    </xf>
    <xf numFmtId="0" fontId="20" fillId="0" borderId="0" xfId="0" applyFont="1" applyAlignment="1" applyProtection="1">
      <alignment horizontal="right"/>
      <protection hidden="1"/>
    </xf>
    <xf numFmtId="166" fontId="0" fillId="3" borderId="5" xfId="0" applyNumberFormat="1" applyFill="1" applyBorder="1" applyAlignment="1" applyProtection="1">
      <alignment horizontal="right" vertical="top" indent="4"/>
      <protection hidden="1"/>
    </xf>
    <xf numFmtId="0" fontId="0" fillId="0" borderId="0" xfId="0" applyAlignment="1">
      <alignment wrapText="1"/>
    </xf>
    <xf numFmtId="14" fontId="4" fillId="0" borderId="0" xfId="0" applyNumberFormat="1" applyFont="1" applyAlignment="1" applyProtection="1">
      <alignment horizontal="center"/>
      <protection hidden="1"/>
    </xf>
    <xf numFmtId="0" fontId="0" fillId="0" borderId="17" xfId="0" applyBorder="1" applyProtection="1">
      <protection locked="0"/>
    </xf>
    <xf numFmtId="0" fontId="13" fillId="4" borderId="17" xfId="0" applyFont="1" applyFill="1" applyBorder="1" applyProtection="1">
      <protection hidden="1"/>
    </xf>
    <xf numFmtId="166" fontId="0" fillId="3" borderId="3" xfId="0" applyNumberFormat="1" applyFill="1" applyBorder="1" applyAlignment="1" applyProtection="1">
      <alignment horizontal="right" vertical="top" indent="4"/>
      <protection hidden="1"/>
    </xf>
    <xf numFmtId="166" fontId="0" fillId="0" borderId="17" xfId="0" applyNumberFormat="1" applyBorder="1" applyAlignment="1" applyProtection="1">
      <alignment horizontal="right" vertical="top" indent="4"/>
      <protection locked="0"/>
    </xf>
    <xf numFmtId="49" fontId="0" fillId="0" borderId="17" xfId="0" applyNumberFormat="1" applyBorder="1" applyAlignment="1" applyProtection="1">
      <alignment vertical="top" wrapText="1"/>
      <protection locked="0"/>
    </xf>
    <xf numFmtId="166" fontId="0" fillId="3" borderId="17" xfId="0" applyNumberFormat="1" applyFill="1" applyBorder="1" applyAlignment="1" applyProtection="1">
      <alignment horizontal="right" vertical="top" indent="4"/>
      <protection hidden="1"/>
    </xf>
    <xf numFmtId="0" fontId="0" fillId="2" borderId="17" xfId="0" applyFill="1" applyBorder="1" applyAlignment="1" applyProtection="1">
      <alignment vertical="center"/>
      <protection locked="0"/>
    </xf>
    <xf numFmtId="49" fontId="0" fillId="0" borderId="11" xfId="0" applyNumberFormat="1" applyBorder="1" applyAlignment="1" applyProtection="1">
      <alignment vertical="top" wrapText="1"/>
      <protection locked="0"/>
    </xf>
    <xf numFmtId="0" fontId="0" fillId="2" borderId="11" xfId="0" applyFill="1" applyBorder="1" applyAlignment="1" applyProtection="1">
      <alignment vertical="center"/>
      <protection locked="0"/>
    </xf>
    <xf numFmtId="0" fontId="0" fillId="0" borderId="17" xfId="0" applyBorder="1" applyAlignment="1" applyProtection="1">
      <alignment vertical="top" wrapText="1"/>
      <protection locked="0"/>
    </xf>
    <xf numFmtId="14" fontId="0" fillId="0" borderId="17" xfId="0" applyNumberFormat="1" applyBorder="1" applyAlignment="1" applyProtection="1">
      <alignment horizontal="right" vertical="center" indent="4"/>
      <protection locked="0"/>
    </xf>
    <xf numFmtId="165" fontId="0" fillId="0" borderId="17" xfId="0" applyNumberFormat="1" applyBorder="1" applyAlignment="1" applyProtection="1">
      <alignment horizontal="right" vertical="top" indent="4"/>
      <protection locked="0"/>
    </xf>
    <xf numFmtId="165" fontId="0" fillId="3" borderId="3" xfId="0" applyNumberFormat="1" applyFill="1" applyBorder="1" applyAlignment="1" applyProtection="1">
      <alignment horizontal="right" vertical="top" indent="4"/>
      <protection hidden="1"/>
    </xf>
    <xf numFmtId="0" fontId="0" fillId="0" borderId="18" xfId="0" applyBorder="1" applyAlignment="1" applyProtection="1">
      <alignment vertical="top" wrapText="1"/>
      <protection locked="0"/>
    </xf>
    <xf numFmtId="167" fontId="0" fillId="3" borderId="5" xfId="0" applyNumberFormat="1" applyFill="1" applyBorder="1" applyAlignment="1" applyProtection="1">
      <alignment horizontal="right" vertical="top" indent="4"/>
      <protection hidden="1"/>
    </xf>
    <xf numFmtId="0" fontId="0" fillId="3" borderId="5" xfId="0" applyFill="1" applyBorder="1" applyProtection="1">
      <protection hidden="1"/>
    </xf>
    <xf numFmtId="0" fontId="0" fillId="0" borderId="0" xfId="0" applyAlignment="1">
      <alignment vertical="top" wrapText="1"/>
    </xf>
    <xf numFmtId="0" fontId="22" fillId="7" borderId="0" xfId="0" applyFont="1" applyFill="1"/>
    <xf numFmtId="0" fontId="0" fillId="7" borderId="0" xfId="0" applyFill="1"/>
    <xf numFmtId="0" fontId="0" fillId="7" borderId="0" xfId="0" applyFill="1" applyAlignment="1">
      <alignment wrapText="1"/>
    </xf>
    <xf numFmtId="167" fontId="0" fillId="0" borderId="7" xfId="0" applyNumberFormat="1" applyBorder="1" applyAlignment="1" applyProtection="1">
      <alignment horizontal="right" vertical="top" indent="4"/>
      <protection locked="0"/>
    </xf>
    <xf numFmtId="0" fontId="0" fillId="0" borderId="20" xfId="0" applyBorder="1" applyAlignment="1">
      <alignment wrapText="1"/>
    </xf>
    <xf numFmtId="0" fontId="0" fillId="0" borderId="20" xfId="0" applyBorder="1" applyAlignment="1">
      <alignment vertical="top" wrapText="1"/>
    </xf>
    <xf numFmtId="0" fontId="0" fillId="4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vertical="center" wrapText="1"/>
    </xf>
    <xf numFmtId="0" fontId="0" fillId="3" borderId="3" xfId="0" applyFill="1" applyBorder="1" applyAlignment="1" applyProtection="1">
      <alignment vertical="top" wrapText="1"/>
      <protection hidden="1"/>
    </xf>
    <xf numFmtId="0" fontId="0" fillId="3" borderId="4" xfId="0" applyFill="1" applyBorder="1" applyAlignment="1" applyProtection="1">
      <alignment vertical="top" wrapText="1"/>
      <protection hidden="1"/>
    </xf>
    <xf numFmtId="0" fontId="24" fillId="8" borderId="19" xfId="2" applyFont="1" applyFill="1" applyBorder="1" applyAlignment="1" applyProtection="1">
      <alignment vertical="top" wrapText="1"/>
      <protection hidden="1"/>
    </xf>
    <xf numFmtId="0" fontId="1" fillId="0" borderId="0" xfId="0" applyFont="1" applyAlignment="1" applyProtection="1">
      <alignment vertical="top" wrapText="1"/>
      <protection hidden="1"/>
    </xf>
    <xf numFmtId="0" fontId="1" fillId="0" borderId="0" xfId="0" applyFont="1" applyAlignment="1" applyProtection="1">
      <alignment wrapText="1"/>
      <protection hidden="1"/>
    </xf>
    <xf numFmtId="165" fontId="1" fillId="0" borderId="0" xfId="0" applyNumberFormat="1" applyFont="1" applyAlignment="1" applyProtection="1">
      <alignment vertical="top"/>
      <protection hidden="1"/>
    </xf>
    <xf numFmtId="165" fontId="1" fillId="0" borderId="0" xfId="0" applyNumberFormat="1" applyFont="1" applyAlignment="1" applyProtection="1">
      <alignment vertical="top" wrapText="1"/>
      <protection hidden="1"/>
    </xf>
    <xf numFmtId="165" fontId="1" fillId="0" borderId="0" xfId="0" applyNumberFormat="1" applyFont="1" applyAlignment="1" applyProtection="1">
      <alignment shrinkToFit="1"/>
      <protection hidden="1"/>
    </xf>
    <xf numFmtId="0" fontId="1" fillId="0" borderId="0" xfId="0" applyFont="1" applyAlignment="1" applyProtection="1">
      <alignment shrinkToFit="1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vertical="top" wrapText="1"/>
      <protection hidden="1"/>
    </xf>
    <xf numFmtId="0" fontId="1" fillId="0" borderId="0" xfId="0" applyFont="1" applyAlignment="1" applyProtection="1">
      <alignment vertical="top"/>
      <protection hidden="1"/>
    </xf>
    <xf numFmtId="0" fontId="1" fillId="6" borderId="12" xfId="0" applyFont="1" applyFill="1" applyBorder="1" applyAlignment="1" applyProtection="1">
      <alignment horizontal="center"/>
      <protection locked="0"/>
    </xf>
    <xf numFmtId="0" fontId="1" fillId="6" borderId="13" xfId="0" applyFont="1" applyFill="1" applyBorder="1" applyAlignment="1" applyProtection="1">
      <alignment horizontal="center"/>
      <protection locked="0"/>
    </xf>
    <xf numFmtId="0" fontId="1" fillId="6" borderId="14" xfId="0" applyFont="1" applyFill="1" applyBorder="1" applyAlignment="1" applyProtection="1">
      <alignment horizontal="center"/>
      <protection locked="0"/>
    </xf>
    <xf numFmtId="0" fontId="1" fillId="0" borderId="15" xfId="0" applyFont="1" applyBorder="1" applyAlignment="1" applyProtection="1">
      <alignment horizontal="left"/>
      <protection hidden="1"/>
    </xf>
    <xf numFmtId="0" fontId="1" fillId="0" borderId="16" xfId="0" applyFont="1" applyBorder="1" applyAlignment="1" applyProtection="1">
      <alignment horizontal="left"/>
      <protection hidden="1"/>
    </xf>
    <xf numFmtId="0" fontId="1" fillId="0" borderId="0" xfId="0" applyFont="1" applyProtection="1">
      <protection hidden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3">
    <cellStyle name="Figyelmeztetés" xfId="2" builtinId="11"/>
    <cellStyle name="Normál" xfId="0" builtinId="0"/>
    <cellStyle name="Százalék" xfId="1" builtinId="5"/>
  </cellStyles>
  <dxfs count="0"/>
  <tableStyles count="0" defaultTableStyle="TableStyleMedium2" defaultPivotStyle="PivotStyleLight16"/>
  <colors>
    <mruColors>
      <color rgb="FFFFFF00"/>
      <color rgb="FFCCFFCC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03148-13DC-4F98-BB73-D3E6F27F8943}">
  <dimension ref="A1:AB266"/>
  <sheetViews>
    <sheetView tabSelected="1" zoomScale="150" zoomScaleNormal="15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0" defaultRowHeight="15" zeroHeight="1" x14ac:dyDescent="0.25"/>
  <cols>
    <col min="1" max="1" width="3.7109375" style="1" customWidth="1"/>
    <col min="2" max="2" width="43.5703125" style="2" customWidth="1"/>
    <col min="3" max="12" width="40.7109375" style="1" customWidth="1"/>
    <col min="13" max="13" width="40.7109375" customWidth="1"/>
    <col min="14" max="14" width="15.7109375" hidden="1"/>
    <col min="15" max="16384" width="9.140625" hidden="1"/>
  </cols>
  <sheetData>
    <row r="1" spans="1:28" ht="24" customHeight="1" x14ac:dyDescent="0.35">
      <c r="A1" s="105" t="s">
        <v>475</v>
      </c>
      <c r="B1" s="105"/>
      <c r="C1" s="36">
        <v>2026</v>
      </c>
      <c r="D1" s="36">
        <f>C1+1</f>
        <v>2027</v>
      </c>
      <c r="E1" s="36">
        <f t="shared" ref="E1:L1" si="0">D1+1</f>
        <v>2028</v>
      </c>
      <c r="F1" s="36">
        <f t="shared" si="0"/>
        <v>2029</v>
      </c>
      <c r="G1" s="36">
        <f t="shared" si="0"/>
        <v>2030</v>
      </c>
      <c r="H1" s="36">
        <f t="shared" si="0"/>
        <v>2031</v>
      </c>
      <c r="I1" s="36">
        <f t="shared" si="0"/>
        <v>2032</v>
      </c>
      <c r="J1" s="36">
        <f t="shared" si="0"/>
        <v>2033</v>
      </c>
      <c r="K1" s="36">
        <f t="shared" si="0"/>
        <v>2034</v>
      </c>
      <c r="L1" s="36">
        <f t="shared" si="0"/>
        <v>2035</v>
      </c>
      <c r="M1" s="36" t="s">
        <v>359</v>
      </c>
      <c r="N1" s="75"/>
      <c r="O1" s="69"/>
      <c r="P1" s="36"/>
      <c r="Q1" s="36"/>
      <c r="R1" s="36"/>
      <c r="S1" s="36"/>
      <c r="T1" s="36"/>
      <c r="U1" s="36"/>
      <c r="V1" s="36"/>
      <c r="W1" s="36"/>
      <c r="X1" s="36"/>
      <c r="Y1" s="36"/>
      <c r="Z1" s="69"/>
      <c r="AA1" t="s">
        <v>221</v>
      </c>
      <c r="AB1" t="s">
        <v>236</v>
      </c>
    </row>
    <row r="2" spans="1:28" x14ac:dyDescent="0.25">
      <c r="A2" s="23"/>
      <c r="B2" s="22" t="s">
        <v>190</v>
      </c>
      <c r="C2" s="4"/>
      <c r="D2" s="27">
        <v>2</v>
      </c>
      <c r="E2" s="27">
        <v>3</v>
      </c>
      <c r="F2" s="27">
        <v>4</v>
      </c>
      <c r="G2" s="27">
        <v>5</v>
      </c>
      <c r="H2" s="27">
        <v>6</v>
      </c>
      <c r="I2" s="27">
        <v>7</v>
      </c>
      <c r="J2" s="27">
        <v>8</v>
      </c>
      <c r="K2" s="27">
        <v>9</v>
      </c>
      <c r="L2" s="27">
        <v>10</v>
      </c>
      <c r="M2" s="27">
        <v>11</v>
      </c>
      <c r="N2">
        <f>IF(COUNTA(C51:L51)&lt;&gt;0,COUNTA(C51:L51),1)</f>
        <v>1</v>
      </c>
      <c r="AA2" t="s">
        <v>222</v>
      </c>
      <c r="AB2" t="s">
        <v>237</v>
      </c>
    </row>
    <row r="3" spans="1:28" x14ac:dyDescent="0.25">
      <c r="A3" s="23"/>
      <c r="B3" s="22" t="s">
        <v>384</v>
      </c>
      <c r="C3" s="4"/>
      <c r="D3" s="28"/>
      <c r="E3" s="29"/>
      <c r="F3" s="29"/>
      <c r="G3" s="29"/>
      <c r="H3" s="29"/>
      <c r="I3" s="29"/>
      <c r="J3" s="29"/>
      <c r="K3" s="29"/>
      <c r="L3" s="29"/>
      <c r="M3" s="29"/>
      <c r="AA3" t="s">
        <v>223</v>
      </c>
    </row>
    <row r="4" spans="1:28" x14ac:dyDescent="0.25">
      <c r="A4" s="23"/>
      <c r="B4" s="22" t="s">
        <v>4</v>
      </c>
      <c r="C4" s="4"/>
      <c r="D4" s="4" t="str">
        <f>IF(C4&lt;&gt;0,C4,"")</f>
        <v/>
      </c>
      <c r="E4" s="4" t="str">
        <f t="shared" ref="E4:L4" si="1">IF(D4&lt;&gt;0,D4,"")</f>
        <v/>
      </c>
      <c r="F4" s="4" t="str">
        <f t="shared" si="1"/>
        <v/>
      </c>
      <c r="G4" s="4" t="str">
        <f t="shared" si="1"/>
        <v/>
      </c>
      <c r="H4" s="4" t="str">
        <f t="shared" si="1"/>
        <v/>
      </c>
      <c r="I4" s="4" t="str">
        <f t="shared" si="1"/>
        <v/>
      </c>
      <c r="J4" s="4" t="str">
        <f t="shared" si="1"/>
        <v/>
      </c>
      <c r="K4" s="4" t="str">
        <f t="shared" si="1"/>
        <v/>
      </c>
      <c r="L4" s="76" t="str">
        <f t="shared" si="1"/>
        <v/>
      </c>
      <c r="M4" s="91"/>
      <c r="AA4" t="s">
        <v>224</v>
      </c>
    </row>
    <row r="5" spans="1:28" x14ac:dyDescent="0.25">
      <c r="A5" s="23"/>
      <c r="B5" s="3" t="s">
        <v>220</v>
      </c>
      <c r="C5" s="4"/>
      <c r="D5" s="4" t="str">
        <f>IF(C5&lt;&gt;0,C5,"")</f>
        <v/>
      </c>
      <c r="E5" s="4" t="str">
        <f t="shared" ref="E5:L5" si="2">IF(D5&lt;&gt;0,D5,"")</f>
        <v/>
      </c>
      <c r="F5" s="4" t="str">
        <f t="shared" si="2"/>
        <v/>
      </c>
      <c r="G5" s="4" t="str">
        <f t="shared" si="2"/>
        <v/>
      </c>
      <c r="H5" s="4" t="str">
        <f t="shared" si="2"/>
        <v/>
      </c>
      <c r="I5" s="4" t="str">
        <f t="shared" si="2"/>
        <v/>
      </c>
      <c r="J5" s="4" t="str">
        <f t="shared" si="2"/>
        <v/>
      </c>
      <c r="K5" s="4" t="str">
        <f t="shared" si="2"/>
        <v/>
      </c>
      <c r="L5" s="76" t="str">
        <f t="shared" si="2"/>
        <v/>
      </c>
      <c r="M5" s="91"/>
      <c r="AA5" t="s">
        <v>225</v>
      </c>
    </row>
    <row r="6" spans="1:28" x14ac:dyDescent="0.25">
      <c r="A6" s="23"/>
      <c r="B6" s="22" t="s">
        <v>217</v>
      </c>
      <c r="C6" s="5"/>
      <c r="D6" s="5"/>
      <c r="E6" s="5"/>
      <c r="F6" s="5"/>
      <c r="G6" s="5"/>
      <c r="H6" s="5"/>
      <c r="I6" s="5"/>
      <c r="J6" s="5"/>
      <c r="K6" s="5"/>
      <c r="L6" s="5"/>
      <c r="M6" s="91"/>
      <c r="AA6" t="s">
        <v>226</v>
      </c>
    </row>
    <row r="7" spans="1:28" x14ac:dyDescent="0.25">
      <c r="A7" s="23"/>
      <c r="B7" s="22" t="s">
        <v>191</v>
      </c>
      <c r="C7" s="6"/>
      <c r="D7" s="6"/>
      <c r="E7" s="6"/>
      <c r="F7" s="6"/>
      <c r="G7" s="6"/>
      <c r="H7" s="6"/>
      <c r="I7" s="6"/>
      <c r="J7" s="6"/>
      <c r="K7" s="6"/>
      <c r="L7" s="6"/>
      <c r="M7" s="91"/>
      <c r="AA7" t="s">
        <v>227</v>
      </c>
    </row>
    <row r="8" spans="1:28" x14ac:dyDescent="0.25">
      <c r="A8" s="23"/>
      <c r="B8" s="22" t="s">
        <v>218</v>
      </c>
      <c r="C8" s="5"/>
      <c r="D8" s="5"/>
      <c r="E8" s="5"/>
      <c r="F8" s="5"/>
      <c r="G8" s="5"/>
      <c r="H8" s="5"/>
      <c r="I8" s="5"/>
      <c r="J8" s="5"/>
      <c r="K8" s="5"/>
      <c r="L8" s="5"/>
      <c r="M8" s="91"/>
      <c r="AA8" t="s">
        <v>228</v>
      </c>
    </row>
    <row r="9" spans="1:28" x14ac:dyDescent="0.25">
      <c r="A9" s="23"/>
      <c r="B9" s="22" t="s">
        <v>191</v>
      </c>
      <c r="C9" s="6"/>
      <c r="D9" s="6"/>
      <c r="E9" s="6"/>
      <c r="F9" s="6"/>
      <c r="G9" s="6"/>
      <c r="H9" s="6"/>
      <c r="I9" s="6"/>
      <c r="J9" s="6"/>
      <c r="K9" s="6"/>
      <c r="L9" s="6"/>
      <c r="M9" s="91"/>
      <c r="AA9" t="s">
        <v>229</v>
      </c>
    </row>
    <row r="10" spans="1:28" x14ac:dyDescent="0.25">
      <c r="A10" s="23"/>
      <c r="B10" s="22" t="s">
        <v>219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91"/>
      <c r="AA10" t="s">
        <v>230</v>
      </c>
    </row>
    <row r="11" spans="1:28" ht="15.75" x14ac:dyDescent="0.25">
      <c r="A11" s="33" t="s">
        <v>5</v>
      </c>
      <c r="B11" s="32"/>
      <c r="C11" s="34"/>
      <c r="D11" s="35"/>
      <c r="E11" s="35"/>
      <c r="F11" s="35"/>
      <c r="G11" s="35"/>
      <c r="H11" s="35"/>
      <c r="I11" s="35"/>
      <c r="J11" s="35"/>
      <c r="K11" s="35"/>
      <c r="L11" s="77"/>
      <c r="M11" s="77"/>
      <c r="AA11" t="s">
        <v>504</v>
      </c>
    </row>
    <row r="12" spans="1:28" x14ac:dyDescent="0.25">
      <c r="A12" s="23" t="s">
        <v>7</v>
      </c>
      <c r="B12" s="46" t="s">
        <v>345</v>
      </c>
      <c r="C12" s="19"/>
      <c r="D12" s="30">
        <f>SUM(C12,C14,-C16,C18,-C21,C24,-C26,-C28)</f>
        <v>0</v>
      </c>
      <c r="E12" s="30">
        <f t="shared" ref="E12:L12" si="3">SUM(D12,D14,-D16,D18,-D21,D24,-D26,-D28)</f>
        <v>0</v>
      </c>
      <c r="F12" s="30">
        <f t="shared" si="3"/>
        <v>0</v>
      </c>
      <c r="G12" s="30">
        <f t="shared" si="3"/>
        <v>0</v>
      </c>
      <c r="H12" s="30">
        <f t="shared" si="3"/>
        <v>0</v>
      </c>
      <c r="I12" s="30">
        <f t="shared" si="3"/>
        <v>0</v>
      </c>
      <c r="J12" s="30">
        <f t="shared" si="3"/>
        <v>0</v>
      </c>
      <c r="K12" s="30">
        <f t="shared" si="3"/>
        <v>0</v>
      </c>
      <c r="L12" s="78">
        <f t="shared" si="3"/>
        <v>0</v>
      </c>
      <c r="M12" s="73">
        <f>C12</f>
        <v>0</v>
      </c>
      <c r="AA12" t="s">
        <v>231</v>
      </c>
    </row>
    <row r="13" spans="1:28" x14ac:dyDescent="0.25">
      <c r="A13" s="23"/>
      <c r="B13" s="43" t="s">
        <v>198</v>
      </c>
      <c r="C13" s="20"/>
      <c r="D13" s="30">
        <f>SUM(C13,C15,-C17,C19,-C22,C25,-C27,-C29)</f>
        <v>0</v>
      </c>
      <c r="E13" s="30">
        <f t="shared" ref="E13:L13" si="4">SUM(D13,D15,-D17,D19,-D22,D25,-D27,-D29)</f>
        <v>0</v>
      </c>
      <c r="F13" s="30">
        <f t="shared" si="4"/>
        <v>0</v>
      </c>
      <c r="G13" s="30">
        <f t="shared" si="4"/>
        <v>0</v>
      </c>
      <c r="H13" s="30">
        <f t="shared" si="4"/>
        <v>0</v>
      </c>
      <c r="I13" s="30">
        <f t="shared" si="4"/>
        <v>0</v>
      </c>
      <c r="J13" s="30">
        <f t="shared" si="4"/>
        <v>0</v>
      </c>
      <c r="K13" s="30">
        <f t="shared" si="4"/>
        <v>0</v>
      </c>
      <c r="L13" s="78">
        <f t="shared" si="4"/>
        <v>0</v>
      </c>
      <c r="M13" s="73">
        <f>C13</f>
        <v>0</v>
      </c>
      <c r="AA13" t="s">
        <v>232</v>
      </c>
    </row>
    <row r="14" spans="1:28" x14ac:dyDescent="0.25">
      <c r="A14" s="23" t="s">
        <v>12</v>
      </c>
      <c r="B14" s="46" t="s">
        <v>346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73">
        <f>SUM(C14:L14)</f>
        <v>0</v>
      </c>
      <c r="AA14" t="s">
        <v>233</v>
      </c>
    </row>
    <row r="15" spans="1:28" x14ac:dyDescent="0.25">
      <c r="A15" s="23"/>
      <c r="B15" s="43" t="s">
        <v>198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73">
        <f t="shared" ref="M15:M29" si="5">SUM(C15:L15)</f>
        <v>0</v>
      </c>
      <c r="AA15" t="s">
        <v>234</v>
      </c>
    </row>
    <row r="16" spans="1:28" x14ac:dyDescent="0.25">
      <c r="A16" s="23" t="s">
        <v>14</v>
      </c>
      <c r="B16" s="46" t="s">
        <v>344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73">
        <f t="shared" si="5"/>
        <v>0</v>
      </c>
      <c r="AA16" t="s">
        <v>235</v>
      </c>
    </row>
    <row r="17" spans="1:13" x14ac:dyDescent="0.25">
      <c r="A17" s="23"/>
      <c r="B17" s="43" t="s">
        <v>198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73">
        <f t="shared" si="5"/>
        <v>0</v>
      </c>
    </row>
    <row r="18" spans="1:13" x14ac:dyDescent="0.25">
      <c r="A18" s="23" t="s">
        <v>20</v>
      </c>
      <c r="B18" s="46" t="s">
        <v>347</v>
      </c>
      <c r="C18" s="7"/>
      <c r="D18" s="8"/>
      <c r="E18" s="8"/>
      <c r="F18" s="8"/>
      <c r="G18" s="8"/>
      <c r="H18" s="8"/>
      <c r="I18" s="8"/>
      <c r="J18" s="8"/>
      <c r="K18" s="8"/>
      <c r="L18" s="79"/>
      <c r="M18" s="73">
        <f t="shared" si="5"/>
        <v>0</v>
      </c>
    </row>
    <row r="19" spans="1:13" x14ac:dyDescent="0.25">
      <c r="A19" s="23"/>
      <c r="B19" s="43" t="s">
        <v>198</v>
      </c>
      <c r="C19" s="7"/>
      <c r="D19" s="8"/>
      <c r="E19" s="8"/>
      <c r="F19" s="8"/>
      <c r="G19" s="8"/>
      <c r="H19" s="8"/>
      <c r="I19" s="8"/>
      <c r="J19" s="8"/>
      <c r="K19" s="8"/>
      <c r="L19" s="79"/>
      <c r="M19" s="73">
        <f t="shared" si="5"/>
        <v>0</v>
      </c>
    </row>
    <row r="20" spans="1:13" x14ac:dyDescent="0.25">
      <c r="A20" s="23"/>
      <c r="B20" s="47" t="s">
        <v>22</v>
      </c>
      <c r="C20" s="48"/>
      <c r="D20" s="49"/>
      <c r="E20" s="49"/>
      <c r="F20" s="49"/>
      <c r="G20" s="49"/>
      <c r="H20" s="49"/>
      <c r="I20" s="49"/>
      <c r="J20" s="49"/>
      <c r="K20" s="49"/>
      <c r="L20" s="80"/>
      <c r="M20" s="91"/>
    </row>
    <row r="21" spans="1:13" x14ac:dyDescent="0.25">
      <c r="A21" s="23" t="s">
        <v>23</v>
      </c>
      <c r="B21" s="46" t="s">
        <v>348</v>
      </c>
      <c r="C21" s="7"/>
      <c r="D21" s="8"/>
      <c r="E21" s="8"/>
      <c r="F21" s="8"/>
      <c r="G21" s="8"/>
      <c r="H21" s="8"/>
      <c r="I21" s="8"/>
      <c r="J21" s="8"/>
      <c r="K21" s="8"/>
      <c r="L21" s="79"/>
      <c r="M21" s="73">
        <f t="shared" si="5"/>
        <v>0</v>
      </c>
    </row>
    <row r="22" spans="1:13" x14ac:dyDescent="0.25">
      <c r="A22" s="23"/>
      <c r="B22" s="43" t="s">
        <v>198</v>
      </c>
      <c r="C22" s="7"/>
      <c r="D22" s="8"/>
      <c r="E22" s="8"/>
      <c r="F22" s="8"/>
      <c r="G22" s="8"/>
      <c r="H22" s="8"/>
      <c r="I22" s="8"/>
      <c r="J22" s="8"/>
      <c r="K22" s="8"/>
      <c r="L22" s="79"/>
      <c r="M22" s="73">
        <f t="shared" si="5"/>
        <v>0</v>
      </c>
    </row>
    <row r="23" spans="1:13" x14ac:dyDescent="0.25">
      <c r="A23" s="23"/>
      <c r="B23" s="47" t="s">
        <v>192</v>
      </c>
      <c r="C23" s="48"/>
      <c r="D23" s="49"/>
      <c r="E23" s="49"/>
      <c r="F23" s="49"/>
      <c r="G23" s="49"/>
      <c r="H23" s="49"/>
      <c r="I23" s="49"/>
      <c r="J23" s="49"/>
      <c r="K23" s="49"/>
      <c r="L23" s="80"/>
      <c r="M23" s="91"/>
    </row>
    <row r="24" spans="1:13" x14ac:dyDescent="0.25">
      <c r="A24" s="23" t="s">
        <v>26</v>
      </c>
      <c r="B24" s="46" t="s">
        <v>349</v>
      </c>
      <c r="C24" s="7"/>
      <c r="D24" s="8"/>
      <c r="E24" s="8"/>
      <c r="F24" s="8"/>
      <c r="G24" s="8"/>
      <c r="H24" s="8"/>
      <c r="I24" s="8"/>
      <c r="J24" s="8"/>
      <c r="K24" s="8"/>
      <c r="L24" s="79"/>
      <c r="M24" s="73">
        <f t="shared" si="5"/>
        <v>0</v>
      </c>
    </row>
    <row r="25" spans="1:13" x14ac:dyDescent="0.25">
      <c r="A25" s="23"/>
      <c r="B25" s="43" t="s">
        <v>198</v>
      </c>
      <c r="C25" s="7"/>
      <c r="D25" s="8"/>
      <c r="E25" s="8"/>
      <c r="F25" s="8"/>
      <c r="G25" s="8"/>
      <c r="H25" s="8"/>
      <c r="I25" s="8"/>
      <c r="J25" s="8"/>
      <c r="K25" s="8"/>
      <c r="L25" s="79"/>
      <c r="M25" s="73">
        <f t="shared" si="5"/>
        <v>0</v>
      </c>
    </row>
    <row r="26" spans="1:13" x14ac:dyDescent="0.25">
      <c r="A26" s="23" t="s">
        <v>28</v>
      </c>
      <c r="B26" s="46" t="s">
        <v>350</v>
      </c>
      <c r="C26" s="7"/>
      <c r="D26" s="8"/>
      <c r="E26" s="8"/>
      <c r="F26" s="8"/>
      <c r="G26" s="8"/>
      <c r="H26" s="8"/>
      <c r="I26" s="8"/>
      <c r="J26" s="8"/>
      <c r="K26" s="8"/>
      <c r="L26" s="79"/>
      <c r="M26" s="73">
        <f t="shared" si="5"/>
        <v>0</v>
      </c>
    </row>
    <row r="27" spans="1:13" x14ac:dyDescent="0.25">
      <c r="A27" s="23"/>
      <c r="B27" s="43" t="s">
        <v>198</v>
      </c>
      <c r="C27" s="7"/>
      <c r="D27" s="8"/>
      <c r="E27" s="8"/>
      <c r="F27" s="8"/>
      <c r="G27" s="8"/>
      <c r="H27" s="8"/>
      <c r="I27" s="8"/>
      <c r="J27" s="8"/>
      <c r="K27" s="8"/>
      <c r="L27" s="79"/>
      <c r="M27" s="73">
        <f t="shared" si="5"/>
        <v>0</v>
      </c>
    </row>
    <row r="28" spans="1:13" x14ac:dyDescent="0.25">
      <c r="A28" s="23" t="s">
        <v>30</v>
      </c>
      <c r="B28" s="46" t="s">
        <v>351</v>
      </c>
      <c r="C28" s="7"/>
      <c r="D28" s="8"/>
      <c r="E28" s="8"/>
      <c r="F28" s="8"/>
      <c r="G28" s="8"/>
      <c r="H28" s="8"/>
      <c r="I28" s="8"/>
      <c r="J28" s="8"/>
      <c r="K28" s="8"/>
      <c r="L28" s="79"/>
      <c r="M28" s="73">
        <f t="shared" si="5"/>
        <v>0</v>
      </c>
    </row>
    <row r="29" spans="1:13" x14ac:dyDescent="0.25">
      <c r="A29" s="23"/>
      <c r="B29" s="43" t="s">
        <v>198</v>
      </c>
      <c r="C29" s="7"/>
      <c r="D29" s="8"/>
      <c r="E29" s="8"/>
      <c r="F29" s="8"/>
      <c r="G29" s="8"/>
      <c r="H29" s="8"/>
      <c r="I29" s="8"/>
      <c r="J29" s="8"/>
      <c r="K29" s="8"/>
      <c r="L29" s="79"/>
      <c r="M29" s="73">
        <f t="shared" si="5"/>
        <v>0</v>
      </c>
    </row>
    <row r="30" spans="1:13" ht="30" x14ac:dyDescent="0.25">
      <c r="A30" s="23" t="s">
        <v>38</v>
      </c>
      <c r="B30" s="25" t="s">
        <v>39</v>
      </c>
      <c r="C30" s="7"/>
      <c r="D30" s="8"/>
      <c r="E30" s="8"/>
      <c r="F30" s="8"/>
      <c r="G30" s="8"/>
      <c r="H30" s="8"/>
      <c r="I30" s="8"/>
      <c r="J30" s="8"/>
      <c r="K30" s="8"/>
      <c r="L30" s="79"/>
      <c r="M30" s="91"/>
    </row>
    <row r="31" spans="1:13" ht="30" x14ac:dyDescent="0.25">
      <c r="A31" s="23" t="s">
        <v>40</v>
      </c>
      <c r="B31" s="25" t="s">
        <v>41</v>
      </c>
      <c r="C31" s="7"/>
      <c r="D31" s="8"/>
      <c r="E31" s="8"/>
      <c r="F31" s="8"/>
      <c r="G31" s="8"/>
      <c r="H31" s="8"/>
      <c r="I31" s="8"/>
      <c r="J31" s="8"/>
      <c r="K31" s="8"/>
      <c r="L31" s="79"/>
      <c r="M31" s="91"/>
    </row>
    <row r="32" spans="1:13" ht="45" x14ac:dyDescent="0.25">
      <c r="A32" s="23" t="s">
        <v>42</v>
      </c>
      <c r="B32" s="25" t="s">
        <v>396</v>
      </c>
      <c r="C32" s="7"/>
      <c r="D32" s="8"/>
      <c r="E32" s="8"/>
      <c r="F32" s="8"/>
      <c r="G32" s="8"/>
      <c r="H32" s="8"/>
      <c r="I32" s="8"/>
      <c r="J32" s="8"/>
      <c r="K32" s="8"/>
      <c r="L32" s="79"/>
      <c r="M32" s="91"/>
    </row>
    <row r="33" spans="1:13" ht="45" x14ac:dyDescent="0.25">
      <c r="A33" s="23" t="s">
        <v>44</v>
      </c>
      <c r="B33" s="43" t="s">
        <v>380</v>
      </c>
      <c r="C33" s="7"/>
      <c r="D33" s="8"/>
      <c r="E33" s="8"/>
      <c r="F33" s="8"/>
      <c r="G33" s="8"/>
      <c r="H33" s="8"/>
      <c r="I33" s="8"/>
      <c r="J33" s="8"/>
      <c r="K33" s="8"/>
      <c r="L33" s="79"/>
      <c r="M33" s="91"/>
    </row>
    <row r="34" spans="1:13" x14ac:dyDescent="0.25">
      <c r="A34" s="23"/>
      <c r="B34" s="43" t="s">
        <v>193</v>
      </c>
      <c r="C34" s="7"/>
      <c r="D34" s="8"/>
      <c r="E34" s="8"/>
      <c r="F34" s="8"/>
      <c r="G34" s="8"/>
      <c r="H34" s="8"/>
      <c r="I34" s="8"/>
      <c r="J34" s="8"/>
      <c r="K34" s="8"/>
      <c r="L34" s="79"/>
      <c r="M34" s="91"/>
    </row>
    <row r="35" spans="1:13" x14ac:dyDescent="0.25">
      <c r="A35" s="23"/>
      <c r="B35" s="43" t="s">
        <v>194</v>
      </c>
      <c r="C35" s="7"/>
      <c r="D35" s="8"/>
      <c r="E35" s="8"/>
      <c r="F35" s="8"/>
      <c r="G35" s="8"/>
      <c r="H35" s="8"/>
      <c r="I35" s="8"/>
      <c r="J35" s="8"/>
      <c r="K35" s="8"/>
      <c r="L35" s="79"/>
      <c r="M35" s="91"/>
    </row>
    <row r="36" spans="1:13" x14ac:dyDescent="0.25">
      <c r="A36" s="23"/>
      <c r="B36" s="43" t="s">
        <v>397</v>
      </c>
      <c r="C36" s="48"/>
      <c r="D36" s="49"/>
      <c r="E36" s="49"/>
      <c r="F36" s="49"/>
      <c r="G36" s="49"/>
      <c r="H36" s="49"/>
      <c r="I36" s="49"/>
      <c r="J36" s="49"/>
      <c r="K36" s="49"/>
      <c r="L36" s="80"/>
      <c r="M36" s="91"/>
    </row>
    <row r="37" spans="1:13" x14ac:dyDescent="0.25">
      <c r="A37" s="23"/>
      <c r="B37" s="43" t="s">
        <v>195</v>
      </c>
      <c r="C37" s="7"/>
      <c r="D37" s="8"/>
      <c r="E37" s="8"/>
      <c r="F37" s="8"/>
      <c r="G37" s="8"/>
      <c r="H37" s="8"/>
      <c r="I37" s="8"/>
      <c r="J37" s="8"/>
      <c r="K37" s="8"/>
      <c r="L37" s="79"/>
      <c r="M37" s="91"/>
    </row>
    <row r="38" spans="1:13" ht="45" x14ac:dyDescent="0.25">
      <c r="A38" s="23" t="s">
        <v>45</v>
      </c>
      <c r="B38" s="25" t="s">
        <v>386</v>
      </c>
      <c r="C38" s="7"/>
      <c r="D38" s="8"/>
      <c r="E38" s="8"/>
      <c r="F38" s="8"/>
      <c r="G38" s="8"/>
      <c r="H38" s="8"/>
      <c r="I38" s="8"/>
      <c r="J38" s="8"/>
      <c r="K38" s="8"/>
      <c r="L38" s="79"/>
      <c r="M38" s="91"/>
    </row>
    <row r="39" spans="1:13" x14ac:dyDescent="0.25">
      <c r="A39" s="23" t="s">
        <v>46</v>
      </c>
      <c r="B39" s="25" t="s">
        <v>387</v>
      </c>
      <c r="C39" s="7"/>
      <c r="D39" s="8"/>
      <c r="E39" s="8"/>
      <c r="F39" s="8"/>
      <c r="G39" s="8"/>
      <c r="H39" s="8"/>
      <c r="I39" s="8"/>
      <c r="J39" s="8"/>
      <c r="K39" s="8"/>
      <c r="L39" s="79"/>
      <c r="M39" s="91"/>
    </row>
    <row r="40" spans="1:13" ht="30" x14ac:dyDescent="0.25">
      <c r="A40" s="23" t="s">
        <v>47</v>
      </c>
      <c r="B40" s="25" t="s">
        <v>388</v>
      </c>
      <c r="C40" s="7"/>
      <c r="D40" s="8"/>
      <c r="E40" s="8"/>
      <c r="F40" s="8"/>
      <c r="G40" s="8"/>
      <c r="H40" s="8"/>
      <c r="I40" s="8"/>
      <c r="J40" s="8"/>
      <c r="K40" s="8"/>
      <c r="L40" s="79"/>
      <c r="M40" s="91"/>
    </row>
    <row r="41" spans="1:13" x14ac:dyDescent="0.25">
      <c r="A41" s="23" t="s">
        <v>48</v>
      </c>
      <c r="B41" s="25" t="s">
        <v>49</v>
      </c>
      <c r="C41" s="7"/>
      <c r="D41" s="73">
        <f>SUM(C42:C45)</f>
        <v>0</v>
      </c>
      <c r="E41" s="73">
        <f t="shared" ref="E41:L41" si="6">SUM(D42:D45)</f>
        <v>0</v>
      </c>
      <c r="F41" s="73">
        <f t="shared" si="6"/>
        <v>0</v>
      </c>
      <c r="G41" s="73">
        <f t="shared" si="6"/>
        <v>0</v>
      </c>
      <c r="H41" s="73">
        <f t="shared" si="6"/>
        <v>0</v>
      </c>
      <c r="I41" s="73">
        <f t="shared" si="6"/>
        <v>0</v>
      </c>
      <c r="J41" s="73">
        <f t="shared" si="6"/>
        <v>0</v>
      </c>
      <c r="K41" s="73">
        <f t="shared" si="6"/>
        <v>0</v>
      </c>
      <c r="L41" s="81">
        <f t="shared" si="6"/>
        <v>0</v>
      </c>
      <c r="M41" s="91"/>
    </row>
    <row r="42" spans="1:13" x14ac:dyDescent="0.25">
      <c r="A42" s="23" t="s">
        <v>50</v>
      </c>
      <c r="B42" s="41" t="s">
        <v>333</v>
      </c>
      <c r="C42" s="7"/>
      <c r="D42" s="8"/>
      <c r="E42" s="8"/>
      <c r="F42" s="8"/>
      <c r="G42" s="8"/>
      <c r="H42" s="8"/>
      <c r="I42" s="8"/>
      <c r="J42" s="8"/>
      <c r="K42" s="8"/>
      <c r="L42" s="79"/>
      <c r="M42" s="91"/>
    </row>
    <row r="43" spans="1:13" x14ac:dyDescent="0.25">
      <c r="A43" s="23"/>
      <c r="B43" s="42" t="s">
        <v>53</v>
      </c>
      <c r="C43" s="7"/>
      <c r="D43" s="8"/>
      <c r="E43" s="8"/>
      <c r="F43" s="8"/>
      <c r="G43" s="8"/>
      <c r="H43" s="8"/>
      <c r="I43" s="8"/>
      <c r="J43" s="8"/>
      <c r="K43" s="8"/>
      <c r="L43" s="79"/>
      <c r="M43" s="91"/>
    </row>
    <row r="44" spans="1:13" x14ac:dyDescent="0.25">
      <c r="A44" s="23"/>
      <c r="B44" s="42" t="s">
        <v>54</v>
      </c>
      <c r="C44" s="7"/>
      <c r="D44" s="8"/>
      <c r="E44" s="8"/>
      <c r="F44" s="8"/>
      <c r="G44" s="8"/>
      <c r="H44" s="8"/>
      <c r="I44" s="8"/>
      <c r="J44" s="8"/>
      <c r="K44" s="8"/>
      <c r="L44" s="79"/>
      <c r="M44" s="91"/>
    </row>
    <row r="45" spans="1:13" x14ac:dyDescent="0.25">
      <c r="A45" s="23"/>
      <c r="B45" s="43" t="s">
        <v>55</v>
      </c>
      <c r="C45" s="7"/>
      <c r="D45" s="8"/>
      <c r="E45" s="8"/>
      <c r="F45" s="8"/>
      <c r="G45" s="8"/>
      <c r="H45" s="8"/>
      <c r="I45" s="8"/>
      <c r="J45" s="8"/>
      <c r="K45" s="8"/>
      <c r="L45" s="79"/>
      <c r="M45" s="91"/>
    </row>
    <row r="46" spans="1:13" x14ac:dyDescent="0.25">
      <c r="A46" s="23" t="s">
        <v>56</v>
      </c>
      <c r="B46" s="44" t="s">
        <v>334</v>
      </c>
      <c r="C46" s="7"/>
      <c r="D46" s="8"/>
      <c r="E46" s="8"/>
      <c r="F46" s="8"/>
      <c r="G46" s="8"/>
      <c r="H46" s="8"/>
      <c r="I46" s="8"/>
      <c r="J46" s="8"/>
      <c r="K46" s="8"/>
      <c r="L46" s="79"/>
      <c r="M46" s="73">
        <f t="shared" ref="M46:M62" si="7">SUM(C46:L46)</f>
        <v>0</v>
      </c>
    </row>
    <row r="47" spans="1:13" x14ac:dyDescent="0.25">
      <c r="A47" s="23"/>
      <c r="B47" s="45" t="s">
        <v>330</v>
      </c>
      <c r="C47" s="7"/>
      <c r="D47" s="8"/>
      <c r="E47" s="8"/>
      <c r="F47" s="8"/>
      <c r="G47" s="8"/>
      <c r="H47" s="8"/>
      <c r="I47" s="8"/>
      <c r="J47" s="8"/>
      <c r="K47" s="8"/>
      <c r="L47" s="79"/>
      <c r="M47" s="73">
        <f t="shared" si="7"/>
        <v>0</v>
      </c>
    </row>
    <row r="48" spans="1:13" x14ac:dyDescent="0.25">
      <c r="A48" s="23"/>
      <c r="B48" s="45" t="s">
        <v>331</v>
      </c>
      <c r="C48" s="7"/>
      <c r="D48" s="8"/>
      <c r="E48" s="8"/>
      <c r="F48" s="8"/>
      <c r="G48" s="8"/>
      <c r="H48" s="8"/>
      <c r="I48" s="8"/>
      <c r="J48" s="8"/>
      <c r="K48" s="8"/>
      <c r="L48" s="79"/>
      <c r="M48" s="73">
        <f t="shared" si="7"/>
        <v>0</v>
      </c>
    </row>
    <row r="49" spans="1:13" x14ac:dyDescent="0.25">
      <c r="A49" s="23"/>
      <c r="B49" s="45" t="s">
        <v>332</v>
      </c>
      <c r="C49" s="7"/>
      <c r="D49" s="8"/>
      <c r="E49" s="8"/>
      <c r="F49" s="8"/>
      <c r="G49" s="8"/>
      <c r="H49" s="8"/>
      <c r="I49" s="8"/>
      <c r="J49" s="8"/>
      <c r="K49" s="8"/>
      <c r="L49" s="79"/>
      <c r="M49" s="73">
        <f t="shared" si="7"/>
        <v>0</v>
      </c>
    </row>
    <row r="50" spans="1:13" ht="15.75" x14ac:dyDescent="0.25">
      <c r="A50" s="33" t="s">
        <v>58</v>
      </c>
      <c r="B50" s="32"/>
      <c r="C50" s="34"/>
      <c r="D50" s="35"/>
      <c r="E50" s="35"/>
      <c r="F50" s="35"/>
      <c r="G50" s="35"/>
      <c r="H50" s="35"/>
      <c r="I50" s="35"/>
      <c r="J50" s="35"/>
      <c r="K50" s="35"/>
      <c r="L50" s="77"/>
      <c r="M50" s="77"/>
    </row>
    <row r="51" spans="1:13" x14ac:dyDescent="0.25">
      <c r="A51" s="23" t="s">
        <v>7</v>
      </c>
      <c r="B51" s="24" t="s">
        <v>270</v>
      </c>
      <c r="C51" s="7"/>
      <c r="D51" s="8"/>
      <c r="E51" s="8"/>
      <c r="F51" s="8"/>
      <c r="G51" s="8"/>
      <c r="H51" s="8"/>
      <c r="I51" s="8"/>
      <c r="J51" s="8"/>
      <c r="K51" s="8"/>
      <c r="L51" s="79"/>
      <c r="M51" s="73">
        <f t="shared" si="7"/>
        <v>0</v>
      </c>
    </row>
    <row r="52" spans="1:13" x14ac:dyDescent="0.25">
      <c r="A52" s="23"/>
      <c r="B52" s="26" t="s">
        <v>196</v>
      </c>
      <c r="C52" s="7"/>
      <c r="D52" s="8"/>
      <c r="E52" s="8"/>
      <c r="F52" s="8"/>
      <c r="G52" s="8"/>
      <c r="H52" s="8"/>
      <c r="I52" s="8"/>
      <c r="J52" s="8"/>
      <c r="K52" s="8"/>
      <c r="L52" s="79"/>
      <c r="M52" s="73">
        <f t="shared" si="7"/>
        <v>0</v>
      </c>
    </row>
    <row r="53" spans="1:13" x14ac:dyDescent="0.25">
      <c r="A53" s="23"/>
      <c r="B53" s="24" t="s">
        <v>271</v>
      </c>
      <c r="C53" s="7"/>
      <c r="D53" s="8"/>
      <c r="E53" s="8"/>
      <c r="F53" s="8"/>
      <c r="G53" s="8"/>
      <c r="H53" s="8"/>
      <c r="I53" s="8"/>
      <c r="J53" s="8"/>
      <c r="K53" s="8"/>
      <c r="L53" s="79"/>
      <c r="M53" s="73">
        <f t="shared" si="7"/>
        <v>0</v>
      </c>
    </row>
    <row r="54" spans="1:13" x14ac:dyDescent="0.25">
      <c r="A54" s="23"/>
      <c r="B54" s="26" t="s">
        <v>196</v>
      </c>
      <c r="C54" s="7"/>
      <c r="D54" s="8"/>
      <c r="E54" s="8"/>
      <c r="F54" s="8"/>
      <c r="G54" s="8"/>
      <c r="H54" s="8"/>
      <c r="I54" s="8"/>
      <c r="J54" s="8"/>
      <c r="K54" s="8"/>
      <c r="L54" s="79"/>
      <c r="M54" s="73">
        <f t="shared" si="7"/>
        <v>0</v>
      </c>
    </row>
    <row r="55" spans="1:13" x14ac:dyDescent="0.25">
      <c r="A55" s="23"/>
      <c r="B55" s="24" t="s">
        <v>272</v>
      </c>
      <c r="C55" s="7"/>
      <c r="D55" s="8"/>
      <c r="E55" s="8"/>
      <c r="F55" s="8"/>
      <c r="G55" s="8"/>
      <c r="H55" s="8"/>
      <c r="I55" s="8"/>
      <c r="J55" s="8"/>
      <c r="K55" s="8"/>
      <c r="L55" s="79"/>
      <c r="M55" s="73">
        <f t="shared" si="7"/>
        <v>0</v>
      </c>
    </row>
    <row r="56" spans="1:13" x14ac:dyDescent="0.25">
      <c r="A56" s="23"/>
      <c r="B56" s="26" t="s">
        <v>196</v>
      </c>
      <c r="C56" s="7"/>
      <c r="D56" s="8"/>
      <c r="E56" s="8"/>
      <c r="F56" s="8"/>
      <c r="G56" s="8"/>
      <c r="H56" s="8"/>
      <c r="I56" s="8"/>
      <c r="J56" s="8"/>
      <c r="K56" s="8"/>
      <c r="L56" s="79"/>
      <c r="M56" s="73">
        <f t="shared" si="7"/>
        <v>0</v>
      </c>
    </row>
    <row r="57" spans="1:13" x14ac:dyDescent="0.25">
      <c r="A57" s="23"/>
      <c r="B57" s="24" t="s">
        <v>273</v>
      </c>
      <c r="C57" s="7"/>
      <c r="D57" s="8"/>
      <c r="E57" s="8"/>
      <c r="F57" s="8"/>
      <c r="G57" s="8"/>
      <c r="H57" s="8"/>
      <c r="I57" s="8"/>
      <c r="J57" s="8"/>
      <c r="K57" s="8"/>
      <c r="L57" s="79"/>
      <c r="M57" s="73">
        <f t="shared" si="7"/>
        <v>0</v>
      </c>
    </row>
    <row r="58" spans="1:13" x14ac:dyDescent="0.25">
      <c r="A58" s="23"/>
      <c r="B58" s="26" t="s">
        <v>196</v>
      </c>
      <c r="C58" s="7"/>
      <c r="D58" s="8"/>
      <c r="E58" s="8"/>
      <c r="F58" s="8"/>
      <c r="G58" s="8"/>
      <c r="H58" s="8"/>
      <c r="I58" s="8"/>
      <c r="J58" s="8"/>
      <c r="K58" s="8"/>
      <c r="L58" s="79"/>
      <c r="M58" s="73">
        <f t="shared" si="7"/>
        <v>0</v>
      </c>
    </row>
    <row r="59" spans="1:13" x14ac:dyDescent="0.25">
      <c r="A59" s="23"/>
      <c r="B59" s="25" t="s">
        <v>66</v>
      </c>
      <c r="C59" s="7"/>
      <c r="D59" s="8"/>
      <c r="E59" s="8"/>
      <c r="F59" s="8"/>
      <c r="G59" s="8"/>
      <c r="H59" s="8"/>
      <c r="I59" s="8"/>
      <c r="J59" s="8"/>
      <c r="K59" s="8"/>
      <c r="L59" s="79"/>
      <c r="M59" s="73">
        <f t="shared" si="7"/>
        <v>0</v>
      </c>
    </row>
    <row r="60" spans="1:13" x14ac:dyDescent="0.25">
      <c r="A60" s="23"/>
      <c r="B60" s="25" t="s">
        <v>68</v>
      </c>
      <c r="C60" s="7"/>
      <c r="D60" s="8"/>
      <c r="E60" s="8"/>
      <c r="F60" s="8"/>
      <c r="G60" s="8"/>
      <c r="H60" s="8"/>
      <c r="I60" s="8"/>
      <c r="J60" s="8"/>
      <c r="K60" s="8"/>
      <c r="L60" s="79"/>
      <c r="M60" s="73">
        <f t="shared" si="7"/>
        <v>0</v>
      </c>
    </row>
    <row r="61" spans="1:13" x14ac:dyDescent="0.25">
      <c r="A61" s="23"/>
      <c r="B61" s="25" t="s">
        <v>69</v>
      </c>
      <c r="C61" s="7"/>
      <c r="D61" s="8"/>
      <c r="E61" s="8"/>
      <c r="F61" s="8"/>
      <c r="G61" s="8"/>
      <c r="H61" s="8"/>
      <c r="I61" s="8"/>
      <c r="J61" s="8"/>
      <c r="K61" s="8"/>
      <c r="L61" s="79"/>
      <c r="M61" s="73">
        <f t="shared" si="7"/>
        <v>0</v>
      </c>
    </row>
    <row r="62" spans="1:13" x14ac:dyDescent="0.25">
      <c r="A62" s="23"/>
      <c r="B62" s="25" t="s">
        <v>70</v>
      </c>
      <c r="C62" s="7"/>
      <c r="D62" s="8"/>
      <c r="E62" s="8"/>
      <c r="F62" s="8"/>
      <c r="G62" s="8"/>
      <c r="H62" s="8"/>
      <c r="I62" s="8"/>
      <c r="J62" s="8"/>
      <c r="K62" s="8"/>
      <c r="L62" s="79"/>
      <c r="M62" s="73">
        <f t="shared" si="7"/>
        <v>0</v>
      </c>
    </row>
    <row r="63" spans="1:13" ht="30" x14ac:dyDescent="0.25">
      <c r="A63" s="23" t="s">
        <v>12</v>
      </c>
      <c r="B63" s="26" t="s">
        <v>197</v>
      </c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0">
        <f>SUM(C63:L63)/$N$2</f>
        <v>0</v>
      </c>
    </row>
    <row r="64" spans="1:13" x14ac:dyDescent="0.25">
      <c r="A64" s="23"/>
      <c r="B64" s="26" t="s">
        <v>196</v>
      </c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0">
        <f>SUM(C64:L64)/$N$2</f>
        <v>0</v>
      </c>
    </row>
    <row r="65" spans="1:13" ht="60" x14ac:dyDescent="0.25">
      <c r="A65" s="23" t="s">
        <v>14</v>
      </c>
      <c r="B65" s="26" t="s">
        <v>389</v>
      </c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0">
        <f t="shared" ref="M65:M91" si="8">SUM(C65:L65)/$N$2</f>
        <v>0</v>
      </c>
    </row>
    <row r="66" spans="1:13" x14ac:dyDescent="0.25">
      <c r="A66" s="23"/>
      <c r="B66" s="26" t="s">
        <v>196</v>
      </c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0">
        <f t="shared" si="8"/>
        <v>0</v>
      </c>
    </row>
    <row r="67" spans="1:13" x14ac:dyDescent="0.25">
      <c r="A67" s="23" t="s">
        <v>16</v>
      </c>
      <c r="B67" s="24" t="s">
        <v>335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0">
        <f t="shared" si="8"/>
        <v>0</v>
      </c>
    </row>
    <row r="68" spans="1:13" x14ac:dyDescent="0.25">
      <c r="A68" s="23"/>
      <c r="B68" s="26" t="s">
        <v>196</v>
      </c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0">
        <f t="shared" si="8"/>
        <v>0</v>
      </c>
    </row>
    <row r="69" spans="1:13" x14ac:dyDescent="0.25">
      <c r="A69" s="23"/>
      <c r="B69" s="24" t="s">
        <v>336</v>
      </c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0">
        <f t="shared" si="8"/>
        <v>0</v>
      </c>
    </row>
    <row r="70" spans="1:13" x14ac:dyDescent="0.25">
      <c r="A70" s="23"/>
      <c r="B70" s="26" t="s">
        <v>196</v>
      </c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0">
        <f t="shared" si="8"/>
        <v>0</v>
      </c>
    </row>
    <row r="71" spans="1:13" x14ac:dyDescent="0.25">
      <c r="A71" s="23"/>
      <c r="B71" s="24" t="s">
        <v>337</v>
      </c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0">
        <f t="shared" si="8"/>
        <v>0</v>
      </c>
    </row>
    <row r="72" spans="1:13" x14ac:dyDescent="0.25">
      <c r="A72" s="23"/>
      <c r="B72" s="26" t="s">
        <v>196</v>
      </c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0">
        <f t="shared" si="8"/>
        <v>0</v>
      </c>
    </row>
    <row r="73" spans="1:13" x14ac:dyDescent="0.25">
      <c r="A73" s="23"/>
      <c r="B73" s="24" t="s">
        <v>338</v>
      </c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0">
        <f t="shared" si="8"/>
        <v>0</v>
      </c>
    </row>
    <row r="74" spans="1:13" x14ac:dyDescent="0.25">
      <c r="A74" s="23"/>
      <c r="B74" s="26" t="s">
        <v>196</v>
      </c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0">
        <f t="shared" si="8"/>
        <v>0</v>
      </c>
    </row>
    <row r="75" spans="1:13" x14ac:dyDescent="0.25">
      <c r="A75" s="23"/>
      <c r="B75" s="24" t="s">
        <v>339</v>
      </c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0">
        <f t="shared" si="8"/>
        <v>0</v>
      </c>
    </row>
    <row r="76" spans="1:13" x14ac:dyDescent="0.25">
      <c r="A76" s="23"/>
      <c r="B76" s="26" t="s">
        <v>196</v>
      </c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0">
        <f t="shared" si="8"/>
        <v>0</v>
      </c>
    </row>
    <row r="77" spans="1:13" x14ac:dyDescent="0.25">
      <c r="A77" s="23"/>
      <c r="B77" s="24" t="s">
        <v>340</v>
      </c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0">
        <f t="shared" si="8"/>
        <v>0</v>
      </c>
    </row>
    <row r="78" spans="1:13" x14ac:dyDescent="0.25">
      <c r="A78" s="23"/>
      <c r="B78" s="26" t="s">
        <v>196</v>
      </c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0">
        <f t="shared" si="8"/>
        <v>0</v>
      </c>
    </row>
    <row r="79" spans="1:13" x14ac:dyDescent="0.25">
      <c r="A79" s="23"/>
      <c r="B79" s="24" t="s">
        <v>341</v>
      </c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0">
        <f t="shared" si="8"/>
        <v>0</v>
      </c>
    </row>
    <row r="80" spans="1:13" x14ac:dyDescent="0.25">
      <c r="A80" s="23"/>
      <c r="B80" s="26" t="s">
        <v>196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0">
        <f t="shared" si="8"/>
        <v>0</v>
      </c>
    </row>
    <row r="81" spans="1:13" x14ac:dyDescent="0.25">
      <c r="A81" s="23"/>
      <c r="B81" s="24" t="s">
        <v>342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0">
        <f t="shared" si="8"/>
        <v>0</v>
      </c>
    </row>
    <row r="82" spans="1:13" x14ac:dyDescent="0.25">
      <c r="A82" s="23"/>
      <c r="B82" s="26" t="s">
        <v>196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0">
        <f t="shared" si="8"/>
        <v>0</v>
      </c>
    </row>
    <row r="83" spans="1:13" x14ac:dyDescent="0.25">
      <c r="A83" s="23"/>
      <c r="B83" s="24" t="s">
        <v>343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0">
        <f t="shared" si="8"/>
        <v>0</v>
      </c>
    </row>
    <row r="84" spans="1:13" x14ac:dyDescent="0.25">
      <c r="A84" s="23"/>
      <c r="B84" s="26" t="s">
        <v>196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0">
        <f t="shared" si="8"/>
        <v>0</v>
      </c>
    </row>
    <row r="85" spans="1:13" ht="30" x14ac:dyDescent="0.25">
      <c r="A85" s="23" t="s">
        <v>18</v>
      </c>
      <c r="B85" s="25" t="s">
        <v>390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0">
        <f t="shared" si="8"/>
        <v>0</v>
      </c>
    </row>
    <row r="86" spans="1:13" x14ac:dyDescent="0.25">
      <c r="A86" s="23"/>
      <c r="B86" s="26" t="s">
        <v>196</v>
      </c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0">
        <f t="shared" si="8"/>
        <v>0</v>
      </c>
    </row>
    <row r="87" spans="1:13" ht="45" x14ac:dyDescent="0.25">
      <c r="A87" s="23" t="s">
        <v>20</v>
      </c>
      <c r="B87" s="25" t="s">
        <v>391</v>
      </c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0">
        <f t="shared" si="8"/>
        <v>0</v>
      </c>
    </row>
    <row r="88" spans="1:13" x14ac:dyDescent="0.25">
      <c r="A88" s="23"/>
      <c r="B88" s="26" t="s">
        <v>196</v>
      </c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0">
        <f t="shared" si="8"/>
        <v>0</v>
      </c>
    </row>
    <row r="89" spans="1:13" ht="30" x14ac:dyDescent="0.25">
      <c r="A89" s="23" t="s">
        <v>23</v>
      </c>
      <c r="B89" s="25" t="s">
        <v>82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3">
        <f t="shared" ref="M89" si="9">SUM(C89:L89)</f>
        <v>0</v>
      </c>
    </row>
    <row r="90" spans="1:13" x14ac:dyDescent="0.25">
      <c r="A90" s="23" t="s">
        <v>26</v>
      </c>
      <c r="B90" s="25" t="s">
        <v>392</v>
      </c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0">
        <f t="shared" si="8"/>
        <v>0</v>
      </c>
    </row>
    <row r="91" spans="1:13" x14ac:dyDescent="0.25">
      <c r="A91" s="23"/>
      <c r="B91" s="26" t="s">
        <v>198</v>
      </c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0">
        <f t="shared" si="8"/>
        <v>0</v>
      </c>
    </row>
    <row r="92" spans="1:13" ht="15.75" x14ac:dyDescent="0.25">
      <c r="A92" s="33" t="s">
        <v>85</v>
      </c>
      <c r="B92" s="32"/>
      <c r="C92" s="34"/>
      <c r="D92" s="35"/>
      <c r="E92" s="35"/>
      <c r="F92" s="35"/>
      <c r="G92" s="35"/>
      <c r="H92" s="35"/>
      <c r="I92" s="35"/>
      <c r="J92" s="35"/>
      <c r="K92" s="35"/>
      <c r="L92" s="77"/>
      <c r="M92" s="77"/>
    </row>
    <row r="93" spans="1:13" x14ac:dyDescent="0.25">
      <c r="A93" s="23" t="s">
        <v>7</v>
      </c>
      <c r="B93" s="25" t="s">
        <v>86</v>
      </c>
      <c r="C93" s="7"/>
      <c r="D93" s="8"/>
      <c r="E93" s="8"/>
      <c r="F93" s="8"/>
      <c r="G93" s="8"/>
      <c r="H93" s="8"/>
      <c r="I93" s="8"/>
      <c r="J93" s="8"/>
      <c r="K93" s="8"/>
      <c r="L93" s="79"/>
      <c r="M93" s="73">
        <f t="shared" ref="M93:M103" si="10">SUM(C93:L93)</f>
        <v>0</v>
      </c>
    </row>
    <row r="94" spans="1:13" x14ac:dyDescent="0.25">
      <c r="A94" s="23"/>
      <c r="B94" s="25" t="s">
        <v>87</v>
      </c>
      <c r="C94" s="7"/>
      <c r="D94" s="8"/>
      <c r="E94" s="8"/>
      <c r="F94" s="8"/>
      <c r="G94" s="8"/>
      <c r="H94" s="8"/>
      <c r="I94" s="8"/>
      <c r="J94" s="8"/>
      <c r="K94" s="8"/>
      <c r="L94" s="79"/>
      <c r="M94" s="73">
        <f t="shared" si="10"/>
        <v>0</v>
      </c>
    </row>
    <row r="95" spans="1:13" x14ac:dyDescent="0.25">
      <c r="A95" s="23"/>
      <c r="B95" s="25" t="s">
        <v>88</v>
      </c>
      <c r="C95" s="7"/>
      <c r="D95" s="8"/>
      <c r="E95" s="8"/>
      <c r="F95" s="8"/>
      <c r="G95" s="8"/>
      <c r="H95" s="8"/>
      <c r="I95" s="8"/>
      <c r="J95" s="8"/>
      <c r="K95" s="8"/>
      <c r="L95" s="79"/>
      <c r="M95" s="73">
        <f t="shared" si="10"/>
        <v>0</v>
      </c>
    </row>
    <row r="96" spans="1:13" x14ac:dyDescent="0.25">
      <c r="A96" s="23"/>
      <c r="B96" s="25" t="s">
        <v>89</v>
      </c>
      <c r="C96" s="7"/>
      <c r="D96" s="8"/>
      <c r="E96" s="8"/>
      <c r="F96" s="8"/>
      <c r="G96" s="8"/>
      <c r="H96" s="8"/>
      <c r="I96" s="8"/>
      <c r="J96" s="8"/>
      <c r="K96" s="8"/>
      <c r="L96" s="79"/>
      <c r="M96" s="73">
        <f t="shared" si="10"/>
        <v>0</v>
      </c>
    </row>
    <row r="97" spans="1:13" x14ac:dyDescent="0.25">
      <c r="A97" s="23"/>
      <c r="B97" s="25" t="s">
        <v>90</v>
      </c>
      <c r="C97" s="7"/>
      <c r="D97" s="8"/>
      <c r="E97" s="8"/>
      <c r="F97" s="8"/>
      <c r="G97" s="8"/>
      <c r="H97" s="8"/>
      <c r="I97" s="8"/>
      <c r="J97" s="8"/>
      <c r="K97" s="8"/>
      <c r="L97" s="79"/>
      <c r="M97" s="73">
        <f t="shared" si="10"/>
        <v>0</v>
      </c>
    </row>
    <row r="98" spans="1:13" x14ac:dyDescent="0.25">
      <c r="A98" s="23"/>
      <c r="B98" s="25" t="s">
        <v>199</v>
      </c>
      <c r="C98" s="48"/>
      <c r="D98" s="49"/>
      <c r="E98" s="49"/>
      <c r="F98" s="49"/>
      <c r="G98" s="49"/>
      <c r="H98" s="49"/>
      <c r="I98" s="49"/>
      <c r="J98" s="49"/>
      <c r="K98" s="49"/>
      <c r="L98" s="80"/>
      <c r="M98" s="91"/>
    </row>
    <row r="99" spans="1:13" x14ac:dyDescent="0.25">
      <c r="A99" s="23"/>
      <c r="B99" s="25" t="s">
        <v>200</v>
      </c>
      <c r="C99" s="7"/>
      <c r="D99" s="8"/>
      <c r="E99" s="8"/>
      <c r="F99" s="8"/>
      <c r="G99" s="8"/>
      <c r="H99" s="8"/>
      <c r="I99" s="8"/>
      <c r="J99" s="8"/>
      <c r="K99" s="8"/>
      <c r="L99" s="79"/>
      <c r="M99" s="73">
        <f t="shared" si="10"/>
        <v>0</v>
      </c>
    </row>
    <row r="100" spans="1:13" x14ac:dyDescent="0.25">
      <c r="A100" s="23"/>
      <c r="B100" s="25" t="s">
        <v>201</v>
      </c>
      <c r="C100" s="48"/>
      <c r="D100" s="49"/>
      <c r="E100" s="49"/>
      <c r="F100" s="49"/>
      <c r="G100" s="49"/>
      <c r="H100" s="49"/>
      <c r="I100" s="49"/>
      <c r="J100" s="49"/>
      <c r="K100" s="49"/>
      <c r="L100" s="80"/>
      <c r="M100" s="91"/>
    </row>
    <row r="101" spans="1:13" x14ac:dyDescent="0.25">
      <c r="A101" s="23"/>
      <c r="B101" s="25" t="s">
        <v>200</v>
      </c>
      <c r="C101" s="7"/>
      <c r="D101" s="8"/>
      <c r="E101" s="8"/>
      <c r="F101" s="8"/>
      <c r="G101" s="8"/>
      <c r="H101" s="8"/>
      <c r="I101" s="8"/>
      <c r="J101" s="8"/>
      <c r="K101" s="8"/>
      <c r="L101" s="79"/>
      <c r="M101" s="73">
        <f t="shared" si="10"/>
        <v>0</v>
      </c>
    </row>
    <row r="102" spans="1:13" x14ac:dyDescent="0.25">
      <c r="A102" s="23" t="s">
        <v>12</v>
      </c>
      <c r="B102" s="25" t="s">
        <v>91</v>
      </c>
      <c r="C102" s="7"/>
      <c r="D102" s="8"/>
      <c r="E102" s="8"/>
      <c r="F102" s="8"/>
      <c r="G102" s="8"/>
      <c r="H102" s="8"/>
      <c r="I102" s="8"/>
      <c r="J102" s="8"/>
      <c r="K102" s="8"/>
      <c r="L102" s="79"/>
      <c r="M102" s="73">
        <f t="shared" si="10"/>
        <v>0</v>
      </c>
    </row>
    <row r="103" spans="1:13" x14ac:dyDescent="0.25">
      <c r="A103" s="23" t="s">
        <v>14</v>
      </c>
      <c r="B103" s="25" t="s">
        <v>92</v>
      </c>
      <c r="C103" s="7"/>
      <c r="D103" s="8"/>
      <c r="E103" s="8"/>
      <c r="F103" s="8"/>
      <c r="G103" s="8"/>
      <c r="H103" s="8"/>
      <c r="I103" s="8"/>
      <c r="J103" s="8"/>
      <c r="K103" s="8"/>
      <c r="L103" s="79"/>
      <c r="M103" s="73">
        <f t="shared" si="10"/>
        <v>0</v>
      </c>
    </row>
    <row r="104" spans="1:13" ht="30" x14ac:dyDescent="0.25">
      <c r="A104" s="23" t="s">
        <v>16</v>
      </c>
      <c r="B104" s="25" t="s">
        <v>93</v>
      </c>
      <c r="C104" s="11"/>
      <c r="D104" s="12"/>
      <c r="E104" s="12"/>
      <c r="F104" s="12"/>
      <c r="G104" s="12"/>
      <c r="H104" s="12"/>
      <c r="I104" s="12"/>
      <c r="J104" s="12"/>
      <c r="K104" s="12"/>
      <c r="L104" s="82"/>
      <c r="M104" s="91"/>
    </row>
    <row r="105" spans="1:13" ht="30" x14ac:dyDescent="0.25">
      <c r="A105" s="23"/>
      <c r="B105" s="25" t="s">
        <v>94</v>
      </c>
      <c r="C105" s="48"/>
      <c r="D105" s="48"/>
      <c r="E105" s="48"/>
      <c r="F105" s="48"/>
      <c r="G105" s="48"/>
      <c r="H105" s="48"/>
      <c r="I105" s="48"/>
      <c r="J105" s="48"/>
      <c r="K105" s="48"/>
      <c r="L105" s="83"/>
      <c r="M105" s="91"/>
    </row>
    <row r="106" spans="1:13" x14ac:dyDescent="0.25">
      <c r="A106" s="23"/>
      <c r="B106" s="25" t="s">
        <v>95</v>
      </c>
      <c r="C106" s="7"/>
      <c r="D106" s="8"/>
      <c r="E106" s="8"/>
      <c r="F106" s="8"/>
      <c r="G106" s="8"/>
      <c r="H106" s="8"/>
      <c r="I106" s="8"/>
      <c r="J106" s="8"/>
      <c r="K106" s="8"/>
      <c r="L106" s="79"/>
      <c r="M106" s="90">
        <f t="shared" ref="M106" si="11">SUM(C106:L106)/$N$2</f>
        <v>0</v>
      </c>
    </row>
    <row r="107" spans="1:13" ht="30" x14ac:dyDescent="0.25">
      <c r="A107" s="23" t="s">
        <v>18</v>
      </c>
      <c r="B107" s="26" t="s">
        <v>381</v>
      </c>
      <c r="C107" s="7"/>
      <c r="D107" s="8"/>
      <c r="E107" s="8"/>
      <c r="F107" s="8"/>
      <c r="G107" s="8"/>
      <c r="H107" s="8"/>
      <c r="I107" s="8"/>
      <c r="J107" s="8"/>
      <c r="K107" s="8"/>
      <c r="L107" s="79"/>
      <c r="M107" s="73">
        <f t="shared" ref="M107:M108" si="12">SUM(C107:L107)</f>
        <v>0</v>
      </c>
    </row>
    <row r="108" spans="1:13" x14ac:dyDescent="0.25">
      <c r="A108" s="23"/>
      <c r="B108" s="70" t="s">
        <v>96</v>
      </c>
      <c r="C108" s="7"/>
      <c r="D108" s="8"/>
      <c r="E108" s="8"/>
      <c r="F108" s="8"/>
      <c r="G108" s="8"/>
      <c r="H108" s="8"/>
      <c r="I108" s="8"/>
      <c r="J108" s="8"/>
      <c r="K108" s="8"/>
      <c r="L108" s="79"/>
      <c r="M108" s="73">
        <f t="shared" si="12"/>
        <v>0</v>
      </c>
    </row>
    <row r="109" spans="1:13" x14ac:dyDescent="0.25">
      <c r="A109" s="23" t="s">
        <v>20</v>
      </c>
      <c r="B109" s="25" t="s">
        <v>393</v>
      </c>
      <c r="C109" s="11"/>
      <c r="D109" s="11"/>
      <c r="E109" s="11"/>
      <c r="F109" s="11"/>
      <c r="G109" s="11"/>
      <c r="H109" s="11"/>
      <c r="I109" s="11"/>
      <c r="J109" s="11"/>
      <c r="K109" s="11"/>
      <c r="L109" s="84"/>
      <c r="M109" s="91"/>
    </row>
    <row r="110" spans="1:13" x14ac:dyDescent="0.25">
      <c r="A110" s="23" t="s">
        <v>23</v>
      </c>
      <c r="B110" s="25" t="s">
        <v>279</v>
      </c>
      <c r="C110" s="7"/>
      <c r="D110" s="8"/>
      <c r="E110" s="8"/>
      <c r="F110" s="8"/>
      <c r="G110" s="8"/>
      <c r="H110" s="8"/>
      <c r="I110" s="8"/>
      <c r="J110" s="8"/>
      <c r="K110" s="8"/>
      <c r="L110" s="79"/>
      <c r="M110" s="91"/>
    </row>
    <row r="111" spans="1:13" x14ac:dyDescent="0.25">
      <c r="A111" s="23"/>
      <c r="B111" s="25" t="s">
        <v>97</v>
      </c>
      <c r="C111" s="7"/>
      <c r="D111" s="8"/>
      <c r="E111" s="8"/>
      <c r="F111" s="8"/>
      <c r="G111" s="8"/>
      <c r="H111" s="8"/>
      <c r="I111" s="8"/>
      <c r="J111" s="8"/>
      <c r="K111" s="8"/>
      <c r="L111" s="79"/>
      <c r="M111" s="91"/>
    </row>
    <row r="112" spans="1:13" ht="30" x14ac:dyDescent="0.25">
      <c r="A112" s="23" t="s">
        <v>26</v>
      </c>
      <c r="B112" s="25" t="s">
        <v>98</v>
      </c>
      <c r="C112" s="7"/>
      <c r="D112" s="8"/>
      <c r="E112" s="8"/>
      <c r="F112" s="8"/>
      <c r="G112" s="8"/>
      <c r="H112" s="8"/>
      <c r="I112" s="8"/>
      <c r="J112" s="8"/>
      <c r="K112" s="8"/>
      <c r="L112" s="79"/>
      <c r="M112" s="73">
        <f t="shared" ref="M112:M113" si="13">SUM(C112:L112)</f>
        <v>0</v>
      </c>
    </row>
    <row r="113" spans="1:18" x14ac:dyDescent="0.25">
      <c r="A113" s="23" t="s">
        <v>28</v>
      </c>
      <c r="B113" s="25" t="s">
        <v>329</v>
      </c>
      <c r="C113" s="7"/>
      <c r="D113" s="8"/>
      <c r="E113" s="8"/>
      <c r="F113" s="8"/>
      <c r="G113" s="8"/>
      <c r="H113" s="8"/>
      <c r="I113" s="8"/>
      <c r="J113" s="8"/>
      <c r="K113" s="8"/>
      <c r="L113" s="79"/>
      <c r="M113" s="73">
        <f t="shared" si="13"/>
        <v>0</v>
      </c>
    </row>
    <row r="114" spans="1:18" ht="30" x14ac:dyDescent="0.25">
      <c r="A114" s="23"/>
      <c r="B114" s="25" t="s">
        <v>202</v>
      </c>
      <c r="C114" s="9"/>
      <c r="D114" s="10"/>
      <c r="E114" s="10"/>
      <c r="F114" s="10"/>
      <c r="G114" s="10"/>
      <c r="H114" s="10"/>
      <c r="I114" s="10"/>
      <c r="J114" s="10"/>
      <c r="K114" s="10"/>
      <c r="L114" s="85"/>
      <c r="M114" s="91"/>
    </row>
    <row r="115" spans="1:18" x14ac:dyDescent="0.25">
      <c r="A115" s="23" t="s">
        <v>30</v>
      </c>
      <c r="B115" s="25" t="s">
        <v>99</v>
      </c>
      <c r="C115" s="7"/>
      <c r="D115" s="8"/>
      <c r="E115" s="8"/>
      <c r="F115" s="8"/>
      <c r="G115" s="8"/>
      <c r="H115" s="8"/>
      <c r="I115" s="8"/>
      <c r="J115" s="8"/>
      <c r="K115" s="8"/>
      <c r="L115" s="79"/>
      <c r="M115" s="91"/>
    </row>
    <row r="116" spans="1:18" x14ac:dyDescent="0.25">
      <c r="A116" s="23" t="s">
        <v>32</v>
      </c>
      <c r="B116" s="25" t="s">
        <v>100</v>
      </c>
      <c r="C116" s="7"/>
      <c r="D116" s="8"/>
      <c r="E116" s="8"/>
      <c r="F116" s="8"/>
      <c r="G116" s="8"/>
      <c r="H116" s="8"/>
      <c r="I116" s="8"/>
      <c r="J116" s="8"/>
      <c r="K116" s="8"/>
      <c r="L116" s="79"/>
      <c r="M116" s="73">
        <f t="shared" ref="M116" si="14">SUM(C116:L116)</f>
        <v>0</v>
      </c>
    </row>
    <row r="117" spans="1:18" x14ac:dyDescent="0.25">
      <c r="A117" s="23" t="s">
        <v>34</v>
      </c>
      <c r="B117" s="25" t="s">
        <v>203</v>
      </c>
      <c r="C117" s="13"/>
      <c r="D117" s="14"/>
      <c r="E117" s="14"/>
      <c r="F117" s="14"/>
      <c r="G117" s="14"/>
      <c r="H117" s="14"/>
      <c r="I117" s="14"/>
      <c r="J117" s="14"/>
      <c r="K117" s="14"/>
      <c r="L117" s="86"/>
      <c r="M117" s="91"/>
    </row>
    <row r="118" spans="1:18" x14ac:dyDescent="0.25">
      <c r="A118" s="23"/>
      <c r="B118" s="25" t="s">
        <v>204</v>
      </c>
      <c r="C118" s="13"/>
      <c r="D118" s="14"/>
      <c r="E118" s="14"/>
      <c r="F118" s="14"/>
      <c r="G118" s="14"/>
      <c r="H118" s="14"/>
      <c r="I118" s="14"/>
      <c r="J118" s="14"/>
      <c r="K118" s="14"/>
      <c r="L118" s="86"/>
      <c r="M118" s="91"/>
    </row>
    <row r="119" spans="1:18" x14ac:dyDescent="0.25">
      <c r="A119" s="23" t="s">
        <v>36</v>
      </c>
      <c r="B119" s="25" t="s">
        <v>378</v>
      </c>
      <c r="C119" s="39"/>
      <c r="D119" s="12"/>
      <c r="E119" s="12"/>
      <c r="F119" s="12"/>
      <c r="G119" s="12"/>
      <c r="H119" s="12"/>
      <c r="I119" s="12"/>
      <c r="J119" s="12"/>
      <c r="K119" s="12"/>
      <c r="L119" s="82"/>
      <c r="M119" s="91"/>
    </row>
    <row r="120" spans="1:18" ht="45" x14ac:dyDescent="0.25">
      <c r="A120" s="23"/>
      <c r="B120" s="25" t="s">
        <v>288</v>
      </c>
      <c r="C120" s="48"/>
      <c r="D120" s="49"/>
      <c r="E120" s="49"/>
      <c r="F120" s="49"/>
      <c r="G120" s="49"/>
      <c r="H120" s="49"/>
      <c r="I120" s="49"/>
      <c r="J120" s="49"/>
      <c r="K120" s="49"/>
      <c r="L120" s="80"/>
      <c r="M120" s="91"/>
      <c r="R120" s="74" t="s">
        <v>6</v>
      </c>
    </row>
    <row r="121" spans="1:18" ht="15.75" x14ac:dyDescent="0.25">
      <c r="A121" s="33" t="s">
        <v>101</v>
      </c>
      <c r="B121" s="32"/>
      <c r="C121" s="34"/>
      <c r="D121" s="35"/>
      <c r="E121" s="35"/>
      <c r="F121" s="35"/>
      <c r="G121" s="35"/>
      <c r="H121" s="35"/>
      <c r="I121" s="35"/>
      <c r="J121" s="35"/>
      <c r="K121" s="35"/>
      <c r="L121" s="77"/>
      <c r="M121" s="77"/>
    </row>
    <row r="122" spans="1:18" ht="15.75" x14ac:dyDescent="0.25">
      <c r="A122" s="33" t="s">
        <v>7</v>
      </c>
      <c r="B122" s="40" t="s">
        <v>102</v>
      </c>
      <c r="C122" s="34"/>
      <c r="D122" s="35"/>
      <c r="E122" s="35"/>
      <c r="F122" s="35"/>
      <c r="G122" s="35"/>
      <c r="H122" s="35"/>
      <c r="I122" s="35"/>
      <c r="J122" s="35"/>
      <c r="K122" s="35"/>
      <c r="L122" s="77"/>
      <c r="M122" s="77"/>
    </row>
    <row r="123" spans="1:18" ht="30" x14ac:dyDescent="0.25">
      <c r="A123" s="23" t="s">
        <v>103</v>
      </c>
      <c r="B123" s="25" t="s">
        <v>104</v>
      </c>
      <c r="C123" s="48"/>
      <c r="D123" s="49"/>
      <c r="E123" s="49"/>
      <c r="F123" s="49"/>
      <c r="G123" s="49"/>
      <c r="H123" s="49"/>
      <c r="I123" s="49"/>
      <c r="J123" s="49"/>
      <c r="K123" s="49"/>
      <c r="L123" s="80"/>
      <c r="M123" s="91"/>
    </row>
    <row r="124" spans="1:18" ht="45" x14ac:dyDescent="0.25">
      <c r="A124" s="23" t="s">
        <v>105</v>
      </c>
      <c r="B124" s="25" t="s">
        <v>106</v>
      </c>
      <c r="C124" s="11"/>
      <c r="D124" s="12"/>
      <c r="E124" s="12"/>
      <c r="F124" s="12"/>
      <c r="G124" s="12"/>
      <c r="H124" s="12"/>
      <c r="I124" s="12"/>
      <c r="J124" s="12"/>
      <c r="K124" s="12"/>
      <c r="L124" s="82"/>
      <c r="M124" s="91"/>
    </row>
    <row r="125" spans="1:18" x14ac:dyDescent="0.25">
      <c r="A125" s="23"/>
      <c r="B125" s="25" t="s">
        <v>328</v>
      </c>
      <c r="C125" s="48"/>
      <c r="D125" s="49"/>
      <c r="E125" s="49"/>
      <c r="F125" s="49"/>
      <c r="G125" s="49"/>
      <c r="H125" s="49"/>
      <c r="I125" s="49"/>
      <c r="J125" s="49"/>
      <c r="K125" s="49"/>
      <c r="L125" s="80"/>
      <c r="M125" s="91"/>
    </row>
    <row r="126" spans="1:18" x14ac:dyDescent="0.25">
      <c r="A126" s="23" t="s">
        <v>108</v>
      </c>
      <c r="B126" s="25" t="s">
        <v>109</v>
      </c>
      <c r="C126" s="11"/>
      <c r="D126" s="12"/>
      <c r="E126" s="12"/>
      <c r="F126" s="12"/>
      <c r="G126" s="12"/>
      <c r="H126" s="12"/>
      <c r="I126" s="12"/>
      <c r="J126" s="12"/>
      <c r="K126" s="12"/>
      <c r="L126" s="82"/>
      <c r="M126" s="91"/>
    </row>
    <row r="127" spans="1:18" ht="30" x14ac:dyDescent="0.25">
      <c r="A127" s="23" t="s">
        <v>110</v>
      </c>
      <c r="B127" s="25" t="s">
        <v>111</v>
      </c>
      <c r="C127" s="11"/>
      <c r="D127" s="12"/>
      <c r="E127" s="12"/>
      <c r="F127" s="12"/>
      <c r="G127" s="12"/>
      <c r="H127" s="12"/>
      <c r="I127" s="12"/>
      <c r="J127" s="12"/>
      <c r="K127" s="12"/>
      <c r="L127" s="82"/>
      <c r="M127" s="91"/>
    </row>
    <row r="128" spans="1:18" ht="45" x14ac:dyDescent="0.25">
      <c r="A128" s="23" t="s">
        <v>112</v>
      </c>
      <c r="B128" s="25" t="s">
        <v>113</v>
      </c>
      <c r="C128" s="48"/>
      <c r="D128" s="49"/>
      <c r="E128" s="49"/>
      <c r="F128" s="49"/>
      <c r="G128" s="49"/>
      <c r="H128" s="49"/>
      <c r="I128" s="49"/>
      <c r="J128" s="49"/>
      <c r="K128" s="49"/>
      <c r="L128" s="80"/>
      <c r="M128" s="91"/>
      <c r="R128" s="74" t="s">
        <v>6</v>
      </c>
    </row>
    <row r="129" spans="1:18" ht="15.75" x14ac:dyDescent="0.25">
      <c r="A129" s="33" t="s">
        <v>12</v>
      </c>
      <c r="B129" s="40" t="s">
        <v>114</v>
      </c>
      <c r="C129" s="34"/>
      <c r="D129" s="35"/>
      <c r="E129" s="35"/>
      <c r="F129" s="35"/>
      <c r="G129" s="35"/>
      <c r="H129" s="35"/>
      <c r="I129" s="35"/>
      <c r="J129" s="35"/>
      <c r="K129" s="35"/>
      <c r="L129" s="77"/>
      <c r="M129" s="77"/>
    </row>
    <row r="130" spans="1:18" ht="30" x14ac:dyDescent="0.25">
      <c r="A130" s="23" t="s">
        <v>103</v>
      </c>
      <c r="B130" s="25" t="s">
        <v>115</v>
      </c>
      <c r="C130" s="48"/>
      <c r="D130" s="49"/>
      <c r="E130" s="49"/>
      <c r="F130" s="49"/>
      <c r="G130" s="49"/>
      <c r="H130" s="49"/>
      <c r="I130" s="49"/>
      <c r="J130" s="49"/>
      <c r="K130" s="49"/>
      <c r="L130" s="80"/>
      <c r="M130" s="91"/>
    </row>
    <row r="131" spans="1:18" ht="30" x14ac:dyDescent="0.25">
      <c r="A131" s="23" t="s">
        <v>105</v>
      </c>
      <c r="B131" s="25" t="s">
        <v>116</v>
      </c>
      <c r="C131" s="11"/>
      <c r="D131" s="12"/>
      <c r="E131" s="12"/>
      <c r="F131" s="12"/>
      <c r="G131" s="12"/>
      <c r="H131" s="12"/>
      <c r="I131" s="12"/>
      <c r="J131" s="12"/>
      <c r="K131" s="12"/>
      <c r="L131" s="82"/>
      <c r="M131" s="91"/>
    </row>
    <row r="132" spans="1:18" x14ac:dyDescent="0.25">
      <c r="A132" s="23"/>
      <c r="B132" s="25" t="s">
        <v>327</v>
      </c>
      <c r="C132" s="48"/>
      <c r="D132" s="49"/>
      <c r="E132" s="49"/>
      <c r="F132" s="49"/>
      <c r="G132" s="49"/>
      <c r="H132" s="49"/>
      <c r="I132" s="49"/>
      <c r="J132" s="49"/>
      <c r="K132" s="49"/>
      <c r="L132" s="80"/>
      <c r="M132" s="91"/>
    </row>
    <row r="133" spans="1:18" ht="30" x14ac:dyDescent="0.25">
      <c r="A133" s="23" t="s">
        <v>108</v>
      </c>
      <c r="B133" s="25" t="s">
        <v>117</v>
      </c>
      <c r="C133" s="11"/>
      <c r="D133" s="12"/>
      <c r="E133" s="12"/>
      <c r="F133" s="12"/>
      <c r="G133" s="12"/>
      <c r="H133" s="12"/>
      <c r="I133" s="12"/>
      <c r="J133" s="12"/>
      <c r="K133" s="12"/>
      <c r="L133" s="82"/>
      <c r="M133" s="91"/>
    </row>
    <row r="134" spans="1:18" x14ac:dyDescent="0.25">
      <c r="A134" s="23" t="s">
        <v>110</v>
      </c>
      <c r="B134" s="25" t="s">
        <v>118</v>
      </c>
      <c r="C134" s="11"/>
      <c r="D134" s="12"/>
      <c r="E134" s="12"/>
      <c r="F134" s="12"/>
      <c r="G134" s="12"/>
      <c r="H134" s="12"/>
      <c r="I134" s="12"/>
      <c r="J134" s="12"/>
      <c r="K134" s="12"/>
      <c r="L134" s="82"/>
      <c r="M134" s="91"/>
    </row>
    <row r="135" spans="1:18" ht="30" x14ac:dyDescent="0.25">
      <c r="A135" s="23" t="s">
        <v>112</v>
      </c>
      <c r="B135" s="25" t="s">
        <v>119</v>
      </c>
      <c r="C135" s="11"/>
      <c r="D135" s="12"/>
      <c r="E135" s="12"/>
      <c r="F135" s="12"/>
      <c r="G135" s="12"/>
      <c r="H135" s="12"/>
      <c r="I135" s="12"/>
      <c r="J135" s="12"/>
      <c r="K135" s="12"/>
      <c r="L135" s="82"/>
      <c r="M135" s="91"/>
    </row>
    <row r="136" spans="1:18" x14ac:dyDescent="0.25">
      <c r="A136" s="23" t="s">
        <v>120</v>
      </c>
      <c r="B136" s="25" t="s">
        <v>121</v>
      </c>
      <c r="C136" s="11"/>
      <c r="D136" s="12"/>
      <c r="E136" s="12"/>
      <c r="F136" s="12"/>
      <c r="G136" s="12"/>
      <c r="H136" s="12"/>
      <c r="I136" s="12"/>
      <c r="J136" s="12"/>
      <c r="K136" s="12"/>
      <c r="L136" s="82"/>
      <c r="M136" s="91"/>
    </row>
    <row r="137" spans="1:18" ht="45" x14ac:dyDescent="0.25">
      <c r="A137" s="23" t="s">
        <v>122</v>
      </c>
      <c r="B137" s="25" t="s">
        <v>394</v>
      </c>
      <c r="C137" s="48"/>
      <c r="D137" s="49"/>
      <c r="E137" s="49"/>
      <c r="F137" s="49"/>
      <c r="G137" s="49"/>
      <c r="H137" s="49"/>
      <c r="I137" s="49"/>
      <c r="J137" s="49"/>
      <c r="K137" s="49"/>
      <c r="L137" s="80"/>
      <c r="M137" s="91"/>
      <c r="R137" s="74" t="s">
        <v>6</v>
      </c>
    </row>
    <row r="138" spans="1:18" ht="15.75" x14ac:dyDescent="0.25">
      <c r="A138" s="33" t="s">
        <v>14</v>
      </c>
      <c r="B138" s="40" t="s">
        <v>123</v>
      </c>
      <c r="C138" s="34"/>
      <c r="D138" s="35"/>
      <c r="E138" s="35"/>
      <c r="F138" s="35"/>
      <c r="G138" s="35"/>
      <c r="H138" s="35"/>
      <c r="I138" s="35"/>
      <c r="J138" s="35"/>
      <c r="K138" s="35"/>
      <c r="L138" s="77"/>
      <c r="M138" s="77"/>
    </row>
    <row r="139" spans="1:18" ht="30" x14ac:dyDescent="0.25">
      <c r="A139" s="23" t="s">
        <v>103</v>
      </c>
      <c r="B139" s="25" t="s">
        <v>124</v>
      </c>
      <c r="C139" s="48"/>
      <c r="D139" s="49"/>
      <c r="E139" s="49"/>
      <c r="F139" s="49"/>
      <c r="G139" s="49"/>
      <c r="H139" s="49"/>
      <c r="I139" s="49"/>
      <c r="J139" s="49"/>
      <c r="K139" s="49"/>
      <c r="L139" s="80"/>
      <c r="M139" s="91"/>
    </row>
    <row r="140" spans="1:18" x14ac:dyDescent="0.25">
      <c r="A140" s="23" t="s">
        <v>105</v>
      </c>
      <c r="B140" s="25" t="s">
        <v>205</v>
      </c>
      <c r="C140" s="48"/>
      <c r="D140" s="49"/>
      <c r="E140" s="49"/>
      <c r="F140" s="49"/>
      <c r="G140" s="49"/>
      <c r="H140" s="49"/>
      <c r="I140" s="49"/>
      <c r="J140" s="49"/>
      <c r="K140" s="49"/>
      <c r="L140" s="80"/>
      <c r="M140" s="91"/>
    </row>
    <row r="141" spans="1:18" ht="30" x14ac:dyDescent="0.25">
      <c r="A141" s="23" t="s">
        <v>108</v>
      </c>
      <c r="B141" s="25" t="s">
        <v>285</v>
      </c>
      <c r="C141" s="11"/>
      <c r="D141" s="12"/>
      <c r="E141" s="12"/>
      <c r="F141" s="12"/>
      <c r="G141" s="12"/>
      <c r="H141" s="12"/>
      <c r="I141" s="12"/>
      <c r="J141" s="12"/>
      <c r="K141" s="12"/>
      <c r="L141" s="82"/>
      <c r="M141" s="91"/>
    </row>
    <row r="142" spans="1:18" x14ac:dyDescent="0.25">
      <c r="A142" s="23"/>
      <c r="B142" s="25" t="s">
        <v>476</v>
      </c>
      <c r="C142" s="48"/>
      <c r="D142" s="49"/>
      <c r="E142" s="49"/>
      <c r="F142" s="49"/>
      <c r="G142" s="49"/>
      <c r="H142" s="49"/>
      <c r="I142" s="49"/>
      <c r="J142" s="49"/>
      <c r="K142" s="49"/>
      <c r="L142" s="80"/>
      <c r="M142" s="91"/>
    </row>
    <row r="143" spans="1:18" ht="30" x14ac:dyDescent="0.25">
      <c r="A143" s="23" t="s">
        <v>110</v>
      </c>
      <c r="B143" s="25" t="s">
        <v>125</v>
      </c>
      <c r="C143" s="11"/>
      <c r="D143" s="12"/>
      <c r="E143" s="12"/>
      <c r="F143" s="12"/>
      <c r="G143" s="12"/>
      <c r="H143" s="12"/>
      <c r="I143" s="12"/>
      <c r="J143" s="12"/>
      <c r="K143" s="12"/>
      <c r="L143" s="82"/>
      <c r="M143" s="91"/>
    </row>
    <row r="144" spans="1:18" ht="30" x14ac:dyDescent="0.25">
      <c r="A144" s="23"/>
      <c r="B144" s="25" t="s">
        <v>126</v>
      </c>
      <c r="C144" s="11"/>
      <c r="D144" s="12"/>
      <c r="E144" s="12"/>
      <c r="F144" s="12"/>
      <c r="G144" s="12"/>
      <c r="H144" s="12"/>
      <c r="I144" s="12"/>
      <c r="J144" s="12"/>
      <c r="K144" s="12"/>
      <c r="L144" s="82"/>
      <c r="M144" s="91"/>
    </row>
    <row r="145" spans="1:18" ht="30" x14ac:dyDescent="0.25">
      <c r="A145" s="23" t="s">
        <v>112</v>
      </c>
      <c r="B145" s="25" t="s">
        <v>127</v>
      </c>
      <c r="C145" s="11"/>
      <c r="D145" s="12"/>
      <c r="E145" s="12"/>
      <c r="F145" s="12"/>
      <c r="G145" s="12"/>
      <c r="H145" s="12"/>
      <c r="I145" s="12"/>
      <c r="J145" s="12"/>
      <c r="K145" s="12"/>
      <c r="L145" s="82"/>
      <c r="M145" s="91"/>
    </row>
    <row r="146" spans="1:18" ht="30" x14ac:dyDescent="0.25">
      <c r="A146" s="23"/>
      <c r="B146" s="25" t="s">
        <v>128</v>
      </c>
      <c r="C146" s="11"/>
      <c r="D146" s="12"/>
      <c r="E146" s="12"/>
      <c r="F146" s="12"/>
      <c r="G146" s="12"/>
      <c r="H146" s="12"/>
      <c r="I146" s="12"/>
      <c r="J146" s="12"/>
      <c r="K146" s="12"/>
      <c r="L146" s="82"/>
      <c r="M146" s="91"/>
    </row>
    <row r="147" spans="1:18" ht="45" x14ac:dyDescent="0.25">
      <c r="A147" s="23" t="s">
        <v>120</v>
      </c>
      <c r="B147" s="25" t="s">
        <v>129</v>
      </c>
      <c r="C147" s="48"/>
      <c r="D147" s="49"/>
      <c r="E147" s="49"/>
      <c r="F147" s="49"/>
      <c r="G147" s="49"/>
      <c r="H147" s="49"/>
      <c r="I147" s="49"/>
      <c r="J147" s="49"/>
      <c r="K147" s="49"/>
      <c r="L147" s="80"/>
      <c r="M147" s="91"/>
      <c r="R147" s="74" t="s">
        <v>6</v>
      </c>
    </row>
    <row r="148" spans="1:18" ht="15.75" x14ac:dyDescent="0.25">
      <c r="A148" s="33" t="s">
        <v>16</v>
      </c>
      <c r="B148" s="40" t="s">
        <v>130</v>
      </c>
      <c r="C148" s="34"/>
      <c r="D148" s="35"/>
      <c r="E148" s="35"/>
      <c r="F148" s="35"/>
      <c r="G148" s="35"/>
      <c r="H148" s="35"/>
      <c r="I148" s="35"/>
      <c r="J148" s="35"/>
      <c r="K148" s="35"/>
      <c r="L148" s="77"/>
      <c r="M148" s="77"/>
    </row>
    <row r="149" spans="1:18" ht="30" x14ac:dyDescent="0.25">
      <c r="A149" s="23" t="s">
        <v>103</v>
      </c>
      <c r="B149" s="25" t="s">
        <v>131</v>
      </c>
      <c r="C149" s="48"/>
      <c r="D149" s="49"/>
      <c r="E149" s="49"/>
      <c r="F149" s="49"/>
      <c r="G149" s="49"/>
      <c r="H149" s="49"/>
      <c r="I149" s="49"/>
      <c r="J149" s="49"/>
      <c r="K149" s="49"/>
      <c r="L149" s="80"/>
      <c r="M149" s="91"/>
    </row>
    <row r="150" spans="1:18" ht="30" x14ac:dyDescent="0.25">
      <c r="A150" s="23" t="s">
        <v>105</v>
      </c>
      <c r="B150" s="25" t="s">
        <v>132</v>
      </c>
      <c r="C150" s="11"/>
      <c r="D150" s="12"/>
      <c r="E150" s="12"/>
      <c r="F150" s="12"/>
      <c r="G150" s="12"/>
      <c r="H150" s="12"/>
      <c r="I150" s="12"/>
      <c r="J150" s="12"/>
      <c r="K150" s="12"/>
      <c r="L150" s="82"/>
      <c r="M150" s="91"/>
    </row>
    <row r="151" spans="1:18" ht="30" x14ac:dyDescent="0.25">
      <c r="A151" s="23"/>
      <c r="B151" s="25" t="s">
        <v>133</v>
      </c>
      <c r="C151" s="11"/>
      <c r="D151" s="12"/>
      <c r="E151" s="12"/>
      <c r="F151" s="12"/>
      <c r="G151" s="12"/>
      <c r="H151" s="12"/>
      <c r="I151" s="12"/>
      <c r="J151" s="12"/>
      <c r="K151" s="12"/>
      <c r="L151" s="82"/>
      <c r="M151" s="91"/>
    </row>
    <row r="152" spans="1:18" ht="30" x14ac:dyDescent="0.25">
      <c r="A152" s="23" t="s">
        <v>108</v>
      </c>
      <c r="B152" s="25" t="s">
        <v>286</v>
      </c>
      <c r="C152" s="11"/>
      <c r="D152" s="12"/>
      <c r="E152" s="12"/>
      <c r="F152" s="12"/>
      <c r="G152" s="12"/>
      <c r="H152" s="12"/>
      <c r="I152" s="12"/>
      <c r="J152" s="12"/>
      <c r="K152" s="12"/>
      <c r="L152" s="82"/>
      <c r="M152" s="91"/>
    </row>
    <row r="153" spans="1:18" x14ac:dyDescent="0.25">
      <c r="A153" s="23"/>
      <c r="B153" s="25" t="s">
        <v>477</v>
      </c>
      <c r="C153" s="48"/>
      <c r="D153" s="49"/>
      <c r="E153" s="49"/>
      <c r="F153" s="49"/>
      <c r="G153" s="49"/>
      <c r="H153" s="49"/>
      <c r="I153" s="49"/>
      <c r="J153" s="49"/>
      <c r="K153" s="49"/>
      <c r="L153" s="80"/>
      <c r="M153" s="91"/>
    </row>
    <row r="154" spans="1:18" ht="45" x14ac:dyDescent="0.25">
      <c r="A154" s="23" t="s">
        <v>110</v>
      </c>
      <c r="B154" s="25" t="s">
        <v>134</v>
      </c>
      <c r="C154" s="48"/>
      <c r="D154" s="49"/>
      <c r="E154" s="49"/>
      <c r="F154" s="49"/>
      <c r="G154" s="49"/>
      <c r="H154" s="49"/>
      <c r="I154" s="49"/>
      <c r="J154" s="49"/>
      <c r="K154" s="49"/>
      <c r="L154" s="80"/>
      <c r="M154" s="91"/>
      <c r="R154" s="74" t="s">
        <v>6</v>
      </c>
    </row>
    <row r="155" spans="1:18" ht="30" x14ac:dyDescent="0.25">
      <c r="A155" s="33" t="s">
        <v>18</v>
      </c>
      <c r="B155" s="40" t="s">
        <v>135</v>
      </c>
      <c r="C155" s="34"/>
      <c r="D155" s="35"/>
      <c r="E155" s="35"/>
      <c r="F155" s="35"/>
      <c r="G155" s="35"/>
      <c r="H155" s="35"/>
      <c r="I155" s="35"/>
      <c r="J155" s="35"/>
      <c r="K155" s="35"/>
      <c r="L155" s="77"/>
      <c r="M155" s="77"/>
    </row>
    <row r="156" spans="1:18" ht="45" x14ac:dyDescent="0.25">
      <c r="A156" s="23"/>
      <c r="B156" s="25" t="s">
        <v>136</v>
      </c>
      <c r="C156" s="48"/>
      <c r="D156" s="49"/>
      <c r="E156" s="49"/>
      <c r="F156" s="49"/>
      <c r="G156" s="49"/>
      <c r="H156" s="49"/>
      <c r="I156" s="49"/>
      <c r="J156" s="49"/>
      <c r="K156" s="49"/>
      <c r="L156" s="80"/>
      <c r="M156" s="91"/>
      <c r="R156" s="74" t="s">
        <v>6</v>
      </c>
    </row>
    <row r="157" spans="1:18" ht="15.75" x14ac:dyDescent="0.25">
      <c r="A157" s="33" t="s">
        <v>20</v>
      </c>
      <c r="B157" s="40" t="s">
        <v>137</v>
      </c>
      <c r="C157" s="34"/>
      <c r="D157" s="35"/>
      <c r="E157" s="35"/>
      <c r="F157" s="35"/>
      <c r="G157" s="35"/>
      <c r="H157" s="35"/>
      <c r="I157" s="35"/>
      <c r="J157" s="35"/>
      <c r="K157" s="35"/>
      <c r="L157" s="77"/>
      <c r="M157" s="77"/>
    </row>
    <row r="158" spans="1:18" ht="45" x14ac:dyDescent="0.25">
      <c r="A158" s="23"/>
      <c r="B158" s="25" t="s">
        <v>138</v>
      </c>
      <c r="C158" s="48"/>
      <c r="D158" s="49"/>
      <c r="E158" s="49"/>
      <c r="F158" s="49"/>
      <c r="G158" s="49"/>
      <c r="H158" s="49"/>
      <c r="I158" s="49"/>
      <c r="J158" s="49"/>
      <c r="K158" s="49"/>
      <c r="L158" s="80"/>
      <c r="M158" s="91"/>
      <c r="R158" s="74" t="s">
        <v>6</v>
      </c>
    </row>
    <row r="159" spans="1:18" ht="15.75" x14ac:dyDescent="0.25">
      <c r="A159" s="33" t="s">
        <v>139</v>
      </c>
      <c r="B159" s="32"/>
      <c r="C159" s="34"/>
      <c r="D159" s="35"/>
      <c r="E159" s="35"/>
      <c r="F159" s="35"/>
      <c r="G159" s="35"/>
      <c r="H159" s="35"/>
      <c r="I159" s="35"/>
      <c r="J159" s="35"/>
      <c r="K159" s="35"/>
      <c r="L159" s="77"/>
      <c r="M159" s="77"/>
    </row>
    <row r="160" spans="1:18" ht="45" x14ac:dyDescent="0.25">
      <c r="A160" s="23" t="s">
        <v>7</v>
      </c>
      <c r="B160" s="25" t="s">
        <v>206</v>
      </c>
      <c r="C160" s="7"/>
      <c r="D160" s="8"/>
      <c r="E160" s="8"/>
      <c r="F160" s="8"/>
      <c r="G160" s="8"/>
      <c r="H160" s="8"/>
      <c r="I160" s="8"/>
      <c r="J160" s="8"/>
      <c r="K160" s="8"/>
      <c r="L160" s="79"/>
      <c r="M160" s="91"/>
    </row>
    <row r="161" spans="1:18" x14ac:dyDescent="0.25">
      <c r="A161" s="23" t="s">
        <v>12</v>
      </c>
      <c r="B161" s="25" t="s">
        <v>382</v>
      </c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0">
        <f t="shared" ref="M161" si="15">SUM(C161:L161)/$N$2</f>
        <v>0</v>
      </c>
    </row>
    <row r="162" spans="1:18" x14ac:dyDescent="0.25">
      <c r="A162" s="23" t="s">
        <v>14</v>
      </c>
      <c r="B162" s="25" t="s">
        <v>140</v>
      </c>
      <c r="C162" s="7"/>
      <c r="D162" s="8"/>
      <c r="E162" s="8"/>
      <c r="F162" s="8"/>
      <c r="G162" s="8"/>
      <c r="H162" s="8"/>
      <c r="I162" s="8"/>
      <c r="J162" s="8"/>
      <c r="K162" s="8"/>
      <c r="L162" s="79"/>
      <c r="M162" s="91"/>
    </row>
    <row r="163" spans="1:18" x14ac:dyDescent="0.25">
      <c r="A163" s="23" t="s">
        <v>16</v>
      </c>
      <c r="B163" s="25" t="s">
        <v>141</v>
      </c>
      <c r="C163" s="7"/>
      <c r="D163" s="8"/>
      <c r="E163" s="8"/>
      <c r="F163" s="8"/>
      <c r="G163" s="8"/>
      <c r="H163" s="8"/>
      <c r="I163" s="8"/>
      <c r="J163" s="8"/>
      <c r="K163" s="8"/>
      <c r="L163" s="79"/>
      <c r="M163" s="73">
        <f t="shared" ref="M163:M166" si="16">SUM(C163:L163)</f>
        <v>0</v>
      </c>
    </row>
    <row r="164" spans="1:18" ht="30" x14ac:dyDescent="0.25">
      <c r="A164" s="23" t="s">
        <v>18</v>
      </c>
      <c r="B164" s="25" t="s">
        <v>207</v>
      </c>
      <c r="C164" s="7"/>
      <c r="D164" s="8"/>
      <c r="E164" s="8"/>
      <c r="F164" s="8"/>
      <c r="G164" s="8"/>
      <c r="H164" s="8"/>
      <c r="I164" s="8"/>
      <c r="J164" s="8"/>
      <c r="K164" s="8"/>
      <c r="L164" s="79"/>
      <c r="M164" s="73">
        <f t="shared" si="16"/>
        <v>0</v>
      </c>
    </row>
    <row r="165" spans="1:18" x14ac:dyDescent="0.25">
      <c r="A165" s="23"/>
      <c r="B165" s="25" t="s">
        <v>208</v>
      </c>
      <c r="C165" s="7"/>
      <c r="D165" s="8"/>
      <c r="E165" s="8"/>
      <c r="F165" s="8"/>
      <c r="G165" s="8"/>
      <c r="H165" s="8"/>
      <c r="I165" s="8"/>
      <c r="J165" s="8"/>
      <c r="K165" s="8"/>
      <c r="L165" s="79"/>
      <c r="M165" s="73">
        <f t="shared" si="16"/>
        <v>0</v>
      </c>
    </row>
    <row r="166" spans="1:18" ht="30" x14ac:dyDescent="0.25">
      <c r="A166" s="23" t="s">
        <v>20</v>
      </c>
      <c r="B166" s="25" t="s">
        <v>144</v>
      </c>
      <c r="C166" s="7"/>
      <c r="D166" s="8"/>
      <c r="E166" s="8"/>
      <c r="F166" s="8"/>
      <c r="G166" s="8"/>
      <c r="H166" s="8"/>
      <c r="I166" s="8"/>
      <c r="J166" s="8"/>
      <c r="K166" s="8"/>
      <c r="L166" s="79"/>
      <c r="M166" s="73">
        <f t="shared" si="16"/>
        <v>0</v>
      </c>
    </row>
    <row r="167" spans="1:18" x14ac:dyDescent="0.25">
      <c r="A167" s="23"/>
      <c r="B167" s="25" t="s">
        <v>145</v>
      </c>
      <c r="C167" s="11"/>
      <c r="D167" s="12"/>
      <c r="E167" s="12"/>
      <c r="F167" s="12"/>
      <c r="G167" s="12"/>
      <c r="H167" s="12"/>
      <c r="I167" s="12"/>
      <c r="J167" s="12"/>
      <c r="K167" s="12"/>
      <c r="L167" s="82"/>
      <c r="M167" s="91"/>
    </row>
    <row r="168" spans="1:18" x14ac:dyDescent="0.25">
      <c r="A168" s="23"/>
      <c r="B168" s="25" t="s">
        <v>146</v>
      </c>
      <c r="C168" s="7"/>
      <c r="D168" s="8"/>
      <c r="E168" s="8"/>
      <c r="F168" s="8"/>
      <c r="G168" s="8"/>
      <c r="H168" s="8"/>
      <c r="I168" s="8"/>
      <c r="J168" s="8"/>
      <c r="K168" s="8"/>
      <c r="L168" s="79"/>
      <c r="M168" s="73">
        <f t="shared" ref="M168:M172" si="17">SUM(C168:L168)</f>
        <v>0</v>
      </c>
    </row>
    <row r="169" spans="1:18" ht="30" x14ac:dyDescent="0.25">
      <c r="A169" s="23" t="s">
        <v>23</v>
      </c>
      <c r="B169" s="25" t="s">
        <v>148</v>
      </c>
      <c r="C169" s="7"/>
      <c r="D169" s="8"/>
      <c r="E169" s="8"/>
      <c r="F169" s="8"/>
      <c r="G169" s="8"/>
      <c r="H169" s="8"/>
      <c r="I169" s="8"/>
      <c r="J169" s="8"/>
      <c r="K169" s="8"/>
      <c r="L169" s="79"/>
      <c r="M169" s="73">
        <f t="shared" si="17"/>
        <v>0</v>
      </c>
    </row>
    <row r="170" spans="1:18" x14ac:dyDescent="0.25">
      <c r="A170" s="23"/>
      <c r="B170" s="26" t="s">
        <v>379</v>
      </c>
      <c r="C170" s="7"/>
      <c r="D170" s="8"/>
      <c r="E170" s="8"/>
      <c r="F170" s="8"/>
      <c r="G170" s="8"/>
      <c r="H170" s="8"/>
      <c r="I170" s="8"/>
      <c r="J170" s="8"/>
      <c r="K170" s="8"/>
      <c r="L170" s="79"/>
      <c r="M170" s="73">
        <f t="shared" si="17"/>
        <v>0</v>
      </c>
    </row>
    <row r="171" spans="1:18" x14ac:dyDescent="0.25">
      <c r="A171" s="23"/>
      <c r="B171" s="26" t="s">
        <v>209</v>
      </c>
      <c r="C171" s="7"/>
      <c r="D171" s="8"/>
      <c r="E171" s="8"/>
      <c r="F171" s="8"/>
      <c r="G171" s="8"/>
      <c r="H171" s="8"/>
      <c r="I171" s="8"/>
      <c r="J171" s="8"/>
      <c r="K171" s="8"/>
      <c r="L171" s="79"/>
      <c r="M171" s="73">
        <f t="shared" si="17"/>
        <v>0</v>
      </c>
    </row>
    <row r="172" spans="1:18" x14ac:dyDescent="0.25">
      <c r="A172" s="23" t="s">
        <v>26</v>
      </c>
      <c r="B172" s="25" t="s">
        <v>150</v>
      </c>
      <c r="C172" s="7"/>
      <c r="D172" s="8"/>
      <c r="E172" s="8"/>
      <c r="F172" s="8"/>
      <c r="G172" s="8"/>
      <c r="H172" s="8"/>
      <c r="I172" s="8"/>
      <c r="J172" s="8"/>
      <c r="K172" s="8"/>
      <c r="L172" s="79"/>
      <c r="M172" s="73">
        <f t="shared" si="17"/>
        <v>0</v>
      </c>
    </row>
    <row r="173" spans="1:18" ht="15.75" x14ac:dyDescent="0.25">
      <c r="A173" s="33" t="s">
        <v>151</v>
      </c>
      <c r="B173" s="32"/>
      <c r="C173" s="34"/>
      <c r="D173" s="35"/>
      <c r="E173" s="35"/>
      <c r="F173" s="35"/>
      <c r="G173" s="35"/>
      <c r="H173" s="35"/>
      <c r="I173" s="35"/>
      <c r="J173" s="35"/>
      <c r="K173" s="35"/>
      <c r="L173" s="77"/>
      <c r="M173" s="77"/>
    </row>
    <row r="174" spans="1:18" ht="45" x14ac:dyDescent="0.25">
      <c r="A174" s="23" t="s">
        <v>7</v>
      </c>
      <c r="B174" s="25" t="s">
        <v>152</v>
      </c>
      <c r="C174" s="11"/>
      <c r="D174" s="12"/>
      <c r="E174" s="12"/>
      <c r="F174" s="12"/>
      <c r="G174" s="12"/>
      <c r="H174" s="12"/>
      <c r="I174" s="12"/>
      <c r="J174" s="12"/>
      <c r="K174" s="12"/>
      <c r="L174" s="82"/>
      <c r="M174" s="91"/>
    </row>
    <row r="175" spans="1:18" ht="45" x14ac:dyDescent="0.25">
      <c r="A175" s="23"/>
      <c r="B175" s="25" t="s">
        <v>153</v>
      </c>
      <c r="C175" s="48"/>
      <c r="D175" s="49"/>
      <c r="E175" s="49"/>
      <c r="F175" s="49"/>
      <c r="G175" s="49"/>
      <c r="H175" s="49"/>
      <c r="I175" s="49"/>
      <c r="J175" s="49"/>
      <c r="K175" s="49"/>
      <c r="L175" s="80"/>
      <c r="M175" s="91"/>
      <c r="R175" s="74" t="s">
        <v>6</v>
      </c>
    </row>
    <row r="176" spans="1:18" x14ac:dyDescent="0.25">
      <c r="A176" s="23"/>
      <c r="B176" s="25" t="s">
        <v>154</v>
      </c>
      <c r="C176" s="15"/>
      <c r="D176" s="16"/>
      <c r="E176" s="16"/>
      <c r="F176" s="16"/>
      <c r="G176" s="16"/>
      <c r="H176" s="16"/>
      <c r="I176" s="16"/>
      <c r="J176" s="16"/>
      <c r="K176" s="16"/>
      <c r="L176" s="87"/>
      <c r="M176" s="73">
        <f t="shared" ref="M176" si="18">SUM(C176:L176)</f>
        <v>0</v>
      </c>
    </row>
    <row r="177" spans="1:18" ht="45" x14ac:dyDescent="0.25">
      <c r="A177" s="23" t="s">
        <v>12</v>
      </c>
      <c r="B177" s="25" t="s">
        <v>155</v>
      </c>
      <c r="C177" s="11"/>
      <c r="D177" s="12"/>
      <c r="E177" s="12"/>
      <c r="F177" s="12"/>
      <c r="G177" s="12"/>
      <c r="H177" s="12"/>
      <c r="I177" s="12"/>
      <c r="J177" s="12"/>
      <c r="K177" s="12"/>
      <c r="L177" s="82"/>
      <c r="M177" s="91"/>
    </row>
    <row r="178" spans="1:18" ht="45" x14ac:dyDescent="0.25">
      <c r="A178" s="23"/>
      <c r="B178" s="25" t="s">
        <v>288</v>
      </c>
      <c r="C178" s="48"/>
      <c r="D178" s="49"/>
      <c r="E178" s="49"/>
      <c r="F178" s="49"/>
      <c r="G178" s="49"/>
      <c r="H178" s="49"/>
      <c r="I178" s="49"/>
      <c r="J178" s="49"/>
      <c r="K178" s="49"/>
      <c r="L178" s="80"/>
      <c r="M178" s="91"/>
      <c r="R178" s="74" t="s">
        <v>6</v>
      </c>
    </row>
    <row r="179" spans="1:18" ht="30" x14ac:dyDescent="0.25">
      <c r="A179" s="23"/>
      <c r="B179" s="25" t="s">
        <v>156</v>
      </c>
      <c r="C179" s="15"/>
      <c r="D179" s="16"/>
      <c r="E179" s="16"/>
      <c r="F179" s="16"/>
      <c r="G179" s="16"/>
      <c r="H179" s="16"/>
      <c r="I179" s="16"/>
      <c r="J179" s="16"/>
      <c r="K179" s="16"/>
      <c r="L179" s="87"/>
      <c r="M179" s="73">
        <f t="shared" ref="M179" si="19">SUM(C179:L179)</f>
        <v>0</v>
      </c>
    </row>
    <row r="180" spans="1:18" ht="30" x14ac:dyDescent="0.25">
      <c r="A180" s="23" t="s">
        <v>14</v>
      </c>
      <c r="B180" s="25" t="s">
        <v>157</v>
      </c>
      <c r="C180" s="11"/>
      <c r="D180" s="12"/>
      <c r="E180" s="12"/>
      <c r="F180" s="12"/>
      <c r="G180" s="12"/>
      <c r="H180" s="12"/>
      <c r="I180" s="12"/>
      <c r="J180" s="12"/>
      <c r="K180" s="12"/>
      <c r="L180" s="82"/>
      <c r="M180" s="91"/>
    </row>
    <row r="181" spans="1:18" ht="45" x14ac:dyDescent="0.25">
      <c r="A181" s="23"/>
      <c r="B181" s="25" t="s">
        <v>288</v>
      </c>
      <c r="C181" s="48"/>
      <c r="D181" s="49"/>
      <c r="E181" s="49"/>
      <c r="F181" s="49"/>
      <c r="G181" s="49"/>
      <c r="H181" s="49"/>
      <c r="I181" s="49"/>
      <c r="J181" s="49"/>
      <c r="K181" s="49"/>
      <c r="L181" s="80"/>
      <c r="M181" s="91"/>
      <c r="R181" s="74" t="s">
        <v>6</v>
      </c>
    </row>
    <row r="182" spans="1:18" x14ac:dyDescent="0.25">
      <c r="A182" s="23"/>
      <c r="B182" s="25" t="s">
        <v>158</v>
      </c>
      <c r="C182" s="15"/>
      <c r="D182" s="16"/>
      <c r="E182" s="16"/>
      <c r="F182" s="16"/>
      <c r="G182" s="16"/>
      <c r="H182" s="16"/>
      <c r="I182" s="16"/>
      <c r="J182" s="16"/>
      <c r="K182" s="16"/>
      <c r="L182" s="87"/>
      <c r="M182" s="73">
        <f t="shared" ref="M182" si="20">SUM(C182:L182)</f>
        <v>0</v>
      </c>
    </row>
    <row r="183" spans="1:18" x14ac:dyDescent="0.25">
      <c r="A183" s="23" t="s">
        <v>16</v>
      </c>
      <c r="B183" s="25" t="s">
        <v>159</v>
      </c>
      <c r="C183" s="48"/>
      <c r="D183" s="49"/>
      <c r="E183" s="49"/>
      <c r="F183" s="49"/>
      <c r="G183" s="49"/>
      <c r="H183" s="49"/>
      <c r="I183" s="49"/>
      <c r="J183" s="49"/>
      <c r="K183" s="49"/>
      <c r="L183" s="80"/>
      <c r="M183" s="91"/>
    </row>
    <row r="184" spans="1:18" ht="45" x14ac:dyDescent="0.25">
      <c r="A184" s="23" t="s">
        <v>18</v>
      </c>
      <c r="B184" s="25" t="s">
        <v>160</v>
      </c>
      <c r="C184" s="11"/>
      <c r="D184" s="12"/>
      <c r="E184" s="12"/>
      <c r="F184" s="12"/>
      <c r="G184" s="12"/>
      <c r="H184" s="12"/>
      <c r="I184" s="12"/>
      <c r="J184" s="12"/>
      <c r="K184" s="12"/>
      <c r="L184" s="82"/>
      <c r="M184" s="91"/>
    </row>
    <row r="185" spans="1:18" ht="45" x14ac:dyDescent="0.25">
      <c r="A185" s="23"/>
      <c r="B185" s="25" t="s">
        <v>153</v>
      </c>
      <c r="C185" s="48"/>
      <c r="D185" s="49"/>
      <c r="E185" s="49"/>
      <c r="F185" s="49"/>
      <c r="G185" s="49"/>
      <c r="H185" s="49"/>
      <c r="I185" s="49"/>
      <c r="J185" s="49"/>
      <c r="K185" s="49"/>
      <c r="L185" s="80"/>
      <c r="M185" s="91"/>
      <c r="R185" s="74" t="s">
        <v>6</v>
      </c>
    </row>
    <row r="186" spans="1:18" ht="15.75" x14ac:dyDescent="0.25">
      <c r="A186" s="33" t="s">
        <v>161</v>
      </c>
      <c r="B186" s="32"/>
      <c r="C186" s="34"/>
      <c r="D186" s="35"/>
      <c r="E186" s="35"/>
      <c r="F186" s="35"/>
      <c r="G186" s="35"/>
      <c r="H186" s="35"/>
      <c r="I186" s="35"/>
      <c r="J186" s="35"/>
      <c r="K186" s="35"/>
      <c r="L186" s="77"/>
      <c r="M186" s="77"/>
    </row>
    <row r="187" spans="1:18" x14ac:dyDescent="0.25">
      <c r="A187" s="23" t="s">
        <v>7</v>
      </c>
      <c r="B187" s="25" t="s">
        <v>162</v>
      </c>
      <c r="C187" s="15"/>
      <c r="D187" s="16"/>
      <c r="E187" s="16"/>
      <c r="F187" s="16"/>
      <c r="G187" s="16"/>
      <c r="H187" s="16"/>
      <c r="I187" s="16"/>
      <c r="J187" s="16"/>
      <c r="K187" s="16"/>
      <c r="L187" s="87"/>
      <c r="M187" s="73">
        <f t="shared" ref="M187:M188" si="21">SUM(C187:L187)</f>
        <v>0</v>
      </c>
    </row>
    <row r="188" spans="1:18" x14ac:dyDescent="0.25">
      <c r="A188" s="23" t="s">
        <v>12</v>
      </c>
      <c r="B188" s="25" t="s">
        <v>163</v>
      </c>
      <c r="C188" s="15"/>
      <c r="D188" s="16"/>
      <c r="E188" s="16"/>
      <c r="F188" s="16"/>
      <c r="G188" s="16"/>
      <c r="H188" s="16"/>
      <c r="I188" s="16"/>
      <c r="J188" s="16"/>
      <c r="K188" s="16"/>
      <c r="L188" s="87"/>
      <c r="M188" s="73">
        <f t="shared" si="21"/>
        <v>0</v>
      </c>
    </row>
    <row r="189" spans="1:18" x14ac:dyDescent="0.25">
      <c r="A189" s="23" t="s">
        <v>14</v>
      </c>
      <c r="B189" s="25" t="s">
        <v>210</v>
      </c>
      <c r="C189" s="21"/>
      <c r="D189" s="31">
        <f>SUM(C189:C190,-C191)</f>
        <v>0</v>
      </c>
      <c r="E189" s="31">
        <f t="shared" ref="E189:L189" si="22">SUM(D189:D190,-D191)</f>
        <v>0</v>
      </c>
      <c r="F189" s="31">
        <f t="shared" si="22"/>
        <v>0</v>
      </c>
      <c r="G189" s="31">
        <f t="shared" si="22"/>
        <v>0</v>
      </c>
      <c r="H189" s="31">
        <f t="shared" si="22"/>
        <v>0</v>
      </c>
      <c r="I189" s="31">
        <f t="shared" si="22"/>
        <v>0</v>
      </c>
      <c r="J189" s="31">
        <f t="shared" si="22"/>
        <v>0</v>
      </c>
      <c r="K189" s="31">
        <f t="shared" si="22"/>
        <v>0</v>
      </c>
      <c r="L189" s="88">
        <f t="shared" si="22"/>
        <v>0</v>
      </c>
      <c r="M189" s="73">
        <f>C189</f>
        <v>0</v>
      </c>
    </row>
    <row r="190" spans="1:18" x14ac:dyDescent="0.25">
      <c r="A190" s="23"/>
      <c r="B190" s="25" t="s">
        <v>211</v>
      </c>
      <c r="C190" s="15"/>
      <c r="D190" s="16"/>
      <c r="E190" s="16"/>
      <c r="F190" s="16"/>
      <c r="G190" s="16"/>
      <c r="H190" s="16"/>
      <c r="I190" s="16"/>
      <c r="J190" s="16"/>
      <c r="K190" s="16"/>
      <c r="L190" s="87"/>
      <c r="M190" s="73">
        <f t="shared" ref="M190:M191" si="23">SUM(C190:L190)</f>
        <v>0</v>
      </c>
    </row>
    <row r="191" spans="1:18" x14ac:dyDescent="0.25">
      <c r="A191" s="23"/>
      <c r="B191" s="25" t="s">
        <v>212</v>
      </c>
      <c r="C191" s="15"/>
      <c r="D191" s="16"/>
      <c r="E191" s="16"/>
      <c r="F191" s="16"/>
      <c r="G191" s="16"/>
      <c r="H191" s="16"/>
      <c r="I191" s="16"/>
      <c r="J191" s="16"/>
      <c r="K191" s="16"/>
      <c r="L191" s="87"/>
      <c r="M191" s="73">
        <f t="shared" si="23"/>
        <v>0</v>
      </c>
    </row>
    <row r="192" spans="1:18" x14ac:dyDescent="0.25">
      <c r="A192" s="23"/>
      <c r="B192" s="25" t="s">
        <v>213</v>
      </c>
      <c r="C192" s="15"/>
      <c r="D192" s="16"/>
      <c r="E192" s="16"/>
      <c r="F192" s="16"/>
      <c r="G192" s="16"/>
      <c r="H192" s="16"/>
      <c r="I192" s="16"/>
      <c r="J192" s="16"/>
      <c r="K192" s="16"/>
      <c r="L192" s="87"/>
      <c r="M192" s="91"/>
    </row>
    <row r="193" spans="1:18" x14ac:dyDescent="0.25">
      <c r="A193" s="23"/>
      <c r="B193" s="25" t="s">
        <v>214</v>
      </c>
      <c r="C193" s="15"/>
      <c r="D193" s="16"/>
      <c r="E193" s="16"/>
      <c r="F193" s="16"/>
      <c r="G193" s="16"/>
      <c r="H193" s="16"/>
      <c r="I193" s="16"/>
      <c r="J193" s="16"/>
      <c r="K193" s="16"/>
      <c r="L193" s="87"/>
      <c r="M193" s="91"/>
    </row>
    <row r="194" spans="1:18" ht="45" x14ac:dyDescent="0.25">
      <c r="A194" s="23" t="s">
        <v>16</v>
      </c>
      <c r="B194" s="25" t="s">
        <v>172</v>
      </c>
      <c r="C194" s="11"/>
      <c r="D194" s="12"/>
      <c r="E194" s="12"/>
      <c r="F194" s="12"/>
      <c r="G194" s="12"/>
      <c r="H194" s="12"/>
      <c r="I194" s="12"/>
      <c r="J194" s="12"/>
      <c r="K194" s="12"/>
      <c r="L194" s="82"/>
      <c r="M194" s="91"/>
    </row>
    <row r="195" spans="1:18" ht="45" x14ac:dyDescent="0.25">
      <c r="A195" s="23" t="s">
        <v>18</v>
      </c>
      <c r="B195" s="25" t="s">
        <v>173</v>
      </c>
      <c r="C195" s="48"/>
      <c r="D195" s="49"/>
      <c r="E195" s="49"/>
      <c r="F195" s="49"/>
      <c r="G195" s="49"/>
      <c r="H195" s="49"/>
      <c r="I195" s="49"/>
      <c r="J195" s="49"/>
      <c r="K195" s="49"/>
      <c r="L195" s="80"/>
      <c r="M195" s="91"/>
      <c r="R195" s="74" t="s">
        <v>6</v>
      </c>
    </row>
    <row r="196" spans="1:18" ht="15.75" x14ac:dyDescent="0.25">
      <c r="A196" s="33" t="s">
        <v>174</v>
      </c>
      <c r="B196" s="32"/>
      <c r="C196" s="34"/>
      <c r="D196" s="35"/>
      <c r="E196" s="35"/>
      <c r="F196" s="35"/>
      <c r="G196" s="35"/>
      <c r="H196" s="35"/>
      <c r="I196" s="35"/>
      <c r="J196" s="35"/>
      <c r="K196" s="35"/>
      <c r="L196" s="77"/>
      <c r="M196" s="77"/>
    </row>
    <row r="197" spans="1:18" ht="45" x14ac:dyDescent="0.25">
      <c r="A197" s="23" t="s">
        <v>7</v>
      </c>
      <c r="B197" s="25" t="s">
        <v>175</v>
      </c>
      <c r="C197" s="48"/>
      <c r="D197" s="49"/>
      <c r="E197" s="49"/>
      <c r="F197" s="49"/>
      <c r="G197" s="49"/>
      <c r="H197" s="49"/>
      <c r="I197" s="49"/>
      <c r="J197" s="49"/>
      <c r="K197" s="49"/>
      <c r="L197" s="80"/>
      <c r="M197" s="91"/>
      <c r="R197" s="74" t="s">
        <v>6</v>
      </c>
    </row>
    <row r="198" spans="1:18" ht="30" x14ac:dyDescent="0.25">
      <c r="A198" s="23" t="s">
        <v>12</v>
      </c>
      <c r="B198" s="25" t="s">
        <v>177</v>
      </c>
      <c r="C198" s="15"/>
      <c r="D198" s="16"/>
      <c r="E198" s="16"/>
      <c r="F198" s="16"/>
      <c r="G198" s="16"/>
      <c r="H198" s="16"/>
      <c r="I198" s="16"/>
      <c r="J198" s="16"/>
      <c r="K198" s="16"/>
      <c r="L198" s="87"/>
      <c r="M198" s="73">
        <f t="shared" ref="M198" si="24">SUM(C198:L198)</f>
        <v>0</v>
      </c>
    </row>
    <row r="199" spans="1:18" ht="45" x14ac:dyDescent="0.25">
      <c r="A199" s="23"/>
      <c r="B199" s="25" t="s">
        <v>178</v>
      </c>
      <c r="C199" s="48"/>
      <c r="D199" s="49"/>
      <c r="E199" s="49"/>
      <c r="F199" s="49"/>
      <c r="G199" s="49"/>
      <c r="H199" s="49"/>
      <c r="I199" s="49"/>
      <c r="J199" s="49"/>
      <c r="K199" s="49"/>
      <c r="L199" s="80"/>
      <c r="M199" s="91"/>
      <c r="R199" s="74" t="s">
        <v>6</v>
      </c>
    </row>
    <row r="200" spans="1:18" x14ac:dyDescent="0.25">
      <c r="A200" s="23"/>
      <c r="B200" s="25" t="s">
        <v>179</v>
      </c>
      <c r="C200" s="15"/>
      <c r="D200" s="16"/>
      <c r="E200" s="16"/>
      <c r="F200" s="16"/>
      <c r="G200" s="16"/>
      <c r="H200" s="16"/>
      <c r="I200" s="16"/>
      <c r="J200" s="16"/>
      <c r="K200" s="16"/>
      <c r="L200" s="87"/>
      <c r="M200" s="73">
        <f t="shared" ref="M200" si="25">SUM(C200:L200)</f>
        <v>0</v>
      </c>
    </row>
    <row r="201" spans="1:18" ht="45" x14ac:dyDescent="0.25">
      <c r="A201" s="23"/>
      <c r="B201" s="25" t="s">
        <v>180</v>
      </c>
      <c r="C201" s="48"/>
      <c r="D201" s="49"/>
      <c r="E201" s="49"/>
      <c r="F201" s="49"/>
      <c r="G201" s="49"/>
      <c r="H201" s="49"/>
      <c r="I201" s="49"/>
      <c r="J201" s="49"/>
      <c r="K201" s="49"/>
      <c r="L201" s="80"/>
      <c r="M201" s="91"/>
      <c r="R201" s="74" t="s">
        <v>6</v>
      </c>
    </row>
    <row r="202" spans="1:18" x14ac:dyDescent="0.25">
      <c r="A202" s="23"/>
      <c r="B202" s="25" t="s">
        <v>181</v>
      </c>
      <c r="C202" s="15"/>
      <c r="D202" s="16"/>
      <c r="E202" s="16"/>
      <c r="F202" s="16"/>
      <c r="G202" s="16"/>
      <c r="H202" s="16"/>
      <c r="I202" s="16"/>
      <c r="J202" s="16"/>
      <c r="K202" s="16"/>
      <c r="L202" s="87"/>
      <c r="M202" s="73">
        <f t="shared" ref="M202" si="26">SUM(C202:L202)</f>
        <v>0</v>
      </c>
    </row>
    <row r="203" spans="1:18" ht="45" x14ac:dyDescent="0.25">
      <c r="A203" s="23"/>
      <c r="B203" s="25" t="s">
        <v>182</v>
      </c>
      <c r="C203" s="48"/>
      <c r="D203" s="49"/>
      <c r="E203" s="49"/>
      <c r="F203" s="49"/>
      <c r="G203" s="49"/>
      <c r="H203" s="49"/>
      <c r="I203" s="49"/>
      <c r="J203" s="49"/>
      <c r="K203" s="49"/>
      <c r="L203" s="80"/>
      <c r="M203" s="91"/>
      <c r="R203" s="74" t="s">
        <v>6</v>
      </c>
    </row>
    <row r="204" spans="1:18" ht="90" x14ac:dyDescent="0.25">
      <c r="A204" s="23" t="s">
        <v>14</v>
      </c>
      <c r="B204" s="25" t="s">
        <v>395</v>
      </c>
      <c r="C204" s="15"/>
      <c r="D204" s="16"/>
      <c r="E204" s="16"/>
      <c r="F204" s="16"/>
      <c r="G204" s="16"/>
      <c r="H204" s="16"/>
      <c r="I204" s="16"/>
      <c r="J204" s="16"/>
      <c r="K204" s="16"/>
      <c r="L204" s="87"/>
      <c r="M204" s="73">
        <f t="shared" ref="M204" si="27">SUM(C204:L204)</f>
        <v>0</v>
      </c>
    </row>
    <row r="205" spans="1:18" ht="45" x14ac:dyDescent="0.25">
      <c r="A205" s="23"/>
      <c r="B205" s="25" t="s">
        <v>215</v>
      </c>
      <c r="C205" s="48"/>
      <c r="D205" s="49"/>
      <c r="E205" s="49"/>
      <c r="F205" s="49"/>
      <c r="G205" s="49"/>
      <c r="H205" s="49"/>
      <c r="I205" s="49"/>
      <c r="J205" s="49"/>
      <c r="K205" s="49"/>
      <c r="L205" s="80"/>
      <c r="M205" s="91"/>
      <c r="R205" s="74" t="s">
        <v>6</v>
      </c>
    </row>
    <row r="206" spans="1:18" ht="30" x14ac:dyDescent="0.25">
      <c r="A206" s="23" t="s">
        <v>16</v>
      </c>
      <c r="B206" s="25" t="s">
        <v>183</v>
      </c>
      <c r="C206" s="15"/>
      <c r="D206" s="16"/>
      <c r="E206" s="16"/>
      <c r="F206" s="16"/>
      <c r="G206" s="16"/>
      <c r="H206" s="16"/>
      <c r="I206" s="16"/>
      <c r="J206" s="16"/>
      <c r="K206" s="16"/>
      <c r="L206" s="87"/>
      <c r="M206" s="73">
        <f t="shared" ref="M206" si="28">SUM(C206:L206)</f>
        <v>0</v>
      </c>
    </row>
    <row r="207" spans="1:18" ht="45" x14ac:dyDescent="0.25">
      <c r="A207" s="23"/>
      <c r="B207" s="25" t="s">
        <v>215</v>
      </c>
      <c r="C207" s="48"/>
      <c r="D207" s="49"/>
      <c r="E207" s="49"/>
      <c r="F207" s="49"/>
      <c r="G207" s="49"/>
      <c r="H207" s="49"/>
      <c r="I207" s="49"/>
      <c r="J207" s="49"/>
      <c r="K207" s="49"/>
      <c r="L207" s="80"/>
      <c r="M207" s="91"/>
      <c r="R207" s="74" t="s">
        <v>6</v>
      </c>
    </row>
    <row r="208" spans="1:18" ht="45" x14ac:dyDescent="0.25">
      <c r="A208" s="23" t="s">
        <v>18</v>
      </c>
      <c r="B208" s="25" t="s">
        <v>184</v>
      </c>
      <c r="C208" s="11"/>
      <c r="D208" s="12"/>
      <c r="E208" s="12"/>
      <c r="F208" s="12"/>
      <c r="G208" s="12"/>
      <c r="H208" s="12"/>
      <c r="I208" s="12"/>
      <c r="J208" s="12"/>
      <c r="K208" s="12"/>
      <c r="L208" s="82"/>
      <c r="M208" s="91"/>
    </row>
    <row r="209" spans="1:18" ht="45" x14ac:dyDescent="0.25">
      <c r="A209" s="23"/>
      <c r="B209" s="25" t="s">
        <v>185</v>
      </c>
      <c r="C209" s="48"/>
      <c r="D209" s="49"/>
      <c r="E209" s="49"/>
      <c r="F209" s="49"/>
      <c r="G209" s="49"/>
      <c r="H209" s="49"/>
      <c r="I209" s="49"/>
      <c r="J209" s="49"/>
      <c r="K209" s="49"/>
      <c r="L209" s="80"/>
      <c r="M209" s="91"/>
      <c r="R209" s="74" t="s">
        <v>6</v>
      </c>
    </row>
    <row r="210" spans="1:18" ht="15.75" x14ac:dyDescent="0.25">
      <c r="A210" s="33" t="s">
        <v>186</v>
      </c>
      <c r="B210" s="51"/>
      <c r="C210" s="50"/>
      <c r="D210" s="35"/>
      <c r="E210" s="35"/>
      <c r="F210" s="35"/>
      <c r="G210" s="35"/>
      <c r="H210" s="35"/>
      <c r="I210" s="35"/>
      <c r="J210" s="35"/>
      <c r="K210" s="35"/>
      <c r="L210" s="77"/>
      <c r="M210" s="77"/>
    </row>
    <row r="211" spans="1:18" ht="105" x14ac:dyDescent="0.25">
      <c r="A211" s="103" t="s">
        <v>501</v>
      </c>
      <c r="B211" s="104"/>
      <c r="C211" s="9"/>
      <c r="D211" s="10"/>
      <c r="E211" s="10"/>
      <c r="F211" s="10"/>
      <c r="G211" s="10"/>
      <c r="H211" s="10"/>
      <c r="I211" s="10"/>
      <c r="J211" s="10"/>
      <c r="K211" s="10"/>
      <c r="L211" s="85"/>
      <c r="M211" s="91"/>
      <c r="R211" s="74" t="s">
        <v>385</v>
      </c>
    </row>
    <row r="212" spans="1:18" ht="105" x14ac:dyDescent="0.25">
      <c r="A212" s="23"/>
      <c r="B212" s="25"/>
      <c r="C212" s="9"/>
      <c r="D212" s="10"/>
      <c r="E212" s="10"/>
      <c r="F212" s="10"/>
      <c r="G212" s="10"/>
      <c r="H212" s="10"/>
      <c r="I212" s="10"/>
      <c r="J212" s="10"/>
      <c r="K212" s="10"/>
      <c r="L212" s="85"/>
      <c r="M212" s="91"/>
      <c r="R212" s="74" t="s">
        <v>385</v>
      </c>
    </row>
    <row r="213" spans="1:18" ht="15.75" x14ac:dyDescent="0.25">
      <c r="A213" s="33" t="s">
        <v>188</v>
      </c>
      <c r="B213" s="32"/>
      <c r="C213" s="34"/>
      <c r="D213" s="35"/>
      <c r="E213" s="35"/>
      <c r="F213" s="35"/>
      <c r="G213" s="35"/>
      <c r="H213" s="35"/>
      <c r="I213" s="35"/>
      <c r="J213" s="35"/>
      <c r="K213" s="35"/>
      <c r="L213" s="77"/>
      <c r="M213" s="77"/>
    </row>
    <row r="214" spans="1:18" ht="105" x14ac:dyDescent="0.25">
      <c r="A214" s="103" t="s">
        <v>502</v>
      </c>
      <c r="B214" s="104"/>
      <c r="C214" s="9"/>
      <c r="D214" s="10"/>
      <c r="E214" s="10"/>
      <c r="F214" s="10"/>
      <c r="G214" s="10"/>
      <c r="H214" s="10"/>
      <c r="I214" s="10"/>
      <c r="J214" s="10"/>
      <c r="K214" s="10"/>
      <c r="L214" s="85"/>
      <c r="M214" s="91"/>
      <c r="R214" s="74" t="s">
        <v>385</v>
      </c>
    </row>
    <row r="215" spans="1:18" ht="105" x14ac:dyDescent="0.25">
      <c r="A215" s="23"/>
      <c r="B215" s="25"/>
      <c r="C215" s="17"/>
      <c r="D215" s="18"/>
      <c r="E215" s="18"/>
      <c r="F215" s="18"/>
      <c r="G215" s="18"/>
      <c r="H215" s="18"/>
      <c r="I215" s="18"/>
      <c r="J215" s="18"/>
      <c r="K215" s="18"/>
      <c r="L215" s="89"/>
      <c r="M215" s="91"/>
      <c r="R215" s="74" t="s">
        <v>385</v>
      </c>
    </row>
    <row r="230" spans="13:25" hidden="1" x14ac:dyDescent="0.25">
      <c r="N230" t="s">
        <v>377</v>
      </c>
      <c r="P230" t="e">
        <f>SUM(COUNTIF(#REF!,$P$1&amp;$N230),COUNTIF(#REF!,$P$1&amp;$N230&amp;$O$2),COUNTIF(#REF!,$P$1&amp;$N230&amp;$O$3),COUNTIF(#REF!,$P$1&amp;$N230&amp;$O$4))</f>
        <v>#REF!</v>
      </c>
      <c r="Q230" t="e">
        <f>SUM(COUNTIF(#REF!,$Q$1&amp;$N230),COUNTIF(#REF!,$Q$1&amp;$N230&amp;$O$2),COUNTIF(#REF!,$Q$1&amp;$N230&amp;$O$3),COUNTIF(#REF!,$Q$1&amp;$N230&amp;$O$4))</f>
        <v>#REF!</v>
      </c>
      <c r="R230" t="e">
        <f>SUM(COUNTIF(#REF!,$R$1&amp;$N230),COUNTIF(#REF!,$R$1&amp;$N230&amp;$O$2),COUNTIF(#REF!,$R$1&amp;$N230&amp;$O$3),COUNTIF(#REF!,$R$1&amp;$N230&amp;$O$4))</f>
        <v>#REF!</v>
      </c>
      <c r="S230" t="e">
        <f>SUM(COUNTIF(#REF!,$S$1&amp;$N230),COUNTIF(#REF!,$S$1&amp;$N230&amp;$O$2),COUNTIF(#REF!,$S$1&amp;$N230&amp;$O$3),COUNTIF(#REF!,$S$1&amp;$N230&amp;$O$4))</f>
        <v>#REF!</v>
      </c>
      <c r="T230" t="e">
        <f>SUM(COUNTIF(#REF!,$T$1&amp;$N230),COUNTIF(#REF!,$T$1&amp;$N230&amp;$O$2),COUNTIF(#REF!,$T$1&amp;$N230&amp;$O$3),COUNTIF(#REF!,$T$1&amp;$N230&amp;$O$4))</f>
        <v>#REF!</v>
      </c>
      <c r="U230" t="e">
        <f>SUM(COUNTIF(#REF!,$U$1&amp;$N230),COUNTIF(#REF!,$U$1&amp;$N230&amp;$O$2),COUNTIF(#REF!,$U$1&amp;$N230&amp;$O$3),COUNTIF(#REF!,$U$1&amp;$N230&amp;$O$4))</f>
        <v>#REF!</v>
      </c>
      <c r="V230" t="e">
        <f>SUM(COUNTIF(#REF!,$V$1&amp;$N230),COUNTIF(#REF!,$V$1&amp;$N230&amp;$O$2),COUNTIF(#REF!,$V$1&amp;$N230&amp;$O$3),COUNTIF(#REF!,$V$1&amp;$N230&amp;$O$4))</f>
        <v>#REF!</v>
      </c>
      <c r="W230" t="e">
        <f>SUM(COUNTIF(#REF!,$W$1&amp;$N230),COUNTIF(#REF!,$W$1&amp;$N230&amp;$O$2),COUNTIF(#REF!,$W$1&amp;$N230&amp;$O$3),COUNTIF(#REF!,$W$1&amp;$N230&amp;$O$4))</f>
        <v>#REF!</v>
      </c>
      <c r="X230" t="e">
        <f>SUM(COUNTIF(#REF!,$X$1&amp;$N230),COUNTIF(#REF!,$X$1&amp;$N230&amp;$O$2),COUNTIF(#REF!,$X$1&amp;$N230&amp;$O$3),COUNTIF(#REF!,$X$1&amp;$N230&amp;$O$4))</f>
        <v>#REF!</v>
      </c>
      <c r="Y230" t="e">
        <f>SUM(COUNTIF(#REF!,$Y$1&amp;$N230),COUNTIF(#REF!,$Y$1&amp;$N230&amp;$O$2),COUNTIF(#REF!,$Y$1&amp;$N230&amp;$O$3),COUNTIF(#REF!,$Y$1&amp;$N230&amp;$O$4))</f>
        <v>#REF!</v>
      </c>
    </row>
    <row r="231" spans="13:25" hidden="1" x14ac:dyDescent="0.25">
      <c r="N231" t="s">
        <v>365</v>
      </c>
      <c r="P231" t="e">
        <f>SUM(COUNTIF(#REF!,$P$1&amp;$N231),COUNTIF(#REF!,$P$1&amp;$N231&amp;$O$2),COUNTIF(#REF!,$P$1&amp;$N231&amp;$O$3),COUNTIF(#REF!,$P$1&amp;$N231&amp;$O$4))</f>
        <v>#REF!</v>
      </c>
      <c r="Q231" t="e">
        <f>SUM(COUNTIF(#REF!,$Q$1&amp;$N231),COUNTIF(#REF!,$Q$1&amp;$N231&amp;$O$2),COUNTIF(#REF!,$Q$1&amp;$N231&amp;$O$3),COUNTIF(#REF!,$Q$1&amp;$N231&amp;$O$4))</f>
        <v>#REF!</v>
      </c>
      <c r="R231" t="e">
        <f>SUM(COUNTIF(#REF!,$R$1&amp;$N231),COUNTIF(#REF!,$R$1&amp;$N231&amp;$O$2),COUNTIF(#REF!,$R$1&amp;$N231&amp;$O$3),COUNTIF(#REF!,$R$1&amp;$N231&amp;$O$4))</f>
        <v>#REF!</v>
      </c>
      <c r="S231" t="e">
        <f>SUM(COUNTIF(#REF!,$S$1&amp;$N231),COUNTIF(#REF!,$S$1&amp;$N231&amp;$O$2),COUNTIF(#REF!,$S$1&amp;$N231&amp;$O$3),COUNTIF(#REF!,$S$1&amp;$N231&amp;$O$4))</f>
        <v>#REF!</v>
      </c>
      <c r="T231" t="e">
        <f>SUM(COUNTIF(#REF!,$T$1&amp;$N231),COUNTIF(#REF!,$T$1&amp;$N231&amp;$O$2),COUNTIF(#REF!,$T$1&amp;$N231&amp;$O$3),COUNTIF(#REF!,$T$1&amp;$N231&amp;$O$4))</f>
        <v>#REF!</v>
      </c>
      <c r="U231" t="e">
        <f>SUM(COUNTIF(#REF!,$U$1&amp;$N231),COUNTIF(#REF!,$U$1&amp;$N231&amp;$O$2),COUNTIF(#REF!,$U$1&amp;$N231&amp;$O$3),COUNTIF(#REF!,$U$1&amp;$N231&amp;$O$4))</f>
        <v>#REF!</v>
      </c>
      <c r="V231" t="e">
        <f>SUM(COUNTIF(#REF!,$V$1&amp;$N231),COUNTIF(#REF!,$V$1&amp;$N231&amp;$O$2),COUNTIF(#REF!,$V$1&amp;$N231&amp;$O$3),COUNTIF(#REF!,$V$1&amp;$N231&amp;$O$4))</f>
        <v>#REF!</v>
      </c>
      <c r="W231" t="e">
        <f>SUM(COUNTIF(#REF!,$W$1&amp;$N231),COUNTIF(#REF!,$W$1&amp;$N231&amp;$O$2),COUNTIF(#REF!,$W$1&amp;$N231&amp;$O$3),COUNTIF(#REF!,$W$1&amp;$N231&amp;$O$4))</f>
        <v>#REF!</v>
      </c>
      <c r="X231" t="e">
        <f>SUM(COUNTIF(#REF!,$X$1&amp;$N231),COUNTIF(#REF!,$X$1&amp;$N231&amp;$O$2),COUNTIF(#REF!,$X$1&amp;$N231&amp;$O$3),COUNTIF(#REF!,$X$1&amp;$N231&amp;$O$4))</f>
        <v>#REF!</v>
      </c>
      <c r="Y231" t="e">
        <f>SUM(COUNTIF(#REF!,$Y$1&amp;$N231),COUNTIF(#REF!,$Y$1&amp;$N231&amp;$O$2),COUNTIF(#REF!,$Y$1&amp;$N231&amp;$O$3),COUNTIF(#REF!,$Y$1&amp;$N231&amp;$O$4))</f>
        <v>#REF!</v>
      </c>
    </row>
    <row r="232" spans="13:25" hidden="1" x14ac:dyDescent="0.25">
      <c r="N232" t="s">
        <v>362</v>
      </c>
      <c r="P232" t="e">
        <f>SUM(COUNTIF(#REF!,$P$1&amp;$N232),COUNTIF(#REF!,$P$1&amp;$N232&amp;$O$2),COUNTIF(#REF!,$P$1&amp;$N232&amp;$O$3),COUNTIF(#REF!,$P$1&amp;$N232&amp;$O$4))</f>
        <v>#REF!</v>
      </c>
      <c r="Q232" t="e">
        <f>SUM(COUNTIF(#REF!,$Q$1&amp;$N232),COUNTIF(#REF!,$Q$1&amp;$N232&amp;$O$2),COUNTIF(#REF!,$Q$1&amp;$N232&amp;$O$3),COUNTIF(#REF!,$Q$1&amp;$N232&amp;$O$4))</f>
        <v>#REF!</v>
      </c>
      <c r="R232" t="e">
        <f>SUM(COUNTIF(#REF!,$R$1&amp;$N232),COUNTIF(#REF!,$R$1&amp;$N232&amp;$O$2),COUNTIF(#REF!,$R$1&amp;$N232&amp;$O$3),COUNTIF(#REF!,$R$1&amp;$N232&amp;$O$4))</f>
        <v>#REF!</v>
      </c>
      <c r="S232" t="e">
        <f>SUM(COUNTIF(#REF!,$S$1&amp;$N232),COUNTIF(#REF!,$S$1&amp;$N232&amp;$O$2),COUNTIF(#REF!,$S$1&amp;$N232&amp;$O$3),COUNTIF(#REF!,$S$1&amp;$N232&amp;$O$4))</f>
        <v>#REF!</v>
      </c>
      <c r="T232" t="e">
        <f>SUM(COUNTIF(#REF!,$T$1&amp;$N232),COUNTIF(#REF!,$T$1&amp;$N232&amp;$O$2),COUNTIF(#REF!,$T$1&amp;$N232&amp;$O$3),COUNTIF(#REF!,$T$1&amp;$N232&amp;$O$4))</f>
        <v>#REF!</v>
      </c>
      <c r="U232" t="e">
        <f>SUM(COUNTIF(#REF!,$U$1&amp;$N232),COUNTIF(#REF!,$U$1&amp;$N232&amp;$O$2),COUNTIF(#REF!,$U$1&amp;$N232&amp;$O$3),COUNTIF(#REF!,$U$1&amp;$N232&amp;$O$4))</f>
        <v>#REF!</v>
      </c>
      <c r="V232" t="e">
        <f>SUM(COUNTIF(#REF!,$V$1&amp;$N232),COUNTIF(#REF!,$V$1&amp;$N232&amp;$O$2),COUNTIF(#REF!,$V$1&amp;$N232&amp;$O$3),COUNTIF(#REF!,$V$1&amp;$N232&amp;$O$4))</f>
        <v>#REF!</v>
      </c>
      <c r="W232" t="e">
        <f>SUM(COUNTIF(#REF!,$W$1&amp;$N232),COUNTIF(#REF!,$W$1&amp;$N232&amp;$O$2),COUNTIF(#REF!,$W$1&amp;$N232&amp;$O$3),COUNTIF(#REF!,$W$1&amp;$N232&amp;$O$4))</f>
        <v>#REF!</v>
      </c>
      <c r="X232" t="e">
        <f>SUM(COUNTIF(#REF!,$X$1&amp;$N232),COUNTIF(#REF!,$X$1&amp;$N232&amp;$O$2),COUNTIF(#REF!,$X$1&amp;$N232&amp;$O$3),COUNTIF(#REF!,$X$1&amp;$N232&amp;$O$4))</f>
        <v>#REF!</v>
      </c>
      <c r="Y232" t="e">
        <f>SUM(COUNTIF(#REF!,$Y$1&amp;$N232),COUNTIF(#REF!,$Y$1&amp;$N232&amp;$O$2),COUNTIF(#REF!,$Y$1&amp;$N232&amp;$O$3),COUNTIF(#REF!,$Y$1&amp;$N232&amp;$O$4))</f>
        <v>#REF!</v>
      </c>
    </row>
    <row r="234" spans="13:25" hidden="1" x14ac:dyDescent="0.25">
      <c r="M234" t="s">
        <v>357</v>
      </c>
      <c r="N234" t="s">
        <v>376</v>
      </c>
      <c r="P234" t="e">
        <f>SUM(COUNTIF(#REF!,$P$1&amp;$N234),COUNTIF(#REF!,$P$1&amp;$N234&amp;$O$3))</f>
        <v>#REF!</v>
      </c>
      <c r="Q234" t="e">
        <f>SUM(COUNTIF(#REF!,$Q$1&amp;$N234),COUNTIF(#REF!,$Q$1&amp;$N234&amp;$O$3))</f>
        <v>#REF!</v>
      </c>
      <c r="R234" t="e">
        <f>SUM(COUNTIF(#REF!,$R$1&amp;$N234),COUNTIF(#REF!,$R$1&amp;$N234&amp;$O$3))</f>
        <v>#REF!</v>
      </c>
      <c r="S234" t="e">
        <f>SUM(COUNTIF(#REF!,$S$1&amp;$N234),COUNTIF(#REF!,$S$1&amp;$N234&amp;$O$3))</f>
        <v>#REF!</v>
      </c>
      <c r="T234" t="e">
        <f>SUM(COUNTIF(#REF!,$T$1&amp;$N234),COUNTIF(#REF!,$T$1&amp;$N234&amp;$O$3))</f>
        <v>#REF!</v>
      </c>
      <c r="U234" t="e">
        <f>SUM(COUNTIF(#REF!,$U$1&amp;$N234),COUNTIF(#REF!,$U$1&amp;$N234&amp;$O$3))</f>
        <v>#REF!</v>
      </c>
      <c r="V234" t="e">
        <f>SUM(COUNTIF(#REF!,$V$1&amp;$N234),COUNTIF(#REF!,$V$1&amp;$N234&amp;$O$3))</f>
        <v>#REF!</v>
      </c>
      <c r="W234" t="e">
        <f>SUM(COUNTIF(#REF!,$W$1&amp;$N234),COUNTIF(#REF!,$W$1&amp;$N234&amp;$O$3))</f>
        <v>#REF!</v>
      </c>
      <c r="X234" t="e">
        <f>SUM(COUNTIF(#REF!,$X$1&amp;$N234),COUNTIF(#REF!,$X$1&amp;$N234&amp;$O$3))</f>
        <v>#REF!</v>
      </c>
      <c r="Y234" t="e">
        <f>SUM(COUNTIF(#REF!,$Y$1&amp;$N234),COUNTIF(#REF!,$Y$1&amp;$N234&amp;$O$3))</f>
        <v>#REF!</v>
      </c>
    </row>
    <row r="235" spans="13:25" hidden="1" x14ac:dyDescent="0.25">
      <c r="M235" t="s">
        <v>358</v>
      </c>
      <c r="N235" t="s">
        <v>376</v>
      </c>
      <c r="P235" t="e">
        <f>SUM(COUNTIF(#REF!,$P$1&amp;$N235&amp;$O$2),COUNTIF(#REF!,$P$1&amp;$N235&amp;$O$4))</f>
        <v>#REF!</v>
      </c>
      <c r="Q235" t="e">
        <f>SUM(COUNTIF(#REF!,$Q$1&amp;$N235&amp;$O$2),COUNTIF(#REF!,$Q$1&amp;$N235&amp;$O$4))</f>
        <v>#REF!</v>
      </c>
      <c r="R235" t="e">
        <f>SUM(COUNTIF(#REF!,$R$1&amp;$N235&amp;$O$2),COUNTIF(#REF!,$R$1&amp;$N235&amp;$O$4))</f>
        <v>#REF!</v>
      </c>
      <c r="S235" t="e">
        <f>SUM(COUNTIF(#REF!,$S$1&amp;$N235&amp;$O$2),COUNTIF(#REF!,$S$1&amp;$N235&amp;$O$4))</f>
        <v>#REF!</v>
      </c>
      <c r="T235" t="e">
        <f>SUM(COUNTIF(#REF!,$T$1&amp;$N235&amp;$O$2),COUNTIF(#REF!,$T$1&amp;$N235&amp;$O$4))</f>
        <v>#REF!</v>
      </c>
      <c r="U235" t="e">
        <f>SUM(COUNTIF(#REF!,$U$1&amp;$N235&amp;$O$2),COUNTIF(#REF!,$U$1&amp;$N235&amp;$O$4))</f>
        <v>#REF!</v>
      </c>
      <c r="V235" t="e">
        <f>SUM(COUNTIF(#REF!,$V$1&amp;$N235&amp;$O$2),COUNTIF(#REF!,$V$1&amp;$N235&amp;$O$4))</f>
        <v>#REF!</v>
      </c>
      <c r="W235" t="e">
        <f>SUM(COUNTIF(#REF!,$W$1&amp;$N235&amp;$O$2),COUNTIF(#REF!,$W$1&amp;$N235&amp;$O$4))</f>
        <v>#REF!</v>
      </c>
      <c r="X235" t="e">
        <f>SUM(COUNTIF(#REF!,$X$1&amp;$N235&amp;$O$2),COUNTIF(#REF!,$X$1&amp;$N235&amp;$O$4))</f>
        <v>#REF!</v>
      </c>
      <c r="Y235" t="e">
        <f>SUM(COUNTIF(#REF!,$Y$1&amp;$N235&amp;$O$2),COUNTIF(#REF!,$Y$1&amp;$N235&amp;$O$4))</f>
        <v>#REF!</v>
      </c>
    </row>
    <row r="236" spans="13:25" hidden="1" x14ac:dyDescent="0.25">
      <c r="M236" t="s">
        <v>357</v>
      </c>
      <c r="N236" t="s">
        <v>372</v>
      </c>
      <c r="P236" t="e">
        <f>SUM(COUNTIF(#REF!,$P$1&amp;$N236),COUNTIF(#REF!,$P$1&amp;$N236&amp;$O$3))</f>
        <v>#REF!</v>
      </c>
      <c r="Q236" t="e">
        <f>SUM(COUNTIF(#REF!,$Q$1&amp;$N236),COUNTIF(#REF!,$Q$1&amp;$N236&amp;$O$3))</f>
        <v>#REF!</v>
      </c>
      <c r="R236" t="e">
        <f>SUM(COUNTIF(#REF!,$R$1&amp;$N236),COUNTIF(#REF!,$R$1&amp;$N236&amp;$O$3))</f>
        <v>#REF!</v>
      </c>
      <c r="S236" t="e">
        <f>SUM(COUNTIF(#REF!,$S$1&amp;$N236),COUNTIF(#REF!,$S$1&amp;$N236&amp;$O$3))</f>
        <v>#REF!</v>
      </c>
      <c r="T236" t="e">
        <f>SUM(COUNTIF(#REF!,$T$1&amp;$N236),COUNTIF(#REF!,$T$1&amp;$N236&amp;$O$3))</f>
        <v>#REF!</v>
      </c>
      <c r="U236" t="e">
        <f>SUM(COUNTIF(#REF!,$U$1&amp;$N236),COUNTIF(#REF!,$U$1&amp;$N236&amp;$O$3))</f>
        <v>#REF!</v>
      </c>
      <c r="V236" t="e">
        <f>SUM(COUNTIF(#REF!,$V$1&amp;$N236),COUNTIF(#REF!,$V$1&amp;$N236&amp;$O$3))</f>
        <v>#REF!</v>
      </c>
      <c r="W236" t="e">
        <f>SUM(COUNTIF(#REF!,$W$1&amp;$N236),COUNTIF(#REF!,$W$1&amp;$N236&amp;$O$3))</f>
        <v>#REF!</v>
      </c>
      <c r="X236" t="e">
        <f>SUM(COUNTIF(#REF!,$X$1&amp;$N236),COUNTIF(#REF!,$X$1&amp;$N236&amp;$O$3))</f>
        <v>#REF!</v>
      </c>
      <c r="Y236" t="e">
        <f>SUM(COUNTIF(#REF!,$Y$1&amp;$N236),COUNTIF(#REF!,$Y$1&amp;$N236&amp;$O$3))</f>
        <v>#REF!</v>
      </c>
    </row>
    <row r="237" spans="13:25" hidden="1" x14ac:dyDescent="0.25">
      <c r="M237" t="s">
        <v>358</v>
      </c>
      <c r="N237" t="s">
        <v>372</v>
      </c>
      <c r="P237" t="e">
        <f>SUM(COUNTIF(#REF!,$P$1&amp;$N237&amp;$O$2),COUNTIF(#REF!,$P$1&amp;$N237&amp;$O$4))</f>
        <v>#REF!</v>
      </c>
      <c r="Q237" t="e">
        <f>SUM(COUNTIF(#REF!,$Q$1&amp;$N237&amp;$O$2),COUNTIF(#REF!,$Q$1&amp;$N237&amp;$O$4))</f>
        <v>#REF!</v>
      </c>
      <c r="R237" t="e">
        <f>SUM(COUNTIF(#REF!,$R$1&amp;$N237&amp;$O$2),COUNTIF(#REF!,$R$1&amp;$N237&amp;$O$4))</f>
        <v>#REF!</v>
      </c>
      <c r="S237" t="e">
        <f>SUM(COUNTIF(#REF!,$S$1&amp;$N237&amp;$O$2),COUNTIF(#REF!,$S$1&amp;$N237&amp;$O$4))</f>
        <v>#REF!</v>
      </c>
      <c r="T237" t="e">
        <f>SUM(COUNTIF(#REF!,$T$1&amp;$N237&amp;$O$2),COUNTIF(#REF!,$T$1&amp;$N237&amp;$O$4))</f>
        <v>#REF!</v>
      </c>
      <c r="U237" t="e">
        <f>SUM(COUNTIF(#REF!,$U$1&amp;$N237&amp;$O$2),COUNTIF(#REF!,$U$1&amp;$N237&amp;$O$4))</f>
        <v>#REF!</v>
      </c>
      <c r="V237" t="e">
        <f>SUM(COUNTIF(#REF!,$V$1&amp;$N237&amp;$O$2),COUNTIF(#REF!,$V$1&amp;$N237&amp;$O$4))</f>
        <v>#REF!</v>
      </c>
      <c r="W237" t="e">
        <f>SUM(COUNTIF(#REF!,$W$1&amp;$N237&amp;$O$2),COUNTIF(#REF!,$W$1&amp;$N237&amp;$O$4))</f>
        <v>#REF!</v>
      </c>
      <c r="X237" t="e">
        <f>SUM(COUNTIF(#REF!,$X$1&amp;$N237&amp;$O$2),COUNTIF(#REF!,$X$1&amp;$N237&amp;$O$4))</f>
        <v>#REF!</v>
      </c>
      <c r="Y237" t="e">
        <f>SUM(COUNTIF(#REF!,$Y$1&amp;$N237&amp;$O$2),COUNTIF(#REF!,$Y$1&amp;$N237&amp;$O$4))</f>
        <v>#REF!</v>
      </c>
    </row>
    <row r="238" spans="13:25" hidden="1" x14ac:dyDescent="0.25">
      <c r="M238" t="s">
        <v>357</v>
      </c>
      <c r="N238" t="s">
        <v>373</v>
      </c>
      <c r="P238" t="e">
        <f>SUM(COUNTIF(#REF!,$P$1&amp;$N238),COUNTIF(#REF!,$P$1&amp;$N238&amp;$O$3))</f>
        <v>#REF!</v>
      </c>
      <c r="Q238" t="e">
        <f>SUM(COUNTIF(#REF!,$Q$1&amp;$N238),COUNTIF(#REF!,$Q$1&amp;$N238&amp;$O$3))</f>
        <v>#REF!</v>
      </c>
      <c r="R238" t="e">
        <f>SUM(COUNTIF(#REF!,$R$1&amp;$N238),COUNTIF(#REF!,$R$1&amp;$N238&amp;$O$3))</f>
        <v>#REF!</v>
      </c>
      <c r="S238" t="e">
        <f>SUM(COUNTIF(#REF!,$S$1&amp;$N238),COUNTIF(#REF!,$S$1&amp;$N238&amp;$O$3))</f>
        <v>#REF!</v>
      </c>
      <c r="T238" t="e">
        <f>SUM(COUNTIF(#REF!,$T$1&amp;$N238),COUNTIF(#REF!,$T$1&amp;$N238&amp;$O$3))</f>
        <v>#REF!</v>
      </c>
      <c r="U238" t="e">
        <f>SUM(COUNTIF(#REF!,$U$1&amp;$N238),COUNTIF(#REF!,$U$1&amp;$N238&amp;$O$3))</f>
        <v>#REF!</v>
      </c>
      <c r="V238" t="e">
        <f>SUM(COUNTIF(#REF!,$V$1&amp;$N238),COUNTIF(#REF!,$V$1&amp;$N238&amp;$O$3))</f>
        <v>#REF!</v>
      </c>
      <c r="W238" t="e">
        <f>SUM(COUNTIF(#REF!,$W$1&amp;$N238),COUNTIF(#REF!,$W$1&amp;$N238&amp;$O$3))</f>
        <v>#REF!</v>
      </c>
      <c r="X238" t="e">
        <f>SUM(COUNTIF(#REF!,$X$1&amp;$N238),COUNTIF(#REF!,$X$1&amp;$N238&amp;$O$3))</f>
        <v>#REF!</v>
      </c>
      <c r="Y238" t="e">
        <f>SUM(COUNTIF(#REF!,$Y$1&amp;$N238),COUNTIF(#REF!,$Y$1&amp;$N238&amp;$O$3))</f>
        <v>#REF!</v>
      </c>
    </row>
    <row r="239" spans="13:25" hidden="1" x14ac:dyDescent="0.25">
      <c r="M239" t="s">
        <v>358</v>
      </c>
      <c r="N239" t="s">
        <v>373</v>
      </c>
      <c r="P239" t="e">
        <f>SUM(COUNTIF(#REF!,$P$1&amp;$N239&amp;$O$2),COUNTIF(#REF!,$P$1&amp;$N239&amp;$O$4))</f>
        <v>#REF!</v>
      </c>
      <c r="Q239" t="e">
        <f>SUM(COUNTIF(#REF!,$Q$1&amp;$N239&amp;$O$2),COUNTIF(#REF!,$Q$1&amp;$N239&amp;$O$4))</f>
        <v>#REF!</v>
      </c>
      <c r="R239" t="e">
        <f>SUM(COUNTIF(#REF!,$R$1&amp;$N239&amp;$O$2),COUNTIF(#REF!,$R$1&amp;$N239&amp;$O$4))</f>
        <v>#REF!</v>
      </c>
      <c r="S239" t="e">
        <f>SUM(COUNTIF(#REF!,$S$1&amp;$N239&amp;$O$2),COUNTIF(#REF!,$S$1&amp;$N239&amp;$O$4))</f>
        <v>#REF!</v>
      </c>
      <c r="T239" t="e">
        <f>SUM(COUNTIF(#REF!,$T$1&amp;$N239&amp;$O$2),COUNTIF(#REF!,$T$1&amp;$N239&amp;$O$4))</f>
        <v>#REF!</v>
      </c>
      <c r="U239" t="e">
        <f>SUM(COUNTIF(#REF!,$U$1&amp;$N239&amp;$O$2),COUNTIF(#REF!,$U$1&amp;$N239&amp;$O$4))</f>
        <v>#REF!</v>
      </c>
      <c r="V239" t="e">
        <f>SUM(COUNTIF(#REF!,$V$1&amp;$N239&amp;$O$2),COUNTIF(#REF!,$V$1&amp;$N239&amp;$O$4))</f>
        <v>#REF!</v>
      </c>
      <c r="W239" t="e">
        <f>SUM(COUNTIF(#REF!,$W$1&amp;$N239&amp;$O$2),COUNTIF(#REF!,$W$1&amp;$N239&amp;$O$4))</f>
        <v>#REF!</v>
      </c>
      <c r="X239" t="e">
        <f>SUM(COUNTIF(#REF!,$X$1&amp;$N239&amp;$O$2),COUNTIF(#REF!,$X$1&amp;$N239&amp;$O$4))</f>
        <v>#REF!</v>
      </c>
      <c r="Y239" t="e">
        <f>SUM(COUNTIF(#REF!,$Y$1&amp;$N239&amp;$O$2),COUNTIF(#REF!,$Y$1&amp;$N239&amp;$O$4))</f>
        <v>#REF!</v>
      </c>
    </row>
    <row r="240" spans="13:25" hidden="1" x14ac:dyDescent="0.25">
      <c r="M240" t="s">
        <v>357</v>
      </c>
      <c r="N240" t="s">
        <v>374</v>
      </c>
      <c r="P240" t="e">
        <f>SUM(COUNTIF(#REF!,$P$1&amp;$N240),COUNTIF(#REF!,$P$1&amp;$N240&amp;$O$3))</f>
        <v>#REF!</v>
      </c>
      <c r="Q240" t="e">
        <f>SUM(COUNTIF(#REF!,$Q$1&amp;$N240),COUNTIF(#REF!,$Q$1&amp;$N240&amp;$O$3))</f>
        <v>#REF!</v>
      </c>
      <c r="R240" t="e">
        <f>SUM(COUNTIF(#REF!,$R$1&amp;$N240),COUNTIF(#REF!,$R$1&amp;$N240&amp;$O$3))</f>
        <v>#REF!</v>
      </c>
      <c r="S240" t="e">
        <f>SUM(COUNTIF(#REF!,$S$1&amp;$N240),COUNTIF(#REF!,$S$1&amp;$N240&amp;$O$3))</f>
        <v>#REF!</v>
      </c>
      <c r="T240" t="e">
        <f>SUM(COUNTIF(#REF!,$T$1&amp;$N240),COUNTIF(#REF!,$T$1&amp;$N240&amp;$O$3))</f>
        <v>#REF!</v>
      </c>
      <c r="U240" t="e">
        <f>SUM(COUNTIF(#REF!,$U$1&amp;$N240),COUNTIF(#REF!,$U$1&amp;$N240&amp;$O$3))</f>
        <v>#REF!</v>
      </c>
      <c r="V240" t="e">
        <f>SUM(COUNTIF(#REF!,$V$1&amp;$N240),COUNTIF(#REF!,$V$1&amp;$N240&amp;$O$3))</f>
        <v>#REF!</v>
      </c>
      <c r="W240" t="e">
        <f>SUM(COUNTIF(#REF!,$W$1&amp;$N240),COUNTIF(#REF!,$W$1&amp;$N240&amp;$O$3))</f>
        <v>#REF!</v>
      </c>
      <c r="X240" t="e">
        <f>SUM(COUNTIF(#REF!,$X$1&amp;$N240),COUNTIF(#REF!,$X$1&amp;$N240&amp;$O$3))</f>
        <v>#REF!</v>
      </c>
      <c r="Y240" t="e">
        <f>SUM(COUNTIF(#REF!,$Y$1&amp;$N240),COUNTIF(#REF!,$Y$1&amp;$N240&amp;$O$3))</f>
        <v>#REF!</v>
      </c>
    </row>
    <row r="241" spans="1:25" hidden="1" x14ac:dyDescent="0.25">
      <c r="M241" t="s">
        <v>358</v>
      </c>
      <c r="N241" t="s">
        <v>374</v>
      </c>
      <c r="P241" t="e">
        <f>SUM(COUNTIF(#REF!,$P$1&amp;$N241&amp;$O$2),COUNTIF(#REF!,$P$1&amp;$N241&amp;$O$4))</f>
        <v>#REF!</v>
      </c>
      <c r="Q241" t="e">
        <f>SUM(COUNTIF(#REF!,$Q$1&amp;$N241&amp;$O$2),COUNTIF(#REF!,$Q$1&amp;$N241&amp;$O$4))</f>
        <v>#REF!</v>
      </c>
      <c r="R241" t="e">
        <f>SUM(COUNTIF(#REF!,$R$1&amp;$N241&amp;$O$2),COUNTIF(#REF!,$R$1&amp;$N241&amp;$O$4))</f>
        <v>#REF!</v>
      </c>
      <c r="S241" t="e">
        <f>SUM(COUNTIF(#REF!,$S$1&amp;$N241&amp;$O$2),COUNTIF(#REF!,$S$1&amp;$N241&amp;$O$4))</f>
        <v>#REF!</v>
      </c>
      <c r="T241" t="e">
        <f>SUM(COUNTIF(#REF!,$T$1&amp;$N241&amp;$O$2),COUNTIF(#REF!,$T$1&amp;$N241&amp;$O$4))</f>
        <v>#REF!</v>
      </c>
      <c r="U241" t="e">
        <f>SUM(COUNTIF(#REF!,$U$1&amp;$N241&amp;$O$2),COUNTIF(#REF!,$U$1&amp;$N241&amp;$O$4))</f>
        <v>#REF!</v>
      </c>
      <c r="V241" t="e">
        <f>SUM(COUNTIF(#REF!,$V$1&amp;$N241&amp;$O$2),COUNTIF(#REF!,$V$1&amp;$N241&amp;$O$4))</f>
        <v>#REF!</v>
      </c>
      <c r="W241" t="e">
        <f>SUM(COUNTIF(#REF!,$W$1&amp;$N241&amp;$O$2),COUNTIF(#REF!,$W$1&amp;$N241&amp;$O$4))</f>
        <v>#REF!</v>
      </c>
      <c r="X241" t="e">
        <f>SUM(COUNTIF(#REF!,$X$1&amp;$N241&amp;$O$2),COUNTIF(#REF!,$X$1&amp;$N241&amp;$O$4))</f>
        <v>#REF!</v>
      </c>
      <c r="Y241" t="e">
        <f>SUM(COUNTIF(#REF!,$Y$1&amp;$N241&amp;$O$2),COUNTIF(#REF!,$Y$1&amp;$N241&amp;$O$4))</f>
        <v>#REF!</v>
      </c>
    </row>
    <row r="242" spans="1:25" hidden="1" x14ac:dyDescent="0.25">
      <c r="M242" t="s">
        <v>357</v>
      </c>
      <c r="N242" t="s">
        <v>366</v>
      </c>
      <c r="P242" t="e">
        <f>SUM(COUNTIF(#REF!,$P$1&amp;$N242),COUNTIF(#REF!,$P$1&amp;$N242&amp;$O$3))</f>
        <v>#REF!</v>
      </c>
      <c r="Q242" t="e">
        <f>SUM(COUNTIF(#REF!,$Q$1&amp;$N242),COUNTIF(#REF!,$Q$1&amp;$N242&amp;$O$3))</f>
        <v>#REF!</v>
      </c>
      <c r="R242" t="e">
        <f>SUM(COUNTIF(#REF!,$R$1&amp;$N242),COUNTIF(#REF!,$R$1&amp;$N242&amp;$O$3))</f>
        <v>#REF!</v>
      </c>
      <c r="S242" t="e">
        <f>SUM(COUNTIF(#REF!,$S$1&amp;$N242),COUNTIF(#REF!,$S$1&amp;$N242&amp;$O$3))</f>
        <v>#REF!</v>
      </c>
      <c r="T242" t="e">
        <f>SUM(COUNTIF(#REF!,$T$1&amp;$N242),COUNTIF(#REF!,$T$1&amp;$N242&amp;$O$3))</f>
        <v>#REF!</v>
      </c>
      <c r="U242" t="e">
        <f>SUM(COUNTIF(#REF!,$U$1&amp;$N242),COUNTIF(#REF!,$U$1&amp;$N242&amp;$O$3))</f>
        <v>#REF!</v>
      </c>
      <c r="V242" t="e">
        <f>SUM(COUNTIF(#REF!,$V$1&amp;$N242),COUNTIF(#REF!,$V$1&amp;$N242&amp;$O$3))</f>
        <v>#REF!</v>
      </c>
      <c r="W242" t="e">
        <f>SUM(COUNTIF(#REF!,$W$1&amp;$N242),COUNTIF(#REF!,$W$1&amp;$N242&amp;$O$3))</f>
        <v>#REF!</v>
      </c>
      <c r="X242" t="e">
        <f>SUM(COUNTIF(#REF!,$X$1&amp;$N242),COUNTIF(#REF!,$X$1&amp;$N242&amp;$O$3))</f>
        <v>#REF!</v>
      </c>
      <c r="Y242" t="e">
        <f>SUM(COUNTIF(#REF!,$Y$1&amp;$N242),COUNTIF(#REF!,$Y$1&amp;$N242&amp;$O$3))</f>
        <v>#REF!</v>
      </c>
    </row>
    <row r="243" spans="1:25" hidden="1" x14ac:dyDescent="0.25">
      <c r="M243" t="s">
        <v>358</v>
      </c>
      <c r="N243" t="s">
        <v>366</v>
      </c>
      <c r="P243" t="e">
        <f>SUM(COUNTIF(#REF!,$P$1&amp;$N243&amp;$O$2),COUNTIF(#REF!,$P$1&amp;$N243&amp;$O$4))</f>
        <v>#REF!</v>
      </c>
      <c r="Q243" t="e">
        <f>SUM(COUNTIF(#REF!,$Q$1&amp;$N243&amp;$O$2),COUNTIF(#REF!,$Q$1&amp;$N243&amp;$O$4))</f>
        <v>#REF!</v>
      </c>
      <c r="R243" t="e">
        <f>SUM(COUNTIF(#REF!,$R$1&amp;$N243&amp;$O$2),COUNTIF(#REF!,$R$1&amp;$N243&amp;$O$4))</f>
        <v>#REF!</v>
      </c>
      <c r="S243" t="e">
        <f>SUM(COUNTIF(#REF!,$S$1&amp;$N243&amp;$O$2),COUNTIF(#REF!,$S$1&amp;$N243&amp;$O$4))</f>
        <v>#REF!</v>
      </c>
      <c r="T243" t="e">
        <f>SUM(COUNTIF(#REF!,$T$1&amp;$N243&amp;$O$2),COUNTIF(#REF!,$T$1&amp;$N243&amp;$O$4))</f>
        <v>#REF!</v>
      </c>
      <c r="U243" t="e">
        <f>SUM(COUNTIF(#REF!,$U$1&amp;$N243&amp;$O$2),COUNTIF(#REF!,$U$1&amp;$N243&amp;$O$4))</f>
        <v>#REF!</v>
      </c>
      <c r="V243" t="e">
        <f>SUM(COUNTIF(#REF!,$V$1&amp;$N243&amp;$O$2),COUNTIF(#REF!,$V$1&amp;$N243&amp;$O$4))</f>
        <v>#REF!</v>
      </c>
      <c r="W243" t="e">
        <f>SUM(COUNTIF(#REF!,$W$1&amp;$N243&amp;$O$2),COUNTIF(#REF!,$W$1&amp;$N243&amp;$O$4))</f>
        <v>#REF!</v>
      </c>
      <c r="X243" t="e">
        <f>SUM(COUNTIF(#REF!,$X$1&amp;$N243&amp;$O$2),COUNTIF(#REF!,$X$1&amp;$N243&amp;$O$4))</f>
        <v>#REF!</v>
      </c>
      <c r="Y243" t="e">
        <f>SUM(COUNTIF(#REF!,$Y$1&amp;$N243&amp;$O$2),COUNTIF(#REF!,$Y$1&amp;$N243&amp;$O$4))</f>
        <v>#REF!</v>
      </c>
    </row>
    <row r="244" spans="1:25" hidden="1" x14ac:dyDescent="0.25">
      <c r="M244" t="s">
        <v>357</v>
      </c>
      <c r="N244" t="s">
        <v>367</v>
      </c>
      <c r="P244" t="e">
        <f>SUM(COUNTIF(#REF!,$P$1&amp;$N244),COUNTIF(#REF!,$P$1&amp;$N244&amp;$O$3))</f>
        <v>#REF!</v>
      </c>
      <c r="Q244" t="e">
        <f>SUM(COUNTIF(#REF!,$Q$1&amp;$N244),COUNTIF(#REF!,$Q$1&amp;$N244&amp;$O$3))</f>
        <v>#REF!</v>
      </c>
      <c r="R244" t="e">
        <f>SUM(COUNTIF(#REF!,$R$1&amp;$N244),COUNTIF(#REF!,$R$1&amp;$N244&amp;$O$3))</f>
        <v>#REF!</v>
      </c>
      <c r="S244" t="e">
        <f>SUM(COUNTIF(#REF!,$S$1&amp;$N244),COUNTIF(#REF!,$S$1&amp;$N244&amp;$O$3))</f>
        <v>#REF!</v>
      </c>
      <c r="T244" t="e">
        <f>SUM(COUNTIF(#REF!,$T$1&amp;$N244),COUNTIF(#REF!,$T$1&amp;$N244&amp;$O$3))</f>
        <v>#REF!</v>
      </c>
      <c r="U244" t="e">
        <f>SUM(COUNTIF(#REF!,$U$1&amp;$N244),COUNTIF(#REF!,$U$1&amp;$N244&amp;$O$3))</f>
        <v>#REF!</v>
      </c>
      <c r="V244" t="e">
        <f>SUM(COUNTIF(#REF!,$V$1&amp;$N244),COUNTIF(#REF!,$V$1&amp;$N244&amp;$O$3))</f>
        <v>#REF!</v>
      </c>
      <c r="W244" t="e">
        <f>SUM(COUNTIF(#REF!,$W$1&amp;$N244),COUNTIF(#REF!,$W$1&amp;$N244&amp;$O$3))</f>
        <v>#REF!</v>
      </c>
      <c r="X244" t="e">
        <f>SUM(COUNTIF(#REF!,$X$1&amp;$N244),COUNTIF(#REF!,$X$1&amp;$N244&amp;$O$3))</f>
        <v>#REF!</v>
      </c>
      <c r="Y244" t="e">
        <f>SUM(COUNTIF(#REF!,$Y$1&amp;$N244),COUNTIF(#REF!,$Y$1&amp;$N244&amp;$O$3))</f>
        <v>#REF!</v>
      </c>
    </row>
    <row r="245" spans="1:25" hidden="1" x14ac:dyDescent="0.25">
      <c r="M245" t="s">
        <v>358</v>
      </c>
      <c r="N245" t="s">
        <v>367</v>
      </c>
      <c r="P245" t="e">
        <f>SUM(COUNTIF(#REF!,$P$1&amp;$N245&amp;$O$2),COUNTIF(#REF!,$P$1&amp;$N245&amp;$O$4))</f>
        <v>#REF!</v>
      </c>
      <c r="Q245" t="e">
        <f>SUM(COUNTIF(#REF!,$Q$1&amp;$N245&amp;$O$2),COUNTIF(#REF!,$Q$1&amp;$N245&amp;$O$4))</f>
        <v>#REF!</v>
      </c>
      <c r="R245" t="e">
        <f>SUM(COUNTIF(#REF!,$R$1&amp;$N245&amp;$O$2),COUNTIF(#REF!,$R$1&amp;$N245&amp;$O$4))</f>
        <v>#REF!</v>
      </c>
      <c r="S245" t="e">
        <f>SUM(COUNTIF(#REF!,$S$1&amp;$N245&amp;$O$2),COUNTIF(#REF!,$S$1&amp;$N245&amp;$O$4))</f>
        <v>#REF!</v>
      </c>
      <c r="T245" t="e">
        <f>SUM(COUNTIF(#REF!,$T$1&amp;$N245&amp;$O$2),COUNTIF(#REF!,$T$1&amp;$N245&amp;$O$4))</f>
        <v>#REF!</v>
      </c>
      <c r="U245" t="e">
        <f>SUM(COUNTIF(#REF!,$U$1&amp;$N245&amp;$O$2),COUNTIF(#REF!,$U$1&amp;$N245&amp;$O$4))</f>
        <v>#REF!</v>
      </c>
      <c r="V245" t="e">
        <f>SUM(COUNTIF(#REF!,$V$1&amp;$N245&amp;$O$2),COUNTIF(#REF!,$V$1&amp;$N245&amp;$O$4))</f>
        <v>#REF!</v>
      </c>
      <c r="W245" t="e">
        <f>SUM(COUNTIF(#REF!,$W$1&amp;$N245&amp;$O$2),COUNTIF(#REF!,$W$1&amp;$N245&amp;$O$4))</f>
        <v>#REF!</v>
      </c>
      <c r="X245" t="e">
        <f>SUM(COUNTIF(#REF!,$X$1&amp;$N245&amp;$O$2),COUNTIF(#REF!,$X$1&amp;$N245&amp;$O$4))</f>
        <v>#REF!</v>
      </c>
      <c r="Y245" t="e">
        <f>SUM(COUNTIF(#REF!,$Y$1&amp;$N245&amp;$O$2),COUNTIF(#REF!,$Y$1&amp;$N245&amp;$O$4))</f>
        <v>#REF!</v>
      </c>
    </row>
    <row r="246" spans="1:25" hidden="1" x14ac:dyDescent="0.25">
      <c r="M246" t="s">
        <v>357</v>
      </c>
      <c r="N246" t="s">
        <v>368</v>
      </c>
      <c r="P246" t="e">
        <f>SUM(COUNTIF(#REF!,$P$1&amp;$N246),COUNTIF(#REF!,$P$1&amp;$N246&amp;$O$3))</f>
        <v>#REF!</v>
      </c>
      <c r="Q246" t="e">
        <f>SUM(COUNTIF(#REF!,$Q$1&amp;$N246),COUNTIF(#REF!,$Q$1&amp;$N246&amp;$O$3))</f>
        <v>#REF!</v>
      </c>
      <c r="R246" t="e">
        <f>SUM(COUNTIF(#REF!,$R$1&amp;$N246),COUNTIF(#REF!,$R$1&amp;$N246&amp;$O$3))</f>
        <v>#REF!</v>
      </c>
      <c r="S246" t="e">
        <f>SUM(COUNTIF(#REF!,$S$1&amp;$N246),COUNTIF(#REF!,$S$1&amp;$N246&amp;$O$3))</f>
        <v>#REF!</v>
      </c>
      <c r="T246" t="e">
        <f>SUM(COUNTIF(#REF!,$T$1&amp;$N246),COUNTIF(#REF!,$T$1&amp;$N246&amp;$O$3))</f>
        <v>#REF!</v>
      </c>
      <c r="U246" t="e">
        <f>SUM(COUNTIF(#REF!,$U$1&amp;$N246),COUNTIF(#REF!,$U$1&amp;$N246&amp;$O$3))</f>
        <v>#REF!</v>
      </c>
      <c r="V246" t="e">
        <f>SUM(COUNTIF(#REF!,$V$1&amp;$N246),COUNTIF(#REF!,$V$1&amp;$N246&amp;$O$3))</f>
        <v>#REF!</v>
      </c>
      <c r="W246" t="e">
        <f>SUM(COUNTIF(#REF!,$W$1&amp;$N246),COUNTIF(#REF!,$W$1&amp;$N246&amp;$O$3))</f>
        <v>#REF!</v>
      </c>
      <c r="X246" t="e">
        <f>SUM(COUNTIF(#REF!,$X$1&amp;$N246),COUNTIF(#REF!,$X$1&amp;$N246&amp;$O$3))</f>
        <v>#REF!</v>
      </c>
      <c r="Y246" t="e">
        <f>SUM(COUNTIF(#REF!,$Y$1&amp;$N246),COUNTIF(#REF!,$Y$1&amp;$N246&amp;$O$3))</f>
        <v>#REF!</v>
      </c>
    </row>
    <row r="247" spans="1:25" hidden="1" x14ac:dyDescent="0.25">
      <c r="A247" s="1" t="s">
        <v>276</v>
      </c>
      <c r="M247" t="s">
        <v>358</v>
      </c>
      <c r="N247" t="s">
        <v>368</v>
      </c>
      <c r="P247" t="e">
        <f>SUM(COUNTIF(#REF!,$P$1&amp;$N247&amp;$O$2),COUNTIF(#REF!,$P$1&amp;$N247&amp;$O$4))</f>
        <v>#REF!</v>
      </c>
      <c r="Q247" t="e">
        <f>SUM(COUNTIF(#REF!,$Q$1&amp;$N247&amp;$O$2),COUNTIF(#REF!,$Q$1&amp;$N247&amp;$O$4))</f>
        <v>#REF!</v>
      </c>
      <c r="R247" t="e">
        <f>SUM(COUNTIF(#REF!,$R$1&amp;$N247&amp;$O$2),COUNTIF(#REF!,$R$1&amp;$N247&amp;$O$4))</f>
        <v>#REF!</v>
      </c>
      <c r="S247" t="e">
        <f>SUM(COUNTIF(#REF!,$S$1&amp;$N247&amp;$O$2),COUNTIF(#REF!,$S$1&amp;$N247&amp;$O$4))</f>
        <v>#REF!</v>
      </c>
      <c r="T247" t="e">
        <f>SUM(COUNTIF(#REF!,$T$1&amp;$N247&amp;$O$2),COUNTIF(#REF!,$T$1&amp;$N247&amp;$O$4))</f>
        <v>#REF!</v>
      </c>
      <c r="U247" t="e">
        <f>SUM(COUNTIF(#REF!,$U$1&amp;$N247&amp;$O$2),COUNTIF(#REF!,$U$1&amp;$N247&amp;$O$4))</f>
        <v>#REF!</v>
      </c>
      <c r="V247" t="e">
        <f>SUM(COUNTIF(#REF!,$V$1&amp;$N247&amp;$O$2),COUNTIF(#REF!,$V$1&amp;$N247&amp;$O$4))</f>
        <v>#REF!</v>
      </c>
      <c r="W247" t="e">
        <f>SUM(COUNTIF(#REF!,$W$1&amp;$N247&amp;$O$2),COUNTIF(#REF!,$W$1&amp;$N247&amp;$O$4))</f>
        <v>#REF!</v>
      </c>
      <c r="X247" t="e">
        <f>SUM(COUNTIF(#REF!,$X$1&amp;$N247&amp;$O$2),COUNTIF(#REF!,$X$1&amp;$N247&amp;$O$4))</f>
        <v>#REF!</v>
      </c>
      <c r="Y247" t="e">
        <f>SUM(COUNTIF(#REF!,$Y$1&amp;$N247&amp;$O$2),COUNTIF(#REF!,$Y$1&amp;$N247&amp;$O$4))</f>
        <v>#REF!</v>
      </c>
    </row>
    <row r="248" spans="1:25" hidden="1" x14ac:dyDescent="0.25">
      <c r="A248" s="1" t="s">
        <v>277</v>
      </c>
      <c r="M248" t="s">
        <v>357</v>
      </c>
      <c r="N248" t="s">
        <v>369</v>
      </c>
      <c r="P248" t="e">
        <f>SUM(COUNTIF(#REF!,$P$1&amp;$N248),COUNTIF(#REF!,$P$1&amp;$N248&amp;$O$3))</f>
        <v>#REF!</v>
      </c>
      <c r="Q248" t="e">
        <f>SUM(COUNTIF(#REF!,$Q$1&amp;$N248),COUNTIF(#REF!,$Q$1&amp;$N248&amp;$O$3))</f>
        <v>#REF!</v>
      </c>
      <c r="R248" t="e">
        <f>SUM(COUNTIF(#REF!,$R$1&amp;$N248),COUNTIF(#REF!,$R$1&amp;$N248&amp;$O$3))</f>
        <v>#REF!</v>
      </c>
      <c r="S248" t="e">
        <f>SUM(COUNTIF(#REF!,$S$1&amp;$N248),COUNTIF(#REF!,$S$1&amp;$N248&amp;$O$3))</f>
        <v>#REF!</v>
      </c>
      <c r="T248" t="e">
        <f>SUM(COUNTIF(#REF!,$T$1&amp;$N248),COUNTIF(#REF!,$T$1&amp;$N248&amp;$O$3))</f>
        <v>#REF!</v>
      </c>
      <c r="U248" t="e">
        <f>SUM(COUNTIF(#REF!,$U$1&amp;$N248),COUNTIF(#REF!,$U$1&amp;$N248&amp;$O$3))</f>
        <v>#REF!</v>
      </c>
      <c r="V248" t="e">
        <f>SUM(COUNTIF(#REF!,$V$1&amp;$N248),COUNTIF(#REF!,$V$1&amp;$N248&amp;$O$3))</f>
        <v>#REF!</v>
      </c>
      <c r="W248" t="e">
        <f>SUM(COUNTIF(#REF!,$W$1&amp;$N248),COUNTIF(#REF!,$W$1&amp;$N248&amp;$O$3))</f>
        <v>#REF!</v>
      </c>
      <c r="X248" t="e">
        <f>SUM(COUNTIF(#REF!,$X$1&amp;$N248),COUNTIF(#REF!,$X$1&amp;$N248&amp;$O$3))</f>
        <v>#REF!</v>
      </c>
      <c r="Y248" t="e">
        <f>SUM(COUNTIF(#REF!,$Y$1&amp;$N248),COUNTIF(#REF!,$Y$1&amp;$N248&amp;$O$3))</f>
        <v>#REF!</v>
      </c>
    </row>
    <row r="249" spans="1:25" hidden="1" x14ac:dyDescent="0.25">
      <c r="A249" s="1" t="s">
        <v>278</v>
      </c>
      <c r="M249" t="s">
        <v>358</v>
      </c>
      <c r="N249" t="s">
        <v>369</v>
      </c>
      <c r="P249" t="e">
        <f>SUM(COUNTIF(#REF!,$P$1&amp;$N249&amp;$O$2),COUNTIF(#REF!,$P$1&amp;$N249&amp;$O$4))</f>
        <v>#REF!</v>
      </c>
      <c r="Q249" t="e">
        <f>SUM(COUNTIF(#REF!,$Q$1&amp;$N249&amp;$O$2),COUNTIF(#REF!,$Q$1&amp;$N249&amp;$O$4))</f>
        <v>#REF!</v>
      </c>
      <c r="R249" t="e">
        <f>SUM(COUNTIF(#REF!,$R$1&amp;$N249&amp;$O$2),COUNTIF(#REF!,$R$1&amp;$N249&amp;$O$4))</f>
        <v>#REF!</v>
      </c>
      <c r="S249" t="e">
        <f>SUM(COUNTIF(#REF!,$S$1&amp;$N249&amp;$O$2),COUNTIF(#REF!,$S$1&amp;$N249&amp;$O$4))</f>
        <v>#REF!</v>
      </c>
      <c r="T249" t="e">
        <f>SUM(COUNTIF(#REF!,$T$1&amp;$N249&amp;$O$2),COUNTIF(#REF!,$T$1&amp;$N249&amp;$O$4))</f>
        <v>#REF!</v>
      </c>
      <c r="U249" t="e">
        <f>SUM(COUNTIF(#REF!,$U$1&amp;$N249&amp;$O$2),COUNTIF(#REF!,$U$1&amp;$N249&amp;$O$4))</f>
        <v>#REF!</v>
      </c>
      <c r="V249" t="e">
        <f>SUM(COUNTIF(#REF!,$V$1&amp;$N249&amp;$O$2),COUNTIF(#REF!,$V$1&amp;$N249&amp;$O$4))</f>
        <v>#REF!</v>
      </c>
      <c r="W249" t="e">
        <f>SUM(COUNTIF(#REF!,$W$1&amp;$N249&amp;$O$2),COUNTIF(#REF!,$W$1&amp;$N249&amp;$O$4))</f>
        <v>#REF!</v>
      </c>
      <c r="X249" t="e">
        <f>SUM(COUNTIF(#REF!,$X$1&amp;$N249&amp;$O$2),COUNTIF(#REF!,$X$1&amp;$N249&amp;$O$4))</f>
        <v>#REF!</v>
      </c>
      <c r="Y249" t="e">
        <f>SUM(COUNTIF(#REF!,$Y$1&amp;$N249&amp;$O$2),COUNTIF(#REF!,$Y$1&amp;$N249&amp;$O$4))</f>
        <v>#REF!</v>
      </c>
    </row>
    <row r="250" spans="1:25" hidden="1" x14ac:dyDescent="0.25">
      <c r="A250" s="1" t="s">
        <v>352</v>
      </c>
      <c r="M250" t="s">
        <v>357</v>
      </c>
      <c r="N250" t="s">
        <v>370</v>
      </c>
      <c r="P250" t="e">
        <f>SUM(COUNTIF(#REF!,$P$1&amp;$N250),COUNTIF(#REF!,$P$1&amp;$N250&amp;$O$3))</f>
        <v>#REF!</v>
      </c>
      <c r="Q250" t="e">
        <f>SUM(COUNTIF(#REF!,$Q$1&amp;$N250),COUNTIF(#REF!,$Q$1&amp;$N250&amp;$O$3))</f>
        <v>#REF!</v>
      </c>
      <c r="R250" t="e">
        <f>SUM(COUNTIF(#REF!,$R$1&amp;$N250),COUNTIF(#REF!,$R$1&amp;$N250&amp;$O$3))</f>
        <v>#REF!</v>
      </c>
      <c r="S250" t="e">
        <f>SUM(COUNTIF(#REF!,$S$1&amp;$N250),COUNTIF(#REF!,$S$1&amp;$N250&amp;$O$3))</f>
        <v>#REF!</v>
      </c>
      <c r="T250" t="e">
        <f>SUM(COUNTIF(#REF!,$T$1&amp;$N250),COUNTIF(#REF!,$T$1&amp;$N250&amp;$O$3))</f>
        <v>#REF!</v>
      </c>
      <c r="U250" t="e">
        <f>SUM(COUNTIF(#REF!,$U$1&amp;$N250),COUNTIF(#REF!,$U$1&amp;$N250&amp;$O$3))</f>
        <v>#REF!</v>
      </c>
      <c r="V250" t="e">
        <f>SUM(COUNTIF(#REF!,$V$1&amp;$N250),COUNTIF(#REF!,$V$1&amp;$N250&amp;$O$3))</f>
        <v>#REF!</v>
      </c>
      <c r="W250" t="e">
        <f>SUM(COUNTIF(#REF!,$W$1&amp;$N250),COUNTIF(#REF!,$W$1&amp;$N250&amp;$O$3))</f>
        <v>#REF!</v>
      </c>
      <c r="X250" t="e">
        <f>SUM(COUNTIF(#REF!,$X$1&amp;$N250),COUNTIF(#REF!,$X$1&amp;$N250&amp;$O$3))</f>
        <v>#REF!</v>
      </c>
      <c r="Y250" t="e">
        <f>SUM(COUNTIF(#REF!,$Y$1&amp;$N250),COUNTIF(#REF!,$Y$1&amp;$N250&amp;$O$3))</f>
        <v>#REF!</v>
      </c>
    </row>
    <row r="251" spans="1:25" hidden="1" x14ac:dyDescent="0.25">
      <c r="A251" s="1" t="s">
        <v>353</v>
      </c>
      <c r="M251" t="s">
        <v>358</v>
      </c>
      <c r="N251" t="s">
        <v>370</v>
      </c>
      <c r="P251" t="e">
        <f>SUM(COUNTIF(#REF!,$P$1&amp;$N251&amp;$O$2),COUNTIF(#REF!,$P$1&amp;$N251&amp;$O$4))</f>
        <v>#REF!</v>
      </c>
      <c r="Q251" t="e">
        <f>SUM(COUNTIF(#REF!,$Q$1&amp;$N251&amp;$O$2),COUNTIF(#REF!,$Q$1&amp;$N251&amp;$O$4))</f>
        <v>#REF!</v>
      </c>
      <c r="R251" t="e">
        <f>SUM(COUNTIF(#REF!,$R$1&amp;$N251&amp;$O$2),COUNTIF(#REF!,$R$1&amp;$N251&amp;$O$4))</f>
        <v>#REF!</v>
      </c>
      <c r="S251" t="e">
        <f>SUM(COUNTIF(#REF!,$S$1&amp;$N251&amp;$O$2),COUNTIF(#REF!,$S$1&amp;$N251&amp;$O$4))</f>
        <v>#REF!</v>
      </c>
      <c r="T251" t="e">
        <f>SUM(COUNTIF(#REF!,$T$1&amp;$N251&amp;$O$2),COUNTIF(#REF!,$T$1&amp;$N251&amp;$O$4))</f>
        <v>#REF!</v>
      </c>
      <c r="U251" t="e">
        <f>SUM(COUNTIF(#REF!,$U$1&amp;$N251&amp;$O$2),COUNTIF(#REF!,$U$1&amp;$N251&amp;$O$4))</f>
        <v>#REF!</v>
      </c>
      <c r="V251" t="e">
        <f>SUM(COUNTIF(#REF!,$V$1&amp;$N251&amp;$O$2),COUNTIF(#REF!,$V$1&amp;$N251&amp;$O$4))</f>
        <v>#REF!</v>
      </c>
      <c r="W251" t="e">
        <f>SUM(COUNTIF(#REF!,$W$1&amp;$N251&amp;$O$2),COUNTIF(#REF!,$W$1&amp;$N251&amp;$O$4))</f>
        <v>#REF!</v>
      </c>
      <c r="X251" t="e">
        <f>SUM(COUNTIF(#REF!,$X$1&amp;$N251&amp;$O$2),COUNTIF(#REF!,$X$1&amp;$N251&amp;$O$4))</f>
        <v>#REF!</v>
      </c>
      <c r="Y251" t="e">
        <f>SUM(COUNTIF(#REF!,$Y$1&amp;$N251&amp;$O$2),COUNTIF(#REF!,$Y$1&amp;$N251&amp;$O$4))</f>
        <v>#REF!</v>
      </c>
    </row>
    <row r="252" spans="1:25" hidden="1" x14ac:dyDescent="0.25">
      <c r="A252" s="1" t="s">
        <v>354</v>
      </c>
      <c r="M252" t="s">
        <v>357</v>
      </c>
      <c r="N252" t="s">
        <v>371</v>
      </c>
      <c r="P252" t="e">
        <f>SUM(COUNTIF(#REF!,$P$1&amp;$N252),COUNTIF(#REF!,$P$1&amp;$N252&amp;$O$3))</f>
        <v>#REF!</v>
      </c>
      <c r="Q252" t="e">
        <f>SUM(COUNTIF(#REF!,$Q$1&amp;$N252),COUNTIF(#REF!,$Q$1&amp;$N252&amp;$O$3))</f>
        <v>#REF!</v>
      </c>
      <c r="R252" t="e">
        <f>SUM(COUNTIF(#REF!,$R$1&amp;$N252),COUNTIF(#REF!,$R$1&amp;$N252&amp;$O$3))</f>
        <v>#REF!</v>
      </c>
      <c r="S252" t="e">
        <f>SUM(COUNTIF(#REF!,$S$1&amp;$N252),COUNTIF(#REF!,$S$1&amp;$N252&amp;$O$3))</f>
        <v>#REF!</v>
      </c>
      <c r="T252" t="e">
        <f>SUM(COUNTIF(#REF!,$T$1&amp;$N252),COUNTIF(#REF!,$T$1&amp;$N252&amp;$O$3))</f>
        <v>#REF!</v>
      </c>
      <c r="U252" t="e">
        <f>SUM(COUNTIF(#REF!,$U$1&amp;$N252),COUNTIF(#REF!,$U$1&amp;$N252&amp;$O$3))</f>
        <v>#REF!</v>
      </c>
      <c r="V252" t="e">
        <f>SUM(COUNTIF(#REF!,$V$1&amp;$N252),COUNTIF(#REF!,$V$1&amp;$N252&amp;$O$3))</f>
        <v>#REF!</v>
      </c>
      <c r="W252" t="e">
        <f>SUM(COUNTIF(#REF!,$W$1&amp;$N252),COUNTIF(#REF!,$W$1&amp;$N252&amp;$O$3))</f>
        <v>#REF!</v>
      </c>
      <c r="X252" t="e">
        <f>SUM(COUNTIF(#REF!,$X$1&amp;$N252),COUNTIF(#REF!,$X$1&amp;$N252&amp;$O$3))</f>
        <v>#REF!</v>
      </c>
      <c r="Y252" t="e">
        <f>SUM(COUNTIF(#REF!,$Y$1&amp;$N252),COUNTIF(#REF!,$Y$1&amp;$N252&amp;$O$3))</f>
        <v>#REF!</v>
      </c>
    </row>
    <row r="253" spans="1:25" hidden="1" x14ac:dyDescent="0.25">
      <c r="A253" s="1" t="s">
        <v>355</v>
      </c>
      <c r="M253" t="s">
        <v>358</v>
      </c>
      <c r="N253" t="s">
        <v>371</v>
      </c>
      <c r="P253" t="e">
        <f>SUM(COUNTIF(#REF!,$P$1&amp;$N253&amp;$O$2),COUNTIF(#REF!,$P$1&amp;$N253&amp;$O$4))</f>
        <v>#REF!</v>
      </c>
      <c r="Q253" t="e">
        <f>SUM(COUNTIF(#REF!,$Q$1&amp;$N253&amp;$O$2),COUNTIF(#REF!,$Q$1&amp;$N253&amp;$O$4))</f>
        <v>#REF!</v>
      </c>
      <c r="R253" t="e">
        <f>SUM(COUNTIF(#REF!,$R$1&amp;$N253&amp;$O$2),COUNTIF(#REF!,$R$1&amp;$N253&amp;$O$4))</f>
        <v>#REF!</v>
      </c>
      <c r="S253" t="e">
        <f>SUM(COUNTIF(#REF!,$S$1&amp;$N253&amp;$O$2),COUNTIF(#REF!,$S$1&amp;$N253&amp;$O$4))</f>
        <v>#REF!</v>
      </c>
      <c r="T253" t="e">
        <f>SUM(COUNTIF(#REF!,$T$1&amp;$N253&amp;$O$2),COUNTIF(#REF!,$T$1&amp;$N253&amp;$O$4))</f>
        <v>#REF!</v>
      </c>
      <c r="U253" t="e">
        <f>SUM(COUNTIF(#REF!,$U$1&amp;$N253&amp;$O$2),COUNTIF(#REF!,$U$1&amp;$N253&amp;$O$4))</f>
        <v>#REF!</v>
      </c>
      <c r="V253" t="e">
        <f>SUM(COUNTIF(#REF!,$V$1&amp;$N253&amp;$O$2),COUNTIF(#REF!,$V$1&amp;$N253&amp;$O$4))</f>
        <v>#REF!</v>
      </c>
      <c r="W253" t="e">
        <f>SUM(COUNTIF(#REF!,$W$1&amp;$N253&amp;$O$2),COUNTIF(#REF!,$W$1&amp;$N253&amp;$O$4))</f>
        <v>#REF!</v>
      </c>
      <c r="X253" t="e">
        <f>SUM(COUNTIF(#REF!,$X$1&amp;$N253&amp;$O$2),COUNTIF(#REF!,$X$1&amp;$N253&amp;$O$4))</f>
        <v>#REF!</v>
      </c>
      <c r="Y253" t="e">
        <f>SUM(COUNTIF(#REF!,$Y$1&amp;$N253&amp;$O$2),COUNTIF(#REF!,$Y$1&amp;$N253&amp;$O$4))</f>
        <v>#REF!</v>
      </c>
    </row>
    <row r="255" spans="1:25" hidden="1" x14ac:dyDescent="0.25">
      <c r="A255" s="1" t="s">
        <v>280</v>
      </c>
      <c r="N255" t="s">
        <v>361</v>
      </c>
      <c r="P255" t="e">
        <f>SUM(COUNTIF(#REF!,$P$1&amp;$N255),COUNTIF(#REF!,$P$1&amp;$N255&amp;$O$2),COUNTIF(#REF!,$P$1&amp;$N255&amp;$O$3),COUNTIF(#REF!,$P$1&amp;$N255&amp;$O$4))</f>
        <v>#REF!</v>
      </c>
      <c r="Q255" t="e">
        <f>SUM(COUNTIF(#REF!,$Q$1&amp;$N255),COUNTIF(#REF!,$Q$1&amp;$N255&amp;$O$2),COUNTIF(#REF!,$Q$1&amp;$N255&amp;$O$3),COUNTIF(#REF!,$Q$1&amp;$N255&amp;$O$4))</f>
        <v>#REF!</v>
      </c>
      <c r="R255" t="e">
        <f>SUM(COUNTIF(#REF!,$R$1&amp;$N255),COUNTIF(#REF!,$R$1&amp;$N255&amp;$O$2),COUNTIF(#REF!,$R$1&amp;$N255&amp;$O$3),COUNTIF(#REF!,$R$1&amp;$N255&amp;$O$4))</f>
        <v>#REF!</v>
      </c>
      <c r="S255" t="e">
        <f>SUM(COUNTIF(#REF!,$S$1&amp;$N255),COUNTIF(#REF!,$S$1&amp;$N255&amp;$O$2),COUNTIF(#REF!,$S$1&amp;$N255&amp;$O$3),COUNTIF(#REF!,$S$1&amp;$N255&amp;$O$4))</f>
        <v>#REF!</v>
      </c>
      <c r="T255" t="e">
        <f>SUM(COUNTIF(#REF!,$T$1&amp;$N255),COUNTIF(#REF!,$T$1&amp;$N255&amp;$O$2),COUNTIF(#REF!,$T$1&amp;$N255&amp;$O$3),COUNTIF(#REF!,$T$1&amp;$N255&amp;$O$4))</f>
        <v>#REF!</v>
      </c>
      <c r="U255" t="e">
        <f>SUM(COUNTIF(#REF!,$U$1&amp;$N255),COUNTIF(#REF!,$U$1&amp;$N255&amp;$O$2),COUNTIF(#REF!,$U$1&amp;$N255&amp;$O$3),COUNTIF(#REF!,$U$1&amp;$N255&amp;$O$4))</f>
        <v>#REF!</v>
      </c>
      <c r="V255" t="e">
        <f>SUM(COUNTIF(#REF!,$V$1&amp;$N255),COUNTIF(#REF!,$V$1&amp;$N255&amp;$O$2),COUNTIF(#REF!,$V$1&amp;$N255&amp;$O$3),COUNTIF(#REF!,$V$1&amp;$N255&amp;$O$4))</f>
        <v>#REF!</v>
      </c>
      <c r="W255" t="e">
        <f>SUM(COUNTIF(#REF!,$W$1&amp;$N255),COUNTIF(#REF!,$W$1&amp;$N255&amp;$O$2),COUNTIF(#REF!,$W$1&amp;$N255&amp;$O$3),COUNTIF(#REF!,$W$1&amp;$N255&amp;$O$4))</f>
        <v>#REF!</v>
      </c>
      <c r="X255" t="e">
        <f>SUM(COUNTIF(#REF!,$X$1&amp;$N255),COUNTIF(#REF!,$X$1&amp;$N255&amp;$O$2),COUNTIF(#REF!,$X$1&amp;$N255&amp;$O$3),COUNTIF(#REF!,$X$1&amp;$N255&amp;$O$4))</f>
        <v>#REF!</v>
      </c>
      <c r="Y255" t="e">
        <f>SUM(COUNTIF(#REF!,$Y$1&amp;$N255),COUNTIF(#REF!,$Y$1&amp;$N255&amp;$O$2),COUNTIF(#REF!,$Y$1&amp;$N255&amp;$O$3),COUNTIF(#REF!,$Y$1&amp;$N255&amp;$O$4))</f>
        <v>#REF!</v>
      </c>
    </row>
    <row r="256" spans="1:25" hidden="1" x14ac:dyDescent="0.25">
      <c r="A256" s="1" t="s">
        <v>281</v>
      </c>
      <c r="N256" t="s">
        <v>360</v>
      </c>
      <c r="P256" t="e">
        <f>SUM(COUNTIF(#REF!,$P$1&amp;$N256),COUNTIF(#REF!,$P$1&amp;$N256&amp;$O$2),COUNTIF(#REF!,$P$1&amp;$N256&amp;$O$3),COUNTIF(#REF!,$P$1&amp;$N256&amp;$O$4))</f>
        <v>#REF!</v>
      </c>
      <c r="Q256" t="e">
        <f>SUM(COUNTIF(#REF!,$Q$1&amp;$N256),COUNTIF(#REF!,$Q$1&amp;$N256&amp;$O$2),COUNTIF(#REF!,$Q$1&amp;$N256&amp;$O$3),COUNTIF(#REF!,$Q$1&amp;$N256&amp;$O$4))</f>
        <v>#REF!</v>
      </c>
      <c r="R256" t="e">
        <f>SUM(COUNTIF(#REF!,$R$1&amp;$N256),COUNTIF(#REF!,$R$1&amp;$N256&amp;$O$2),COUNTIF(#REF!,$R$1&amp;$N256&amp;$O$3),COUNTIF(#REF!,$R$1&amp;$N256&amp;$O$4))</f>
        <v>#REF!</v>
      </c>
      <c r="S256" t="e">
        <f>SUM(COUNTIF(#REF!,$S$1&amp;$N256),COUNTIF(#REF!,$S$1&amp;$N256&amp;$O$2),COUNTIF(#REF!,$S$1&amp;$N256&amp;$O$3),COUNTIF(#REF!,$S$1&amp;$N256&amp;$O$4))</f>
        <v>#REF!</v>
      </c>
      <c r="T256" t="e">
        <f>SUM(COUNTIF(#REF!,$T$1&amp;$N256),COUNTIF(#REF!,$T$1&amp;$N256&amp;$O$2),COUNTIF(#REF!,$T$1&amp;$N256&amp;$O$3),COUNTIF(#REF!,$T$1&amp;$N256&amp;$O$4))</f>
        <v>#REF!</v>
      </c>
      <c r="U256" t="e">
        <f>SUM(COUNTIF(#REF!,$U$1&amp;$N256),COUNTIF(#REF!,$U$1&amp;$N256&amp;$O$2),COUNTIF(#REF!,$U$1&amp;$N256&amp;$O$3),COUNTIF(#REF!,$U$1&amp;$N256&amp;$O$4))</f>
        <v>#REF!</v>
      </c>
      <c r="V256" t="e">
        <f>SUM(COUNTIF(#REF!,$V$1&amp;$N256),COUNTIF(#REF!,$V$1&amp;$N256&amp;$O$2),COUNTIF(#REF!,$V$1&amp;$N256&amp;$O$3),COUNTIF(#REF!,$V$1&amp;$N256&amp;$O$4))</f>
        <v>#REF!</v>
      </c>
      <c r="W256" t="e">
        <f>SUM(COUNTIF(#REF!,$W$1&amp;$N256),COUNTIF(#REF!,$W$1&amp;$N256&amp;$O$2),COUNTIF(#REF!,$W$1&amp;$N256&amp;$O$3),COUNTIF(#REF!,$W$1&amp;$N256&amp;$O$4))</f>
        <v>#REF!</v>
      </c>
      <c r="X256" t="e">
        <f>SUM(COUNTIF(#REF!,$X$1&amp;$N256),COUNTIF(#REF!,$X$1&amp;$N256&amp;$O$2),COUNTIF(#REF!,$X$1&amp;$N256&amp;$O$3),COUNTIF(#REF!,$X$1&amp;$N256&amp;$O$4))</f>
        <v>#REF!</v>
      </c>
      <c r="Y256" t="e">
        <f>SUM(COUNTIF(#REF!,$Y$1&amp;$N256),COUNTIF(#REF!,$Y$1&amp;$N256&amp;$O$2),COUNTIF(#REF!,$Y$1&amp;$N256&amp;$O$3),COUNTIF(#REF!,$Y$1&amp;$N256&amp;$O$4))</f>
        <v>#REF!</v>
      </c>
    </row>
    <row r="257" spans="1:25" hidden="1" x14ac:dyDescent="0.25">
      <c r="A257" s="1" t="s">
        <v>282</v>
      </c>
      <c r="N257" t="s">
        <v>375</v>
      </c>
      <c r="P257" t="e">
        <f>SUM(COUNTIF(#REF!,$P$1&amp;$N257),COUNTIF(#REF!,$P$1&amp;$N257&amp;$O$2),COUNTIF(#REF!,$P$1&amp;$N257&amp;$O$3),COUNTIF(#REF!,$P$1&amp;$N257&amp;$O$4))</f>
        <v>#REF!</v>
      </c>
      <c r="Q257" t="e">
        <f>SUM(COUNTIF(#REF!,$Q$1&amp;$N257),COUNTIF(#REF!,$Q$1&amp;$N257&amp;$O$2),COUNTIF(#REF!,$Q$1&amp;$N257&amp;$O$3),COUNTIF(#REF!,$Q$1&amp;$N257&amp;$O$4))</f>
        <v>#REF!</v>
      </c>
      <c r="R257" t="e">
        <f>SUM(COUNTIF(#REF!,$R$1&amp;$N257),COUNTIF(#REF!,$R$1&amp;$N257&amp;$O$2),COUNTIF(#REF!,$R$1&amp;$N257&amp;$O$3),COUNTIF(#REF!,$R$1&amp;$N257&amp;$O$4))</f>
        <v>#REF!</v>
      </c>
      <c r="S257" t="e">
        <f>SUM(COUNTIF(#REF!,$S$1&amp;$N257),COUNTIF(#REF!,$S$1&amp;$N257&amp;$O$2),COUNTIF(#REF!,$S$1&amp;$N257&amp;$O$3),COUNTIF(#REF!,$S$1&amp;$N257&amp;$O$4))</f>
        <v>#REF!</v>
      </c>
      <c r="T257" t="e">
        <f>SUM(COUNTIF(#REF!,$T$1&amp;$N257),COUNTIF(#REF!,$T$1&amp;$N257&amp;$O$2),COUNTIF(#REF!,$T$1&amp;$N257&amp;$O$3),COUNTIF(#REF!,$T$1&amp;$N257&amp;$O$4))</f>
        <v>#REF!</v>
      </c>
      <c r="U257" t="e">
        <f>SUM(COUNTIF(#REF!,$U$1&amp;$N257),COUNTIF(#REF!,$U$1&amp;$N257&amp;$O$2),COUNTIF(#REF!,$U$1&amp;$N257&amp;$O$3),COUNTIF(#REF!,$U$1&amp;$N257&amp;$O$4))</f>
        <v>#REF!</v>
      </c>
      <c r="V257" t="e">
        <f>SUM(COUNTIF(#REF!,$V$1&amp;$N257),COUNTIF(#REF!,$V$1&amp;$N257&amp;$O$2),COUNTIF(#REF!,$V$1&amp;$N257&amp;$O$3),COUNTIF(#REF!,$V$1&amp;$N257&amp;$O$4))</f>
        <v>#REF!</v>
      </c>
      <c r="W257" t="e">
        <f>SUM(COUNTIF(#REF!,$W$1&amp;$N257),COUNTIF(#REF!,$W$1&amp;$N257&amp;$O$2),COUNTIF(#REF!,$W$1&amp;$N257&amp;$O$3),COUNTIF(#REF!,$W$1&amp;$N257&amp;$O$4))</f>
        <v>#REF!</v>
      </c>
      <c r="X257" t="e">
        <f>SUM(COUNTIF(#REF!,$X$1&amp;$N257),COUNTIF(#REF!,$X$1&amp;$N257&amp;$O$2),COUNTIF(#REF!,$X$1&amp;$N257&amp;$O$3),COUNTIF(#REF!,$X$1&amp;$N257&amp;$O$4))</f>
        <v>#REF!</v>
      </c>
      <c r="Y257" t="e">
        <f>SUM(COUNTIF(#REF!,$Y$1&amp;$N257),COUNTIF(#REF!,$Y$1&amp;$N257&amp;$O$2),COUNTIF(#REF!,$Y$1&amp;$N257&amp;$O$3),COUNTIF(#REF!,$Y$1&amp;$N257&amp;$O$4))</f>
        <v>#REF!</v>
      </c>
    </row>
    <row r="259" spans="1:25" hidden="1" x14ac:dyDescent="0.25">
      <c r="A259" s="1" t="s">
        <v>283</v>
      </c>
    </row>
    <row r="260" spans="1:25" hidden="1" x14ac:dyDescent="0.25">
      <c r="A260" s="1" t="s">
        <v>284</v>
      </c>
    </row>
    <row r="261" spans="1:25" hidden="1" x14ac:dyDescent="0.25">
      <c r="O261" t="s">
        <v>372</v>
      </c>
    </row>
    <row r="262" spans="1:25" hidden="1" x14ac:dyDescent="0.25">
      <c r="O262" t="s">
        <v>372</v>
      </c>
    </row>
    <row r="263" spans="1:25" hidden="1" x14ac:dyDescent="0.25">
      <c r="O263" t="s">
        <v>373</v>
      </c>
    </row>
    <row r="264" spans="1:25" hidden="1" x14ac:dyDescent="0.25">
      <c r="O264" t="s">
        <v>373</v>
      </c>
    </row>
    <row r="265" spans="1:25" hidden="1" x14ac:dyDescent="0.25">
      <c r="O265" t="s">
        <v>374</v>
      </c>
    </row>
    <row r="266" spans="1:25" hidden="1" x14ac:dyDescent="0.25">
      <c r="O266" t="s">
        <v>374</v>
      </c>
    </row>
  </sheetData>
  <sheetProtection algorithmName="SHA-512" hashValue="AEDuhbwnZDSi6CLIu9kncNUZqYBxPhqwK7GXgjznvDt13tSMQLcuPlAmie2NNUfHaeJ6rgoocHGR9lb0pp5Row==" saltValue="9zb9Na5dNSX/2jQUs29SCQ==" spinCount="100000" sheet="1" formatRows="0"/>
  <mergeCells count="3">
    <mergeCell ref="A211:B211"/>
    <mergeCell ref="A214:B214"/>
    <mergeCell ref="A1:B1"/>
  </mergeCells>
  <dataValidations count="17">
    <dataValidation type="list" allowBlank="1" showInputMessage="1" showErrorMessage="1" promptTitle="Lehet választani" prompt="a főgondnok és gondnok lehetőség között." sqref="B5" xr:uid="{E22C2378-0FC8-45E7-A6BF-290FE8562640}">
      <formula1>$AB$1:$AB$2</formula1>
    </dataValidation>
    <dataValidation type="date" operator="greaterThan" allowBlank="1" showInputMessage="1" showErrorMessage="1" errorTitle="Hiba!" error="Ide csak dátumot lehet írni." sqref="C8:L8 C6:L6" xr:uid="{53993EBA-0AE6-47DD-BC10-E56A5B804854}">
      <formula1>DATE($C$1,1,1)</formula1>
    </dataValidation>
    <dataValidation type="list" allowBlank="1" showInputMessage="1" showErrorMessage="1" errorTitle="Hiba!" error="Használd a lenyílót." sqref="C104:L104" xr:uid="{D6D351E5-1394-4294-B92B-4A8849A02949}">
      <formula1>$A$247:$A$249</formula1>
    </dataValidation>
    <dataValidation type="list" allowBlank="1" showInputMessage="1" showErrorMessage="1" errorTitle="Hiba!" error="A válasz igen vagy nem lehet, használd a lenyílót." sqref="C109:L109" xr:uid="{1156D17B-66E0-42A2-966E-6D67702FA49E}">
      <formula1>$A$250:$A$251</formula1>
    </dataValidation>
    <dataValidation type="list" allowBlank="1" showInputMessage="1" showErrorMessage="1" errorTitle="Hiba!" error="A van és nincs között választhatsz. Használd a lenyílót." sqref="C119:L119 C177:L177 C167:L167 C180:L180" xr:uid="{EDFD58E8-2082-44F2-8C90-4E21D742398B}">
      <formula1>$A$252:$A$253</formula1>
    </dataValidation>
    <dataValidation type="list" allowBlank="1" showInputMessage="1" showErrorMessage="1" errorTitle="Hiba!" error="Használd a lenyílót!" sqref="C124:L124" xr:uid="{C4033991-03A2-43D8-95FB-AC398D7D0174}">
      <formula1>$A$255:$A$257</formula1>
    </dataValidation>
    <dataValidation type="list" allowBlank="1" showInputMessage="1" showErrorMessage="1" errorTitle="Hiba!" error="Igennel, vagy nemmel válaszolhatsz. Haszáld a lenyílót." sqref="C126:L127 C194:L194 C174:L174 C150:L152 C141:L141 C133:L136 C143:L146 C184:L184 C208:L208" xr:uid="{46F20CE0-2DE9-45B7-9752-DE424044DA98}">
      <formula1>$A$250:$A$251</formula1>
    </dataValidation>
    <dataValidation type="list" allowBlank="1" showInputMessage="1" showErrorMessage="1" errorTitle="Hiba!" error="Használd a lenyílót" sqref="C131:L131" xr:uid="{7EFC37D2-177D-46BB-A91B-01EE8B80F94B}">
      <formula1>$A$259:$A$260</formula1>
    </dataValidation>
    <dataValidation type="textLength" operator="lessThanOrEqual" allowBlank="1" showInputMessage="1" showErrorMessage="1" errorTitle="Hiba!" error="Ebbe a cellába max 400 karaktert lehet írni." sqref="C211:L212 C214:L215" xr:uid="{D9F02C73-AF05-419D-A33D-629C80A02F55}">
      <formula1>400</formula1>
    </dataValidation>
    <dataValidation type="list" allowBlank="1" showInputMessage="1" showErrorMessage="1" errorTitle="Hiba!" error="Használd a lenyílót!" sqref="C2" xr:uid="{386CE8D5-015A-47A4-80DC-C2C562FD5CB3}">
      <formula1>$AA$1:$AA$15</formula1>
    </dataValidation>
    <dataValidation type="whole" allowBlank="1" showInputMessage="1" showErrorMessage="1" errorTitle="Hiba!" error="Ide csak természetes egész szám írható." sqref="C162:L166 C189:L189 C21:L22 C24:L35 C12:L19 C37:L49 C51:L62 C106:L108 C110:L113 C99:L99 C93:L97 C115:L116 C101:L103 C168:L172 C160:L160 C89:L89" xr:uid="{F8B908A3-C54A-456A-B56A-FABFEB6BD8D3}">
      <formula1>0</formula1>
      <formula2>9999</formula2>
    </dataValidation>
    <dataValidation type="list" allowBlank="1" showDropDown="1" showInputMessage="1" showErrorMessage="1" errorTitle="Hiba" error="Ebbe a sorba nem kell írni." sqref="C11:D11 C157:M157 C92:M92 C121:M122 C159:M159 C173:M173 C186:M186 C196:M196 C210:M210 C213:M213 C129:M129 C138:M138 C148:M148 C155:M155 C50:M50" xr:uid="{332E8D96-84C8-47B5-8F6D-05CB12D9493E}">
      <mc:AlternateContent xmlns:x12ac="http://schemas.microsoft.com/office/spreadsheetml/2011/1/ac" xmlns:mc="http://schemas.openxmlformats.org/markup-compatibility/2006">
        <mc:Choice Requires="x12ac">
          <x12ac:list>"""qw"""</x12ac:list>
        </mc:Choice>
        <mc:Fallback>
          <formula1>"""qw"""</formula1>
        </mc:Fallback>
      </mc:AlternateContent>
    </dataValidation>
    <dataValidation type="date" operator="greaterThan" allowBlank="1" showInputMessage="1" showErrorMessage="1" errorTitle="Hiba!" error="Ide csak dátumot lehet írni." sqref="C117:L118" xr:uid="{7D641D46-4CD2-46C0-A176-9F3CD50EBD5C}">
      <formula1>1</formula1>
    </dataValidation>
    <dataValidation type="textLength" operator="lessThanOrEqual" allowBlank="1" showInputMessage="1" showErrorMessage="1" errorTitle="Túl hosszú szöveg" error="Próbáld 200 karakter hosszú szövegben megfogalmazni." sqref="C20:L20 C23:L23 C36:L36 C98:L98 C100:L100 C120:L120 C123:L123 C125:L125 C128:L128 C130:L130 C132:L132 C137:L137 C139:L140 C142:L142 C147:L147 C149:L149 C153:L154 C156:L156 C158:L158 C175:L175 C178:L178 C181:L181 C183:L183 C185:L185 C195:L195 C199:L199 C197:L197 C201:L201 C203:L203 C205:L205 C207:L207 C209:L209 C105:L105" xr:uid="{0F0B9E10-551A-4431-8312-574EABD34B96}">
      <formula1>200</formula1>
    </dataValidation>
    <dataValidation type="list" allowBlank="1" showInputMessage="1" showErrorMessage="1" sqref="N14:N17 N46:N47 N230:N266 N93:N104 N51:N91 N106 N112" xr:uid="{1918C0FC-CCBC-4E02-B902-39747EEAFC97}">
      <formula1>Szolgalatok</formula1>
    </dataValidation>
    <dataValidation type="custom" allowBlank="1" showInputMessage="1" showErrorMessage="1" errorTitle="Hiba!" error="Ide csak szám írható, legtött egy tizedessel." sqref="C63:L88 C90:L91 C161:L161" xr:uid="{5D1A7FE1-093E-48D0-8701-BF7BC7715228}">
      <formula1>C63=ROUND(C63,1)</formula1>
    </dataValidation>
    <dataValidation type="custom" allowBlank="1" showInputMessage="1" showErrorMessage="1" errorTitle="Hiba!" error="Ide csak szám írható, legtöbb két tizedessel!" sqref="C176:L176 C179:L179 C182:L182 C187:L188 C190:L193 C198:L198 C200:L200 C202:L202 C204:L204 C206:L206" xr:uid="{4191A536-F6BC-45B4-AD21-A788FE655576}">
      <formula1>C176=ROUND(C176,2)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B098-5D5E-4767-A01F-CCBF786EC64B}">
  <dimension ref="A1:AF219"/>
  <sheetViews>
    <sheetView showGridLines="0" showRowColHeaders="0" zoomScale="150" zoomScaleNormal="150" zoomScaleSheetLayoutView="150" workbookViewId="0">
      <pane ySplit="1" topLeftCell="A2" activePane="bottomLeft" state="frozen"/>
      <selection pane="bottomLeft" sqref="A1:C1"/>
    </sheetView>
  </sheetViews>
  <sheetFormatPr defaultColWidth="0" defaultRowHeight="15.75" zeroHeight="1" x14ac:dyDescent="0.25"/>
  <cols>
    <col min="1" max="1" width="3.5703125" style="52" customWidth="1"/>
    <col min="2" max="2" width="3.28515625" style="52" customWidth="1"/>
    <col min="3" max="3" width="6.85546875" style="52" customWidth="1"/>
    <col min="4" max="4" width="8.5703125" style="52" customWidth="1"/>
    <col min="5" max="5" width="6.28515625" style="52" customWidth="1"/>
    <col min="6" max="6" width="5.28515625" style="52" customWidth="1"/>
    <col min="7" max="7" width="5.5703125" style="52" customWidth="1"/>
    <col min="8" max="8" width="5.28515625" style="52" customWidth="1"/>
    <col min="9" max="9" width="8.140625" style="52" customWidth="1"/>
    <col min="10" max="10" width="7.140625" style="52" customWidth="1"/>
    <col min="11" max="11" width="8.140625" style="52" customWidth="1"/>
    <col min="12" max="12" width="6.85546875" style="52" customWidth="1"/>
    <col min="13" max="13" width="5.5703125" style="52" customWidth="1"/>
    <col min="14" max="14" width="9.85546875" style="52" customWidth="1"/>
    <col min="15" max="15" width="6.5703125" style="1" customWidth="1"/>
    <col min="16" max="16" width="9.140625" style="52" hidden="1" customWidth="1"/>
    <col min="17" max="17" width="11.28515625" style="52" hidden="1" customWidth="1"/>
    <col min="18" max="18" width="11.42578125" style="52" hidden="1" customWidth="1"/>
    <col min="19" max="26" width="8.7109375" style="52" hidden="1" customWidth="1"/>
    <col min="27" max="27" width="14.42578125" style="52" hidden="1" customWidth="1"/>
    <col min="28" max="32" width="0" style="52" hidden="1" customWidth="1"/>
    <col min="33" max="16384" width="9.140625" style="52" hidden="1"/>
  </cols>
  <sheetData>
    <row r="1" spans="1:32" x14ac:dyDescent="0.25">
      <c r="A1" s="117">
        <v>2026</v>
      </c>
      <c r="B1" s="118"/>
      <c r="C1" s="119"/>
      <c r="D1" s="120" t="s">
        <v>356</v>
      </c>
      <c r="E1" s="121"/>
      <c r="F1" s="121"/>
      <c r="G1" s="121"/>
      <c r="H1" s="121"/>
      <c r="I1" s="121"/>
      <c r="J1" s="121"/>
      <c r="K1" s="121"/>
      <c r="L1" s="121"/>
      <c r="M1" s="121"/>
      <c r="N1" s="121"/>
      <c r="R1" s="52">
        <f>IF(ISERROR(HLOOKUP(A1,Adatlap!D1:M2,2,FALSE))=TRUE,1,HLOOKUP(A1,Adatlap!D1:M2,2,FALSE))</f>
        <v>1</v>
      </c>
      <c r="S1" s="52" t="s">
        <v>290</v>
      </c>
      <c r="AB1" s="52" t="s">
        <v>238</v>
      </c>
      <c r="AD1" s="52">
        <v>1</v>
      </c>
      <c r="AE1" s="52" t="s">
        <v>294</v>
      </c>
      <c r="AF1" s="52" t="s">
        <v>258</v>
      </c>
    </row>
    <row r="2" spans="1:32" ht="32.25" x14ac:dyDescent="0.3">
      <c r="A2" s="114" t="s">
        <v>0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AA2" s="53" t="s">
        <v>43</v>
      </c>
      <c r="AB2" s="52" t="s">
        <v>239</v>
      </c>
      <c r="AD2" s="52">
        <v>2</v>
      </c>
      <c r="AE2" s="52" t="s">
        <v>295</v>
      </c>
      <c r="AF2" s="52" t="s">
        <v>259</v>
      </c>
    </row>
    <row r="3" spans="1:32" ht="32.25" x14ac:dyDescent="0.3">
      <c r="A3" s="114" t="str">
        <f>R3&amp;" Református Egyházmegye"</f>
        <v xml:space="preserve"> Református Egyházmegye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R3" s="52" t="str">
        <f>IF(Adatlap!C2&lt;&gt;0,Adatlap!C2,"")</f>
        <v/>
      </c>
      <c r="AA3" s="53" t="s">
        <v>43</v>
      </c>
      <c r="AB3" s="52" t="s">
        <v>240</v>
      </c>
      <c r="AD3" s="52">
        <v>3</v>
      </c>
      <c r="AE3" s="52" t="s">
        <v>296</v>
      </c>
      <c r="AF3" s="52" t="s">
        <v>262</v>
      </c>
    </row>
    <row r="4" spans="1:32" ht="47.25" x14ac:dyDescent="0.25">
      <c r="A4" s="52" t="str">
        <f>"Egyházközségi iktatószám: "&amp;IF($Q4&lt;&gt;0,$Q4,"___________")</f>
        <v>Egyházközségi iktatószám: ___________</v>
      </c>
      <c r="Q4" s="52" cm="1">
        <f t="array" ref="Q4">INDEX(Adatlap!$C$1:$M$215,V4,$R$1)</f>
        <v>0</v>
      </c>
      <c r="V4" s="52">
        <f>ROW(Adatlap!$B$10)</f>
        <v>10</v>
      </c>
      <c r="AA4" s="53" t="s">
        <v>6</v>
      </c>
      <c r="AB4" s="52" t="s">
        <v>241</v>
      </c>
      <c r="AD4" s="52">
        <v>4</v>
      </c>
      <c r="AE4" s="52" t="s">
        <v>297</v>
      </c>
      <c r="AF4" s="52" t="s">
        <v>263</v>
      </c>
    </row>
    <row r="5" spans="1:32" ht="31.5" x14ac:dyDescent="0.25">
      <c r="A5" s="52" t="s">
        <v>1</v>
      </c>
      <c r="N5" s="52" t="s">
        <v>2</v>
      </c>
      <c r="AA5" s="53" t="s">
        <v>43</v>
      </c>
      <c r="AB5" s="52" t="s">
        <v>242</v>
      </c>
      <c r="AD5" s="52">
        <v>5</v>
      </c>
      <c r="AE5" s="52" t="s">
        <v>298</v>
      </c>
      <c r="AF5" s="52" t="s">
        <v>264</v>
      </c>
    </row>
    <row r="6" spans="1:32" x14ac:dyDescent="0.25">
      <c r="AA6" s="53"/>
      <c r="AB6" s="52" t="s">
        <v>243</v>
      </c>
      <c r="AD6" s="52">
        <v>6</v>
      </c>
      <c r="AE6" s="52" t="s">
        <v>299</v>
      </c>
      <c r="AF6" s="52" t="s">
        <v>265</v>
      </c>
    </row>
    <row r="7" spans="1:32" ht="90.75" customHeight="1" x14ac:dyDescent="0.25">
      <c r="AA7" s="53"/>
      <c r="AB7" s="52" t="s">
        <v>244</v>
      </c>
      <c r="AD7" s="52">
        <v>7</v>
      </c>
      <c r="AE7" s="52" t="s">
        <v>300</v>
      </c>
      <c r="AF7" s="52" t="s">
        <v>266</v>
      </c>
    </row>
    <row r="8" spans="1:32" x14ac:dyDescent="0.25">
      <c r="AA8" s="53"/>
      <c r="AB8" s="52" t="s">
        <v>245</v>
      </c>
      <c r="AD8" s="52">
        <v>8</v>
      </c>
      <c r="AE8" s="52" t="s">
        <v>301</v>
      </c>
      <c r="AF8" s="52" t="s">
        <v>261</v>
      </c>
    </row>
    <row r="9" spans="1:32" ht="31.5" x14ac:dyDescent="0.25">
      <c r="A9" s="112" t="s">
        <v>3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AA9" s="53" t="s">
        <v>43</v>
      </c>
      <c r="AB9" s="52" t="s">
        <v>246</v>
      </c>
      <c r="AD9" s="52">
        <v>9</v>
      </c>
      <c r="AE9" s="52" t="s">
        <v>302</v>
      </c>
      <c r="AF9" s="52" t="s">
        <v>260</v>
      </c>
    </row>
    <row r="10" spans="1:32" ht="31.5" x14ac:dyDescent="0.25">
      <c r="A10" s="112" t="str">
        <f>CLEAN(UPPER(S10&amp;" "&amp;R10&amp;" REFORMÁTUS EGYHÁZKÖZSÉG"))</f>
        <v>A _________________________ REFORMÁTUS EGYHÁZKÖZSÉG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R10" s="52" t="str">
        <f>IF(Adatlap!C3&lt;&gt;0,Adatlap!C3,"_________________________")</f>
        <v>_________________________</v>
      </c>
      <c r="S10" s="52" t="str">
        <f>IF(ISERROR(VLOOKUP(LOWER(LEFT(R10,1)),AB1:AC19,2,FALSE)),"AZ","A")</f>
        <v>A</v>
      </c>
      <c r="AA10" s="53" t="s">
        <v>43</v>
      </c>
      <c r="AB10" s="52" t="s">
        <v>247</v>
      </c>
      <c r="AD10" s="52">
        <v>10</v>
      </c>
      <c r="AE10" s="52" t="s">
        <v>303</v>
      </c>
      <c r="AF10" s="52" t="s">
        <v>267</v>
      </c>
    </row>
    <row r="11" spans="1:32" ht="31.5" x14ac:dyDescent="0.25">
      <c r="A11" s="112" t="str">
        <f>IF($Q11&lt;&gt;0,$Q11,"")&amp;". ÉVI ÉLETÉRŐL"</f>
        <v>2026. ÉVI ÉLETÉRŐL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Q11" s="52" cm="1">
        <f t="array" ref="Q11">INDEX(Adatlap!$C$1:$M$215,V11,$R$1)</f>
        <v>2026</v>
      </c>
      <c r="V11" s="52">
        <f>ROW(Adatlap!$A$1)</f>
        <v>1</v>
      </c>
      <c r="AA11" s="53" t="s">
        <v>43</v>
      </c>
      <c r="AB11" s="52" t="s">
        <v>248</v>
      </c>
      <c r="AD11" s="52">
        <v>11</v>
      </c>
      <c r="AE11" s="52" t="s">
        <v>304</v>
      </c>
      <c r="AF11" s="52" t="s">
        <v>268</v>
      </c>
    </row>
    <row r="12" spans="1:32" ht="99.75" customHeight="1" x14ac:dyDescent="0.25">
      <c r="AA12" s="53"/>
      <c r="AB12" s="52" t="s">
        <v>249</v>
      </c>
      <c r="AD12" s="52">
        <v>12</v>
      </c>
      <c r="AE12" s="52" t="s">
        <v>305</v>
      </c>
      <c r="AF12" s="52" t="s">
        <v>269</v>
      </c>
    </row>
    <row r="13" spans="1:32" ht="31.5" x14ac:dyDescent="0.25">
      <c r="A13" s="107" t="str">
        <f>"Tárgyalta a presbitérium a "&amp;S13&amp;T13&amp;U13&amp;" tartott gyűlésén "&amp;IF($R13&lt;&gt;0,$R13,"_____")&amp;". szám alatt."</f>
        <v>Tárgyalta a presbitérium a _____________ tartott gyűlésén _____. szám alatt.</v>
      </c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Q13" s="54" cm="1">
        <f t="array" ref="Q13">INDEX(Adatlap!$C$1:$M$215,V13,$R$1)</f>
        <v>0</v>
      </c>
      <c r="R13" s="54" cm="1">
        <f t="array" ref="R13">INDEX(Adatlap!$C$1:$M$215,W13,$R$1)</f>
        <v>0</v>
      </c>
      <c r="S13" s="52" t="str">
        <f>IF($Q13&lt;&gt;0,YEAR($Q$13),"_____________")</f>
        <v>_____________</v>
      </c>
      <c r="T13" s="52" t="str">
        <f>IF($Q13&lt;&gt;0,VLOOKUP(MONTH($Q$13),AD1:AF12,3,FALSE),"")</f>
        <v/>
      </c>
      <c r="U13" s="52" t="str">
        <f>IF($Q13&lt;&gt;0,VLOOKUP(DAY($Q$13),AD1:AF32,2,FALSE),"")</f>
        <v/>
      </c>
      <c r="V13" s="52">
        <f>ROW(Adatlap!$B$6)</f>
        <v>6</v>
      </c>
      <c r="W13" s="52">
        <f>ROW(Adatlap!$B$7)</f>
        <v>7</v>
      </c>
      <c r="AA13" s="53" t="s">
        <v>43</v>
      </c>
      <c r="AB13" s="52" t="s">
        <v>250</v>
      </c>
      <c r="AD13" s="52">
        <v>13</v>
      </c>
      <c r="AE13" s="52" t="s">
        <v>306</v>
      </c>
    </row>
    <row r="14" spans="1:32" ht="33.75" customHeight="1" x14ac:dyDescent="0.25">
      <c r="A14" s="107" t="str">
        <f>"Tárgyalta az egyházközségi közgyűlés a "&amp;S14&amp;T14&amp;U14&amp;" tartott gyűlésén "&amp;IF($R14&lt;&gt;0,$R14,"_____")&amp;". szám alatt."</f>
        <v>Tárgyalta az egyházközségi közgyűlés a _____________ tartott gyűlésén _____. szám alatt.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Q14" s="54" cm="1">
        <f t="array" ref="Q14">INDEX(Adatlap!$C$1:$M$215,V14,$R$1)</f>
        <v>0</v>
      </c>
      <c r="R14" s="54" cm="1">
        <f t="array" ref="R14">INDEX(Adatlap!$C$1:$M$215,W14,$R$1)</f>
        <v>0</v>
      </c>
      <c r="S14" s="52" t="str">
        <f>IF($Q14&lt;&gt;0,YEAR($Q$14),"_____________")</f>
        <v>_____________</v>
      </c>
      <c r="T14" s="52" t="str">
        <f>IF($Q14&lt;&gt;0,VLOOKUP(MONTH($Q$14),AD1:AF12,3,FALSE),"")</f>
        <v/>
      </c>
      <c r="U14" s="52" t="str">
        <f>IF($Q14&lt;&gt;0,VLOOKUP(DAY($Q$14),AD1:AF33,2,FALSE),"")</f>
        <v/>
      </c>
      <c r="V14" s="52">
        <f>ROW(Adatlap!$B$8)</f>
        <v>8</v>
      </c>
      <c r="W14" s="52">
        <f>ROW(Adatlap!$B$9)</f>
        <v>9</v>
      </c>
      <c r="AA14" s="53" t="s">
        <v>43</v>
      </c>
      <c r="AB14" s="52" t="s">
        <v>251</v>
      </c>
      <c r="AD14" s="52">
        <v>14</v>
      </c>
      <c r="AE14" s="52" t="s">
        <v>307</v>
      </c>
    </row>
    <row r="15" spans="1:32" ht="131.25" customHeight="1" x14ac:dyDescent="0.25">
      <c r="C15" s="52" t="str">
        <f>IF($Q15&lt;&gt;0,$Q15,"")</f>
        <v/>
      </c>
      <c r="L15" s="52" t="str">
        <f>IF($R15&lt;&gt;0,$R15,"")</f>
        <v/>
      </c>
      <c r="Q15" s="54" cm="1">
        <f t="array" ref="Q15">INDEX(Adatlap!$C$1:$M$215,V15,$R$1)</f>
        <v>0</v>
      </c>
      <c r="R15" s="54" cm="1">
        <f t="array" ref="R15">INDEX(Adatlap!$C$1:$M$215,W15,$R$1)</f>
        <v>0</v>
      </c>
      <c r="V15" s="52">
        <f>ROW(Adatlap!$B$4)</f>
        <v>4</v>
      </c>
      <c r="W15" s="52">
        <f>ROW(Adatlap!$B$5)</f>
        <v>5</v>
      </c>
      <c r="AA15" s="53"/>
      <c r="AB15" s="52" t="s">
        <v>252</v>
      </c>
      <c r="AD15" s="52">
        <v>15</v>
      </c>
      <c r="AE15" s="52" t="s">
        <v>308</v>
      </c>
    </row>
    <row r="16" spans="1:32" x14ac:dyDescent="0.25">
      <c r="C16" s="55" t="s">
        <v>4</v>
      </c>
      <c r="L16" s="55" t="str">
        <f>IF(Adatlap!B5&lt;&gt;0,Adatlap!B5,"Gondnok")</f>
        <v>Főgondnok/Gondnok</v>
      </c>
      <c r="N16" s="56"/>
      <c r="AA16" s="53"/>
      <c r="AB16" s="52" t="s">
        <v>253</v>
      </c>
      <c r="AD16" s="52">
        <v>16</v>
      </c>
      <c r="AE16" s="52" t="s">
        <v>309</v>
      </c>
    </row>
    <row r="17" spans="1:31" x14ac:dyDescent="0.25">
      <c r="AA17" s="53"/>
      <c r="AB17" s="52" t="s">
        <v>254</v>
      </c>
      <c r="AD17" s="52">
        <v>17</v>
      </c>
      <c r="AE17" s="52" t="s">
        <v>310</v>
      </c>
    </row>
    <row r="18" spans="1:31" ht="49.5" customHeight="1" x14ac:dyDescent="0.25">
      <c r="N18" s="72" t="s">
        <v>383</v>
      </c>
      <c r="AA18" s="53"/>
      <c r="AB18" s="52" t="s">
        <v>255</v>
      </c>
      <c r="AD18" s="52">
        <v>18</v>
      </c>
      <c r="AE18" s="52" t="s">
        <v>311</v>
      </c>
    </row>
    <row r="19" spans="1:31" ht="47.25" x14ac:dyDescent="0.25">
      <c r="A19" s="112" t="s">
        <v>5</v>
      </c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AA19" s="53" t="s">
        <v>6</v>
      </c>
      <c r="AB19" s="52" t="s">
        <v>256</v>
      </c>
      <c r="AD19" s="52">
        <v>19</v>
      </c>
      <c r="AE19" s="52" t="s">
        <v>312</v>
      </c>
    </row>
    <row r="20" spans="1:31" x14ac:dyDescent="0.25">
      <c r="A20" s="57" t="s">
        <v>7</v>
      </c>
      <c r="B20" s="52" t="s">
        <v>8</v>
      </c>
      <c r="H20" s="52" t="s">
        <v>9</v>
      </c>
      <c r="I20" s="58" t="str">
        <f>IF($Q20&lt;&gt;0,$Q20,"")</f>
        <v/>
      </c>
      <c r="J20" s="58" t="s">
        <v>10</v>
      </c>
      <c r="K20" s="58" t="str">
        <f>IF($R20&lt;&gt;0,$R20,"")</f>
        <v/>
      </c>
      <c r="L20" s="59" t="s">
        <v>11</v>
      </c>
      <c r="M20" s="59"/>
      <c r="N20" s="60">
        <f>SUM(I20,K20)</f>
        <v>0</v>
      </c>
      <c r="Q20" s="52" cm="1">
        <f t="array" ref="Q20">INDEX(Adatlap!$C$1:$M$215,V20,$R$1)</f>
        <v>0</v>
      </c>
      <c r="R20" s="53" cm="1">
        <f t="array" ref="R20">INDEX(Adatlap!$C$1:$M$215,W20,$R$1)</f>
        <v>0</v>
      </c>
      <c r="V20" s="52">
        <f>ROW(Adatlap!$B$12)</f>
        <v>12</v>
      </c>
      <c r="W20" s="52">
        <f>ROW(Adatlap!$B$13)</f>
        <v>13</v>
      </c>
      <c r="AA20" s="53"/>
      <c r="AD20" s="52">
        <v>20</v>
      </c>
      <c r="AE20" s="52" t="s">
        <v>313</v>
      </c>
    </row>
    <row r="21" spans="1:31" x14ac:dyDescent="0.25">
      <c r="A21" s="57" t="s">
        <v>12</v>
      </c>
      <c r="B21" s="52" t="s">
        <v>13</v>
      </c>
      <c r="H21" s="52" t="s">
        <v>9</v>
      </c>
      <c r="I21" s="58" t="str">
        <f t="shared" ref="I21:I22" si="0">IF($Q21&lt;&gt;0,$Q21,"")</f>
        <v/>
      </c>
      <c r="J21" s="58" t="s">
        <v>10</v>
      </c>
      <c r="K21" s="58" t="str">
        <f t="shared" ref="K21:K22" si="1">IF($R21&lt;&gt;0,$R21,"")</f>
        <v/>
      </c>
      <c r="L21" s="59" t="s">
        <v>11</v>
      </c>
      <c r="M21" s="59"/>
      <c r="N21" s="60">
        <f t="shared" ref="N21:N22" si="2">SUM(I21,K21)</f>
        <v>0</v>
      </c>
      <c r="Q21" s="52" cm="1">
        <f t="array" ref="Q21">INDEX(Adatlap!$C$1:$M$215,V21,$R$1)</f>
        <v>0</v>
      </c>
      <c r="R21" s="53" cm="1">
        <f t="array" ref="R21">INDEX(Adatlap!$C$1:$M$215,W21,$R$1)</f>
        <v>0</v>
      </c>
      <c r="V21" s="52">
        <f>ROW(Adatlap!$B$14)</f>
        <v>14</v>
      </c>
      <c r="W21" s="52">
        <f>ROW(Adatlap!$B$15)</f>
        <v>15</v>
      </c>
      <c r="AA21" s="53"/>
      <c r="AD21" s="52">
        <v>21</v>
      </c>
      <c r="AE21" s="52" t="s">
        <v>314</v>
      </c>
    </row>
    <row r="22" spans="1:31" x14ac:dyDescent="0.25">
      <c r="A22" s="57" t="s">
        <v>14</v>
      </c>
      <c r="B22" s="52" t="s">
        <v>15</v>
      </c>
      <c r="H22" s="52" t="s">
        <v>9</v>
      </c>
      <c r="I22" s="58" t="str">
        <f t="shared" si="0"/>
        <v/>
      </c>
      <c r="J22" s="58" t="s">
        <v>10</v>
      </c>
      <c r="K22" s="58" t="str">
        <f t="shared" si="1"/>
        <v/>
      </c>
      <c r="L22" s="59" t="s">
        <v>11</v>
      </c>
      <c r="M22" s="59"/>
      <c r="N22" s="60">
        <f t="shared" si="2"/>
        <v>0</v>
      </c>
      <c r="Q22" s="52" cm="1">
        <f t="array" ref="Q22">INDEX(Adatlap!$C$1:$M$215,V22,$R$1)</f>
        <v>0</v>
      </c>
      <c r="R22" s="53" cm="1">
        <f t="array" ref="R22">INDEX(Adatlap!$C$1:$M$215,W22,$R$1)</f>
        <v>0</v>
      </c>
      <c r="V22" s="52">
        <f>ROW(Adatlap!$B$16)</f>
        <v>16</v>
      </c>
      <c r="W22" s="52">
        <f>ROW(Adatlap!$B$17)</f>
        <v>17</v>
      </c>
      <c r="AA22" s="53"/>
      <c r="AD22" s="52">
        <v>22</v>
      </c>
      <c r="AE22" s="52" t="s">
        <v>315</v>
      </c>
    </row>
    <row r="23" spans="1:31" x14ac:dyDescent="0.25">
      <c r="A23" s="57" t="s">
        <v>16</v>
      </c>
      <c r="B23" s="52" t="s">
        <v>17</v>
      </c>
      <c r="I23" s="58"/>
      <c r="J23" s="58"/>
      <c r="K23" s="58"/>
      <c r="L23" s="59" t="s">
        <v>11</v>
      </c>
      <c r="M23" s="59"/>
      <c r="N23" s="60" t="str">
        <f>IF(N21&gt;N22,SUM(N21,-N22),"")</f>
        <v/>
      </c>
      <c r="AA23" s="53"/>
      <c r="AD23" s="52">
        <v>23</v>
      </c>
      <c r="AE23" s="52" t="s">
        <v>316</v>
      </c>
    </row>
    <row r="24" spans="1:31" x14ac:dyDescent="0.25">
      <c r="A24" s="57" t="s">
        <v>18</v>
      </c>
      <c r="B24" s="52" t="s">
        <v>19</v>
      </c>
      <c r="I24" s="58"/>
      <c r="J24" s="58"/>
      <c r="K24" s="58"/>
      <c r="L24" s="59" t="s">
        <v>11</v>
      </c>
      <c r="M24" s="59"/>
      <c r="N24" s="60" t="str">
        <f>IF(N22&gt;N21,SUM(N22,-N21),"")</f>
        <v/>
      </c>
      <c r="AA24" s="53"/>
      <c r="AD24" s="52">
        <v>24</v>
      </c>
      <c r="AE24" s="52" t="s">
        <v>317</v>
      </c>
    </row>
    <row r="25" spans="1:31" x14ac:dyDescent="0.25">
      <c r="A25" s="57" t="s">
        <v>20</v>
      </c>
      <c r="B25" s="52" t="s">
        <v>21</v>
      </c>
      <c r="H25" s="52" t="s">
        <v>9</v>
      </c>
      <c r="I25" s="58" t="str">
        <f t="shared" ref="I25" si="3">IF($Q25&lt;&gt;0,$Q25,"")</f>
        <v/>
      </c>
      <c r="J25" s="58" t="s">
        <v>10</v>
      </c>
      <c r="K25" s="58" t="str">
        <f t="shared" ref="K25" si="4">IF($R25&lt;&gt;0,$R25,"")</f>
        <v/>
      </c>
      <c r="L25" s="59" t="s">
        <v>11</v>
      </c>
      <c r="M25" s="59"/>
      <c r="N25" s="60">
        <f t="shared" ref="N25" si="5">SUM(I25,K25)</f>
        <v>0</v>
      </c>
      <c r="Q25" s="52" cm="1">
        <f t="array" ref="Q25">INDEX(Adatlap!$C$1:$M$215,V25,$R$1)</f>
        <v>0</v>
      </c>
      <c r="R25" s="53" cm="1">
        <f t="array" ref="R25">INDEX(Adatlap!$C$1:$M$215,W25,$R$1)</f>
        <v>0</v>
      </c>
      <c r="V25" s="52">
        <f>ROW(Adatlap!$B$18)</f>
        <v>18</v>
      </c>
      <c r="W25" s="52">
        <f>ROW(Adatlap!$B$19)</f>
        <v>19</v>
      </c>
      <c r="AA25" s="53"/>
      <c r="AD25" s="52">
        <v>25</v>
      </c>
      <c r="AE25" s="52" t="s">
        <v>318</v>
      </c>
    </row>
    <row r="26" spans="1:31" x14ac:dyDescent="0.25">
      <c r="A26" s="57"/>
      <c r="B26" s="52" t="s">
        <v>22</v>
      </c>
      <c r="E26" s="52" t="str">
        <f>IF(Q26&lt;&gt;0,Q26,"")</f>
        <v/>
      </c>
      <c r="I26" s="58"/>
      <c r="J26" s="58"/>
      <c r="K26" s="58"/>
      <c r="L26" s="59"/>
      <c r="M26" s="59"/>
      <c r="N26" s="60"/>
      <c r="Q26" s="52" cm="1">
        <f t="array" ref="Q26">INDEX(Adatlap!$C$1:$M$215,V26,$R$1)</f>
        <v>0</v>
      </c>
      <c r="V26" s="52">
        <f>ROW(Adatlap!$B$20)</f>
        <v>20</v>
      </c>
      <c r="AA26" s="53"/>
      <c r="AD26" s="52">
        <v>26</v>
      </c>
      <c r="AE26" s="52" t="s">
        <v>319</v>
      </c>
    </row>
    <row r="27" spans="1:31" x14ac:dyDescent="0.25">
      <c r="A27" s="57" t="s">
        <v>23</v>
      </c>
      <c r="B27" s="52" t="s">
        <v>24</v>
      </c>
      <c r="H27" s="52" t="s">
        <v>9</v>
      </c>
      <c r="I27" s="58" t="str">
        <f t="shared" ref="I27" si="6">IF($Q27&lt;&gt;0,$Q27,"")</f>
        <v/>
      </c>
      <c r="J27" s="58" t="s">
        <v>10</v>
      </c>
      <c r="K27" s="58" t="str">
        <f t="shared" ref="K27" si="7">IF($R27&lt;&gt;0,$R27,"")</f>
        <v/>
      </c>
      <c r="L27" s="59" t="s">
        <v>11</v>
      </c>
      <c r="M27" s="59"/>
      <c r="N27" s="60">
        <f t="shared" ref="N27" si="8">SUM(I27,K27)</f>
        <v>0</v>
      </c>
      <c r="Q27" s="52" cm="1">
        <f t="array" ref="Q27">INDEX(Adatlap!$C$1:$M$215,V27,$R$1)</f>
        <v>0</v>
      </c>
      <c r="R27" s="53" cm="1">
        <f t="array" ref="R27">INDEX(Adatlap!$C$1:$M$215,W27,$R$1)</f>
        <v>0</v>
      </c>
      <c r="V27" s="52">
        <f>ROW(Adatlap!$B$21)</f>
        <v>21</v>
      </c>
      <c r="W27" s="52">
        <f>ROW(Adatlap!$B$22)</f>
        <v>22</v>
      </c>
      <c r="AA27" s="53"/>
      <c r="AD27" s="52">
        <v>27</v>
      </c>
      <c r="AE27" s="52" t="s">
        <v>320</v>
      </c>
    </row>
    <row r="28" spans="1:31" x14ac:dyDescent="0.25">
      <c r="A28" s="57"/>
      <c r="B28" s="52" t="s">
        <v>25</v>
      </c>
      <c r="E28" s="52" t="str">
        <f>IF(Q28&lt;&gt;0,Q28,"")</f>
        <v/>
      </c>
      <c r="I28" s="58"/>
      <c r="J28" s="58"/>
      <c r="K28" s="58"/>
      <c r="L28" s="59"/>
      <c r="M28" s="59"/>
      <c r="N28" s="60"/>
      <c r="Q28" s="52" cm="1">
        <f t="array" ref="Q28">INDEX(Adatlap!$C$1:$M$215,V28,$R$1)</f>
        <v>0</v>
      </c>
      <c r="V28" s="52">
        <f>ROW(Adatlap!$B$23)</f>
        <v>23</v>
      </c>
      <c r="AA28" s="53"/>
      <c r="AD28" s="52">
        <v>28</v>
      </c>
      <c r="AE28" s="52" t="s">
        <v>321</v>
      </c>
    </row>
    <row r="29" spans="1:31" x14ac:dyDescent="0.25">
      <c r="A29" s="57" t="s">
        <v>26</v>
      </c>
      <c r="B29" s="52" t="s">
        <v>27</v>
      </c>
      <c r="H29" s="52" t="s">
        <v>9</v>
      </c>
      <c r="I29" s="58" t="str">
        <f t="shared" ref="I29:I31" si="9">IF($Q29&lt;&gt;0,$Q29,"")</f>
        <v/>
      </c>
      <c r="J29" s="58" t="s">
        <v>10</v>
      </c>
      <c r="K29" s="58" t="str">
        <f t="shared" ref="K29:K31" si="10">IF($R29&lt;&gt;0,$R29,"")</f>
        <v/>
      </c>
      <c r="L29" s="59" t="s">
        <v>11</v>
      </c>
      <c r="M29" s="59"/>
      <c r="N29" s="60">
        <f t="shared" ref="N29:N31" si="11">SUM(I29,K29)</f>
        <v>0</v>
      </c>
      <c r="Q29" s="52" cm="1">
        <f t="array" ref="Q29">INDEX(Adatlap!$C$1:$M$215,V29,$R$1)</f>
        <v>0</v>
      </c>
      <c r="R29" s="53" cm="1">
        <f t="array" ref="R29">INDEX(Adatlap!$C$1:$M$215,W29,$R$1)</f>
        <v>0</v>
      </c>
      <c r="V29" s="52">
        <f>ROW(Adatlap!$B$24)</f>
        <v>24</v>
      </c>
      <c r="W29" s="52">
        <f>ROW(Adatlap!$B$25)</f>
        <v>25</v>
      </c>
      <c r="AA29" s="53"/>
      <c r="AD29" s="52">
        <v>29</v>
      </c>
      <c r="AE29" s="52" t="s">
        <v>322</v>
      </c>
    </row>
    <row r="30" spans="1:31" x14ac:dyDescent="0.25">
      <c r="A30" s="57" t="s">
        <v>28</v>
      </c>
      <c r="B30" s="52" t="s">
        <v>29</v>
      </c>
      <c r="H30" s="52" t="s">
        <v>9</v>
      </c>
      <c r="I30" s="58" t="str">
        <f t="shared" si="9"/>
        <v/>
      </c>
      <c r="J30" s="58" t="s">
        <v>10</v>
      </c>
      <c r="K30" s="58" t="str">
        <f t="shared" si="10"/>
        <v/>
      </c>
      <c r="L30" s="59" t="s">
        <v>11</v>
      </c>
      <c r="M30" s="59"/>
      <c r="N30" s="60">
        <f t="shared" si="11"/>
        <v>0</v>
      </c>
      <c r="Q30" s="52" cm="1">
        <f t="array" ref="Q30">INDEX(Adatlap!$C$1:$M$215,V30,$R$1)</f>
        <v>0</v>
      </c>
      <c r="R30" s="53" cm="1">
        <f t="array" ref="R30">INDEX(Adatlap!$C$1:$M$215,W30,$R$1)</f>
        <v>0</v>
      </c>
      <c r="V30" s="52">
        <f>ROW(Adatlap!$B$26)</f>
        <v>26</v>
      </c>
      <c r="W30" s="52">
        <f>ROW(Adatlap!$B$27)</f>
        <v>27</v>
      </c>
      <c r="AA30" s="53"/>
      <c r="AD30" s="52">
        <v>30</v>
      </c>
      <c r="AE30" s="52" t="s">
        <v>323</v>
      </c>
    </row>
    <row r="31" spans="1:31" x14ac:dyDescent="0.25">
      <c r="A31" s="57" t="s">
        <v>30</v>
      </c>
      <c r="B31" s="52" t="s">
        <v>31</v>
      </c>
      <c r="H31" s="52" t="s">
        <v>9</v>
      </c>
      <c r="I31" s="58" t="str">
        <f t="shared" si="9"/>
        <v/>
      </c>
      <c r="J31" s="58" t="s">
        <v>10</v>
      </c>
      <c r="K31" s="58" t="str">
        <f t="shared" si="10"/>
        <v/>
      </c>
      <c r="L31" s="59" t="s">
        <v>11</v>
      </c>
      <c r="M31" s="59"/>
      <c r="N31" s="60">
        <f t="shared" si="11"/>
        <v>0</v>
      </c>
      <c r="Q31" s="52" cm="1">
        <f t="array" ref="Q31">INDEX(Adatlap!$C$1:$M$215,V31,$R$1)</f>
        <v>0</v>
      </c>
      <c r="R31" s="53" cm="1">
        <f t="array" ref="R31">INDEX(Adatlap!$C$1:$M$215,W31,$R$1)</f>
        <v>0</v>
      </c>
      <c r="V31" s="52">
        <f>ROW(Adatlap!$B$28)</f>
        <v>28</v>
      </c>
      <c r="W31" s="52">
        <f>ROW(Adatlap!$B$29)</f>
        <v>29</v>
      </c>
      <c r="AA31" s="53"/>
      <c r="AD31" s="52">
        <v>31</v>
      </c>
      <c r="AE31" s="52" t="s">
        <v>324</v>
      </c>
    </row>
    <row r="32" spans="1:31" x14ac:dyDescent="0.25">
      <c r="A32" s="57" t="s">
        <v>32</v>
      </c>
      <c r="B32" s="52" t="s">
        <v>33</v>
      </c>
      <c r="I32" s="58"/>
      <c r="J32" s="58"/>
      <c r="K32" s="58"/>
      <c r="L32" s="59" t="s">
        <v>11</v>
      </c>
      <c r="M32" s="59"/>
      <c r="N32" s="60" t="str">
        <f>IF(N34&gt;N20,SUM(N34,-N20),"")</f>
        <v/>
      </c>
      <c r="AA32" s="53"/>
      <c r="AD32" s="52">
        <v>0</v>
      </c>
      <c r="AE32" s="52" t="s">
        <v>257</v>
      </c>
    </row>
    <row r="33" spans="1:27" x14ac:dyDescent="0.25">
      <c r="A33" s="57" t="s">
        <v>34</v>
      </c>
      <c r="B33" s="52" t="s">
        <v>35</v>
      </c>
      <c r="I33" s="58"/>
      <c r="J33" s="58"/>
      <c r="K33" s="58"/>
      <c r="L33" s="59" t="s">
        <v>11</v>
      </c>
      <c r="M33" s="59"/>
      <c r="N33" s="60" t="str">
        <f>IF(N20&gt;N34,SUM(N20,-N34),"")</f>
        <v/>
      </c>
      <c r="AA33" s="53"/>
    </row>
    <row r="34" spans="1:27" x14ac:dyDescent="0.25">
      <c r="A34" s="57" t="s">
        <v>36</v>
      </c>
      <c r="B34" s="52" t="s">
        <v>37</v>
      </c>
      <c r="H34" s="52" t="s">
        <v>9</v>
      </c>
      <c r="I34" s="58">
        <f>SUM(Q20,Q21,-Q22,Q25,-Q27,Q29,-Q30,-Q31)</f>
        <v>0</v>
      </c>
      <c r="J34" s="58" t="s">
        <v>10</v>
      </c>
      <c r="K34" s="58">
        <f>SUM(R20,R21,-R22,R25,-R27,R29,-R30,-R31)</f>
        <v>0</v>
      </c>
      <c r="L34" s="59" t="s">
        <v>11</v>
      </c>
      <c r="M34" s="59"/>
      <c r="N34" s="60">
        <f>SUM(I34,K34)</f>
        <v>0</v>
      </c>
      <c r="AA34" s="53"/>
    </row>
    <row r="35" spans="1:27" x14ac:dyDescent="0.25">
      <c r="A35" s="57" t="s">
        <v>38</v>
      </c>
      <c r="B35" s="52" t="str">
        <f>"A gyülekezet választói névjegyzékében szereplő tagjainak száma: "&amp;IF($Q35&lt;&gt;0,$Q35,"")</f>
        <v xml:space="preserve">A gyülekezet választói névjegyzékében szereplő tagjainak száma: </v>
      </c>
      <c r="Q35" s="52" cm="1">
        <f t="array" ref="Q35">INDEX(Adatlap!$C$1:$M$215,V35,$R$1)</f>
        <v>0</v>
      </c>
      <c r="V35" s="52">
        <f>ROW(Adatlap!$B$30)</f>
        <v>30</v>
      </c>
      <c r="AA35" s="53"/>
    </row>
    <row r="36" spans="1:27" x14ac:dyDescent="0.25">
      <c r="A36" s="57" t="s">
        <v>40</v>
      </c>
      <c r="B36" s="52" t="str">
        <f>"Az egyházfenntartás személyenkénti éves meghatározott összege: "&amp;IF($Q36&lt;&gt;0,$Q36&amp;$S$1,"")</f>
        <v xml:space="preserve">Az egyházfenntartás személyenkénti éves meghatározott összege: </v>
      </c>
      <c r="Q36" s="52" cm="1">
        <f t="array" ref="Q36">INDEX(Adatlap!$C$1:$M$215,V36,$R$1)</f>
        <v>0</v>
      </c>
      <c r="V36" s="52">
        <f>ROW(Adatlap!$B$31)</f>
        <v>31</v>
      </c>
      <c r="AA36" s="53"/>
    </row>
    <row r="37" spans="1:27" ht="31.5" customHeight="1" x14ac:dyDescent="0.25">
      <c r="A37" s="57" t="s">
        <v>42</v>
      </c>
      <c r="B37" s="106" t="str">
        <f>"Azon felnőtt egyháztagok száma, akik 5 vagy annál több éve nem fizetik az egyházfenntartói járulékot: "&amp;IF($Q37&lt;&gt;0,$Q37,"")</f>
        <v xml:space="preserve">Azon felnőtt egyháztagok száma, akik 5 vagy annál több éve nem fizetik az egyházfenntartói járulékot: </v>
      </c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Q37" s="52" cm="1">
        <f t="array" ref="Q37">INDEX(Adatlap!$C$1:$M$215,V37,$R$1)</f>
        <v>0</v>
      </c>
      <c r="V37" s="52">
        <f>ROW(Adatlap!$B$32)</f>
        <v>32</v>
      </c>
      <c r="AA37" s="53" t="s">
        <v>43</v>
      </c>
    </row>
    <row r="38" spans="1:27" ht="31.5" customHeight="1" x14ac:dyDescent="0.25">
      <c r="A38" s="57" t="s">
        <v>44</v>
      </c>
      <c r="B38" s="106" t="str">
        <f>"Gyülekezet lélekszámában jelentős (10 személynél több), más nemzetiségű egyháztagok száma: (román, német, roma stb.): "&amp;IF($Q38&lt;&gt;0,$Q38,"")</f>
        <v xml:space="preserve">Gyülekezet lélekszámában jelentős (10 személynél több), más nemzetiségű egyháztagok száma: (román, német, roma stb.): </v>
      </c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Q38" s="52">
        <f>SUM(Q39:S39,U39)</f>
        <v>0</v>
      </c>
      <c r="AA38" s="53" t="s">
        <v>43</v>
      </c>
    </row>
    <row r="39" spans="1:27" x14ac:dyDescent="0.25">
      <c r="A39" s="57"/>
      <c r="B39" s="52" t="str">
        <f>"Román: "&amp;IF($Q39&lt;&gt;0,$Q39,"")</f>
        <v xml:space="preserve">Román: </v>
      </c>
      <c r="C39" s="56"/>
      <c r="E39" s="56" t="str">
        <f>"Német: "&amp;IF($R39&lt;&gt;0,$R39,"")</f>
        <v xml:space="preserve">Német: </v>
      </c>
      <c r="F39" s="56"/>
      <c r="G39" s="52" t="str">
        <f>"Roma: "&amp;IF($S39&lt;&gt;0,$S39,"")</f>
        <v xml:space="preserve">Roma: </v>
      </c>
      <c r="I39" s="56"/>
      <c r="J39" s="52" t="str">
        <f>IF($T39&lt;&gt;0,$T39&amp;":","")&amp;" "&amp;IF($U39&lt;&gt;0,$U39,"")</f>
        <v xml:space="preserve"> </v>
      </c>
      <c r="L39" s="56"/>
      <c r="M39" s="56"/>
      <c r="N39" s="56"/>
      <c r="Q39" s="52" cm="1">
        <f t="array" ref="Q39">INDEX(Adatlap!$C$1:$M$215,V39,$R$1)</f>
        <v>0</v>
      </c>
      <c r="R39" s="52" cm="1">
        <f t="array" ref="R39">INDEX(Adatlap!$C$1:$M$215,W39,$R$1)</f>
        <v>0</v>
      </c>
      <c r="S39" s="52" cm="1">
        <f t="array" ref="S39">INDEX(Adatlap!$C$1:$M$215,X39,$R$1)</f>
        <v>0</v>
      </c>
      <c r="T39" s="52" cm="1">
        <f t="array" ref="T39">INDEX(Adatlap!$C$1:$M$215,Y39,$R$1)</f>
        <v>0</v>
      </c>
      <c r="U39" s="52" cm="1">
        <f t="array" ref="U39">INDEX(Adatlap!$C$1:$M$215,Z39,$R$1)</f>
        <v>0</v>
      </c>
      <c r="V39" s="52">
        <f>ROW(Adatlap!$B$33)</f>
        <v>33</v>
      </c>
      <c r="W39" s="52">
        <f>ROW(Adatlap!$B$34)</f>
        <v>34</v>
      </c>
      <c r="X39" s="52">
        <f>ROW(Adatlap!$B$35)</f>
        <v>35</v>
      </c>
      <c r="Y39" s="52">
        <f>ROW(Adatlap!$B$36)</f>
        <v>36</v>
      </c>
      <c r="Z39" s="52">
        <f>ROW(Adatlap!$B$37)</f>
        <v>37</v>
      </c>
      <c r="AA39" s="53"/>
    </row>
    <row r="40" spans="1:27" ht="31.5" customHeight="1" x14ac:dyDescent="0.25">
      <c r="A40" s="57" t="s">
        <v>45</v>
      </c>
      <c r="B40" s="107" t="str">
        <f>"Külföldön élő egyháztagok száma, akik életvitelszerűen külföldön élnek, vagy évi több mint 6 hónapot külföldön tartózkodnak: "&amp;IF($Q40&lt;&gt;0,$Q40,"")</f>
        <v xml:space="preserve">Külföldön élő egyháztagok száma, akik életvitelszerűen külföldön élnek, vagy évi több mint 6 hónapot külföldön tartózkodnak: </v>
      </c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Q40" s="52" cm="1">
        <f t="array" ref="Q40">INDEX(Adatlap!$C$1:$M$215,V40,$R$1)</f>
        <v>0</v>
      </c>
      <c r="V40" s="52">
        <f>ROW(Adatlap!$B$38)</f>
        <v>38</v>
      </c>
      <c r="AA40" s="53" t="s">
        <v>43</v>
      </c>
    </row>
    <row r="41" spans="1:27" x14ac:dyDescent="0.25">
      <c r="A41" s="57" t="s">
        <v>46</v>
      </c>
      <c r="B41" s="52" t="str">
        <f>"Más településen élő egyháztagok száma: "&amp;IF($Q41&lt;&gt;0,$Q41,"")</f>
        <v xml:space="preserve">Más településen élő egyháztagok száma: </v>
      </c>
      <c r="Q41" s="52" cm="1">
        <f t="array" ref="Q41">INDEX(Adatlap!$C$1:$M$215,V41,$R$1)</f>
        <v>0</v>
      </c>
      <c r="V41" s="52">
        <f>ROW(Adatlap!$B$39)</f>
        <v>39</v>
      </c>
      <c r="AA41" s="53"/>
    </row>
    <row r="42" spans="1:27" x14ac:dyDescent="0.25">
      <c r="A42" s="57" t="s">
        <v>47</v>
      </c>
      <c r="B42" s="52" t="str">
        <f>"Más gyülekezetben is tagságot vállaló egyháztagok száma: "&amp;IF($Q42&lt;&gt;0,$Q42,"")</f>
        <v xml:space="preserve">Más gyülekezetben is tagságot vállaló egyháztagok száma: </v>
      </c>
      <c r="Q42" s="52" cm="1">
        <f t="array" ref="Q42">INDEX(Adatlap!$C$1:$M$215,V42,$R$1)</f>
        <v>0</v>
      </c>
      <c r="V42" s="52">
        <f>ROW(Adatlap!$B$40)</f>
        <v>40</v>
      </c>
      <c r="AA42" s="53"/>
    </row>
    <row r="43" spans="1:27" x14ac:dyDescent="0.25">
      <c r="A43" s="57" t="s">
        <v>48</v>
      </c>
      <c r="B43" s="52" t="s">
        <v>49</v>
      </c>
      <c r="J43" s="60" t="str">
        <f t="shared" ref="J43:J47" si="12">IF($Q43&lt;&gt;0,$Q43,"")</f>
        <v/>
      </c>
      <c r="Q43" s="52" cm="1">
        <f t="array" ref="Q43">INDEX(Adatlap!$C$1:$M$215,V43,$R$1)</f>
        <v>0</v>
      </c>
      <c r="V43" s="52">
        <f>ROW(Adatlap!$B$41)</f>
        <v>41</v>
      </c>
      <c r="AA43" s="53"/>
    </row>
    <row r="44" spans="1:27" x14ac:dyDescent="0.25">
      <c r="A44" s="57" t="s">
        <v>50</v>
      </c>
      <c r="B44" s="52" t="s">
        <v>51</v>
      </c>
      <c r="J44" s="60">
        <f>SUM(J45:J48)</f>
        <v>0</v>
      </c>
      <c r="K44" s="52" t="s">
        <v>325</v>
      </c>
      <c r="AA44" s="53"/>
    </row>
    <row r="45" spans="1:27" x14ac:dyDescent="0.25">
      <c r="A45" s="57"/>
      <c r="C45" s="52" t="s">
        <v>52</v>
      </c>
      <c r="J45" s="60" t="str">
        <f t="shared" si="12"/>
        <v/>
      </c>
      <c r="Q45" s="52" cm="1">
        <f t="array" ref="Q45">INDEX(Adatlap!$C$1:$M$215,V45,$R$1)</f>
        <v>0</v>
      </c>
      <c r="V45" s="52">
        <f>ROW(Adatlap!$B$42)</f>
        <v>42</v>
      </c>
      <c r="AA45" s="53"/>
    </row>
    <row r="46" spans="1:27" x14ac:dyDescent="0.25">
      <c r="A46" s="57"/>
      <c r="C46" s="52" t="s">
        <v>53</v>
      </c>
      <c r="J46" s="60" t="str">
        <f t="shared" si="12"/>
        <v/>
      </c>
      <c r="Q46" s="52" cm="1">
        <f t="array" ref="Q46">INDEX(Adatlap!$C$1:$M$215,V46,$R$1)</f>
        <v>0</v>
      </c>
      <c r="V46" s="52">
        <f>ROW(Adatlap!$B$43)</f>
        <v>43</v>
      </c>
      <c r="AA46" s="53"/>
    </row>
    <row r="47" spans="1:27" x14ac:dyDescent="0.25">
      <c r="A47" s="57"/>
      <c r="C47" s="52" t="s">
        <v>54</v>
      </c>
      <c r="J47" s="60" t="str">
        <f t="shared" si="12"/>
        <v/>
      </c>
      <c r="Q47" s="52" cm="1">
        <f t="array" ref="Q47">INDEX(Adatlap!$C$1:$M$215,V47,$R$1)</f>
        <v>0</v>
      </c>
      <c r="V47" s="52">
        <f>ROW(Adatlap!$B$44)</f>
        <v>44</v>
      </c>
      <c r="AA47" s="53"/>
    </row>
    <row r="48" spans="1:27" x14ac:dyDescent="0.25">
      <c r="A48" s="57"/>
      <c r="C48" s="52" t="s">
        <v>55</v>
      </c>
      <c r="J48" s="60" t="str">
        <f>IF($Q48&lt;&gt;0,$Q48,"")</f>
        <v/>
      </c>
      <c r="Q48" s="52" cm="1">
        <f t="array" ref="Q48">INDEX(Adatlap!$C$1:$M$215,V48,$R$1)</f>
        <v>0</v>
      </c>
      <c r="V48" s="52">
        <f>ROW(Adatlap!$B$45)</f>
        <v>45</v>
      </c>
      <c r="AA48" s="53"/>
    </row>
    <row r="49" spans="1:27" x14ac:dyDescent="0.25">
      <c r="A49" s="57" t="s">
        <v>56</v>
      </c>
      <c r="B49" s="52" t="s">
        <v>57</v>
      </c>
      <c r="AA49" s="53"/>
    </row>
    <row r="50" spans="1:27" x14ac:dyDescent="0.25">
      <c r="A50" s="57"/>
      <c r="C50" s="52" t="str">
        <f>"Egyező vallású: "&amp;IF($Q50&lt;&gt;0,$Q50,"")</f>
        <v xml:space="preserve">Egyező vallású: </v>
      </c>
      <c r="G50" s="52" t="str">
        <f>"Nem egyező vallású: "&amp;IF($R50&lt;&gt;0,$R50,"")</f>
        <v xml:space="preserve">Nem egyező vallású: </v>
      </c>
      <c r="K50" s="52" t="str">
        <f>"együtt: "&amp;IF($S50&lt;&gt;0,$S50,"")</f>
        <v xml:space="preserve">együtt: </v>
      </c>
      <c r="M50" s="56"/>
      <c r="Q50" s="52" cm="1">
        <f t="array" ref="Q50">INDEX(Adatlap!$C$1:$M$215,V50,$R$1)</f>
        <v>0</v>
      </c>
      <c r="R50" s="52" cm="1">
        <f t="array" ref="R50">INDEX(Adatlap!$C$1:$M$215,W50,$R$1)</f>
        <v>0</v>
      </c>
      <c r="S50" s="52">
        <f>SUM(Q50:R50)</f>
        <v>0</v>
      </c>
      <c r="V50" s="52">
        <f>ROW(Adatlap!$B$46)</f>
        <v>46</v>
      </c>
      <c r="W50" s="52">
        <f>ROW(Adatlap!$B$47)</f>
        <v>47</v>
      </c>
      <c r="AA50" s="53"/>
    </row>
    <row r="51" spans="1:27" x14ac:dyDescent="0.25">
      <c r="A51" s="57"/>
      <c r="C51" s="52" t="str">
        <f>"Azonos nemzetiségű: "&amp;IF($Q51&lt;&gt;0,$Q51,"")</f>
        <v xml:space="preserve">Azonos nemzetiségű: </v>
      </c>
      <c r="G51" s="52" t="str">
        <f>"Nem azonos nemzetiségű: "&amp;IF($R51&lt;&gt;0,$R51,"")</f>
        <v xml:space="preserve">Nem azonos nemzetiségű: </v>
      </c>
      <c r="M51" s="56"/>
      <c r="Q51" s="52" cm="1">
        <f t="array" ref="Q51">INDEX(Adatlap!$C$1:$M$215,V51,$R$1)</f>
        <v>0</v>
      </c>
      <c r="R51" s="52" cm="1">
        <f t="array" ref="R51">INDEX(Adatlap!$C$1:$M$215,W51,$R$1)</f>
        <v>0</v>
      </c>
      <c r="V51" s="52">
        <f>ROW(Adatlap!$B$48)</f>
        <v>48</v>
      </c>
      <c r="W51" s="52">
        <f>ROW(Adatlap!$B$49)</f>
        <v>49</v>
      </c>
      <c r="AA51" s="53"/>
    </row>
    <row r="52" spans="1:27" x14ac:dyDescent="0.25">
      <c r="A52" s="61"/>
      <c r="AA52" s="53"/>
    </row>
    <row r="53" spans="1:27" ht="47.25" x14ac:dyDescent="0.25">
      <c r="A53" s="112" t="s">
        <v>58</v>
      </c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AA53" s="53" t="s">
        <v>6</v>
      </c>
    </row>
    <row r="54" spans="1:27" x14ac:dyDescent="0.25">
      <c r="AA54" s="53"/>
    </row>
    <row r="55" spans="1:27" x14ac:dyDescent="0.25">
      <c r="A55" s="57" t="s">
        <v>7</v>
      </c>
      <c r="B55" s="52" t="str">
        <f>"Az év folyamán tartott szolgálatok száma összesen: "&amp;IF($Q55&lt;&gt;0,$Q55,"")&amp;", melyből:"</f>
        <v>Az év folyamán tartott szolgálatok száma összesen: , melyből:</v>
      </c>
      <c r="Q55" s="52">
        <f>SUM(Q56:R63)</f>
        <v>0</v>
      </c>
      <c r="AA55" s="53"/>
    </row>
    <row r="56" spans="1:27" x14ac:dyDescent="0.25">
      <c r="A56" s="57"/>
      <c r="B56" s="52" t="s">
        <v>59</v>
      </c>
      <c r="F56" s="52" t="s">
        <v>60</v>
      </c>
      <c r="G56" s="59" t="str">
        <f t="shared" ref="G56:G59" si="13">IF($Q56&lt;&gt;0,$Q56,"")</f>
        <v/>
      </c>
      <c r="H56" s="59" t="s">
        <v>61</v>
      </c>
      <c r="I56" s="59" t="str">
        <f t="shared" ref="I56:I59" si="14">IF($R56&lt;&gt;0,$R56,"")</f>
        <v/>
      </c>
      <c r="J56" s="62" t="s">
        <v>11</v>
      </c>
      <c r="K56" s="59">
        <f>SUM(Q56:R56)</f>
        <v>0</v>
      </c>
      <c r="L56" s="52" t="s">
        <v>62</v>
      </c>
      <c r="Q56" s="52" cm="1">
        <f t="array" ref="Q56">INDEX(Adatlap!$C$1:$M$215,V56,$R$1)</f>
        <v>0</v>
      </c>
      <c r="R56" s="52" cm="1">
        <f t="array" ref="R56">INDEX(Adatlap!$C$1:$M$215,W56,$R$1)</f>
        <v>0</v>
      </c>
      <c r="V56" s="52">
        <f>ROW(Adatlap!$B$51)</f>
        <v>51</v>
      </c>
      <c r="W56" s="52">
        <f>ROW(Adatlap!$B$52)</f>
        <v>52</v>
      </c>
      <c r="AA56" s="53"/>
    </row>
    <row r="57" spans="1:27" x14ac:dyDescent="0.25">
      <c r="A57" s="57"/>
      <c r="B57" s="52" t="s">
        <v>63</v>
      </c>
      <c r="F57" s="52" t="s">
        <v>60</v>
      </c>
      <c r="G57" s="59" t="str">
        <f t="shared" si="13"/>
        <v/>
      </c>
      <c r="H57" s="59" t="s">
        <v>61</v>
      </c>
      <c r="I57" s="59" t="str">
        <f t="shared" si="14"/>
        <v/>
      </c>
      <c r="J57" s="62" t="s">
        <v>11</v>
      </c>
      <c r="K57" s="59">
        <f t="shared" ref="K57:K59" si="15">SUM(Q57:R57)</f>
        <v>0</v>
      </c>
      <c r="L57" s="52" t="s">
        <v>62</v>
      </c>
      <c r="Q57" s="52" cm="1">
        <f t="array" ref="Q57">INDEX(Adatlap!$C$1:$M$215,V57,$R$1)</f>
        <v>0</v>
      </c>
      <c r="R57" s="52" cm="1">
        <f t="array" ref="R57">INDEX(Adatlap!$C$1:$M$215,W57,$R$1)</f>
        <v>0</v>
      </c>
      <c r="V57" s="52">
        <f>ROW(Adatlap!$B$53)</f>
        <v>53</v>
      </c>
      <c r="W57" s="52">
        <f>ROW(Adatlap!$B$54)</f>
        <v>54</v>
      </c>
      <c r="AA57" s="53"/>
    </row>
    <row r="58" spans="1:27" x14ac:dyDescent="0.25">
      <c r="A58" s="57"/>
      <c r="B58" s="52" t="s">
        <v>64</v>
      </c>
      <c r="F58" s="52" t="s">
        <v>60</v>
      </c>
      <c r="G58" s="59" t="str">
        <f t="shared" si="13"/>
        <v/>
      </c>
      <c r="H58" s="59" t="s">
        <v>61</v>
      </c>
      <c r="I58" s="59" t="str">
        <f t="shared" si="14"/>
        <v/>
      </c>
      <c r="J58" s="62" t="s">
        <v>11</v>
      </c>
      <c r="K58" s="59">
        <f t="shared" si="15"/>
        <v>0</v>
      </c>
      <c r="L58" s="52" t="s">
        <v>62</v>
      </c>
      <c r="Q58" s="52" cm="1">
        <f t="array" ref="Q58">INDEX(Adatlap!$C$1:$M$215,V58,$R$1)</f>
        <v>0</v>
      </c>
      <c r="R58" s="52" cm="1">
        <f t="array" ref="R58">INDEX(Adatlap!$C$1:$M$215,W58,$R$1)</f>
        <v>0</v>
      </c>
      <c r="V58" s="52">
        <f>ROW(Adatlap!$B$55)</f>
        <v>55</v>
      </c>
      <c r="W58" s="52">
        <f>ROW(Adatlap!$B$56)</f>
        <v>56</v>
      </c>
      <c r="AA58" s="53"/>
    </row>
    <row r="59" spans="1:27" x14ac:dyDescent="0.25">
      <c r="A59" s="57"/>
      <c r="B59" s="52" t="s">
        <v>65</v>
      </c>
      <c r="F59" s="52" t="s">
        <v>60</v>
      </c>
      <c r="G59" s="59" t="str">
        <f t="shared" si="13"/>
        <v/>
      </c>
      <c r="H59" s="59" t="s">
        <v>61</v>
      </c>
      <c r="I59" s="59" t="str">
        <f t="shared" si="14"/>
        <v/>
      </c>
      <c r="J59" s="62" t="s">
        <v>11</v>
      </c>
      <c r="K59" s="59">
        <f t="shared" si="15"/>
        <v>0</v>
      </c>
      <c r="L59" s="52" t="s">
        <v>62</v>
      </c>
      <c r="Q59" s="52" cm="1">
        <f t="array" ref="Q59">INDEX(Adatlap!$C$1:$M$215,V59,$R$1)</f>
        <v>0</v>
      </c>
      <c r="R59" s="52" cm="1">
        <f t="array" ref="R59">INDEX(Adatlap!$C$1:$M$215,W59,$R$1)</f>
        <v>0</v>
      </c>
      <c r="V59" s="52">
        <f>ROW(Adatlap!$B$57)</f>
        <v>57</v>
      </c>
      <c r="W59" s="52">
        <f>ROW(Adatlap!$B$58)</f>
        <v>58</v>
      </c>
      <c r="AA59" s="53"/>
    </row>
    <row r="60" spans="1:27" x14ac:dyDescent="0.25">
      <c r="A60" s="57"/>
      <c r="B60" s="52" t="s">
        <v>66</v>
      </c>
      <c r="G60" s="59"/>
      <c r="H60" s="59"/>
      <c r="I60" s="59"/>
      <c r="J60" s="59"/>
      <c r="K60" s="59" t="str">
        <f t="shared" ref="K60:K63" si="16">IF($Q60&lt;&gt;0,$Q60,"")</f>
        <v/>
      </c>
      <c r="L60" s="52" t="s">
        <v>67</v>
      </c>
      <c r="Q60" s="52" cm="1">
        <f t="array" ref="Q60">INDEX(Adatlap!$C$1:$M$215,V60,$R$1)</f>
        <v>0</v>
      </c>
      <c r="V60" s="52">
        <f>ROW(Adatlap!$B$59)</f>
        <v>59</v>
      </c>
      <c r="AA60" s="53"/>
    </row>
    <row r="61" spans="1:27" x14ac:dyDescent="0.25">
      <c r="A61" s="57"/>
      <c r="B61" s="52" t="s">
        <v>68</v>
      </c>
      <c r="G61" s="59"/>
      <c r="H61" s="59"/>
      <c r="I61" s="59"/>
      <c r="J61" s="59"/>
      <c r="K61" s="59" t="str">
        <f t="shared" si="16"/>
        <v/>
      </c>
      <c r="L61" s="52" t="s">
        <v>67</v>
      </c>
      <c r="Q61" s="52" cm="1">
        <f t="array" ref="Q61">INDEX(Adatlap!$C$1:$M$215,V61,$R$1)</f>
        <v>0</v>
      </c>
      <c r="V61" s="52">
        <f>ROW(Adatlap!$B$60)</f>
        <v>60</v>
      </c>
      <c r="AA61" s="53"/>
    </row>
    <row r="62" spans="1:27" x14ac:dyDescent="0.25">
      <c r="A62" s="57"/>
      <c r="B62" s="52" t="s">
        <v>69</v>
      </c>
      <c r="G62" s="59"/>
      <c r="H62" s="59"/>
      <c r="I62" s="59"/>
      <c r="J62" s="59"/>
      <c r="K62" s="59" t="str">
        <f t="shared" si="16"/>
        <v/>
      </c>
      <c r="L62" s="52" t="s">
        <v>67</v>
      </c>
      <c r="Q62" s="52" cm="1">
        <f t="array" ref="Q62">INDEX(Adatlap!$C$1:$M$215,V62,$R$1)</f>
        <v>0</v>
      </c>
      <c r="V62" s="52">
        <f>ROW(Adatlap!$B$61)</f>
        <v>61</v>
      </c>
      <c r="AA62" s="53"/>
    </row>
    <row r="63" spans="1:27" x14ac:dyDescent="0.25">
      <c r="A63" s="57"/>
      <c r="B63" s="52" t="s">
        <v>70</v>
      </c>
      <c r="G63" s="59"/>
      <c r="H63" s="59"/>
      <c r="I63" s="59"/>
      <c r="J63" s="59"/>
      <c r="K63" s="59" t="str">
        <f t="shared" si="16"/>
        <v/>
      </c>
      <c r="L63" s="52" t="s">
        <v>67</v>
      </c>
      <c r="Q63" s="52" cm="1">
        <f t="array" ref="Q63">INDEX(Adatlap!$C$1:$M$215,V63,$R$1)</f>
        <v>0</v>
      </c>
      <c r="V63" s="52">
        <f>ROW(Adatlap!$B$62)</f>
        <v>62</v>
      </c>
      <c r="AA63" s="53"/>
    </row>
    <row r="64" spans="1:27" x14ac:dyDescent="0.25">
      <c r="A64" s="57" t="s">
        <v>12</v>
      </c>
      <c r="B64" s="52" t="s">
        <v>71</v>
      </c>
      <c r="R64" s="56" t="s">
        <v>274</v>
      </c>
      <c r="S64" s="63">
        <f>IF(N34=0,1,N34)</f>
        <v>1</v>
      </c>
      <c r="AA64" s="53"/>
    </row>
    <row r="65" spans="1:31" x14ac:dyDescent="0.25">
      <c r="A65" s="57"/>
      <c r="B65" s="52" t="s">
        <v>60</v>
      </c>
      <c r="C65" s="64" t="str">
        <f t="shared" ref="C65:C67" si="17">IF($Q65&lt;&gt;0,$Q65,"")</f>
        <v/>
      </c>
      <c r="D65" s="52" t="str">
        <f>"lélek = "&amp;S65&amp;"%"</f>
        <v>lélek = 0%</v>
      </c>
      <c r="F65" s="52" t="s">
        <v>61</v>
      </c>
      <c r="G65" s="64" t="str">
        <f t="shared" ref="G65:G67" si="18">IF($R65&lt;&gt;0,$R65,"")</f>
        <v/>
      </c>
      <c r="H65" s="52" t="str">
        <f>"lélek = "&amp;T65&amp;"%"</f>
        <v>lélek = 0%</v>
      </c>
      <c r="J65" s="52" t="s">
        <v>11</v>
      </c>
      <c r="K65" s="64">
        <f>SUM(Q65:R65)</f>
        <v>0</v>
      </c>
      <c r="L65" s="52" t="str">
        <f>"lélek = "&amp;U65&amp;"%"</f>
        <v>lélek = 0%</v>
      </c>
      <c r="Q65" s="52" cm="1">
        <f t="array" ref="Q65">INDEX(Adatlap!$C$1:$M$215,V65,$R$1)</f>
        <v>0</v>
      </c>
      <c r="R65" s="52" cm="1">
        <f t="array" ref="R65">INDEX(Adatlap!$C$1:$M$215,W65,$R$1)</f>
        <v>0</v>
      </c>
      <c r="S65" s="52">
        <f>ROUND(Q65*100/$S$64,2)</f>
        <v>0</v>
      </c>
      <c r="T65" s="52">
        <f>ROUND(R65*100/$S$64,2)</f>
        <v>0</v>
      </c>
      <c r="U65" s="52">
        <f>ROUND(K65*100/$S$64,2)</f>
        <v>0</v>
      </c>
      <c r="V65" s="52">
        <f>ROW(Adatlap!$B$63)</f>
        <v>63</v>
      </c>
      <c r="W65" s="52">
        <f>ROW(Adatlap!$B$64)</f>
        <v>64</v>
      </c>
      <c r="AA65" s="53"/>
    </row>
    <row r="66" spans="1:31" ht="31.5" x14ac:dyDescent="0.25">
      <c r="A66" s="57" t="s">
        <v>14</v>
      </c>
      <c r="B66" s="107" t="s">
        <v>72</v>
      </c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AA66" s="53" t="s">
        <v>43</v>
      </c>
    </row>
    <row r="67" spans="1:31" x14ac:dyDescent="0.25">
      <c r="A67" s="57"/>
      <c r="B67" s="52" t="s">
        <v>60</v>
      </c>
      <c r="C67" s="64" t="str">
        <f t="shared" si="17"/>
        <v/>
      </c>
      <c r="D67" s="52" t="str">
        <f>"lélek = "&amp;S67&amp;"%"</f>
        <v>lélek = 0%</v>
      </c>
      <c r="F67" s="52" t="s">
        <v>61</v>
      </c>
      <c r="G67" s="64" t="str">
        <f t="shared" si="18"/>
        <v/>
      </c>
      <c r="H67" s="52" t="str">
        <f>"lélek = "&amp;T67&amp;"%"</f>
        <v>lélek = 0%</v>
      </c>
      <c r="J67" s="52" t="s">
        <v>11</v>
      </c>
      <c r="K67" s="64">
        <f>SUM(Q67:R67)</f>
        <v>0</v>
      </c>
      <c r="L67" s="52" t="str">
        <f>"lélek = "&amp;U67&amp;"%"</f>
        <v>lélek = 0%</v>
      </c>
      <c r="Q67" s="52" cm="1">
        <f t="array" ref="Q67">INDEX(Adatlap!$C$1:$M$215,V67,$R$1)</f>
        <v>0</v>
      </c>
      <c r="R67" s="52" cm="1">
        <f t="array" ref="R67">INDEX(Adatlap!$C$1:$M$215,W67,$R$1)</f>
        <v>0</v>
      </c>
      <c r="S67" s="52">
        <f>ROUND(Q67*100/$S$64,2)</f>
        <v>0</v>
      </c>
      <c r="T67" s="52">
        <f>ROUND(R67*100/$S$64,2)</f>
        <v>0</v>
      </c>
      <c r="U67" s="52">
        <f>ROUND(K67*100/$S$64,2)</f>
        <v>0</v>
      </c>
      <c r="V67" s="52">
        <f>ROW(Adatlap!$B$65)</f>
        <v>65</v>
      </c>
      <c r="W67" s="52">
        <f>ROW(Adatlap!$B$66)</f>
        <v>66</v>
      </c>
      <c r="AA67" s="53"/>
    </row>
    <row r="68" spans="1:31" x14ac:dyDescent="0.25">
      <c r="A68" s="57" t="s">
        <v>16</v>
      </c>
      <c r="B68" s="52" t="s">
        <v>73</v>
      </c>
      <c r="AA68" s="53"/>
    </row>
    <row r="69" spans="1:31" x14ac:dyDescent="0.25">
      <c r="A69" s="57"/>
      <c r="B69" s="52" t="s">
        <v>74</v>
      </c>
      <c r="D69" s="52" t="s">
        <v>75</v>
      </c>
      <c r="E69" s="59" t="str">
        <f t="shared" ref="E69:E77" si="19">IF($Q69&lt;&gt;0,$Q69,"")</f>
        <v/>
      </c>
      <c r="F69" s="122" t="str">
        <f>" = "&amp;Z69&amp;AA69&amp;AB69&amp;"%"</f>
        <v xml:space="preserve"> =   0,0%</v>
      </c>
      <c r="G69" s="122"/>
      <c r="H69" s="52" t="s">
        <v>61</v>
      </c>
      <c r="I69" s="59" t="str">
        <f t="shared" ref="I69:I77" si="20">IF($R69&lt;&gt;0,$R69,"")</f>
        <v/>
      </c>
      <c r="J69" s="111" t="str">
        <f>" = "&amp;AC69&amp;AD69&amp;AE69&amp;"%"</f>
        <v xml:space="preserve"> =   0,0%</v>
      </c>
      <c r="K69" s="111"/>
      <c r="L69" s="52" t="s">
        <v>11</v>
      </c>
      <c r="M69" s="59">
        <f>SUM(Q69:R69)</f>
        <v>0</v>
      </c>
      <c r="N69" s="59" t="str">
        <f>" = "&amp;S69&amp;T69&amp;U69&amp;"%"</f>
        <v xml:space="preserve"> =   0,0%</v>
      </c>
      <c r="Q69" s="52" cm="1">
        <f t="array" ref="Q69">INDEX(Adatlap!$C$1:$M$215,V69,$R$1)</f>
        <v>0</v>
      </c>
      <c r="R69" s="52" cm="1">
        <f t="array" ref="R69">INDEX(Adatlap!$C$1:$M$215,W69,$R$1)</f>
        <v>0</v>
      </c>
      <c r="S69" s="52" t="str">
        <f>IF(T69&lt;10,"  ","")</f>
        <v xml:space="preserve">  </v>
      </c>
      <c r="T69" s="71">
        <f>ROUND(M69*100/$S$64,1)</f>
        <v>0</v>
      </c>
      <c r="U69" s="52" t="str">
        <f>IF(T69=ROUND(T69,0),","&amp;0,"")</f>
        <v>,0</v>
      </c>
      <c r="V69" s="52">
        <f>ROW(Adatlap!$B$67)</f>
        <v>67</v>
      </c>
      <c r="W69" s="52">
        <f>ROW(Adatlap!$B$68)</f>
        <v>68</v>
      </c>
      <c r="Z69" s="52" t="str">
        <f>IF(AA69&lt;10,"  ","")</f>
        <v xml:space="preserve">  </v>
      </c>
      <c r="AA69" s="53">
        <f>ROUND(Q69/$S$64*100,1)</f>
        <v>0</v>
      </c>
      <c r="AB69" s="52" t="str">
        <f>IF(AA69=ROUND(AA69,0),","&amp;0,"")</f>
        <v>,0</v>
      </c>
      <c r="AC69" s="52" t="str">
        <f>IF(AD69&lt;10,"  ","")</f>
        <v xml:space="preserve">  </v>
      </c>
      <c r="AD69" s="53">
        <f>ROUND(R69/$S$64*100,1)</f>
        <v>0</v>
      </c>
      <c r="AE69" s="52" t="str">
        <f>IF(AD69=ROUND(AD69,0),","&amp;0,"")</f>
        <v>,0</v>
      </c>
    </row>
    <row r="70" spans="1:31" x14ac:dyDescent="0.25">
      <c r="A70" s="57"/>
      <c r="B70" s="52" t="s">
        <v>74</v>
      </c>
      <c r="D70" s="52" t="s">
        <v>76</v>
      </c>
      <c r="E70" s="59" t="str">
        <f t="shared" si="19"/>
        <v/>
      </c>
      <c r="F70" s="122" t="str">
        <f t="shared" ref="F70:F77" si="21">" = "&amp;Z70&amp;AA70&amp;AB70&amp;"%"</f>
        <v xml:space="preserve"> =   0,0%</v>
      </c>
      <c r="G70" s="122"/>
      <c r="H70" s="52" t="s">
        <v>61</v>
      </c>
      <c r="I70" s="59" t="str">
        <f t="shared" si="20"/>
        <v/>
      </c>
      <c r="J70" s="111" t="str">
        <f t="shared" ref="J70:J77" si="22">" = "&amp;AC70&amp;AD70&amp;AE70&amp;"%"</f>
        <v xml:space="preserve"> =   0,0%</v>
      </c>
      <c r="K70" s="111"/>
      <c r="L70" s="52" t="s">
        <v>11</v>
      </c>
      <c r="M70" s="59">
        <f t="shared" ref="M70:M77" si="23">SUM(Q70:R70)</f>
        <v>0</v>
      </c>
      <c r="N70" s="59" t="str">
        <f t="shared" ref="N70:N77" si="24">" = "&amp;S70&amp;T70&amp;U70&amp;"%"</f>
        <v xml:space="preserve"> =   0,0%</v>
      </c>
      <c r="Q70" s="52" cm="1">
        <f t="array" ref="Q70">INDEX(Adatlap!$C$1:$M$215,V70,$R$1)</f>
        <v>0</v>
      </c>
      <c r="R70" s="52" cm="1">
        <f t="array" ref="R70">INDEX(Adatlap!$C$1:$M$215,W70,$R$1)</f>
        <v>0</v>
      </c>
      <c r="S70" s="52" t="str">
        <f t="shared" ref="S70:S77" si="25">IF(T70&lt;10,"  ","")</f>
        <v xml:space="preserve">  </v>
      </c>
      <c r="T70" s="71">
        <f t="shared" ref="T70:T77" si="26">ROUND(M70*100/$S$64,1)</f>
        <v>0</v>
      </c>
      <c r="U70" s="52" t="str">
        <f t="shared" ref="U70:U77" si="27">IF(T70=ROUND(T70,0),","&amp;0,"")</f>
        <v>,0</v>
      </c>
      <c r="V70" s="52">
        <f>ROW(Adatlap!$B$69)</f>
        <v>69</v>
      </c>
      <c r="W70" s="52">
        <f>ROW(Adatlap!$B$70)</f>
        <v>70</v>
      </c>
      <c r="Z70" s="52" t="str">
        <f t="shared" ref="Z70:Z77" si="28">IF(AA70&lt;10,"  ","")</f>
        <v xml:space="preserve">  </v>
      </c>
      <c r="AA70" s="53">
        <f t="shared" ref="AA70:AA77" si="29">ROUND(Q70/$S$64*100,1)</f>
        <v>0</v>
      </c>
      <c r="AB70" s="52" t="str">
        <f t="shared" ref="AB70:AB77" si="30">IF(AA70=ROUND(AA70,0),","&amp;0,"")</f>
        <v>,0</v>
      </c>
      <c r="AC70" s="52" t="str">
        <f t="shared" ref="AC70:AC77" si="31">IF(AD70&lt;10,"  ","")</f>
        <v xml:space="preserve">  </v>
      </c>
      <c r="AD70" s="53">
        <f t="shared" ref="AD70:AD77" si="32">ROUND(R70/$S$64*100,1)</f>
        <v>0</v>
      </c>
      <c r="AE70" s="52" t="str">
        <f t="shared" ref="AE70:AE77" si="33">IF(AD70=ROUND(AD70,0),","&amp;0,"")</f>
        <v>,0</v>
      </c>
    </row>
    <row r="71" spans="1:31" x14ac:dyDescent="0.25">
      <c r="A71" s="57"/>
      <c r="B71" s="52" t="s">
        <v>74</v>
      </c>
      <c r="D71" s="52" t="s">
        <v>77</v>
      </c>
      <c r="E71" s="59" t="str">
        <f t="shared" si="19"/>
        <v/>
      </c>
      <c r="F71" s="122" t="str">
        <f t="shared" si="21"/>
        <v xml:space="preserve"> =   0,0%</v>
      </c>
      <c r="G71" s="122"/>
      <c r="H71" s="52" t="s">
        <v>61</v>
      </c>
      <c r="I71" s="59" t="str">
        <f t="shared" si="20"/>
        <v/>
      </c>
      <c r="J71" s="111" t="str">
        <f t="shared" si="22"/>
        <v xml:space="preserve"> =   0,0%</v>
      </c>
      <c r="K71" s="111"/>
      <c r="L71" s="52" t="s">
        <v>11</v>
      </c>
      <c r="M71" s="59">
        <f t="shared" si="23"/>
        <v>0</v>
      </c>
      <c r="N71" s="59" t="str">
        <f t="shared" si="24"/>
        <v xml:space="preserve"> =   0,0%</v>
      </c>
      <c r="Q71" s="52" cm="1">
        <f t="array" ref="Q71">INDEX(Adatlap!$C$1:$M$215,V71,$R$1)</f>
        <v>0</v>
      </c>
      <c r="R71" s="52" cm="1">
        <f t="array" ref="R71">INDEX(Adatlap!$C$1:$M$215,W71,$R$1)</f>
        <v>0</v>
      </c>
      <c r="S71" s="52" t="str">
        <f t="shared" si="25"/>
        <v xml:space="preserve">  </v>
      </c>
      <c r="T71" s="71">
        <f t="shared" si="26"/>
        <v>0</v>
      </c>
      <c r="U71" s="52" t="str">
        <f t="shared" si="27"/>
        <v>,0</v>
      </c>
      <c r="V71" s="52">
        <f>ROW(Adatlap!$B$71)</f>
        <v>71</v>
      </c>
      <c r="W71" s="52">
        <f>ROW(Adatlap!$B$72)</f>
        <v>72</v>
      </c>
      <c r="Z71" s="52" t="str">
        <f t="shared" si="28"/>
        <v xml:space="preserve">  </v>
      </c>
      <c r="AA71" s="53">
        <f t="shared" si="29"/>
        <v>0</v>
      </c>
      <c r="AB71" s="52" t="str">
        <f t="shared" si="30"/>
        <v>,0</v>
      </c>
      <c r="AC71" s="52" t="str">
        <f t="shared" si="31"/>
        <v xml:space="preserve">  </v>
      </c>
      <c r="AD71" s="53">
        <f t="shared" si="32"/>
        <v>0</v>
      </c>
      <c r="AE71" s="52" t="str">
        <f t="shared" si="33"/>
        <v>,0</v>
      </c>
    </row>
    <row r="72" spans="1:31" x14ac:dyDescent="0.25">
      <c r="A72" s="57"/>
      <c r="B72" s="52" t="s">
        <v>78</v>
      </c>
      <c r="D72" s="52" t="s">
        <v>75</v>
      </c>
      <c r="E72" s="59" t="str">
        <f t="shared" si="19"/>
        <v/>
      </c>
      <c r="F72" s="122" t="str">
        <f t="shared" si="21"/>
        <v xml:space="preserve"> =   0,0%</v>
      </c>
      <c r="G72" s="122"/>
      <c r="H72" s="52" t="s">
        <v>61</v>
      </c>
      <c r="I72" s="59" t="str">
        <f t="shared" si="20"/>
        <v/>
      </c>
      <c r="J72" s="111" t="str">
        <f t="shared" si="22"/>
        <v xml:space="preserve"> =   0,0%</v>
      </c>
      <c r="K72" s="111"/>
      <c r="L72" s="52" t="s">
        <v>11</v>
      </c>
      <c r="M72" s="59">
        <f t="shared" si="23"/>
        <v>0</v>
      </c>
      <c r="N72" s="59" t="str">
        <f t="shared" si="24"/>
        <v xml:space="preserve"> =   0,0%</v>
      </c>
      <c r="Q72" s="52" cm="1">
        <f t="array" ref="Q72">INDEX(Adatlap!$C$1:$M$215,V72,$R$1)</f>
        <v>0</v>
      </c>
      <c r="R72" s="52" cm="1">
        <f t="array" ref="R72">INDEX(Adatlap!$C$1:$M$215,W72,$R$1)</f>
        <v>0</v>
      </c>
      <c r="S72" s="52" t="str">
        <f t="shared" si="25"/>
        <v xml:space="preserve">  </v>
      </c>
      <c r="T72" s="71">
        <f t="shared" si="26"/>
        <v>0</v>
      </c>
      <c r="U72" s="52" t="str">
        <f t="shared" si="27"/>
        <v>,0</v>
      </c>
      <c r="V72" s="52">
        <f>ROW(Adatlap!$B$73)</f>
        <v>73</v>
      </c>
      <c r="W72" s="52">
        <f>ROW(Adatlap!$B$74)</f>
        <v>74</v>
      </c>
      <c r="Z72" s="52" t="str">
        <f t="shared" si="28"/>
        <v xml:space="preserve">  </v>
      </c>
      <c r="AA72" s="53">
        <f t="shared" si="29"/>
        <v>0</v>
      </c>
      <c r="AB72" s="52" t="str">
        <f t="shared" si="30"/>
        <v>,0</v>
      </c>
      <c r="AC72" s="52" t="str">
        <f t="shared" si="31"/>
        <v xml:space="preserve">  </v>
      </c>
      <c r="AD72" s="53">
        <f t="shared" si="32"/>
        <v>0</v>
      </c>
      <c r="AE72" s="52" t="str">
        <f t="shared" si="33"/>
        <v>,0</v>
      </c>
    </row>
    <row r="73" spans="1:31" x14ac:dyDescent="0.25">
      <c r="A73" s="57"/>
      <c r="B73" s="52" t="s">
        <v>78</v>
      </c>
      <c r="D73" s="52" t="s">
        <v>76</v>
      </c>
      <c r="E73" s="59" t="str">
        <f t="shared" si="19"/>
        <v/>
      </c>
      <c r="F73" s="122" t="str">
        <f t="shared" si="21"/>
        <v xml:space="preserve"> =   0,0%</v>
      </c>
      <c r="G73" s="122"/>
      <c r="H73" s="52" t="s">
        <v>61</v>
      </c>
      <c r="I73" s="59" t="str">
        <f t="shared" si="20"/>
        <v/>
      </c>
      <c r="J73" s="111" t="str">
        <f t="shared" si="22"/>
        <v xml:space="preserve"> =   0,0%</v>
      </c>
      <c r="K73" s="111"/>
      <c r="L73" s="52" t="s">
        <v>11</v>
      </c>
      <c r="M73" s="59">
        <f t="shared" si="23"/>
        <v>0</v>
      </c>
      <c r="N73" s="59" t="str">
        <f t="shared" si="24"/>
        <v xml:space="preserve"> =   0,0%</v>
      </c>
      <c r="Q73" s="52" cm="1">
        <f t="array" ref="Q73">INDEX(Adatlap!$C$1:$M$215,V73,$R$1)</f>
        <v>0</v>
      </c>
      <c r="R73" s="52" cm="1">
        <f t="array" ref="R73">INDEX(Adatlap!$C$1:$M$215,W73,$R$1)</f>
        <v>0</v>
      </c>
      <c r="S73" s="52" t="str">
        <f t="shared" si="25"/>
        <v xml:space="preserve">  </v>
      </c>
      <c r="T73" s="71">
        <f t="shared" si="26"/>
        <v>0</v>
      </c>
      <c r="U73" s="52" t="str">
        <f t="shared" si="27"/>
        <v>,0</v>
      </c>
      <c r="V73" s="52">
        <f>ROW(Adatlap!$B$75)</f>
        <v>75</v>
      </c>
      <c r="W73" s="52">
        <f>ROW(Adatlap!$B$76)</f>
        <v>76</v>
      </c>
      <c r="Z73" s="52" t="str">
        <f t="shared" si="28"/>
        <v xml:space="preserve">  </v>
      </c>
      <c r="AA73" s="53">
        <f t="shared" si="29"/>
        <v>0</v>
      </c>
      <c r="AB73" s="52" t="str">
        <f t="shared" si="30"/>
        <v>,0</v>
      </c>
      <c r="AC73" s="52" t="str">
        <f t="shared" si="31"/>
        <v xml:space="preserve">  </v>
      </c>
      <c r="AD73" s="53">
        <f t="shared" si="32"/>
        <v>0</v>
      </c>
      <c r="AE73" s="52" t="str">
        <f t="shared" si="33"/>
        <v>,0</v>
      </c>
    </row>
    <row r="74" spans="1:31" x14ac:dyDescent="0.25">
      <c r="A74" s="57"/>
      <c r="B74" s="52" t="s">
        <v>78</v>
      </c>
      <c r="D74" s="52" t="s">
        <v>77</v>
      </c>
      <c r="E74" s="59" t="str">
        <f t="shared" si="19"/>
        <v/>
      </c>
      <c r="F74" s="122" t="str">
        <f t="shared" si="21"/>
        <v xml:space="preserve"> =   0,0%</v>
      </c>
      <c r="G74" s="122"/>
      <c r="H74" s="52" t="s">
        <v>61</v>
      </c>
      <c r="I74" s="59" t="str">
        <f t="shared" si="20"/>
        <v/>
      </c>
      <c r="J74" s="111" t="str">
        <f t="shared" si="22"/>
        <v xml:space="preserve"> =   0,0%</v>
      </c>
      <c r="K74" s="111"/>
      <c r="L74" s="52" t="s">
        <v>11</v>
      </c>
      <c r="M74" s="59">
        <f t="shared" si="23"/>
        <v>0</v>
      </c>
      <c r="N74" s="59" t="str">
        <f t="shared" si="24"/>
        <v xml:space="preserve"> =   0,0%</v>
      </c>
      <c r="Q74" s="52" cm="1">
        <f t="array" ref="Q74">INDEX(Adatlap!$C$1:$M$215,V74,$R$1)</f>
        <v>0</v>
      </c>
      <c r="R74" s="52" cm="1">
        <f t="array" ref="R74">INDEX(Adatlap!$C$1:$M$215,W74,$R$1)</f>
        <v>0</v>
      </c>
      <c r="S74" s="52" t="str">
        <f t="shared" si="25"/>
        <v xml:space="preserve">  </v>
      </c>
      <c r="T74" s="71">
        <f t="shared" si="26"/>
        <v>0</v>
      </c>
      <c r="U74" s="52" t="str">
        <f t="shared" si="27"/>
        <v>,0</v>
      </c>
      <c r="V74" s="52">
        <f>ROW(Adatlap!$B$77)</f>
        <v>77</v>
      </c>
      <c r="W74" s="52">
        <f>ROW(Adatlap!$B$78)</f>
        <v>78</v>
      </c>
      <c r="Z74" s="52" t="str">
        <f t="shared" si="28"/>
        <v xml:space="preserve">  </v>
      </c>
      <c r="AA74" s="53">
        <f t="shared" si="29"/>
        <v>0</v>
      </c>
      <c r="AB74" s="52" t="str">
        <f t="shared" si="30"/>
        <v>,0</v>
      </c>
      <c r="AC74" s="52" t="str">
        <f t="shared" si="31"/>
        <v xml:space="preserve">  </v>
      </c>
      <c r="AD74" s="53">
        <f t="shared" si="32"/>
        <v>0</v>
      </c>
      <c r="AE74" s="52" t="str">
        <f t="shared" si="33"/>
        <v>,0</v>
      </c>
    </row>
    <row r="75" spans="1:31" x14ac:dyDescent="0.25">
      <c r="A75" s="57"/>
      <c r="B75" s="52" t="s">
        <v>79</v>
      </c>
      <c r="D75" s="52" t="s">
        <v>75</v>
      </c>
      <c r="E75" s="59" t="str">
        <f t="shared" si="19"/>
        <v/>
      </c>
      <c r="F75" s="122" t="str">
        <f t="shared" si="21"/>
        <v xml:space="preserve"> =   0,0%</v>
      </c>
      <c r="G75" s="122"/>
      <c r="H75" s="52" t="s">
        <v>61</v>
      </c>
      <c r="I75" s="59" t="str">
        <f t="shared" si="20"/>
        <v/>
      </c>
      <c r="J75" s="111" t="str">
        <f t="shared" si="22"/>
        <v xml:space="preserve"> =   0,0%</v>
      </c>
      <c r="K75" s="111"/>
      <c r="L75" s="52" t="s">
        <v>11</v>
      </c>
      <c r="M75" s="59">
        <f t="shared" si="23"/>
        <v>0</v>
      </c>
      <c r="N75" s="59" t="str">
        <f t="shared" si="24"/>
        <v xml:space="preserve"> =   0,0%</v>
      </c>
      <c r="Q75" s="52" cm="1">
        <f t="array" ref="Q75">INDEX(Adatlap!$C$1:$M$215,V75,$R$1)</f>
        <v>0</v>
      </c>
      <c r="R75" s="52" cm="1">
        <f t="array" ref="R75">INDEX(Adatlap!$C$1:$M$215,W75,$R$1)</f>
        <v>0</v>
      </c>
      <c r="S75" s="52" t="str">
        <f t="shared" si="25"/>
        <v xml:space="preserve">  </v>
      </c>
      <c r="T75" s="71">
        <f t="shared" si="26"/>
        <v>0</v>
      </c>
      <c r="U75" s="52" t="str">
        <f t="shared" si="27"/>
        <v>,0</v>
      </c>
      <c r="V75" s="52">
        <f>ROW(Adatlap!$B$79)</f>
        <v>79</v>
      </c>
      <c r="W75" s="52">
        <f>ROW(Adatlap!$B$80)</f>
        <v>80</v>
      </c>
      <c r="Z75" s="52" t="str">
        <f t="shared" si="28"/>
        <v xml:space="preserve">  </v>
      </c>
      <c r="AA75" s="53">
        <f t="shared" si="29"/>
        <v>0</v>
      </c>
      <c r="AB75" s="52" t="str">
        <f t="shared" si="30"/>
        <v>,0</v>
      </c>
      <c r="AC75" s="52" t="str">
        <f t="shared" si="31"/>
        <v xml:space="preserve">  </v>
      </c>
      <c r="AD75" s="53">
        <f t="shared" si="32"/>
        <v>0</v>
      </c>
      <c r="AE75" s="52" t="str">
        <f t="shared" si="33"/>
        <v>,0</v>
      </c>
    </row>
    <row r="76" spans="1:31" x14ac:dyDescent="0.25">
      <c r="A76" s="57"/>
      <c r="B76" s="52" t="s">
        <v>79</v>
      </c>
      <c r="D76" s="52" t="s">
        <v>76</v>
      </c>
      <c r="E76" s="59" t="str">
        <f t="shared" si="19"/>
        <v/>
      </c>
      <c r="F76" s="122" t="str">
        <f t="shared" si="21"/>
        <v xml:space="preserve"> =   0,0%</v>
      </c>
      <c r="G76" s="122"/>
      <c r="H76" s="52" t="s">
        <v>61</v>
      </c>
      <c r="I76" s="59" t="str">
        <f t="shared" si="20"/>
        <v/>
      </c>
      <c r="J76" s="111" t="str">
        <f t="shared" si="22"/>
        <v xml:space="preserve"> =   0,0%</v>
      </c>
      <c r="K76" s="111"/>
      <c r="L76" s="52" t="s">
        <v>11</v>
      </c>
      <c r="M76" s="59">
        <f t="shared" si="23"/>
        <v>0</v>
      </c>
      <c r="N76" s="59" t="str">
        <f t="shared" si="24"/>
        <v xml:space="preserve"> =   0,0%</v>
      </c>
      <c r="Q76" s="52" cm="1">
        <f t="array" ref="Q76">INDEX(Adatlap!$C$1:$M$215,V76,$R$1)</f>
        <v>0</v>
      </c>
      <c r="R76" s="52" cm="1">
        <f t="array" ref="R76">INDEX(Adatlap!$C$1:$M$215,W76,$R$1)</f>
        <v>0</v>
      </c>
      <c r="S76" s="52" t="str">
        <f t="shared" si="25"/>
        <v xml:space="preserve">  </v>
      </c>
      <c r="T76" s="71">
        <f t="shared" si="26"/>
        <v>0</v>
      </c>
      <c r="U76" s="52" t="str">
        <f t="shared" si="27"/>
        <v>,0</v>
      </c>
      <c r="V76" s="52">
        <f>ROW(Adatlap!$B$81)</f>
        <v>81</v>
      </c>
      <c r="W76" s="52">
        <f>ROW(Adatlap!$B$82)</f>
        <v>82</v>
      </c>
      <c r="Z76" s="52" t="str">
        <f t="shared" si="28"/>
        <v xml:space="preserve">  </v>
      </c>
      <c r="AA76" s="53">
        <f t="shared" si="29"/>
        <v>0</v>
      </c>
      <c r="AB76" s="52" t="str">
        <f t="shared" si="30"/>
        <v>,0</v>
      </c>
      <c r="AC76" s="52" t="str">
        <f t="shared" si="31"/>
        <v xml:space="preserve">  </v>
      </c>
      <c r="AD76" s="53">
        <f t="shared" si="32"/>
        <v>0</v>
      </c>
      <c r="AE76" s="52" t="str">
        <f t="shared" si="33"/>
        <v>,0</v>
      </c>
    </row>
    <row r="77" spans="1:31" x14ac:dyDescent="0.25">
      <c r="A77" s="57"/>
      <c r="B77" s="52" t="s">
        <v>79</v>
      </c>
      <c r="D77" s="52" t="s">
        <v>77</v>
      </c>
      <c r="E77" s="59" t="str">
        <f t="shared" si="19"/>
        <v/>
      </c>
      <c r="F77" s="122" t="str">
        <f t="shared" si="21"/>
        <v xml:space="preserve"> =   0,0%</v>
      </c>
      <c r="G77" s="122"/>
      <c r="H77" s="52" t="s">
        <v>61</v>
      </c>
      <c r="I77" s="59" t="str">
        <f t="shared" si="20"/>
        <v/>
      </c>
      <c r="J77" s="111" t="str">
        <f t="shared" si="22"/>
        <v xml:space="preserve"> =   0,0%</v>
      </c>
      <c r="K77" s="111"/>
      <c r="L77" s="52" t="s">
        <v>11</v>
      </c>
      <c r="M77" s="59">
        <f t="shared" si="23"/>
        <v>0</v>
      </c>
      <c r="N77" s="59" t="str">
        <f t="shared" si="24"/>
        <v xml:space="preserve"> =   0,0%</v>
      </c>
      <c r="Q77" s="52" cm="1">
        <f t="array" ref="Q77">INDEX(Adatlap!$C$1:$M$215,V77,$R$1)</f>
        <v>0</v>
      </c>
      <c r="R77" s="52" cm="1">
        <f t="array" ref="R77">INDEX(Adatlap!$C$1:$M$215,W77,$R$1)</f>
        <v>0</v>
      </c>
      <c r="S77" s="52" t="str">
        <f t="shared" si="25"/>
        <v xml:space="preserve">  </v>
      </c>
      <c r="T77" s="71">
        <f t="shared" si="26"/>
        <v>0</v>
      </c>
      <c r="U77" s="52" t="str">
        <f t="shared" si="27"/>
        <v>,0</v>
      </c>
      <c r="V77" s="52">
        <f>ROW(Adatlap!$B$83)</f>
        <v>83</v>
      </c>
      <c r="W77" s="52">
        <f>ROW(Adatlap!$B$84)</f>
        <v>84</v>
      </c>
      <c r="Z77" s="52" t="str">
        <f t="shared" si="28"/>
        <v xml:space="preserve">  </v>
      </c>
      <c r="AA77" s="53">
        <f t="shared" si="29"/>
        <v>0</v>
      </c>
      <c r="AB77" s="52" t="str">
        <f t="shared" si="30"/>
        <v>,0</v>
      </c>
      <c r="AC77" s="52" t="str">
        <f t="shared" si="31"/>
        <v xml:space="preserve">  </v>
      </c>
      <c r="AD77" s="53">
        <f t="shared" si="32"/>
        <v>0</v>
      </c>
      <c r="AE77" s="52" t="str">
        <f t="shared" si="33"/>
        <v>,0</v>
      </c>
    </row>
    <row r="78" spans="1:31" x14ac:dyDescent="0.25">
      <c r="A78" s="57" t="s">
        <v>18</v>
      </c>
      <c r="B78" s="52" t="s">
        <v>80</v>
      </c>
      <c r="AA78" s="53"/>
    </row>
    <row r="79" spans="1:31" x14ac:dyDescent="0.25">
      <c r="A79" s="57"/>
      <c r="B79" s="52" t="s">
        <v>60</v>
      </c>
      <c r="C79" s="52" t="str">
        <f t="shared" ref="C79" si="34">IF($Q79&lt;&gt;0,$Q79,"")</f>
        <v/>
      </c>
      <c r="D79" s="52" t="str">
        <f>"lélek = "&amp;S79&amp;"%"</f>
        <v>lélek = 0%</v>
      </c>
      <c r="F79" s="52" t="s">
        <v>61</v>
      </c>
      <c r="G79" s="52" t="str">
        <f t="shared" ref="G79" si="35">IF($R79&lt;&gt;0,$R79,"")</f>
        <v/>
      </c>
      <c r="H79" s="52" t="str">
        <f>"lélek = "&amp;T79&amp;"%"</f>
        <v>lélek = 0%</v>
      </c>
      <c r="J79" s="52" t="s">
        <v>11</v>
      </c>
      <c r="K79" s="52">
        <f>SUM(Q79:R79)</f>
        <v>0</v>
      </c>
      <c r="L79" s="52" t="str">
        <f>"lélek = "&amp;U79&amp;"%"</f>
        <v>lélek = 0%</v>
      </c>
      <c r="Q79" s="52" cm="1">
        <f t="array" ref="Q79">INDEX(Adatlap!$C$1:$M$215,V79,$R$1)</f>
        <v>0</v>
      </c>
      <c r="R79" s="52" cm="1">
        <f t="array" ref="R79">INDEX(Adatlap!$C$1:$M$215,W79,$R$1)</f>
        <v>0</v>
      </c>
      <c r="S79" s="52">
        <f>ROUND(Q79*100/$S$64,2)</f>
        <v>0</v>
      </c>
      <c r="T79" s="52">
        <f>ROUND(R79*100/$S$64,2)</f>
        <v>0</v>
      </c>
      <c r="U79" s="52">
        <f>ROUND(K79*100/$S$64,2)</f>
        <v>0</v>
      </c>
      <c r="V79" s="52">
        <f>ROW(Adatlap!$B$85)</f>
        <v>85</v>
      </c>
      <c r="W79" s="52">
        <f>ROW(Adatlap!$B$86)</f>
        <v>86</v>
      </c>
      <c r="AA79" s="53"/>
    </row>
    <row r="80" spans="1:31" x14ac:dyDescent="0.25">
      <c r="A80" s="57" t="s">
        <v>20</v>
      </c>
      <c r="B80" s="52" t="s">
        <v>81</v>
      </c>
      <c r="AA80" s="53"/>
    </row>
    <row r="81" spans="1:27" x14ac:dyDescent="0.25">
      <c r="A81" s="57"/>
      <c r="B81" s="52" t="s">
        <v>60</v>
      </c>
      <c r="C81" s="52" t="str">
        <f t="shared" ref="C81" si="36">IF($Q81&lt;&gt;0,$Q81,"")</f>
        <v/>
      </c>
      <c r="D81" s="52" t="str">
        <f>"lélek = "&amp;S81&amp;"%"</f>
        <v>lélek = 0%</v>
      </c>
      <c r="F81" s="52" t="s">
        <v>61</v>
      </c>
      <c r="G81" s="52" t="str">
        <f t="shared" ref="G81" si="37">IF($R81&lt;&gt;0,$R81,"")</f>
        <v/>
      </c>
      <c r="H81" s="52" t="str">
        <f>"lélek = "&amp;T81&amp;"%"</f>
        <v>lélek = 0%</v>
      </c>
      <c r="J81" s="52" t="s">
        <v>11</v>
      </c>
      <c r="K81" s="52">
        <f>SUM(Q81:R81)</f>
        <v>0</v>
      </c>
      <c r="L81" s="52" t="str">
        <f>"lélek = "&amp;U81&amp;"%"</f>
        <v>lélek = 0%</v>
      </c>
      <c r="Q81" s="52" cm="1">
        <f t="array" ref="Q81">INDEX(Adatlap!$C$1:$M$215,V81,$R$1)</f>
        <v>0</v>
      </c>
      <c r="R81" s="52" cm="1">
        <f t="array" ref="R81">INDEX(Adatlap!$C$1:$M$215,W81,$R$1)</f>
        <v>0</v>
      </c>
      <c r="S81" s="52">
        <f>ROUND(Q81*100/$S$64,2)</f>
        <v>0</v>
      </c>
      <c r="T81" s="52">
        <f>ROUND(R81*100/$S$64,2)</f>
        <v>0</v>
      </c>
      <c r="U81" s="52">
        <f>ROUND(K81*100/$S$64,2)</f>
        <v>0</v>
      </c>
      <c r="V81" s="52">
        <f>ROW(Adatlap!$B$87)</f>
        <v>87</v>
      </c>
      <c r="W81" s="52">
        <f>ROW(Adatlap!$B$88)</f>
        <v>88</v>
      </c>
      <c r="AA81" s="53"/>
    </row>
    <row r="82" spans="1:27" x14ac:dyDescent="0.25">
      <c r="A82" s="57" t="s">
        <v>23</v>
      </c>
      <c r="B82" s="52" t="s">
        <v>82</v>
      </c>
      <c r="K82" s="52" t="str">
        <f t="shared" ref="K82" si="38">IF($Q82&lt;&gt;0,$Q82,"")</f>
        <v/>
      </c>
      <c r="Q82" s="52" cm="1">
        <f t="array" ref="Q82">INDEX(Adatlap!$C$1:$M$215,V82,$R$1)</f>
        <v>0</v>
      </c>
      <c r="V82" s="52">
        <f>ROW(Adatlap!$B$89)</f>
        <v>89</v>
      </c>
      <c r="AA82" s="53"/>
    </row>
    <row r="83" spans="1:27" x14ac:dyDescent="0.25">
      <c r="A83" s="57" t="s">
        <v>26</v>
      </c>
      <c r="B83" s="52" t="s">
        <v>83</v>
      </c>
      <c r="H83" s="52" t="s">
        <v>9</v>
      </c>
      <c r="I83" s="52" t="str">
        <f>IF($Q83&lt;&gt;0,$Q83,"")</f>
        <v/>
      </c>
      <c r="J83" s="52" t="s">
        <v>84</v>
      </c>
      <c r="K83" s="52" t="str">
        <f t="shared" ref="K83" si="39">IF($R83&lt;&gt;0,$R83,"")</f>
        <v/>
      </c>
      <c r="L83" s="52" t="s">
        <v>11</v>
      </c>
      <c r="M83" s="52">
        <f t="shared" ref="M83" si="40">SUM(Q83:R83)</f>
        <v>0</v>
      </c>
      <c r="N83" s="52" t="str">
        <f t="shared" ref="N83" si="41">" = "&amp;T83&amp;"%"</f>
        <v xml:space="preserve"> = 0%</v>
      </c>
      <c r="Q83" s="52" cm="1">
        <f t="array" ref="Q83">INDEX(Adatlap!$C$1:$M$215,V83,$R$1)</f>
        <v>0</v>
      </c>
      <c r="R83" s="52" cm="1">
        <f t="array" ref="R83">INDEX(Adatlap!$C$1:$M$215,W83,$R$1)</f>
        <v>0</v>
      </c>
      <c r="T83" s="65">
        <f t="shared" ref="T83" si="42">ROUND(M83*100/$S$64,0)</f>
        <v>0</v>
      </c>
      <c r="V83" s="52">
        <f>ROW(Adatlap!$B$90)</f>
        <v>90</v>
      </c>
      <c r="W83" s="52">
        <f>ROW(Adatlap!$B$91)</f>
        <v>91</v>
      </c>
      <c r="AA83" s="53"/>
    </row>
    <row r="84" spans="1:27" x14ac:dyDescent="0.25">
      <c r="AA84" s="53"/>
    </row>
    <row r="85" spans="1:27" ht="47.25" x14ac:dyDescent="0.25">
      <c r="A85" s="112" t="s">
        <v>85</v>
      </c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AA85" s="53" t="s">
        <v>6</v>
      </c>
    </row>
    <row r="86" spans="1:27" x14ac:dyDescent="0.25">
      <c r="A86" s="57" t="s">
        <v>7</v>
      </c>
      <c r="B86" s="52" t="str">
        <f>"Az év folyamán tartott bibliaórák száma összesen: "&amp;Q86&amp;", melyből"</f>
        <v>Az év folyamán tartott bibliaórák száma összesen: 0, melyből</v>
      </c>
      <c r="Q86" s="52">
        <f>SUM(Q87:S88,R89,T89)</f>
        <v>0</v>
      </c>
      <c r="AA86" s="53"/>
    </row>
    <row r="87" spans="1:27" x14ac:dyDescent="0.25">
      <c r="A87" s="57"/>
      <c r="B87" s="52" t="str">
        <f>"felnőtt bibliaóra: "&amp;IF($Q87&lt;&gt;0,$Q87,"")</f>
        <v xml:space="preserve">felnőtt bibliaóra: </v>
      </c>
      <c r="H87" s="52" t="str">
        <f>"ifjúsági bibliaóra: "&amp;IF($R87&lt;&gt;0,$R87,"")</f>
        <v xml:space="preserve">ifjúsági bibliaóra: </v>
      </c>
      <c r="K87" s="52" t="str">
        <f>"presbiteri bibliaóra: "&amp;IF($S87&lt;&gt;0,$S87,"")</f>
        <v xml:space="preserve">presbiteri bibliaóra: </v>
      </c>
      <c r="Q87" s="52" cm="1">
        <f t="array" ref="Q87">INDEX(Adatlap!$C$1:$M$215,V87,$R$1)</f>
        <v>0</v>
      </c>
      <c r="R87" s="52" cm="1">
        <f t="array" ref="R87">INDEX(Adatlap!$C$1:$M$215,W87,$R$1)</f>
        <v>0</v>
      </c>
      <c r="S87" s="52" cm="1">
        <f t="array" ref="S87">INDEX(Adatlap!$C$1:$M$215,X87,$R$1)</f>
        <v>0</v>
      </c>
      <c r="V87" s="52">
        <f>ROW(Adatlap!$B$93)</f>
        <v>93</v>
      </c>
      <c r="W87" s="52">
        <f>ROW(Adatlap!$B$94)</f>
        <v>94</v>
      </c>
      <c r="X87" s="52">
        <f>ROW(Adatlap!$B$95)</f>
        <v>95</v>
      </c>
      <c r="AA87" s="53"/>
    </row>
    <row r="88" spans="1:27" x14ac:dyDescent="0.25">
      <c r="A88" s="57"/>
      <c r="B88" s="52" t="str">
        <f>"nőszövetségi bibliaóra: "&amp;IF($Q88&lt;&gt;0,$Q88,"")</f>
        <v xml:space="preserve">nőszövetségi bibliaóra: </v>
      </c>
      <c r="H88" s="52" t="str">
        <f>"házasok bibliaórája: "&amp;IF($R88&lt;&gt;0,$R88,"")</f>
        <v xml:space="preserve">házasok bibliaórája: </v>
      </c>
      <c r="Q88" s="52" cm="1">
        <f t="array" ref="Q88">INDEX(Adatlap!$C$1:$M$215,V88,$R$1)</f>
        <v>0</v>
      </c>
      <c r="R88" s="52" cm="1">
        <f t="array" ref="R88">INDEX(Adatlap!$C$1:$M$215,W88,$R$1)</f>
        <v>0</v>
      </c>
      <c r="V88" s="52">
        <f>ROW(Adatlap!$B$96)</f>
        <v>96</v>
      </c>
      <c r="W88" s="52">
        <f>ROW(Adatlap!$B$97)</f>
        <v>97</v>
      </c>
      <c r="AA88" s="53"/>
    </row>
    <row r="89" spans="1:27" x14ac:dyDescent="0.25">
      <c r="A89" s="57"/>
      <c r="B89" s="52" t="str">
        <f>IF(R89&lt;&gt;0,Z89&amp;Q89&amp;": "&amp;R89,"")</f>
        <v/>
      </c>
      <c r="H89" s="52" t="str">
        <f>IF(T89&lt;&gt;0,Z89&amp;S89&amp;": "&amp;T89,"")</f>
        <v/>
      </c>
      <c r="Q89" s="52" t="str" cm="1">
        <f t="array" ref="Q89">IF(INDEX(Adatlap!$C$1:$M$215,V89,$R$1)&lt;&gt;0,INDEX(Adatlap!$C$1:$M$215,V89,$R$1),"")</f>
        <v/>
      </c>
      <c r="R89" s="52" cm="1">
        <f t="array" ref="R89">INDEX(Adatlap!$C$1:$M$215,W89,$R$1)</f>
        <v>0</v>
      </c>
      <c r="S89" s="52" t="str" cm="1">
        <f t="array" ref="S89">IF(INDEX(Adatlap!$C$1:$M$215,X89,$R$1)&lt;&gt;0,INDEX(Adatlap!$C$1:$M$215,X89,$R$1),"")</f>
        <v/>
      </c>
      <c r="T89" s="52" cm="1">
        <f t="array" ref="T89">INDEX(Adatlap!$C$1:$M$215,Y89,$R$1)</f>
        <v>0</v>
      </c>
      <c r="V89" s="52">
        <f>ROW(Adatlap!$B$98)</f>
        <v>98</v>
      </c>
      <c r="W89" s="52">
        <f>ROW(Adatlap!$B$99)</f>
        <v>99</v>
      </c>
      <c r="X89" s="52">
        <f>ROW(Adatlap!$B$100)</f>
        <v>100</v>
      </c>
      <c r="Y89" s="52">
        <f>ROW(Adatlap!$B$101)</f>
        <v>101</v>
      </c>
      <c r="Z89" s="52" t="s">
        <v>275</v>
      </c>
      <c r="AA89" s="53"/>
    </row>
    <row r="90" spans="1:27" x14ac:dyDescent="0.25">
      <c r="A90" s="57" t="s">
        <v>12</v>
      </c>
      <c r="B90" s="52" t="str">
        <f>"Vallásos ünnepélyek száma az év folyamán: "&amp;IF($Q90&lt;&gt;0,$Q90,"")</f>
        <v xml:space="preserve">Vallásos ünnepélyek száma az év folyamán: </v>
      </c>
      <c r="Q90" s="52" cm="1">
        <f t="array" ref="Q90">INDEX(Adatlap!$C$1:$M$215,V90,$R$1)</f>
        <v>0</v>
      </c>
      <c r="V90" s="52">
        <f>ROW(Adatlap!$B$102)</f>
        <v>102</v>
      </c>
      <c r="AA90" s="53"/>
    </row>
    <row r="91" spans="1:27" x14ac:dyDescent="0.25">
      <c r="A91" s="57" t="s">
        <v>14</v>
      </c>
      <c r="B91" s="52" t="str">
        <f>"Szeretetvendégségek száma az év folyamán: "&amp;IF($Q91&lt;&gt;0,$Q91,"")</f>
        <v xml:space="preserve">Szeretetvendégségek száma az év folyamán: </v>
      </c>
      <c r="Q91" s="52" cm="1">
        <f t="array" ref="Q91">INDEX(Adatlap!$C$1:$M$215,V91,$R$1)</f>
        <v>0</v>
      </c>
      <c r="V91" s="52">
        <f>ROW(Adatlap!$B$103)</f>
        <v>103</v>
      </c>
      <c r="AA91" s="53"/>
    </row>
    <row r="92" spans="1:27" x14ac:dyDescent="0.25">
      <c r="A92" s="57" t="s">
        <v>16</v>
      </c>
      <c r="B92" s="52" t="str">
        <f>"Az egyetemes imahetet megtartották: "&amp;IF($Q92&lt;&gt;0,$Q92,"")</f>
        <v xml:space="preserve">Az egyetemes imahetet megtartották: </v>
      </c>
      <c r="Q92" s="52" cm="1">
        <f t="array" ref="Q92">INDEX(Adatlap!$C$1:$M$215,V92,$R$1)</f>
        <v>0</v>
      </c>
      <c r="V92" s="52">
        <f>ROW(Adatlap!$B$104)</f>
        <v>104</v>
      </c>
      <c r="AA92" s="53"/>
    </row>
    <row r="93" spans="1:27" x14ac:dyDescent="0.25">
      <c r="A93" s="57"/>
      <c r="B93" s="52" t="str">
        <f>IF(Adatlap!C104=Adatlap!A248,Z93&amp;" "&amp;IF($Q93&lt;&gt;0,$Q93,""),"")</f>
        <v/>
      </c>
      <c r="Q93" s="52" cm="1">
        <f t="array" ref="Q93">INDEX(Adatlap!$C$1:$M$215,V93,$R$1)</f>
        <v>0</v>
      </c>
      <c r="V93" s="52">
        <f>ROW(Adatlap!$B$105)</f>
        <v>105</v>
      </c>
      <c r="Z93" s="52" t="s">
        <v>94</v>
      </c>
      <c r="AA93" s="53"/>
    </row>
    <row r="94" spans="1:27" x14ac:dyDescent="0.25">
      <c r="A94" s="57"/>
      <c r="B94" s="52" t="str">
        <f>"Ezen részt vett átlag egy alkalommal összesen: "&amp;IF($Q94&lt;&gt;0,$Q94,"")&amp;" lélek = "&amp;IF($S94&lt;&gt;0,$S94,"")&amp;"%"</f>
        <v>Ezen részt vett átlag egy alkalommal összesen:  lélek = %</v>
      </c>
      <c r="Q94" s="52" cm="1">
        <f t="array" ref="Q94">INDEX(Adatlap!$C$1:$M$215,V94,$R$1)</f>
        <v>0</v>
      </c>
      <c r="S94" s="52">
        <f>ROUND(Q94*100/$S$64,2)</f>
        <v>0</v>
      </c>
      <c r="V94" s="52">
        <f>ROW(Adatlap!$B$106)</f>
        <v>106</v>
      </c>
      <c r="AA94" s="53"/>
    </row>
    <row r="95" spans="1:27" x14ac:dyDescent="0.25">
      <c r="A95" s="57" t="s">
        <v>18</v>
      </c>
      <c r="B95" s="52" t="str">
        <f>"A lelkipásztor az év folyamán meglátogatott "&amp;IF($Q95&lt;&gt;0,$Q95,"")&amp;" családot és "&amp;IF($R95&lt;&gt;0,$R95,"")&amp;" beteget."</f>
        <v>A lelkipásztor az év folyamán meglátogatott  családot és  beteget.</v>
      </c>
      <c r="Q95" s="52" cm="1">
        <f t="array" ref="Q95">INDEX(Adatlap!$C$1:$M$215,V95,$R$1)</f>
        <v>0</v>
      </c>
      <c r="R95" s="52" cm="1">
        <f t="array" ref="R95">INDEX(Adatlap!$C$1:$M$215,W95,$R$1)</f>
        <v>0</v>
      </c>
      <c r="V95" s="52">
        <f>ROW(Adatlap!$B$107)</f>
        <v>107</v>
      </c>
      <c r="W95" s="52">
        <f>ROW(Adatlap!$B$108)</f>
        <v>108</v>
      </c>
      <c r="AA95" s="53"/>
    </row>
    <row r="96" spans="1:27" x14ac:dyDescent="0.25">
      <c r="A96" s="57" t="s">
        <v>20</v>
      </c>
      <c r="B96" s="52" t="str">
        <f>"A presbiterek végeztek-e családlátogatást? "&amp;IF($Q96&lt;&gt;0,$Q96,"")</f>
        <v xml:space="preserve">A presbiterek végeztek-e családlátogatást? </v>
      </c>
      <c r="Q96" s="52" t="str" cm="1">
        <f t="array" ref="Q96">UPPER(INDEX(Adatlap!$C$1:$M$215,V96,$R$1))</f>
        <v/>
      </c>
      <c r="V96" s="52">
        <f>ROW(Adatlap!$B$109)</f>
        <v>109</v>
      </c>
      <c r="AA96" s="53"/>
    </row>
    <row r="97" spans="1:31" x14ac:dyDescent="0.25">
      <c r="A97" s="57" t="s">
        <v>23</v>
      </c>
      <c r="B97" s="52" t="str">
        <f>"Választott presbiterek száma: "&amp;IF($Q97&lt;&gt;0,$Q97,"")</f>
        <v xml:space="preserve">Választott presbiterek száma: </v>
      </c>
      <c r="I97" s="52" t="str">
        <f>"Pótpresbiterek száma: "&amp;IF($R97&lt;&gt;0,$R97,"")</f>
        <v xml:space="preserve">Pótpresbiterek száma: </v>
      </c>
      <c r="Q97" s="52" cm="1">
        <f t="array" ref="Q97">INDEX(Adatlap!$C$1:$M$215,V97,$R$1)</f>
        <v>0</v>
      </c>
      <c r="R97" s="52" cm="1">
        <f t="array" ref="R97">INDEX(Adatlap!$C$1:$M$215,W97,$R$1)</f>
        <v>0</v>
      </c>
      <c r="V97" s="52">
        <f>ROW(Adatlap!$B$110)</f>
        <v>110</v>
      </c>
      <c r="W97" s="52">
        <f>ROW(Adatlap!$B$111)</f>
        <v>111</v>
      </c>
      <c r="AA97" s="53"/>
    </row>
    <row r="98" spans="1:31" x14ac:dyDescent="0.25">
      <c r="A98" s="57" t="s">
        <v>26</v>
      </c>
      <c r="B98" s="52" t="str">
        <f>"Az év folyamán tartottak "&amp;IF($Q98&lt;&gt;0,$Q98,"--")&amp;" presbiteri felkészítőt."</f>
        <v>Az év folyamán tartottak -- presbiteri felkészítőt.</v>
      </c>
      <c r="Q98" s="52" cm="1">
        <f t="array" ref="Q98">INDEX(Adatlap!$C$1:$M$215,V98,$R$1)</f>
        <v>0</v>
      </c>
      <c r="V98" s="52">
        <f>ROW(Adatlap!$B$112)</f>
        <v>112</v>
      </c>
      <c r="AA98" s="53"/>
    </row>
    <row r="99" spans="1:31" ht="31.5" x14ac:dyDescent="0.25">
      <c r="A99" s="57" t="s">
        <v>28</v>
      </c>
      <c r="B99" s="106" t="str">
        <f>"Fegyelmi esetek száma: "&amp;Q99&amp;Z99&amp;IF(R99&lt;&gt;0,R99,"")</f>
        <v xml:space="preserve">Fegyelmi esetek száma: 0  Oka: </v>
      </c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Q99" s="52" cm="1">
        <f t="array" ref="Q99">INDEX(Adatlap!$C$1:$M$215,V99,$R$1)</f>
        <v>0</v>
      </c>
      <c r="R99" s="52" cm="1">
        <f t="array" ref="R99">INDEX(Adatlap!$C$1:$M$215,W99,$R$1)</f>
        <v>0</v>
      </c>
      <c r="V99" s="52">
        <f>ROW(Adatlap!$B$113)</f>
        <v>113</v>
      </c>
      <c r="W99" s="52">
        <f>ROW(Adatlap!$B$114)</f>
        <v>114</v>
      </c>
      <c r="Z99" s="52" t="s">
        <v>326</v>
      </c>
      <c r="AA99" s="53" t="s">
        <v>43</v>
      </c>
    </row>
    <row r="100" spans="1:31" x14ac:dyDescent="0.25">
      <c r="A100" s="57" t="s">
        <v>30</v>
      </c>
      <c r="B100" s="52" t="str">
        <f>"Hány körzetre van osztva a gyülekezet? "&amp;IF($Q100&lt;&gt;0,$Q100,"")</f>
        <v xml:space="preserve">Hány körzetre van osztva a gyülekezet? </v>
      </c>
      <c r="Q100" s="52" cm="1">
        <f t="array" ref="Q100">INDEX(Adatlap!$C$1:$M$215,V100,$R$1)</f>
        <v>0</v>
      </c>
      <c r="V100" s="52">
        <f>ROW(Adatlap!$B$115)</f>
        <v>115</v>
      </c>
      <c r="AA100" s="53"/>
    </row>
    <row r="101" spans="1:31" x14ac:dyDescent="0.25">
      <c r="A101" s="57" t="s">
        <v>32</v>
      </c>
      <c r="B101" s="52" t="str">
        <f>"Hány közgyűlést tartottak az év folyamán? "&amp;IF($Q101&lt;&gt;0,$Q101,"")</f>
        <v xml:space="preserve">Hány közgyűlést tartottak az év folyamán? </v>
      </c>
      <c r="Q101" s="52" cm="1">
        <f t="array" ref="Q101">INDEX(Adatlap!$C$1:$M$215,V101,$R$1)</f>
        <v>0</v>
      </c>
      <c r="V101" s="52">
        <f>ROW(Adatlap!$B$116)</f>
        <v>116</v>
      </c>
      <c r="AA101" s="53"/>
    </row>
    <row r="102" spans="1:31" x14ac:dyDescent="0.25">
      <c r="A102" s="57" t="s">
        <v>34</v>
      </c>
      <c r="B102" s="52" t="str">
        <f>"Az utolsó vizitációk dátuma: esperesi - "&amp;IF($Q102&lt;&gt;0,$S102,"")&amp;"; generális - "&amp;IF($R102&lt;&gt;0,$T102,"")&amp;"."</f>
        <v>Az utolsó vizitációk dátuma: esperesi - ; generális - .</v>
      </c>
      <c r="Q102" s="54" cm="1">
        <f t="array" ref="Q102">INDEX(Adatlap!$C$1:$M$215,V102,$R$1)</f>
        <v>0</v>
      </c>
      <c r="R102" s="54" cm="1">
        <f t="array" ref="R102">INDEX(Adatlap!$C$1:$M$215,W102,$R$1)</f>
        <v>0</v>
      </c>
      <c r="S102" s="52" t="str">
        <f>IF(Q102&lt;&gt;0,Z102&amp;AA102&amp;AB102,"--------")</f>
        <v>--------</v>
      </c>
      <c r="T102" s="52" t="str">
        <f>IF(R102&lt;&gt;0,AC102&amp;AD102&amp;AE102,"--------")</f>
        <v>--------</v>
      </c>
      <c r="V102" s="52">
        <f>ROW(Adatlap!$B$117)</f>
        <v>117</v>
      </c>
      <c r="W102" s="52">
        <f>ROW(Adatlap!$B$118)</f>
        <v>118</v>
      </c>
      <c r="Z102" s="52">
        <f>YEAR(Q102)</f>
        <v>1900</v>
      </c>
      <c r="AA102" s="53" t="str">
        <f>VLOOKUP(MONTH(Q102),AD1:AF12,3,FALSE)</f>
        <v xml:space="preserve">. január </v>
      </c>
      <c r="AB102" s="52">
        <f>DAY(Q102)</f>
        <v>0</v>
      </c>
      <c r="AC102" s="52">
        <f>YEAR(R102)</f>
        <v>1900</v>
      </c>
      <c r="AD102" s="52" t="str">
        <f>VLOOKUP(MONTH(R102),AD1:AF12,3,FALSE)</f>
        <v xml:space="preserve">. január </v>
      </c>
      <c r="AE102" s="52">
        <f>DAY(R102)</f>
        <v>0</v>
      </c>
    </row>
    <row r="103" spans="1:31" x14ac:dyDescent="0.25">
      <c r="A103" s="57" t="s">
        <v>36</v>
      </c>
      <c r="B103" s="52" t="str">
        <f>"Van-e testvérgyülekezete az egyházközségnek, és ha igen, hol: "&amp;IF($Q103&lt;&gt;0,$Q103,"")</f>
        <v xml:space="preserve">Van-e testvérgyülekezete az egyházközségnek, és ha igen, hol: </v>
      </c>
      <c r="Q103" s="52" t="str" cm="1">
        <f t="array" ref="Q103">UPPER(INDEX(Adatlap!$C$1:$M$215,V103,$R$1))</f>
        <v/>
      </c>
      <c r="V103" s="52">
        <f>ROW(Adatlap!$B$119)</f>
        <v>119</v>
      </c>
      <c r="AA103" s="53"/>
    </row>
    <row r="104" spans="1:31" x14ac:dyDescent="0.25">
      <c r="B104" s="122" t="str">
        <f>IF($Q104&lt;&gt;0,$Q104,"")</f>
        <v/>
      </c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Q104" s="52" cm="1">
        <f t="array" ref="Q104">INDEX(Adatlap!$C$1:$M$215,V104,$R$1)</f>
        <v>0</v>
      </c>
      <c r="V104" s="52">
        <f>ROW(Adatlap!$B$120)</f>
        <v>120</v>
      </c>
      <c r="AA104" s="53"/>
    </row>
    <row r="105" spans="1:31" ht="47.25" x14ac:dyDescent="0.25">
      <c r="A105" s="112" t="s">
        <v>101</v>
      </c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AA105" s="53" t="s">
        <v>6</v>
      </c>
    </row>
    <row r="106" spans="1:31" x14ac:dyDescent="0.25">
      <c r="A106" s="66" t="s">
        <v>7</v>
      </c>
      <c r="B106" s="67" t="s">
        <v>102</v>
      </c>
      <c r="AA106" s="53"/>
    </row>
    <row r="107" spans="1:31" x14ac:dyDescent="0.25">
      <c r="A107" s="57" t="s">
        <v>103</v>
      </c>
      <c r="B107" s="52" t="s">
        <v>104</v>
      </c>
      <c r="AA107" s="53"/>
    </row>
    <row r="108" spans="1:31" x14ac:dyDescent="0.25">
      <c r="A108" s="57"/>
      <c r="B108" s="52" t="str">
        <f>IF($Q108&lt;&gt;0,$Q108,"")</f>
        <v/>
      </c>
      <c r="Q108" s="52" cm="1">
        <f t="array" ref="Q108">INDEX(Adatlap!$C$1:$M$215,V108,$R$1)</f>
        <v>0</v>
      </c>
      <c r="V108" s="52">
        <f>ROW(Adatlap!$B$123)</f>
        <v>123</v>
      </c>
      <c r="AA108" s="53"/>
    </row>
    <row r="109" spans="1:31" x14ac:dyDescent="0.25">
      <c r="A109" s="57" t="s">
        <v>105</v>
      </c>
      <c r="B109" s="52" t="str">
        <f>"Vakációs bibliahetet megtartották: "&amp;IF($Q109&lt;&gt;0,$Q109,"")</f>
        <v xml:space="preserve">Vakációs bibliahetet megtartották: </v>
      </c>
      <c r="Q109" s="52" cm="1">
        <f t="array" ref="Q109">INDEX(Adatlap!$C$1:$M$215,V109,$R$1)</f>
        <v>0</v>
      </c>
      <c r="V109" s="52">
        <f>ROW(Adatlap!$B$124)</f>
        <v>124</v>
      </c>
      <c r="AA109" s="53"/>
    </row>
    <row r="110" spans="1:31" x14ac:dyDescent="0.25">
      <c r="A110" s="57"/>
      <c r="B110" s="52" t="s">
        <v>107</v>
      </c>
      <c r="I110" s="52" t="str">
        <f t="shared" ref="I110" si="43">IF($Q110&lt;&gt;0,$Q110,"")</f>
        <v/>
      </c>
      <c r="Q110" s="52" cm="1">
        <f t="array" ref="Q110">INDEX(Adatlap!$C$1:$M$215,V110,$R$1)</f>
        <v>0</v>
      </c>
      <c r="V110" s="52">
        <f>ROW(Adatlap!$B$125)</f>
        <v>125</v>
      </c>
      <c r="AA110" s="53"/>
    </row>
    <row r="111" spans="1:31" x14ac:dyDescent="0.25">
      <c r="A111" s="57" t="s">
        <v>108</v>
      </c>
      <c r="B111" s="52" t="str">
        <f>"A gyülekezet szervezett gyerektábort: "&amp;IF($Q111&lt;&gt;0,$Q111,"")</f>
        <v xml:space="preserve">A gyülekezet szervezett gyerektábort: </v>
      </c>
      <c r="Q111" s="52" t="str" cm="1">
        <f t="array" ref="Q111">UPPER(INDEX(Adatlap!$C$1:$M$215,V111,$R$1))</f>
        <v/>
      </c>
      <c r="V111" s="52">
        <f>ROW(Adatlap!$B$126)</f>
        <v>126</v>
      </c>
      <c r="AA111" s="53"/>
    </row>
    <row r="112" spans="1:31" x14ac:dyDescent="0.25">
      <c r="A112" s="57" t="s">
        <v>110</v>
      </c>
      <c r="B112" s="52" t="str">
        <f>"A gyerekek részt vettek más gyülekezeti vagy egyházmegyei táborban: "&amp;IF($Q112&lt;&gt;0,$Q112,"")</f>
        <v xml:space="preserve">A gyerekek részt vettek más gyülekezeti vagy egyházmegyei táborban: </v>
      </c>
      <c r="Q112" s="52" t="str" cm="1">
        <f t="array" ref="Q112">UPPER(INDEX(Adatlap!$C$1:$M$215,V112,$R$1))</f>
        <v/>
      </c>
      <c r="V112" s="52">
        <f>ROW(Adatlap!$B$127)</f>
        <v>127</v>
      </c>
      <c r="AA112" s="53"/>
    </row>
    <row r="113" spans="1:27" ht="31.5" x14ac:dyDescent="0.25">
      <c r="A113" s="57" t="s">
        <v>112</v>
      </c>
      <c r="B113" s="106" t="str">
        <f>"Más belmissziós gyerektevékenység, rendezvény: "&amp;IF($Q113&lt;&gt;0,$Q113,"")</f>
        <v xml:space="preserve">Más belmissziós gyerektevékenység, rendezvény: </v>
      </c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Q113" s="52" cm="1">
        <f t="array" ref="Q113">INDEX(Adatlap!$C$1:$M$215,V113,$R$1)</f>
        <v>0</v>
      </c>
      <c r="V113" s="52">
        <f>ROW(Adatlap!$B$128)</f>
        <v>128</v>
      </c>
      <c r="AA113" s="53" t="s">
        <v>43</v>
      </c>
    </row>
    <row r="114" spans="1:27" x14ac:dyDescent="0.25">
      <c r="A114" s="66" t="s">
        <v>12</v>
      </c>
      <c r="B114" s="67" t="s">
        <v>114</v>
      </c>
      <c r="AA114" s="53"/>
    </row>
    <row r="115" spans="1:27" x14ac:dyDescent="0.25">
      <c r="A115" s="57" t="s">
        <v>103</v>
      </c>
      <c r="B115" s="52" t="s">
        <v>115</v>
      </c>
      <c r="AA115" s="53"/>
    </row>
    <row r="116" spans="1:27" x14ac:dyDescent="0.25">
      <c r="A116" s="57"/>
      <c r="B116" s="52" t="str">
        <f>IF($Q116&lt;&gt;0,$Q116,"")</f>
        <v/>
      </c>
      <c r="Q116" s="52" cm="1">
        <f t="array" ref="Q116">INDEX(Adatlap!$C$1:$M$215,V116,$R$1)</f>
        <v>0</v>
      </c>
      <c r="V116" s="52">
        <f>ROW(Adatlap!$B$130)</f>
        <v>130</v>
      </c>
      <c r="AA116" s="53"/>
    </row>
    <row r="117" spans="1:27" x14ac:dyDescent="0.25">
      <c r="A117" s="57" t="s">
        <v>105</v>
      </c>
      <c r="B117" s="52" t="str">
        <f>"Az ifjúsági tevékenység programja: "&amp;IF($Q117&lt;&gt;0,$Q117,"")</f>
        <v xml:space="preserve">Az ifjúsági tevékenység programja: </v>
      </c>
      <c r="Q117" s="52" cm="1">
        <f t="array" ref="Q117">INDEX(Adatlap!$C$1:$M$215,V117,$R$1)</f>
        <v>0</v>
      </c>
      <c r="V117" s="52">
        <f>ROW(Adatlap!$B$131)</f>
        <v>131</v>
      </c>
      <c r="AA117" s="53"/>
    </row>
    <row r="118" spans="1:27" x14ac:dyDescent="0.25">
      <c r="A118" s="57"/>
      <c r="B118" s="52" t="str">
        <f>"Ha más, milyen programokat használnak: "&amp;IF($Q118&lt;&gt;0,$Q118,"")</f>
        <v xml:space="preserve">Ha más, milyen programokat használnak: </v>
      </c>
      <c r="Q118" s="52" cm="1">
        <f t="array" ref="Q118">INDEX(Adatlap!$C$1:$M$215,V118,$R$1)</f>
        <v>0</v>
      </c>
      <c r="V118" s="52">
        <f>ROW(Adatlap!$B$132)</f>
        <v>132</v>
      </c>
      <c r="AA118" s="53"/>
    </row>
    <row r="119" spans="1:27" x14ac:dyDescent="0.25">
      <c r="A119" s="57" t="s">
        <v>108</v>
      </c>
      <c r="B119" s="52" t="str">
        <f>"A gyülekezet szervezett regionális vagy egyházmegyei ifjúsági találkozót: "&amp;IF($Q119&lt;&gt;0,$Q119,"")</f>
        <v xml:space="preserve">A gyülekezet szervezett regionális vagy egyházmegyei ifjúsági találkozót: </v>
      </c>
      <c r="Q119" s="52" t="str" cm="1">
        <f t="array" ref="Q119">UPPER(INDEX(Adatlap!$C$1:$M$215,V119,$R$1))</f>
        <v/>
      </c>
      <c r="V119" s="52">
        <f>ROW(Adatlap!$B$133)</f>
        <v>133</v>
      </c>
      <c r="AA119" s="53"/>
    </row>
    <row r="120" spans="1:27" x14ac:dyDescent="0.25">
      <c r="A120" s="57" t="s">
        <v>110</v>
      </c>
      <c r="B120" s="52" t="str">
        <f>"A gyülekezet szervezett ifitábort: "&amp;IF($Q120&lt;&gt;0,$Q120,"")</f>
        <v xml:space="preserve">A gyülekezet szervezett ifitábort: </v>
      </c>
      <c r="Q120" s="52" t="str" cm="1">
        <f t="array" ref="Q120">UPPER(INDEX(Adatlap!$C$1:$M$215,V120,$R$1))</f>
        <v/>
      </c>
      <c r="V120" s="52">
        <f>ROW(Adatlap!$B$134)</f>
        <v>134</v>
      </c>
      <c r="AA120" s="53"/>
    </row>
    <row r="121" spans="1:27" x14ac:dyDescent="0.25">
      <c r="A121" s="57" t="s">
        <v>112</v>
      </c>
      <c r="B121" s="52" t="str">
        <f>"Az ifjak részt vettek más gyülekezeti vagy egyházmegyei táborban: "&amp;IF($Q121&lt;&gt;0,$Q121,"")</f>
        <v xml:space="preserve">Az ifjak részt vettek más gyülekezeti vagy egyházmegyei táborban: </v>
      </c>
      <c r="Q121" s="52" t="str" cm="1">
        <f t="array" ref="Q121">UPPER(INDEX(Adatlap!$C$1:$M$215,V121,$R$1))</f>
        <v/>
      </c>
      <c r="V121" s="52">
        <f>ROW(Adatlap!$B$135)</f>
        <v>135</v>
      </c>
      <c r="AA121" s="53"/>
    </row>
    <row r="122" spans="1:27" x14ac:dyDescent="0.25">
      <c r="A122" s="57" t="s">
        <v>120</v>
      </c>
      <c r="B122" s="52" t="str">
        <f>"Az ifjak részt vettek munkatársképzőn: "&amp;IF($Q122&lt;&gt;0,$Q122,"")</f>
        <v xml:space="preserve">Az ifjak részt vettek munkatársképzőn: </v>
      </c>
      <c r="Q122" s="52" t="str" cm="1">
        <f t="array" ref="Q122">UPPER(INDEX(Adatlap!$C$1:$M$215,V122,$R$1))</f>
        <v/>
      </c>
      <c r="V122" s="52">
        <f>ROW(Adatlap!$B$136)</f>
        <v>136</v>
      </c>
      <c r="AA122" s="53"/>
    </row>
    <row r="123" spans="1:27" ht="31.5" x14ac:dyDescent="0.25">
      <c r="A123" s="57" t="s">
        <v>122</v>
      </c>
      <c r="B123" s="106" t="str">
        <f>"Más belmissziós ifjúsági tevékenység, rendezvény: "&amp;IF($Q123&lt;&gt;0,$Q123,"")</f>
        <v xml:space="preserve">Más belmissziós ifjúsági tevékenység, rendezvény: </v>
      </c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Q123" s="52" cm="1">
        <f t="array" ref="Q123">INDEX(Adatlap!$C$1:$M$215,V123,$R$1)</f>
        <v>0</v>
      </c>
      <c r="V123" s="52">
        <f>ROW(Adatlap!$B$137)</f>
        <v>137</v>
      </c>
      <c r="AA123" s="53" t="s">
        <v>43</v>
      </c>
    </row>
    <row r="124" spans="1:27" x14ac:dyDescent="0.25">
      <c r="A124" s="66" t="s">
        <v>14</v>
      </c>
      <c r="B124" s="67" t="s">
        <v>123</v>
      </c>
      <c r="AA124" s="53"/>
    </row>
    <row r="125" spans="1:27" x14ac:dyDescent="0.25">
      <c r="A125" s="57" t="s">
        <v>103</v>
      </c>
      <c r="B125" s="52" t="s">
        <v>124</v>
      </c>
      <c r="AA125" s="53"/>
    </row>
    <row r="126" spans="1:27" x14ac:dyDescent="0.25">
      <c r="A126" s="57"/>
      <c r="B126" s="52" t="str">
        <f>IF($Q126&lt;&gt;0,$Q126,"")</f>
        <v/>
      </c>
      <c r="Q126" s="52" cm="1">
        <f t="array" ref="Q126">INDEX(Adatlap!$C$1:$M$215,V126,$R$1)</f>
        <v>0</v>
      </c>
      <c r="V126" s="52">
        <f>ROW(Adatlap!$B$139)</f>
        <v>139</v>
      </c>
      <c r="AA126" s="53"/>
    </row>
    <row r="127" spans="1:27" x14ac:dyDescent="0.25">
      <c r="A127" s="57" t="s">
        <v>105</v>
      </c>
      <c r="B127" s="52" t="str">
        <f>"Nőszövetségi diakóniai munka: "&amp;IF($Q127&lt;&gt;0,$Q127,"")</f>
        <v xml:space="preserve">Nőszövetségi diakóniai munka: </v>
      </c>
      <c r="Q127" s="52" cm="1">
        <f t="array" ref="Q127">INDEX(Adatlap!$C$1:$M$215,V127,$R$1)</f>
        <v>0</v>
      </c>
      <c r="V127" s="52">
        <f>ROW(Adatlap!$B$140)</f>
        <v>140</v>
      </c>
      <c r="AA127" s="53"/>
    </row>
    <row r="128" spans="1:27" x14ac:dyDescent="0.25">
      <c r="A128" s="57" t="s">
        <v>108</v>
      </c>
      <c r="B128" s="52" t="str">
        <f>"A gyülekezet szervezett regionális vagy egyházmegyei nőszövetségi találkozót: "&amp;IF($Q128&lt;&gt;0,$Q128,"")</f>
        <v xml:space="preserve">A gyülekezet szervezett regionális vagy egyházmegyei nőszövetségi találkozót: </v>
      </c>
      <c r="Q128" s="52" t="str" cm="1">
        <f t="array" ref="Q128">UPPER(INDEX(Adatlap!$C$1:$M$215,V128,$R$1))</f>
        <v/>
      </c>
      <c r="V128" s="52">
        <f>ROW(Adatlap!$B$141)</f>
        <v>141</v>
      </c>
      <c r="AA128" s="53"/>
    </row>
    <row r="129" spans="1:27" x14ac:dyDescent="0.25">
      <c r="A129" s="57"/>
      <c r="B129" s="52" t="str">
        <f>"Ha igen, kérjük felsorolni. "&amp;IF($Q129&lt;&gt;0,$Q129,"")</f>
        <v xml:space="preserve">Ha igen, kérjük felsorolni. </v>
      </c>
      <c r="Q129" s="52" cm="1">
        <f t="array" ref="Q129">INDEX(Adatlap!$C$1:$M$215,V129,$R$1)</f>
        <v>0</v>
      </c>
      <c r="V129" s="52">
        <f>ROW(Adatlap!$B$142)</f>
        <v>142</v>
      </c>
      <c r="AA129" s="53"/>
    </row>
    <row r="130" spans="1:27" x14ac:dyDescent="0.25">
      <c r="A130" s="57" t="s">
        <v>110</v>
      </c>
      <c r="B130" s="52" t="str">
        <f>"A gyülekezetben megszervezték az Ökumenikus Világimanapot: "&amp;IF($Q130&lt;&gt;0,$Q130,"")</f>
        <v xml:space="preserve">A gyülekezetben megszervezték az Ökumenikus Világimanapot: </v>
      </c>
      <c r="Q130" s="52" t="str" cm="1">
        <f t="array" ref="Q130">UPPER(INDEX(Adatlap!$C$1:$M$215,V130,$R$1))</f>
        <v/>
      </c>
      <c r="V130" s="52">
        <f>ROW(Adatlap!$B$143)</f>
        <v>143</v>
      </c>
      <c r="AA130" s="53"/>
    </row>
    <row r="131" spans="1:27" x14ac:dyDescent="0.25">
      <c r="A131" s="57"/>
      <c r="B131" s="52" t="str">
        <f>"vagy részt vettek más gyülekezet által szervezett Ökumenikus Világimanapon: "&amp;IF($Q131&lt;&gt;0,$Q131,"")</f>
        <v xml:space="preserve">vagy részt vettek más gyülekezet által szervezett Ökumenikus Világimanapon: </v>
      </c>
      <c r="Q131" s="52" t="str" cm="1">
        <f t="array" ref="Q131">UPPER(INDEX(Adatlap!$C$1:$M$215,V131,$R$1))</f>
        <v/>
      </c>
      <c r="V131" s="52">
        <f>ROW(Adatlap!$B$144)</f>
        <v>144</v>
      </c>
      <c r="AA131" s="53"/>
    </row>
    <row r="132" spans="1:27" x14ac:dyDescent="0.25">
      <c r="A132" s="57" t="s">
        <v>112</v>
      </c>
      <c r="B132" s="52" t="str">
        <f>"A gyülekezetben megszervezték a Kárpát-medencei imanapot "&amp;IF($Q132&lt;&gt;0,$Q132,"")</f>
        <v xml:space="preserve">A gyülekezetben megszervezték a Kárpát-medencei imanapot </v>
      </c>
      <c r="Q132" s="52" t="str" cm="1">
        <f t="array" ref="Q132">UPPER(INDEX(Adatlap!$C$1:$M$215,V132,$R$1))</f>
        <v/>
      </c>
      <c r="V132" s="52">
        <f>ROW(Adatlap!$B$145)</f>
        <v>145</v>
      </c>
      <c r="AA132" s="53"/>
    </row>
    <row r="133" spans="1:27" x14ac:dyDescent="0.25">
      <c r="A133" s="57"/>
      <c r="B133" s="52" t="str">
        <f>"vagy részt vettek más gyülekezet által szervezett Kárpát-medencei imanapon "&amp;IF($Q133&lt;&gt;0,$Q133,"")</f>
        <v xml:space="preserve">vagy részt vettek más gyülekezet által szervezett Kárpát-medencei imanapon </v>
      </c>
      <c r="Q133" s="52" t="str" cm="1">
        <f t="array" ref="Q133">UPPER(INDEX(Adatlap!$C$1:$M$215,V133,$R$1))</f>
        <v/>
      </c>
      <c r="V133" s="52">
        <f>ROW(Adatlap!$B$146)</f>
        <v>146</v>
      </c>
      <c r="AA133" s="53"/>
    </row>
    <row r="134" spans="1:27" ht="31.5" x14ac:dyDescent="0.25">
      <c r="A134" s="57" t="s">
        <v>120</v>
      </c>
      <c r="B134" s="106" t="str">
        <f>"Más nőszövetségi tevékenység, rendezvény: "&amp;IF($Q134&lt;&gt;0,$Q134,"")</f>
        <v xml:space="preserve">Más nőszövetségi tevékenység, rendezvény: </v>
      </c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Q134" s="52" cm="1">
        <f t="array" ref="Q134">INDEX(Adatlap!$C$1:$M$215,V134,$R$1)</f>
        <v>0</v>
      </c>
      <c r="V134" s="52">
        <f>ROW(Adatlap!$B$147)</f>
        <v>147</v>
      </c>
      <c r="AA134" s="53" t="s">
        <v>43</v>
      </c>
    </row>
    <row r="135" spans="1:27" x14ac:dyDescent="0.25">
      <c r="A135" s="66" t="s">
        <v>16</v>
      </c>
      <c r="B135" s="67" t="s">
        <v>130</v>
      </c>
      <c r="AA135" s="53"/>
    </row>
    <row r="136" spans="1:27" x14ac:dyDescent="0.25">
      <c r="A136" s="57" t="s">
        <v>103</v>
      </c>
      <c r="B136" s="52" t="s">
        <v>131</v>
      </c>
      <c r="AA136" s="53"/>
    </row>
    <row r="137" spans="1:27" x14ac:dyDescent="0.25">
      <c r="A137" s="57"/>
      <c r="B137" s="52" t="str">
        <f>IF($Q137&lt;&gt;0,$Q137,"")</f>
        <v/>
      </c>
      <c r="Q137" s="52" cm="1">
        <f t="array" ref="Q137">INDEX(Adatlap!$C$1:$M$215,V137,$R$1)</f>
        <v>0</v>
      </c>
      <c r="V137" s="52">
        <f>ROW(Adatlap!$B$149)</f>
        <v>149</v>
      </c>
      <c r="AA137" s="53"/>
    </row>
    <row r="138" spans="1:27" x14ac:dyDescent="0.25">
      <c r="A138" s="57" t="s">
        <v>105</v>
      </c>
      <c r="B138" s="52" t="str">
        <f>"A gyülekezet szervezett presbiterképző alkalmakat: "&amp;IF($Q138&lt;&gt;0,$Q138,"")</f>
        <v xml:space="preserve">A gyülekezet szervezett presbiterképző alkalmakat: </v>
      </c>
      <c r="Q138" s="52" t="str" cm="1">
        <f t="array" ref="Q138">UPPER(INDEX(Adatlap!$C$1:$M$215,V138,$R$1))</f>
        <v/>
      </c>
      <c r="V138" s="52">
        <f>ROW(Adatlap!$B$150)</f>
        <v>150</v>
      </c>
      <c r="AA138" s="53"/>
    </row>
    <row r="139" spans="1:27" x14ac:dyDescent="0.25">
      <c r="A139" s="57"/>
      <c r="B139" s="52" t="str">
        <f>"vagy részt vettek más gyülekezet vagy egyházmegyei képzéseken: "&amp;IF($Q139&lt;&gt;0,$Q139,"")</f>
        <v xml:space="preserve">vagy részt vettek más gyülekezet vagy egyházmegyei képzéseken: </v>
      </c>
      <c r="Q139" s="52" t="str" cm="1">
        <f t="array" ref="Q139">UPPER(INDEX(Adatlap!$C$1:$M$215,V139,$R$1))</f>
        <v/>
      </c>
      <c r="V139" s="52">
        <f>ROW(Adatlap!$B$151)</f>
        <v>151</v>
      </c>
      <c r="AA139" s="53"/>
    </row>
    <row r="140" spans="1:27" x14ac:dyDescent="0.25">
      <c r="A140" s="57" t="s">
        <v>108</v>
      </c>
      <c r="B140" s="52" t="str">
        <f>"A gyülekezet szervezett regionális vagy egyházmegyei presbiterszövetségi találkozót: "&amp;IF($Q140&lt;&gt;0,$Q140,"")</f>
        <v xml:space="preserve">A gyülekezet szervezett regionális vagy egyházmegyei presbiterszövetségi találkozót: </v>
      </c>
      <c r="Q140" s="52" t="str" cm="1">
        <f t="array" ref="Q140">UPPER(INDEX(Adatlap!$C$1:$M$215,V140,$R$1))</f>
        <v/>
      </c>
      <c r="V140" s="52">
        <f>ROW(Adatlap!$B$152)</f>
        <v>152</v>
      </c>
      <c r="AA140" s="53"/>
    </row>
    <row r="141" spans="1:27" x14ac:dyDescent="0.25">
      <c r="A141" s="57"/>
      <c r="B141" s="52" t="str">
        <f>"Kérjük felsorolni: "&amp;IF($Q141&lt;&gt;0,$Q141,"")</f>
        <v xml:space="preserve">Kérjük felsorolni: </v>
      </c>
      <c r="Q141" s="52" cm="1">
        <f t="array" ref="Q141">INDEX(Adatlap!$C$1:$M$215,V141,$R$1)</f>
        <v>0</v>
      </c>
      <c r="V141" s="52">
        <f>ROW(Adatlap!$B$153)</f>
        <v>153</v>
      </c>
      <c r="AA141" s="53"/>
    </row>
    <row r="142" spans="1:27" ht="31.5" x14ac:dyDescent="0.25">
      <c r="A142" s="57" t="s">
        <v>110</v>
      </c>
      <c r="B142" s="106" t="str">
        <f>"Más presbiterszövetségi tevékenység, rendezvény: "&amp;IF($Q142&lt;&gt;0,$Q142,"")</f>
        <v xml:space="preserve">Más presbiterszövetségi tevékenység, rendezvény: </v>
      </c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Q142" s="52" cm="1">
        <f t="array" ref="Q142">INDEX(Adatlap!$C$1:$M$215,V142,$R$1)</f>
        <v>0</v>
      </c>
      <c r="V142" s="52">
        <f>ROW(Adatlap!$B$154)</f>
        <v>154</v>
      </c>
      <c r="AA142" s="53" t="s">
        <v>43</v>
      </c>
    </row>
    <row r="143" spans="1:27" x14ac:dyDescent="0.25">
      <c r="A143" s="66" t="s">
        <v>18</v>
      </c>
      <c r="B143" s="67" t="s">
        <v>135</v>
      </c>
      <c r="AA143" s="53"/>
    </row>
    <row r="144" spans="1:27" x14ac:dyDescent="0.25">
      <c r="A144" s="57"/>
      <c r="B144" s="52" t="s">
        <v>136</v>
      </c>
      <c r="AA144" s="53"/>
    </row>
    <row r="145" spans="1:27" ht="47.25" x14ac:dyDescent="0.25">
      <c r="A145" s="57"/>
      <c r="B145" s="116" t="str">
        <f>IF($Q145&lt;&gt;0,$Q145,"")</f>
        <v/>
      </c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Q145" s="52" cm="1">
        <f t="array" ref="Q145">INDEX(Adatlap!$C$1:$M$215,V145,$R$1)</f>
        <v>0</v>
      </c>
      <c r="V145" s="52">
        <f>ROW(Adatlap!$B$156)</f>
        <v>156</v>
      </c>
      <c r="AA145" s="53" t="s">
        <v>6</v>
      </c>
    </row>
    <row r="146" spans="1:27" x14ac:dyDescent="0.25">
      <c r="A146" s="66" t="s">
        <v>20</v>
      </c>
      <c r="B146" s="67" t="s">
        <v>287</v>
      </c>
      <c r="AA146" s="53"/>
    </row>
    <row r="147" spans="1:27" ht="47.25" x14ac:dyDescent="0.25">
      <c r="A147" s="57"/>
      <c r="B147" s="116" t="str">
        <f>IF($Q147&lt;&gt;0,$Q147,"")</f>
        <v/>
      </c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Q147" s="52" cm="1">
        <f t="array" ref="Q147">INDEX(Adatlap!$C$1:$M$215,V147,$R$1)</f>
        <v>0</v>
      </c>
      <c r="V147" s="52">
        <f>ROW(Adatlap!$B$158)</f>
        <v>158</v>
      </c>
      <c r="AA147" s="53" t="s">
        <v>6</v>
      </c>
    </row>
    <row r="148" spans="1:27" ht="47.25" x14ac:dyDescent="0.25">
      <c r="A148" s="112" t="s">
        <v>139</v>
      </c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AA148" s="53" t="s">
        <v>6</v>
      </c>
    </row>
    <row r="149" spans="1:27" ht="31.5" x14ac:dyDescent="0.25">
      <c r="A149" s="57" t="s">
        <v>7</v>
      </c>
      <c r="B149" s="106" t="str">
        <f>"A gyülekezeti vallásórás korú gyermekek összlétszáma (óvodás kortól; az I. és II. éves konfirmandusok nélkül): "&amp;IF($Q149&lt;&gt;0,$Q149,"0")&amp;" gyermek."</f>
        <v>A gyülekezeti vallásórás korú gyermekek összlétszáma (óvodás kortól; az I. és II. éves konfirmandusok nélkül): 0 gyermek.</v>
      </c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 t="str">
        <f>IF($Q149&lt;&gt;0,$Q149,"")</f>
        <v/>
      </c>
      <c r="Q149" s="52" cm="1">
        <f t="array" ref="Q149">INDEX(Adatlap!$C$1:$M$215,V149,$R$1)</f>
        <v>0</v>
      </c>
      <c r="V149" s="52">
        <f>ROW(Adatlap!$B$160)</f>
        <v>160</v>
      </c>
      <c r="AA149" s="53" t="s">
        <v>43</v>
      </c>
    </row>
    <row r="150" spans="1:27" x14ac:dyDescent="0.25">
      <c r="A150" s="57" t="s">
        <v>12</v>
      </c>
      <c r="B150" s="52" t="str">
        <f>"Ebből vallásórára járt egy alkalommal "&amp;IF($Q150&lt;&gt;0,$Q150,"--")&amp;" gyermek."</f>
        <v>Ebből vallásórára járt egy alkalommal -- gyermek.</v>
      </c>
      <c r="Q150" s="52" cm="1">
        <f t="array" ref="Q150">INDEX(Adatlap!$C$1:$M$215,V150,$R$1)</f>
        <v>0</v>
      </c>
      <c r="V150" s="52">
        <f>ROW(Adatlap!$B$161)</f>
        <v>161</v>
      </c>
      <c r="AA150" s="53"/>
    </row>
    <row r="151" spans="1:27" x14ac:dyDescent="0.25">
      <c r="A151" s="57" t="s">
        <v>14</v>
      </c>
      <c r="B151" s="52" t="str">
        <f>"A gyülekezetben "&amp;IF($Q151&lt;&gt;0,$Q151,"")&amp;" csoportban folyt a vallásóra."</f>
        <v>A gyülekezetben  csoportban folyt a vallásóra.</v>
      </c>
      <c r="Q151" s="52" cm="1">
        <f t="array" ref="Q151">INDEX(Adatlap!$C$1:$M$215,V151,$R$1)</f>
        <v>0</v>
      </c>
      <c r="V151" s="52">
        <f>ROW(Adatlap!$B$162)</f>
        <v>162</v>
      </c>
      <c r="AA151" s="53"/>
    </row>
    <row r="152" spans="1:27" x14ac:dyDescent="0.25">
      <c r="A152" s="57" t="s">
        <v>16</v>
      </c>
      <c r="B152" s="52" t="str">
        <f>"Az év folyamán volt "&amp;IF($Q152&lt;&gt;0,$Q152,"--")&amp;" vallásóra."</f>
        <v>Az év folyamán volt -- vallásóra.</v>
      </c>
      <c r="Q152" s="52" cm="1">
        <f t="array" ref="Q152">INDEX(Adatlap!$C$1:$M$215,V152,$R$1)</f>
        <v>0</v>
      </c>
      <c r="V152" s="52">
        <f>ROW(Adatlap!$B$163)</f>
        <v>163</v>
      </c>
      <c r="AA152" s="53"/>
    </row>
    <row r="153" spans="1:27" x14ac:dyDescent="0.25">
      <c r="A153" s="57" t="s">
        <v>142</v>
      </c>
      <c r="B153" s="107" t="str">
        <f>"Az év folyamán volt "&amp;IF($Q153&lt;&gt;0,$Q153,"--")&amp;" gyermekistentisztelet (liturgikus szolgálattal) és "&amp;IF($R153&lt;&gt;0,$R153,"--")&amp;" vasárnapi iskola."</f>
        <v>Az év folyamán volt -- gyermekistentisztelet (liturgikus szolgálattal) és -- vasárnapi iskola.</v>
      </c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Q153" s="52" cm="1">
        <f t="array" ref="Q153">INDEX(Adatlap!$C$1:$M$215,V153,$R$1)</f>
        <v>0</v>
      </c>
      <c r="R153" s="52" cm="1">
        <f t="array" ref="R153">INDEX(Adatlap!$C$1:$M$215,W153,$R$1)</f>
        <v>0</v>
      </c>
      <c r="V153" s="52">
        <f>ROW(Adatlap!$B$164)</f>
        <v>164</v>
      </c>
      <c r="W153" s="52">
        <f>ROW(Adatlap!$B$165)</f>
        <v>165</v>
      </c>
      <c r="AA153" s="53"/>
    </row>
    <row r="154" spans="1:27" x14ac:dyDescent="0.25">
      <c r="A154" s="57" t="s">
        <v>143</v>
      </c>
      <c r="B154" s="52" t="str">
        <f>"A konfirmációi felkészítés I. évén résztvevők száma: "&amp;IF($Q154&lt;&gt;0,$Q154,"")&amp;" gyermek."</f>
        <v>A konfirmációi felkészítés I. évén résztvevők száma:  gyermek.</v>
      </c>
      <c r="Q154" s="52" cm="1">
        <f t="array" ref="Q154">INDEX(Adatlap!$C$1:$M$215,V154,$R$1)</f>
        <v>0</v>
      </c>
      <c r="V154" s="52">
        <f>ROW(Adatlap!$B$166)</f>
        <v>166</v>
      </c>
      <c r="AA154" s="53"/>
    </row>
    <row r="155" spans="1:27" x14ac:dyDescent="0.25">
      <c r="A155" s="57"/>
      <c r="B155" s="52" t="str">
        <f>"A gyülekezetben "&amp;IF($Q155&lt;&gt;0,$Q155,"nincs")&amp;" kiskonfirmáció."</f>
        <v>A gyülekezetben  kiskonfirmáció.</v>
      </c>
      <c r="Q155" s="52" t="str" cm="1">
        <f t="array" ref="Q155">UPPER(INDEX(Adatlap!$C$1:$M$215,V155,$R$1))</f>
        <v/>
      </c>
      <c r="V155" s="52">
        <f>ROW(Adatlap!$B$167)</f>
        <v>167</v>
      </c>
      <c r="AA155" s="53"/>
    </row>
    <row r="156" spans="1:27" x14ac:dyDescent="0.25">
      <c r="A156" s="57"/>
      <c r="B156" s="52" t="str">
        <f>"A kiskonfirmáción, kikérdezésen részt vett: "&amp;IF($Q156&lt;&gt;0,$Q156,"--")&amp;" gyermek."</f>
        <v>A kiskonfirmáción, kikérdezésen részt vett: -- gyermek.</v>
      </c>
      <c r="Q156" s="52" cm="1">
        <f t="array" ref="Q156">INDEX(Adatlap!$C$1:$M$215,V156,$R$1)</f>
        <v>0</v>
      </c>
      <c r="V156" s="52">
        <f>ROW(Adatlap!$B$168)</f>
        <v>168</v>
      </c>
      <c r="AA156" s="53"/>
    </row>
    <row r="157" spans="1:27" x14ac:dyDescent="0.25">
      <c r="A157" s="57" t="s">
        <v>147</v>
      </c>
      <c r="B157" s="52" t="str">
        <f>"A konfirmációi felkészítés II. évén résztvevők száma: "&amp;IF($Q157&lt;&gt;0,$Q157,"")</f>
        <v xml:space="preserve">A konfirmációi felkészítés II. évén résztvevők száma: </v>
      </c>
      <c r="Q157" s="52" cm="1">
        <f t="array" ref="Q157">INDEX(Adatlap!$C$1:$M$215,V157,$R$1)</f>
        <v>0</v>
      </c>
      <c r="V157" s="52">
        <f>ROW(Adatlap!$B$169)</f>
        <v>169</v>
      </c>
      <c r="AA157" s="53"/>
    </row>
    <row r="158" spans="1:27" x14ac:dyDescent="0.25">
      <c r="A158" s="57"/>
      <c r="B158" s="52" t="str">
        <f>"Ebből konfirmált az év folyamán: "&amp;IF($Q158&lt;&gt;0,$Q158,"")&amp;" fiú, "&amp;IF($R158&lt;&gt;0,$R158,"")&amp;" lány, együtt: "&amp;IF($S158&lt;&gt;0,$S158,"--")</f>
        <v>Ebből konfirmált az év folyamán:  fiú,  lány, együtt: --</v>
      </c>
      <c r="Q158" s="52" cm="1">
        <f t="array" ref="Q158">INDEX(Adatlap!$C$1:$M$215,V158,$R$1)</f>
        <v>0</v>
      </c>
      <c r="R158" s="52" cm="1">
        <f t="array" ref="R158">INDEX(Adatlap!$C$1:$M$215,W158,$R$1)</f>
        <v>0</v>
      </c>
      <c r="S158" s="52">
        <f>SUM(Q158:R158)</f>
        <v>0</v>
      </c>
      <c r="V158" s="52">
        <f>ROW(Adatlap!$B$170)</f>
        <v>170</v>
      </c>
      <c r="W158" s="52">
        <f>ROW(Adatlap!$B$171)</f>
        <v>171</v>
      </c>
      <c r="AA158" s="53"/>
    </row>
    <row r="159" spans="1:27" x14ac:dyDescent="0.25">
      <c r="A159" s="57" t="s">
        <v>149</v>
      </c>
      <c r="B159" s="52" t="str">
        <f>"Áttérő, illetve felnőtt konfirmáltak száma: "&amp;IF($Q159&lt;&gt;0,$Q159,"")&amp;"."</f>
        <v>Áttérő, illetve felnőtt konfirmáltak száma: .</v>
      </c>
      <c r="Q159" s="52" cm="1">
        <f t="array" ref="Q159">INDEX(Adatlap!$C$1:$M$215,V159,$R$1)</f>
        <v>0</v>
      </c>
      <c r="V159" s="52">
        <f>ROW(Adatlap!$B$172)</f>
        <v>172</v>
      </c>
      <c r="AA159" s="53"/>
    </row>
    <row r="160" spans="1:27" ht="47.25" x14ac:dyDescent="0.25">
      <c r="A160" s="112" t="s">
        <v>151</v>
      </c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AA160" s="53" t="s">
        <v>6</v>
      </c>
    </row>
    <row r="161" spans="1:27" ht="31.5" x14ac:dyDescent="0.25">
      <c r="A161" s="57" t="s">
        <v>7</v>
      </c>
      <c r="B161" s="106" t="str">
        <f>"Az egyházközség keretén belül működik-e állandó diakóniai intézmény? (pl. gyerekotthon, idősotthon, beteggondozás stb.) "&amp;IF($Q161&lt;&gt;0,$Q161,"")</f>
        <v xml:space="preserve">Az egyházközség keretén belül működik-e állandó diakóniai intézmény? (pl. gyerekotthon, idősotthon, beteggondozás stb.) </v>
      </c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Q161" s="52" t="str" cm="1">
        <f t="array" ref="Q161">UPPER(INDEX(Adatlap!$C$1:$M$215,V161,$R$1))</f>
        <v/>
      </c>
      <c r="V161" s="52">
        <f>ROW(Adatlap!$B$174)</f>
        <v>174</v>
      </c>
      <c r="AA161" s="53" t="s">
        <v>43</v>
      </c>
    </row>
    <row r="162" spans="1:27" x14ac:dyDescent="0.25">
      <c r="A162" s="57"/>
      <c r="B162" s="52" t="str">
        <f>"Ha igen, kérjük megnevezni, felsorolni: "&amp;IF($Q162&lt;&gt;0,$Q162,"")</f>
        <v xml:space="preserve">Ha igen, kérjük megnevezni, felsorolni: </v>
      </c>
      <c r="Q162" s="52" cm="1">
        <f t="array" ref="Q162">INDEX(Adatlap!$C$1:$M$215,V162,$R$1)</f>
        <v>0</v>
      </c>
      <c r="V162" s="52">
        <f>ROW(Adatlap!$B$175)</f>
        <v>175</v>
      </c>
      <c r="AA162" s="53"/>
    </row>
    <row r="163" spans="1:27" x14ac:dyDescent="0.25">
      <c r="A163" s="57"/>
      <c r="B163" s="52" t="str">
        <f>"Az állandó diakóniai szolgálatra költött összeg: "&amp;IF($Q163&lt;&gt;0,$Q163,"")&amp;$S$1</f>
        <v>Az állandó diakóniai szolgálatra költött összeg:  lej.</v>
      </c>
      <c r="Q163" s="52" cm="1">
        <f t="array" ref="Q163">INDEX(Adatlap!$C$1:$M$215,V163,$R$1)</f>
        <v>0</v>
      </c>
      <c r="V163" s="52">
        <f>ROW(Adatlap!$B$176)</f>
        <v>176</v>
      </c>
      <c r="AA163" s="53"/>
    </row>
    <row r="164" spans="1:27" ht="31.5" x14ac:dyDescent="0.25">
      <c r="A164" s="57" t="s">
        <v>12</v>
      </c>
      <c r="B164" s="106" t="str">
        <f>"Az egyházközségben van-e rendszeres diakóniai szolgálat? (pl. beteglátogatás, betegek, idősek rendszeres segélyezése) "&amp;IF($Q164&lt;&gt;0,$Q164,"")</f>
        <v xml:space="preserve">Az egyházközségben van-e rendszeres diakóniai szolgálat? (pl. beteglátogatás, betegek, idősek rendszeres segélyezése) </v>
      </c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Q164" s="52" t="str" cm="1">
        <f t="array" ref="Q164">UPPER(INDEX(Adatlap!$C$1:$M$215,V164,$R$1))</f>
        <v/>
      </c>
      <c r="V164" s="52">
        <f>ROW(Adatlap!$B$177)</f>
        <v>177</v>
      </c>
      <c r="AA164" s="53" t="s">
        <v>43</v>
      </c>
    </row>
    <row r="165" spans="1:27" x14ac:dyDescent="0.25">
      <c r="A165" s="57"/>
      <c r="B165" s="52" t="str">
        <f>"Ha van, kérjük megnevezni, felsorolni: "&amp;IF($Q165&lt;&gt;0,$Q165,"")</f>
        <v xml:space="preserve">Ha van, kérjük megnevezni, felsorolni: </v>
      </c>
      <c r="Q165" s="52" cm="1">
        <f t="array" ref="Q165">INDEX(Adatlap!$C$1:$M$215,V165,$R$1)</f>
        <v>0</v>
      </c>
      <c r="V165" s="52">
        <f>ROW(Adatlap!$B$178)</f>
        <v>178</v>
      </c>
      <c r="AA165" s="53"/>
    </row>
    <row r="166" spans="1:27" x14ac:dyDescent="0.25">
      <c r="A166" s="57"/>
      <c r="B166" s="52" t="str">
        <f>"A rendszeres diakóniai szolgálatra költött összeg: "&amp;IF($Q166&lt;&gt;0,$Q166,"")&amp;$S$1</f>
        <v>A rendszeres diakóniai szolgálatra költött összeg:  lej.</v>
      </c>
      <c r="Q166" s="52" cm="1">
        <f t="array" ref="Q166">INDEX(Adatlap!$C$1:$M$215,V166,$R$1)</f>
        <v>0</v>
      </c>
      <c r="V166" s="52">
        <f>ROW(Adatlap!$B$179)</f>
        <v>179</v>
      </c>
      <c r="AA166" s="53"/>
    </row>
    <row r="167" spans="1:27" x14ac:dyDescent="0.25">
      <c r="A167" s="57" t="s">
        <v>14</v>
      </c>
      <c r="B167" s="52" t="str">
        <f>"Az egyházközségben van-e alkalmi diakóniai szolgálat? "&amp;IF($Q167&lt;&gt;0,$Q167,"")</f>
        <v xml:space="preserve">Az egyházközségben van-e alkalmi diakóniai szolgálat? </v>
      </c>
      <c r="Q167" s="52" t="str" cm="1">
        <f t="array" ref="Q167">UPPER(INDEX(Adatlap!$C$1:$M$215,V167,$R$1))</f>
        <v/>
      </c>
      <c r="V167" s="52">
        <f>ROW(Adatlap!$B$180)</f>
        <v>180</v>
      </c>
      <c r="AA167" s="53"/>
    </row>
    <row r="168" spans="1:27" x14ac:dyDescent="0.25">
      <c r="A168" s="57"/>
      <c r="B168" s="52" t="str">
        <f>"Ha van, kérjük megnevezni, felsorolni: "&amp;IF($Q168&lt;&gt;0,$Q168,"")</f>
        <v xml:space="preserve">Ha van, kérjük megnevezni, felsorolni: </v>
      </c>
      <c r="Q168" s="52" cm="1">
        <f t="array" ref="Q168">INDEX(Adatlap!$C$1:$M$215,V168,$R$1)</f>
        <v>0</v>
      </c>
      <c r="V168" s="52">
        <f>ROW(Adatlap!$B$181)</f>
        <v>181</v>
      </c>
      <c r="AA168" s="53"/>
    </row>
    <row r="169" spans="1:27" x14ac:dyDescent="0.25">
      <c r="A169" s="57"/>
      <c r="B169" s="52" t="str">
        <f>"Az alkalmi diakóniai szolgálatra költött összeg: "&amp;IF($Q169&lt;&gt;0,$Q169,"")&amp;$S$1</f>
        <v>Az alkalmi diakóniai szolgálatra költött összeg:  lej.</v>
      </c>
      <c r="Q169" s="52" cm="1">
        <f t="array" ref="Q169">INDEX(Adatlap!$C$1:$M$215,V169,$R$1)</f>
        <v>0</v>
      </c>
      <c r="V169" s="52">
        <f>ROW(Adatlap!$B$182)</f>
        <v>182</v>
      </c>
      <c r="AA169" s="53"/>
    </row>
    <row r="170" spans="1:27" x14ac:dyDescent="0.25">
      <c r="A170" s="57" t="s">
        <v>16</v>
      </c>
      <c r="B170" s="52" t="str">
        <f>"Más diakóniai szolgálat: "&amp;IF($Q170&lt;&gt;0,$Q170,"")</f>
        <v xml:space="preserve">Más diakóniai szolgálat: </v>
      </c>
      <c r="Q170" s="52" cm="1">
        <f t="array" ref="Q170">INDEX(Adatlap!$C$1:$M$215,V170,$R$1)</f>
        <v>0</v>
      </c>
      <c r="V170" s="52">
        <f>ROW(Adatlap!$B$183)</f>
        <v>183</v>
      </c>
      <c r="AA170" s="53"/>
    </row>
    <row r="171" spans="1:27" x14ac:dyDescent="0.25">
      <c r="A171" s="57" t="s">
        <v>18</v>
      </c>
      <c r="B171" s="111" t="str">
        <f>"Működik-e a gyülekezet területén nem egyházközségi, szeretetszolgálatot végző intézmény? "&amp;IF($Q171&lt;&gt;0,$Q171,"")</f>
        <v xml:space="preserve">Működik-e a gyülekezet területén nem egyházközségi, szeretetszolgálatot végző intézmény? </v>
      </c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Q171" s="52" t="str" cm="1">
        <f t="array" ref="Q171">UPPER(INDEX(Adatlap!$C$1:$M$215,V171,$R$1))</f>
        <v/>
      </c>
      <c r="V171" s="52">
        <f>ROW(Adatlap!$B$184)</f>
        <v>184</v>
      </c>
      <c r="AA171" s="53"/>
    </row>
    <row r="172" spans="1:27" ht="31.5" x14ac:dyDescent="0.25">
      <c r="A172" s="57"/>
      <c r="B172" s="106" t="str">
        <f>"Ha igen, kérjük megnevezni, felsorolni: "&amp;IF($Q172&lt;&gt;0,$Q172,"")</f>
        <v xml:space="preserve">Ha igen, kérjük megnevezni, felsorolni: </v>
      </c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Q172" s="52" cm="1">
        <f t="array" ref="Q172">INDEX(Adatlap!$C$1:$M$215,V172,$R$1)</f>
        <v>0</v>
      </c>
      <c r="V172" s="52">
        <f>ROW(Adatlap!$B$185)</f>
        <v>185</v>
      </c>
      <c r="AA172" s="53" t="s">
        <v>43</v>
      </c>
    </row>
    <row r="173" spans="1:27" ht="47.25" x14ac:dyDescent="0.25">
      <c r="A173" s="113" t="s">
        <v>289</v>
      </c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AA173" s="53" t="s">
        <v>6</v>
      </c>
    </row>
    <row r="174" spans="1:27" x14ac:dyDescent="0.25">
      <c r="A174" s="57" t="s">
        <v>7</v>
      </c>
      <c r="B174" s="52" t="s">
        <v>162</v>
      </c>
      <c r="H174" s="110" t="str">
        <f>IF($Q174&lt;&gt;0,$Q174,"")</f>
        <v/>
      </c>
      <c r="I174" s="110"/>
      <c r="J174" s="52" t="str">
        <f>"Egy lélekre esik: "&amp;IF($R174&lt;&gt;0,$R174,"--")&amp;$S$1</f>
        <v>Egy lélekre esik: -- lej.</v>
      </c>
      <c r="Q174" s="52" cm="1">
        <f t="array" ref="Q174">INDEX(Adatlap!$C$1:$M$215,V174,$R$1)</f>
        <v>0</v>
      </c>
      <c r="R174" s="52">
        <f>ROUND(Q174/$S$64,2)</f>
        <v>0</v>
      </c>
      <c r="V174" s="52">
        <f>ROW(Adatlap!$B$187)</f>
        <v>187</v>
      </c>
      <c r="AA174" s="53"/>
    </row>
    <row r="175" spans="1:27" x14ac:dyDescent="0.25">
      <c r="A175" s="57" t="s">
        <v>12</v>
      </c>
      <c r="B175" s="52" t="s">
        <v>163</v>
      </c>
      <c r="H175" s="110" t="str">
        <f t="shared" ref="H175:H183" si="44">IF($Q175&lt;&gt;0,$Q175,"")</f>
        <v/>
      </c>
      <c r="I175" s="110"/>
      <c r="J175" s="52" t="str">
        <f>"Egy lélekre esik: "&amp;IF($R175&lt;&gt;0,$R175,"--")&amp;$S$1</f>
        <v>Egy lélekre esik: -- lej.</v>
      </c>
      <c r="Q175" s="52" cm="1">
        <f t="array" ref="Q175">INDEX(Adatlap!$C$1:$M$215,V175,$R$1)</f>
        <v>0</v>
      </c>
      <c r="R175" s="52">
        <f>ROUND(Q175/$S$64,2)</f>
        <v>0</v>
      </c>
      <c r="V175" s="52">
        <f>ROW(Adatlap!$B$188)</f>
        <v>188</v>
      </c>
      <c r="AA175" s="53"/>
    </row>
    <row r="176" spans="1:27" x14ac:dyDescent="0.25">
      <c r="A176" s="57" t="s">
        <v>14</v>
      </c>
      <c r="B176" s="52" t="s">
        <v>164</v>
      </c>
      <c r="H176" s="110"/>
      <c r="I176" s="110"/>
      <c r="AA176" s="53"/>
    </row>
    <row r="177" spans="1:27" x14ac:dyDescent="0.25">
      <c r="A177" s="57"/>
      <c r="C177" s="52" t="s">
        <v>103</v>
      </c>
      <c r="F177" s="56" t="s">
        <v>165</v>
      </c>
      <c r="H177" s="110" t="str">
        <f t="shared" si="44"/>
        <v/>
      </c>
      <c r="I177" s="110"/>
      <c r="Q177" s="52" cm="1">
        <f t="array" ref="Q177">INDEX(Adatlap!$C$1:$M$215,V177,$R$1)</f>
        <v>0</v>
      </c>
      <c r="V177" s="52">
        <f>ROW(Adatlap!$B$189)</f>
        <v>189</v>
      </c>
      <c r="AA177" s="53"/>
    </row>
    <row r="178" spans="1:27" x14ac:dyDescent="0.25">
      <c r="A178" s="57"/>
      <c r="C178" s="52" t="s">
        <v>105</v>
      </c>
      <c r="F178" s="56" t="s">
        <v>166</v>
      </c>
      <c r="H178" s="110" t="str">
        <f t="shared" si="44"/>
        <v/>
      </c>
      <c r="I178" s="110"/>
      <c r="Q178" s="52" cm="1">
        <f t="array" ref="Q178">INDEX(Adatlap!$C$1:$M$215,V178,$R$1)</f>
        <v>0</v>
      </c>
      <c r="V178" s="52">
        <f>ROW(Adatlap!$B$190)</f>
        <v>190</v>
      </c>
      <c r="AA178" s="53"/>
    </row>
    <row r="179" spans="1:27" x14ac:dyDescent="0.25">
      <c r="A179" s="57"/>
      <c r="C179" s="52" t="s">
        <v>108</v>
      </c>
      <c r="F179" s="56" t="s">
        <v>167</v>
      </c>
      <c r="H179" s="110" t="str">
        <f t="shared" si="44"/>
        <v/>
      </c>
      <c r="I179" s="110"/>
      <c r="Q179" s="52" cm="1">
        <f t="array" ref="Q179">INDEX(Adatlap!$C$1:$M$215,V179,$R$1)</f>
        <v>0</v>
      </c>
      <c r="V179" s="52">
        <f>ROW(Adatlap!$B$191)</f>
        <v>191</v>
      </c>
      <c r="AA179" s="53"/>
    </row>
    <row r="180" spans="1:27" x14ac:dyDescent="0.25">
      <c r="A180" s="57"/>
      <c r="C180" s="52" t="s">
        <v>110</v>
      </c>
      <c r="F180" s="56" t="s">
        <v>168</v>
      </c>
      <c r="H180" s="110" t="str">
        <f t="shared" si="44"/>
        <v/>
      </c>
      <c r="I180" s="110"/>
      <c r="Q180" s="68">
        <f>SUM(Q177,Q178,-Q179)</f>
        <v>0</v>
      </c>
      <c r="AA180" s="53"/>
    </row>
    <row r="181" spans="1:27" x14ac:dyDescent="0.25">
      <c r="A181" s="57"/>
      <c r="C181" s="52" t="s">
        <v>112</v>
      </c>
      <c r="F181" s="56" t="s">
        <v>169</v>
      </c>
      <c r="H181" s="110" t="str">
        <f t="shared" si="44"/>
        <v/>
      </c>
      <c r="I181" s="110"/>
      <c r="Q181" s="52" cm="1">
        <f t="array" ref="Q181">INDEX(Adatlap!$C$1:$M$215,V181,$R$1)</f>
        <v>0</v>
      </c>
      <c r="V181" s="52">
        <f>ROW(Adatlap!$B$192)</f>
        <v>192</v>
      </c>
      <c r="AA181" s="53"/>
    </row>
    <row r="182" spans="1:27" x14ac:dyDescent="0.25">
      <c r="A182" s="57"/>
      <c r="C182" s="52" t="s">
        <v>120</v>
      </c>
      <c r="F182" s="56" t="s">
        <v>170</v>
      </c>
      <c r="H182" s="110" t="str">
        <f t="shared" si="44"/>
        <v/>
      </c>
      <c r="I182" s="110"/>
      <c r="Q182" s="52" cm="1">
        <f t="array" ref="Q182">INDEX(Adatlap!$C$1:$M$215,V182,$R$1)</f>
        <v>0</v>
      </c>
      <c r="V182" s="52">
        <f>ROW(Adatlap!$B$193)</f>
        <v>193</v>
      </c>
      <c r="AA182" s="53"/>
    </row>
    <row r="183" spans="1:27" x14ac:dyDescent="0.25">
      <c r="A183" s="57"/>
      <c r="C183" s="52" t="s">
        <v>122</v>
      </c>
      <c r="F183" s="56" t="s">
        <v>171</v>
      </c>
      <c r="H183" s="110" t="str">
        <f t="shared" si="44"/>
        <v/>
      </c>
      <c r="I183" s="110"/>
      <c r="Q183" s="68">
        <f>SUM(Q180,Q181,-Q182)</f>
        <v>0</v>
      </c>
      <c r="AA183" s="53"/>
    </row>
    <row r="184" spans="1:27" ht="31.5" x14ac:dyDescent="0.25">
      <c r="A184" s="57" t="s">
        <v>16</v>
      </c>
      <c r="B184" s="106" t="str">
        <f>"Az egyházközség eleget tudott-e tenni időben a kifizetési kötelességeinek? (pl. alkalmazottak fizetése, közüzemi és más számlák stb.) "&amp;IF($Q184&lt;&gt;0,$Q184,"")</f>
        <v xml:space="preserve">Az egyházközség eleget tudott-e tenni időben a kifizetési kötelességeinek? (pl. alkalmazottak fizetése, közüzemi és más számlák stb.) </v>
      </c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Q184" s="52" t="str" cm="1">
        <f t="array" ref="Q184">UPPER(INDEX(Adatlap!$C$1:$M$215,V184,$R$1))</f>
        <v/>
      </c>
      <c r="V184" s="52">
        <f>ROW(Adatlap!$B$194)</f>
        <v>194</v>
      </c>
      <c r="AA184" s="53" t="s">
        <v>43</v>
      </c>
    </row>
    <row r="185" spans="1:27" x14ac:dyDescent="0.25">
      <c r="A185" s="57" t="s">
        <v>18</v>
      </c>
      <c r="B185" s="52" t="s">
        <v>173</v>
      </c>
      <c r="AA185" s="53"/>
    </row>
    <row r="186" spans="1:27" ht="31.5" x14ac:dyDescent="0.25">
      <c r="B186" s="106" t="str">
        <f>IF($Q186&lt;&gt;0,$Q186,"")</f>
        <v/>
      </c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Q186" s="52" cm="1">
        <f t="array" ref="Q186">INDEX(Adatlap!$C$1:$M$215,V186,$R$1)</f>
        <v>0</v>
      </c>
      <c r="V186" s="52">
        <f>ROW(Adatlap!$B$195)</f>
        <v>195</v>
      </c>
      <c r="AA186" s="53" t="s">
        <v>43</v>
      </c>
    </row>
    <row r="187" spans="1:27" ht="47.25" x14ac:dyDescent="0.25">
      <c r="A187" s="112" t="s">
        <v>174</v>
      </c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AA187" s="53" t="s">
        <v>6</v>
      </c>
    </row>
    <row r="188" spans="1:27" x14ac:dyDescent="0.25">
      <c r="A188" s="57" t="s">
        <v>7</v>
      </c>
      <c r="B188" s="52" t="s">
        <v>175</v>
      </c>
      <c r="AA188" s="53"/>
    </row>
    <row r="189" spans="1:27" ht="47.25" x14ac:dyDescent="0.25">
      <c r="A189" s="57"/>
      <c r="B189" s="109" t="str">
        <f t="shared" ref="B189" si="45">IF($Q189&lt;&gt;0,$Q189,"")</f>
        <v/>
      </c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Q189" s="52" cm="1">
        <f t="array" ref="Q189">INDEX(Adatlap!$C$1:$M$215,V189,$R$1)</f>
        <v>0</v>
      </c>
      <c r="V189" s="52">
        <f>ROW(Adatlap!$B$197)</f>
        <v>197</v>
      </c>
      <c r="AA189" s="53" t="s">
        <v>6</v>
      </c>
    </row>
    <row r="190" spans="1:27" x14ac:dyDescent="0.25">
      <c r="A190" s="57" t="s">
        <v>12</v>
      </c>
      <c r="B190" s="52" t="s">
        <v>176</v>
      </c>
      <c r="AA190" s="53"/>
    </row>
    <row r="191" spans="1:27" x14ac:dyDescent="0.25">
      <c r="A191" s="57"/>
      <c r="B191" s="52" t="str">
        <f>"A. Új ingatlanberuházás (új építkezés, ingatlanvásárlás) értéke: "&amp;IF($Q191&lt;&gt;0,$Q191&amp;$S$1,"")</f>
        <v xml:space="preserve">A. Új ingatlanberuházás (új építkezés, ingatlanvásárlás) értéke: </v>
      </c>
      <c r="Q191" s="52" cm="1">
        <f t="array" ref="Q191">INDEX(Adatlap!$C$1:$M$215,V191,$R$1)</f>
        <v>0</v>
      </c>
      <c r="V191" s="52">
        <f>ROW(Adatlap!$B$198)</f>
        <v>198</v>
      </c>
      <c r="AA191" s="53"/>
    </row>
    <row r="192" spans="1:27" x14ac:dyDescent="0.25">
      <c r="A192" s="57"/>
      <c r="B192" s="52" t="s">
        <v>178</v>
      </c>
      <c r="AA192" s="53"/>
    </row>
    <row r="193" spans="1:27" ht="31.5" x14ac:dyDescent="0.25">
      <c r="A193" s="57"/>
      <c r="B193" s="108" t="str">
        <f t="shared" ref="B193" si="46">IF($Q193&lt;&gt;0,$Q193,"")</f>
        <v/>
      </c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Q193" s="52" cm="1">
        <f t="array" ref="Q193">INDEX(Adatlap!$C$1:$M$215,V193,$R$1)</f>
        <v>0</v>
      </c>
      <c r="V193" s="52">
        <f>ROW(Adatlap!$B$199)</f>
        <v>199</v>
      </c>
      <c r="AA193" s="53" t="s">
        <v>43</v>
      </c>
    </row>
    <row r="194" spans="1:27" x14ac:dyDescent="0.25">
      <c r="A194" s="57"/>
      <c r="B194" s="52" t="str">
        <f>"B. Épületek általános javítására költött összeg: "&amp;IF($Q194&lt;&gt;0,$Q194&amp;$S$1,"")</f>
        <v xml:space="preserve">B. Épületek általános javítására költött összeg: </v>
      </c>
      <c r="Q194" s="52" cm="1">
        <f t="array" ref="Q194">INDEX(Adatlap!$C$1:$M$215,V194,$R$1)</f>
        <v>0</v>
      </c>
      <c r="V194" s="52">
        <f>ROW(Adatlap!$B$200)</f>
        <v>200</v>
      </c>
      <c r="AA194" s="53"/>
    </row>
    <row r="195" spans="1:27" x14ac:dyDescent="0.25">
      <c r="A195" s="57"/>
      <c r="B195" s="52" t="s">
        <v>180</v>
      </c>
      <c r="AA195" s="53"/>
    </row>
    <row r="196" spans="1:27" ht="31.5" x14ac:dyDescent="0.25">
      <c r="A196" s="57"/>
      <c r="B196" s="108" t="str">
        <f t="shared" ref="B196" si="47">IF($Q196&lt;&gt;0,$Q196,"")</f>
        <v/>
      </c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Q196" s="52" cm="1">
        <f t="array" ref="Q196">INDEX(Adatlap!$C$1:$M$215,V196,$R$1)</f>
        <v>0</v>
      </c>
      <c r="V196" s="52">
        <f>ROW(Adatlap!$B$201)</f>
        <v>201</v>
      </c>
      <c r="AA196" s="53" t="s">
        <v>43</v>
      </c>
    </row>
    <row r="197" spans="1:27" x14ac:dyDescent="0.25">
      <c r="A197" s="57"/>
      <c r="B197" s="52" t="str">
        <f>"C. Épületek karbantartására fordított összeg: "&amp;IF($Q197&lt;&gt;0,$Q197&amp;$S$1,"")</f>
        <v xml:space="preserve">C. Épületek karbantartására fordított összeg: </v>
      </c>
      <c r="Q197" s="52" cm="1">
        <f t="array" ref="Q197">INDEX(Adatlap!$C$1:$M$215,V197,$R$1)</f>
        <v>0</v>
      </c>
      <c r="V197" s="52">
        <f>ROW(Adatlap!$B$202)</f>
        <v>202</v>
      </c>
      <c r="AA197" s="53"/>
    </row>
    <row r="198" spans="1:27" x14ac:dyDescent="0.25">
      <c r="A198" s="57"/>
      <c r="B198" s="52" t="s">
        <v>182</v>
      </c>
      <c r="AA198" s="53"/>
    </row>
    <row r="199" spans="1:27" ht="31.5" x14ac:dyDescent="0.25">
      <c r="A199" s="57"/>
      <c r="B199" s="108" t="str">
        <f t="shared" ref="B199" si="48">IF($Q199&lt;&gt;0,$Q199,"")</f>
        <v/>
      </c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Q199" s="52" cm="1">
        <f t="array" ref="Q199">INDEX(Adatlap!$C$1:$M$215,V199,$R$1)</f>
        <v>0</v>
      </c>
      <c r="V199" s="52">
        <f>ROW(Adatlap!$B$203)</f>
        <v>203</v>
      </c>
      <c r="AA199" s="53" t="s">
        <v>43</v>
      </c>
    </row>
    <row r="200" spans="1:27" x14ac:dyDescent="0.25">
      <c r="A200" s="57"/>
      <c r="B200" s="52" t="str">
        <f>"Az év folyamán ingatlanokra fordított összeg összesen A+B+C: "&amp;IF($Q200&lt;&gt;0,$Q200,"")&amp;$S$1</f>
        <v>Az év folyamán ingatlanokra fordított összeg összesen A+B+C:  lej.</v>
      </c>
      <c r="Q200" s="52">
        <f>SUM(Q191,Q194,Q197)</f>
        <v>0</v>
      </c>
      <c r="AA200" s="53"/>
    </row>
    <row r="201" spans="1:27" ht="47.25" x14ac:dyDescent="0.25">
      <c r="A201" s="57" t="s">
        <v>14</v>
      </c>
      <c r="B201" s="106" t="str">
        <f>"Az év folyamán új beruházásként alapeszközök beszerzésére (nem ingatlan jellegű beruházás: pl. kegyszerek, műtárgyak, harangok, járművek, számítástechnikai eszközök stb.) fordított összeg: "&amp;IF($Q201&lt;&gt;0,$Q201&amp;$S$1,"")&amp;" Kérjük felsorolni."</f>
        <v>Az év folyamán új beruházásként alapeszközök beszerzésére (nem ingatlan jellegű beruházás: pl. kegyszerek, műtárgyak, harangok, járművek, számítástechnikai eszközök stb.) fordított összeg:  Kérjük felsorolni.</v>
      </c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Q201" s="52" cm="1">
        <f t="array" ref="Q201">INDEX(Adatlap!$C$1:$M$215,V201,$R$1)</f>
        <v>0</v>
      </c>
      <c r="R201" s="52">
        <v>2500</v>
      </c>
      <c r="V201" s="52">
        <f>ROW(Adatlap!$B$204)</f>
        <v>204</v>
      </c>
      <c r="AA201" s="53" t="s">
        <v>6</v>
      </c>
    </row>
    <row r="202" spans="1:27" ht="31.5" x14ac:dyDescent="0.25">
      <c r="A202" s="57"/>
      <c r="B202" s="108" t="str">
        <f>IF($Q202&lt;&gt;0,$Q202,"")</f>
        <v/>
      </c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Q202" s="52" cm="1">
        <f t="array" ref="Q202">INDEX(Adatlap!$C$1:$M$215,V202,$R$1)</f>
        <v>0</v>
      </c>
      <c r="V202" s="52">
        <f>ROW(Adatlap!$B$205)</f>
        <v>205</v>
      </c>
      <c r="AA202" s="53" t="s">
        <v>43</v>
      </c>
    </row>
    <row r="203" spans="1:27" x14ac:dyDescent="0.25">
      <c r="A203" s="57" t="s">
        <v>16</v>
      </c>
      <c r="B203" s="52" t="str">
        <f>"Az év folyamán adományba kapott ingatlanok, alapeszközök értéke: "&amp;IF($Q203&lt;&gt;0,$Q203&amp;$S$1,"")</f>
        <v xml:space="preserve">Az év folyamán adományba kapott ingatlanok, alapeszközök értéke: </v>
      </c>
      <c r="Q203" s="52" cm="1">
        <f t="array" ref="Q203">INDEX(Adatlap!$C$1:$M$215,V203,$R$1)</f>
        <v>0</v>
      </c>
      <c r="V203" s="52">
        <f>ROW(Adatlap!$B$206)</f>
        <v>206</v>
      </c>
      <c r="AA203" s="53"/>
    </row>
    <row r="204" spans="1:27" x14ac:dyDescent="0.25">
      <c r="A204" s="57"/>
      <c r="B204" s="52" t="str">
        <f>"Kérjük felsorolni: "&amp;IF($Q204&lt;&gt;0,$Q204,"")</f>
        <v xml:space="preserve">Kérjük felsorolni: </v>
      </c>
      <c r="Q204" s="52" cm="1">
        <f t="array" ref="Q204">INDEX(Adatlap!$C$1:$M$215,V204,$R$1)</f>
        <v>0</v>
      </c>
      <c r="V204" s="52">
        <f>ROW(Adatlap!$B$207)</f>
        <v>207</v>
      </c>
      <c r="AA204" s="53"/>
    </row>
    <row r="205" spans="1:27" ht="31.5" x14ac:dyDescent="0.25">
      <c r="A205" s="57" t="s">
        <v>18</v>
      </c>
      <c r="B205" s="106" t="str">
        <f>"Történt-e az év folyamán ingatlanok, jelentős tárgyak (pl. kegyszerek, műtárgyak, harangok) elidegenítése, épületek lebontása?  "&amp;IF($Q205&lt;&gt;0,$Q205,"")</f>
        <v xml:space="preserve">Történt-e az év folyamán ingatlanok, jelentős tárgyak (pl. kegyszerek, műtárgyak, harangok) elidegenítése, épületek lebontása?  </v>
      </c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Q205" s="52" t="str" cm="1">
        <f t="array" ref="Q205">UPPER(INDEX(Adatlap!$C$1:$M$215,V205,$R$1))</f>
        <v/>
      </c>
      <c r="V205" s="52">
        <f>ROW(Adatlap!$B$208)</f>
        <v>208</v>
      </c>
      <c r="AA205" s="53" t="s">
        <v>43</v>
      </c>
    </row>
    <row r="206" spans="1:27" ht="31.5" x14ac:dyDescent="0.25">
      <c r="A206" s="57"/>
      <c r="B206" s="106" t="str">
        <f>"Ha igen, kérjük felsorolni: "&amp;IF($Q206&lt;&gt;0,$Q206,"")</f>
        <v xml:space="preserve">Ha igen, kérjük felsorolni: </v>
      </c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Q206" s="52" cm="1">
        <f t="array" ref="Q206">INDEX(Adatlap!$C$1:$M$215,V206,$R$1)</f>
        <v>0</v>
      </c>
      <c r="V206" s="52">
        <f>ROW(Adatlap!$B$209)</f>
        <v>209</v>
      </c>
      <c r="AA206" s="53" t="s">
        <v>43</v>
      </c>
    </row>
    <row r="207" spans="1:27" ht="47.25" x14ac:dyDescent="0.25">
      <c r="A207" s="113" t="s">
        <v>291</v>
      </c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AA207" s="53" t="s">
        <v>6</v>
      </c>
    </row>
    <row r="208" spans="1:27" ht="63" x14ac:dyDescent="0.25">
      <c r="A208" s="106" t="str">
        <f>IF($Q208&lt;&gt;0,$Q208,"")</f>
        <v/>
      </c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Q208" s="52" cm="1">
        <f t="array" ref="Q208">INDEX(Adatlap!$C$1:$M$215,V208,$R$1)</f>
        <v>0</v>
      </c>
      <c r="V208" s="52">
        <f>ROW(Adatlap!$B$211)</f>
        <v>211</v>
      </c>
      <c r="AA208" s="53" t="s">
        <v>293</v>
      </c>
    </row>
    <row r="209" spans="1:27" ht="63" x14ac:dyDescent="0.25">
      <c r="A209" s="106" t="str">
        <f>IF($Q209&lt;&gt;0,$Q209,"")</f>
        <v/>
      </c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Q209" s="52" cm="1">
        <f t="array" ref="Q209">INDEX(Adatlap!$C$1:$M$215,V209,$R$1)</f>
        <v>0</v>
      </c>
      <c r="V209" s="52">
        <f>ROW(Adatlap!$B$212)</f>
        <v>212</v>
      </c>
      <c r="AA209" s="53" t="s">
        <v>293</v>
      </c>
    </row>
    <row r="210" spans="1:27" ht="47.25" x14ac:dyDescent="0.25">
      <c r="A210" s="113" t="s">
        <v>292</v>
      </c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AA210" s="53" t="s">
        <v>6</v>
      </c>
    </row>
    <row r="211" spans="1:27" ht="79.5" customHeight="1" x14ac:dyDescent="0.25">
      <c r="A211" s="106" t="str">
        <f>IF($Q211&lt;&gt;0,$Q211,"")</f>
        <v/>
      </c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Q211" s="52" cm="1">
        <f t="array" ref="Q211">INDEX(Adatlap!$C$1:$M$215,V211,$R$1)</f>
        <v>0</v>
      </c>
      <c r="V211" s="52">
        <f>ROW(Adatlap!$B$214)</f>
        <v>214</v>
      </c>
      <c r="AA211" s="53" t="s">
        <v>293</v>
      </c>
    </row>
    <row r="212" spans="1:27" ht="63" x14ac:dyDescent="0.25">
      <c r="A212" s="106" t="str">
        <f>IF($Q212&lt;&gt;0,$Q212,"")</f>
        <v/>
      </c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Q212" s="52" cm="1">
        <f t="array" ref="Q212">INDEX(Adatlap!$C$1:$M$215,V212,$R$1)</f>
        <v>0</v>
      </c>
      <c r="V212" s="52">
        <f>ROW(Adatlap!$B$215)</f>
        <v>215</v>
      </c>
      <c r="AA212" s="53" t="s">
        <v>293</v>
      </c>
    </row>
    <row r="213" spans="1:27" x14ac:dyDescent="0.25">
      <c r="N213" s="56" t="s">
        <v>189</v>
      </c>
      <c r="AA213" s="53"/>
    </row>
    <row r="214" spans="1:27" x14ac:dyDescent="0.25">
      <c r="AA214" s="53"/>
    </row>
    <row r="215" spans="1:27" x14ac:dyDescent="0.25">
      <c r="AA215" s="53"/>
    </row>
    <row r="216" spans="1:27" hidden="1" x14ac:dyDescent="0.25">
      <c r="AA216" s="53"/>
    </row>
    <row r="217" spans="1:27" hidden="1" x14ac:dyDescent="0.25">
      <c r="AA217" s="53"/>
    </row>
    <row r="218" spans="1:27" hidden="1" x14ac:dyDescent="0.25">
      <c r="AA218" s="53"/>
    </row>
    <row r="219" spans="1:27" hidden="1" x14ac:dyDescent="0.25">
      <c r="N219" s="56"/>
    </row>
  </sheetData>
  <sheetProtection algorithmName="SHA-512" hashValue="YcphUmKYdayo2APzGKrR6bxLQ4AanN6tygLIvvfPSe+fw8EH1KjQw0jf4+mogZ+sSTrx1xAta5OIMoAYjS9eWw==" saltValue="zToi89R55G1um/AEHO4EBw==" spinCount="100000" sheet="1" objects="1" scenarios="1"/>
  <sortState xmlns:xlrd2="http://schemas.microsoft.com/office/spreadsheetml/2017/richdata2" ref="AB2:AB26">
    <sortCondition ref="AB2:AB26"/>
  </sortState>
  <mergeCells count="79">
    <mergeCell ref="J74:K74"/>
    <mergeCell ref="J75:K75"/>
    <mergeCell ref="J76:K76"/>
    <mergeCell ref="J77:K77"/>
    <mergeCell ref="J69:K69"/>
    <mergeCell ref="J70:K70"/>
    <mergeCell ref="J71:K71"/>
    <mergeCell ref="J72:K72"/>
    <mergeCell ref="J73:K73"/>
    <mergeCell ref="A1:C1"/>
    <mergeCell ref="D1:N1"/>
    <mergeCell ref="A53:N53"/>
    <mergeCell ref="B104:N104"/>
    <mergeCell ref="B37:N37"/>
    <mergeCell ref="A13:N13"/>
    <mergeCell ref="A14:N14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B145:N145"/>
    <mergeCell ref="B147:N147"/>
    <mergeCell ref="B113:N113"/>
    <mergeCell ref="B123:N123"/>
    <mergeCell ref="B134:N134"/>
    <mergeCell ref="B142:N142"/>
    <mergeCell ref="A187:N187"/>
    <mergeCell ref="A207:N207"/>
    <mergeCell ref="A210:N210"/>
    <mergeCell ref="A2:N2"/>
    <mergeCell ref="A3:N3"/>
    <mergeCell ref="B66:N66"/>
    <mergeCell ref="B99:N99"/>
    <mergeCell ref="A85:N85"/>
    <mergeCell ref="A105:N105"/>
    <mergeCell ref="A148:N148"/>
    <mergeCell ref="A160:N160"/>
    <mergeCell ref="A173:N173"/>
    <mergeCell ref="A9:N9"/>
    <mergeCell ref="A10:N10"/>
    <mergeCell ref="A11:N11"/>
    <mergeCell ref="A19:N19"/>
    <mergeCell ref="B149:N149"/>
    <mergeCell ref="B153:N153"/>
    <mergeCell ref="B161:N161"/>
    <mergeCell ref="B164:N164"/>
    <mergeCell ref="B172:N172"/>
    <mergeCell ref="B171:N171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A209:N209"/>
    <mergeCell ref="A211:N211"/>
    <mergeCell ref="A212:N212"/>
    <mergeCell ref="B38:N38"/>
    <mergeCell ref="B40:N40"/>
    <mergeCell ref="B201:N201"/>
    <mergeCell ref="B202:N202"/>
    <mergeCell ref="B205:N205"/>
    <mergeCell ref="B206:N206"/>
    <mergeCell ref="A208:N208"/>
    <mergeCell ref="B189:N189"/>
    <mergeCell ref="B193:N193"/>
    <mergeCell ref="B196:N196"/>
    <mergeCell ref="B199:N199"/>
    <mergeCell ref="B184:N184"/>
    <mergeCell ref="B186:N186"/>
  </mergeCells>
  <phoneticPr fontId="5" type="noConversion"/>
  <dataValidations count="1">
    <dataValidation type="list" allowBlank="1" showInputMessage="1" showErrorMessage="1" errorTitle="Hiba!" sqref="A1:C1" xr:uid="{DB9957FB-E1C6-48EC-9EA8-59D9691EA8AA}">
      <formula1>evek</formula1>
    </dataValidation>
  </dataValidations>
  <pageMargins left="0.62992125984251968" right="0.43307086614173229" top="0.35433070866141736" bottom="0.74803149606299213" header="0.31496062992125984" footer="0.31496062992125984"/>
  <pageSetup paperSize="9" orientation="portrait" r:id="rId1"/>
  <headerFooter differentFirst="1">
    <oddFooter>&amp;R&amp;"Times New Roman,Normál"&amp;8&amp;P</oddFooter>
  </headerFooter>
  <rowBreaks count="5" manualBreakCount="5">
    <brk id="18" max="13" man="1"/>
    <brk id="52" max="13" man="1"/>
    <brk id="84" max="13" man="1"/>
    <brk id="123" max="13" man="1"/>
    <brk id="159" max="1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DCF32-D192-4044-B9C7-2CF85960F585}">
  <dimension ref="A1:P231"/>
  <sheetViews>
    <sheetView showGridLines="0" showRowColHeaders="0" zoomScale="160" zoomScaleNormal="160" workbookViewId="0">
      <pane ySplit="1" topLeftCell="A2" activePane="bottomLeft" state="frozen"/>
      <selection pane="bottomLeft" activeCell="B2" sqref="B2:D2"/>
    </sheetView>
  </sheetViews>
  <sheetFormatPr defaultColWidth="0" defaultRowHeight="15" zeroHeight="1" x14ac:dyDescent="0.25"/>
  <cols>
    <col min="1" max="1" width="6.85546875" customWidth="1"/>
    <col min="2" max="2" width="3.7109375" customWidth="1"/>
    <col min="3" max="3" width="48.7109375" customWidth="1"/>
    <col min="4" max="4" width="85" style="74" customWidth="1"/>
    <col min="5" max="8" width="9.140625" hidden="1" customWidth="1"/>
    <col min="9" max="9" width="32.140625" hidden="1" customWidth="1"/>
    <col min="10" max="11" width="9.140625" hidden="1" customWidth="1"/>
    <col min="12" max="12" width="14.42578125" hidden="1" customWidth="1"/>
    <col min="13" max="16" width="0" hidden="1" customWidth="1"/>
    <col min="17" max="16384" width="9.140625" hidden="1"/>
  </cols>
  <sheetData>
    <row r="1" spans="2:16" x14ac:dyDescent="0.25">
      <c r="B1" s="93" t="s">
        <v>458</v>
      </c>
      <c r="C1" s="94"/>
      <c r="D1" s="95"/>
    </row>
    <row r="2" spans="2:16" ht="75" customHeight="1" x14ac:dyDescent="0.25">
      <c r="B2" s="123" t="s">
        <v>455</v>
      </c>
      <c r="C2" s="123"/>
      <c r="D2" s="123"/>
      <c r="E2" s="74"/>
      <c r="F2" s="74"/>
      <c r="G2" s="74"/>
      <c r="H2" s="74"/>
      <c r="I2" s="74"/>
      <c r="J2" s="74"/>
      <c r="K2" s="74"/>
      <c r="L2" s="74"/>
      <c r="P2" s="74" t="s">
        <v>400</v>
      </c>
    </row>
    <row r="3" spans="2:16" x14ac:dyDescent="0.25">
      <c r="B3" t="s">
        <v>398</v>
      </c>
    </row>
    <row r="4" spans="2:16" x14ac:dyDescent="0.25">
      <c r="B4" t="s">
        <v>399</v>
      </c>
    </row>
    <row r="5" spans="2:16" x14ac:dyDescent="0.25"/>
    <row r="6" spans="2:16" x14ac:dyDescent="0.25">
      <c r="B6" s="123" t="s">
        <v>401</v>
      </c>
      <c r="C6" s="123"/>
      <c r="D6" s="123"/>
    </row>
    <row r="7" spans="2:16" ht="30" x14ac:dyDescent="0.25">
      <c r="B7" s="124" t="s">
        <v>503</v>
      </c>
      <c r="C7" s="124"/>
      <c r="D7" s="124"/>
      <c r="H7" s="74" t="s">
        <v>43</v>
      </c>
    </row>
    <row r="8" spans="2:16" x14ac:dyDescent="0.25">
      <c r="B8" t="s">
        <v>463</v>
      </c>
    </row>
    <row r="9" spans="2:16" x14ac:dyDescent="0.25">
      <c r="B9" t="s">
        <v>402</v>
      </c>
    </row>
    <row r="10" spans="2:16" x14ac:dyDescent="0.25">
      <c r="B10" t="s">
        <v>403</v>
      </c>
    </row>
    <row r="11" spans="2:16" ht="30" x14ac:dyDescent="0.25">
      <c r="C11" s="99" t="s">
        <v>404</v>
      </c>
      <c r="D11"/>
      <c r="E11" s="74" t="s">
        <v>43</v>
      </c>
    </row>
    <row r="12" spans="2:16" ht="30" x14ac:dyDescent="0.25">
      <c r="C12" s="100" t="s">
        <v>405</v>
      </c>
      <c r="D12"/>
      <c r="E12" s="74" t="s">
        <v>43</v>
      </c>
    </row>
    <row r="13" spans="2:16" ht="30" x14ac:dyDescent="0.25">
      <c r="C13" s="101" t="s">
        <v>406</v>
      </c>
      <c r="D13"/>
      <c r="E13" s="74" t="s">
        <v>43</v>
      </c>
    </row>
    <row r="14" spans="2:16" ht="45" x14ac:dyDescent="0.25">
      <c r="C14" s="102" t="s">
        <v>407</v>
      </c>
      <c r="D14" s="92"/>
      <c r="E14" s="74" t="s">
        <v>43</v>
      </c>
    </row>
    <row r="15" spans="2:16" x14ac:dyDescent="0.25"/>
    <row r="16" spans="2:16" x14ac:dyDescent="0.25"/>
    <row r="17" spans="2:4" ht="21" x14ac:dyDescent="0.35">
      <c r="B17" s="37"/>
      <c r="C17" s="38" t="s">
        <v>457</v>
      </c>
      <c r="D17" s="97"/>
    </row>
    <row r="18" spans="2:4" x14ac:dyDescent="0.25">
      <c r="B18" s="23"/>
      <c r="C18" s="22" t="s">
        <v>190</v>
      </c>
      <c r="D18" s="98" t="s">
        <v>424</v>
      </c>
    </row>
    <row r="19" spans="2:4" ht="30" x14ac:dyDescent="0.25">
      <c r="B19" s="23"/>
      <c r="C19" s="22" t="s">
        <v>408</v>
      </c>
      <c r="D19" s="98" t="s">
        <v>425</v>
      </c>
    </row>
    <row r="20" spans="2:4" ht="30" x14ac:dyDescent="0.25">
      <c r="B20" s="23"/>
      <c r="C20" s="22" t="s">
        <v>4</v>
      </c>
      <c r="D20" s="98" t="s">
        <v>464</v>
      </c>
    </row>
    <row r="21" spans="2:4" x14ac:dyDescent="0.25">
      <c r="B21" s="23"/>
      <c r="C21" s="3" t="s">
        <v>220</v>
      </c>
      <c r="D21" s="98" t="s">
        <v>426</v>
      </c>
    </row>
    <row r="22" spans="2:4" x14ac:dyDescent="0.25">
      <c r="B22" s="23"/>
      <c r="C22" s="22" t="s">
        <v>217</v>
      </c>
      <c r="D22" s="98" t="s">
        <v>427</v>
      </c>
    </row>
    <row r="23" spans="2:4" x14ac:dyDescent="0.25">
      <c r="B23" s="23"/>
      <c r="C23" s="22" t="s">
        <v>191</v>
      </c>
      <c r="D23" s="98"/>
    </row>
    <row r="24" spans="2:4" x14ac:dyDescent="0.25">
      <c r="B24" s="23"/>
      <c r="C24" s="22" t="s">
        <v>218</v>
      </c>
      <c r="D24" s="98" t="s">
        <v>427</v>
      </c>
    </row>
    <row r="25" spans="2:4" x14ac:dyDescent="0.25">
      <c r="B25" s="23"/>
      <c r="C25" s="22" t="s">
        <v>191</v>
      </c>
      <c r="D25" s="98"/>
    </row>
    <row r="26" spans="2:4" x14ac:dyDescent="0.25">
      <c r="B26" s="23"/>
      <c r="C26" s="22" t="s">
        <v>219</v>
      </c>
      <c r="D26" s="98"/>
    </row>
    <row r="27" spans="2:4" ht="15.75" x14ac:dyDescent="0.25">
      <c r="B27" s="33" t="s">
        <v>5</v>
      </c>
      <c r="C27" s="32"/>
      <c r="D27" s="98"/>
    </row>
    <row r="28" spans="2:4" ht="30" x14ac:dyDescent="0.25">
      <c r="B28" s="23" t="s">
        <v>7</v>
      </c>
      <c r="C28" s="46" t="s">
        <v>409</v>
      </c>
      <c r="D28" s="98" t="s">
        <v>428</v>
      </c>
    </row>
    <row r="29" spans="2:4" ht="30" x14ac:dyDescent="0.25">
      <c r="B29" s="23"/>
      <c r="C29" s="43" t="s">
        <v>198</v>
      </c>
      <c r="D29" s="98" t="s">
        <v>428</v>
      </c>
    </row>
    <row r="30" spans="2:4" ht="30" x14ac:dyDescent="0.25">
      <c r="B30" s="23" t="s">
        <v>12</v>
      </c>
      <c r="C30" s="46" t="s">
        <v>410</v>
      </c>
      <c r="D30" s="98" t="s">
        <v>459</v>
      </c>
    </row>
    <row r="31" spans="2:4" ht="30" x14ac:dyDescent="0.25">
      <c r="B31" s="23"/>
      <c r="C31" s="43" t="s">
        <v>198</v>
      </c>
      <c r="D31" s="98" t="s">
        <v>460</v>
      </c>
    </row>
    <row r="32" spans="2:4" ht="30" x14ac:dyDescent="0.25">
      <c r="B32" s="23" t="s">
        <v>14</v>
      </c>
      <c r="C32" s="46" t="s">
        <v>344</v>
      </c>
      <c r="D32" s="98" t="s">
        <v>461</v>
      </c>
    </row>
    <row r="33" spans="2:4" ht="30" x14ac:dyDescent="0.25">
      <c r="B33" s="23"/>
      <c r="C33" s="43" t="s">
        <v>198</v>
      </c>
      <c r="D33" s="98" t="s">
        <v>462</v>
      </c>
    </row>
    <row r="34" spans="2:4" x14ac:dyDescent="0.25">
      <c r="B34" s="23" t="s">
        <v>20</v>
      </c>
      <c r="C34" s="46" t="s">
        <v>411</v>
      </c>
      <c r="D34" s="98" t="s">
        <v>429</v>
      </c>
    </row>
    <row r="35" spans="2:4" x14ac:dyDescent="0.25">
      <c r="B35" s="23"/>
      <c r="C35" s="43" t="s">
        <v>198</v>
      </c>
      <c r="D35" s="98" t="s">
        <v>429</v>
      </c>
    </row>
    <row r="36" spans="2:4" x14ac:dyDescent="0.25">
      <c r="B36" s="23"/>
      <c r="C36" s="47" t="s">
        <v>22</v>
      </c>
      <c r="D36" s="98" t="s">
        <v>470</v>
      </c>
    </row>
    <row r="37" spans="2:4" x14ac:dyDescent="0.25">
      <c r="B37" s="23" t="s">
        <v>23</v>
      </c>
      <c r="C37" s="46" t="s">
        <v>412</v>
      </c>
      <c r="D37" s="98" t="s">
        <v>429</v>
      </c>
    </row>
    <row r="38" spans="2:4" x14ac:dyDescent="0.25">
      <c r="B38" s="23"/>
      <c r="C38" s="43" t="s">
        <v>198</v>
      </c>
      <c r="D38" s="98" t="s">
        <v>429</v>
      </c>
    </row>
    <row r="39" spans="2:4" x14ac:dyDescent="0.25">
      <c r="B39" s="23"/>
      <c r="C39" s="47" t="s">
        <v>192</v>
      </c>
      <c r="D39" s="98" t="s">
        <v>470</v>
      </c>
    </row>
    <row r="40" spans="2:4" x14ac:dyDescent="0.25">
      <c r="B40" s="23" t="s">
        <v>26</v>
      </c>
      <c r="C40" s="46" t="s">
        <v>413</v>
      </c>
      <c r="D40" s="98" t="s">
        <v>429</v>
      </c>
    </row>
    <row r="41" spans="2:4" x14ac:dyDescent="0.25">
      <c r="B41" s="23"/>
      <c r="C41" s="43" t="s">
        <v>198</v>
      </c>
      <c r="D41" s="98" t="s">
        <v>429</v>
      </c>
    </row>
    <row r="42" spans="2:4" x14ac:dyDescent="0.25">
      <c r="B42" s="23" t="s">
        <v>28</v>
      </c>
      <c r="C42" s="46" t="s">
        <v>414</v>
      </c>
      <c r="D42" s="98" t="s">
        <v>429</v>
      </c>
    </row>
    <row r="43" spans="2:4" x14ac:dyDescent="0.25">
      <c r="B43" s="23"/>
      <c r="C43" s="43" t="s">
        <v>198</v>
      </c>
      <c r="D43" s="98" t="s">
        <v>429</v>
      </c>
    </row>
    <row r="44" spans="2:4" x14ac:dyDescent="0.25">
      <c r="B44" s="23" t="s">
        <v>30</v>
      </c>
      <c r="C44" s="46" t="s">
        <v>415</v>
      </c>
      <c r="D44" s="98" t="s">
        <v>429</v>
      </c>
    </row>
    <row r="45" spans="2:4" x14ac:dyDescent="0.25">
      <c r="B45" s="23"/>
      <c r="C45" s="43" t="s">
        <v>198</v>
      </c>
      <c r="D45" s="98" t="s">
        <v>429</v>
      </c>
    </row>
    <row r="46" spans="2:4" ht="30" x14ac:dyDescent="0.25">
      <c r="B46" s="23" t="s">
        <v>38</v>
      </c>
      <c r="C46" s="25" t="s">
        <v>39</v>
      </c>
      <c r="D46" s="98" t="s">
        <v>431</v>
      </c>
    </row>
    <row r="47" spans="2:4" ht="30" x14ac:dyDescent="0.25">
      <c r="B47" s="23" t="s">
        <v>40</v>
      </c>
      <c r="C47" s="25" t="s">
        <v>41</v>
      </c>
      <c r="D47" s="98" t="s">
        <v>432</v>
      </c>
    </row>
    <row r="48" spans="2:4" ht="30" x14ac:dyDescent="0.25">
      <c r="B48" s="23" t="s">
        <v>42</v>
      </c>
      <c r="C48" s="25" t="s">
        <v>396</v>
      </c>
      <c r="D48" s="98" t="s">
        <v>429</v>
      </c>
    </row>
    <row r="49" spans="2:5" ht="30" x14ac:dyDescent="0.25">
      <c r="B49" s="23" t="s">
        <v>44</v>
      </c>
      <c r="C49" s="43" t="s">
        <v>416</v>
      </c>
      <c r="D49" s="98" t="s">
        <v>429</v>
      </c>
    </row>
    <row r="50" spans="2:5" x14ac:dyDescent="0.25">
      <c r="B50" s="23"/>
      <c r="C50" s="43" t="s">
        <v>193</v>
      </c>
      <c r="D50" s="98" t="s">
        <v>429</v>
      </c>
    </row>
    <row r="51" spans="2:5" x14ac:dyDescent="0.25">
      <c r="B51" s="23"/>
      <c r="C51" s="43" t="s">
        <v>194</v>
      </c>
      <c r="D51" s="98" t="s">
        <v>429</v>
      </c>
    </row>
    <row r="52" spans="2:5" x14ac:dyDescent="0.25">
      <c r="B52" s="23"/>
      <c r="C52" s="43" t="s">
        <v>397</v>
      </c>
      <c r="D52" s="98" t="s">
        <v>470</v>
      </c>
    </row>
    <row r="53" spans="2:5" x14ac:dyDescent="0.25">
      <c r="B53" s="23"/>
      <c r="C53" s="43" t="s">
        <v>195</v>
      </c>
      <c r="D53" s="98" t="s">
        <v>429</v>
      </c>
    </row>
    <row r="54" spans="2:5" ht="45" x14ac:dyDescent="0.25">
      <c r="B54" s="23" t="s">
        <v>45</v>
      </c>
      <c r="C54" s="25" t="s">
        <v>386</v>
      </c>
      <c r="D54" s="98" t="s">
        <v>429</v>
      </c>
    </row>
    <row r="55" spans="2:5" x14ac:dyDescent="0.25">
      <c r="B55" s="23" t="s">
        <v>46</v>
      </c>
      <c r="C55" s="25" t="s">
        <v>387</v>
      </c>
      <c r="D55" s="98" t="s">
        <v>429</v>
      </c>
    </row>
    <row r="56" spans="2:5" ht="30" x14ac:dyDescent="0.25">
      <c r="B56" s="23" t="s">
        <v>47</v>
      </c>
      <c r="C56" s="25" t="s">
        <v>388</v>
      </c>
      <c r="D56" s="98" t="s">
        <v>429</v>
      </c>
    </row>
    <row r="57" spans="2:5" ht="30" x14ac:dyDescent="0.25">
      <c r="B57" s="23" t="s">
        <v>48</v>
      </c>
      <c r="C57" s="25" t="s">
        <v>49</v>
      </c>
      <c r="D57" s="98" t="s">
        <v>430</v>
      </c>
    </row>
    <row r="58" spans="2:5" x14ac:dyDescent="0.25">
      <c r="B58" s="23" t="s">
        <v>50</v>
      </c>
      <c r="C58" s="41" t="s">
        <v>417</v>
      </c>
      <c r="D58" s="98" t="s">
        <v>429</v>
      </c>
    </row>
    <row r="59" spans="2:5" x14ac:dyDescent="0.25">
      <c r="B59" s="23"/>
      <c r="C59" s="42" t="s">
        <v>53</v>
      </c>
      <c r="D59" s="98" t="s">
        <v>429</v>
      </c>
    </row>
    <row r="60" spans="2:5" x14ac:dyDescent="0.25">
      <c r="B60" s="23"/>
      <c r="C60" s="42" t="s">
        <v>54</v>
      </c>
      <c r="D60" s="98" t="s">
        <v>429</v>
      </c>
    </row>
    <row r="61" spans="2:5" x14ac:dyDescent="0.25">
      <c r="B61" s="23"/>
      <c r="C61" s="43" t="s">
        <v>55</v>
      </c>
      <c r="D61" s="98" t="s">
        <v>429</v>
      </c>
    </row>
    <row r="62" spans="2:5" x14ac:dyDescent="0.25">
      <c r="B62" s="23" t="s">
        <v>56</v>
      </c>
      <c r="C62" s="44" t="s">
        <v>418</v>
      </c>
      <c r="D62" s="98" t="s">
        <v>429</v>
      </c>
      <c r="E62" t="s">
        <v>363</v>
      </c>
    </row>
    <row r="63" spans="2:5" x14ac:dyDescent="0.25">
      <c r="B63" s="23"/>
      <c r="C63" s="45" t="s">
        <v>330</v>
      </c>
      <c r="D63" s="98" t="s">
        <v>429</v>
      </c>
      <c r="E63" t="s">
        <v>364</v>
      </c>
    </row>
    <row r="64" spans="2:5" x14ac:dyDescent="0.25">
      <c r="B64" s="23"/>
      <c r="C64" s="45" t="s">
        <v>331</v>
      </c>
      <c r="D64" s="98" t="s">
        <v>429</v>
      </c>
    </row>
    <row r="65" spans="2:4" x14ac:dyDescent="0.25">
      <c r="B65" s="23"/>
      <c r="C65" s="45" t="s">
        <v>332</v>
      </c>
      <c r="D65" s="98" t="s">
        <v>429</v>
      </c>
    </row>
    <row r="66" spans="2:4" ht="15.75" x14ac:dyDescent="0.25">
      <c r="B66" s="33" t="s">
        <v>58</v>
      </c>
      <c r="C66" s="32"/>
      <c r="D66" s="98"/>
    </row>
    <row r="67" spans="2:4" x14ac:dyDescent="0.25">
      <c r="B67" s="23" t="s">
        <v>7</v>
      </c>
      <c r="C67" s="24" t="s">
        <v>270</v>
      </c>
      <c r="D67" s="98" t="s">
        <v>478</v>
      </c>
    </row>
    <row r="68" spans="2:4" x14ac:dyDescent="0.25">
      <c r="B68" s="23"/>
      <c r="C68" s="26" t="s">
        <v>196</v>
      </c>
      <c r="D68" s="98" t="s">
        <v>479</v>
      </c>
    </row>
    <row r="69" spans="2:4" ht="30" x14ac:dyDescent="0.25">
      <c r="B69" s="23"/>
      <c r="C69" s="24" t="s">
        <v>271</v>
      </c>
      <c r="D69" s="98" t="s">
        <v>480</v>
      </c>
    </row>
    <row r="70" spans="2:4" ht="30" x14ac:dyDescent="0.25">
      <c r="B70" s="23"/>
      <c r="C70" s="26" t="s">
        <v>196</v>
      </c>
      <c r="D70" s="98" t="s">
        <v>481</v>
      </c>
    </row>
    <row r="71" spans="2:4" ht="30" x14ac:dyDescent="0.25">
      <c r="B71" s="23"/>
      <c r="C71" s="24" t="s">
        <v>272</v>
      </c>
      <c r="D71" s="98" t="s">
        <v>482</v>
      </c>
    </row>
    <row r="72" spans="2:4" ht="30" x14ac:dyDescent="0.25">
      <c r="B72" s="23"/>
      <c r="C72" s="26" t="s">
        <v>196</v>
      </c>
      <c r="D72" s="98" t="s">
        <v>483</v>
      </c>
    </row>
    <row r="73" spans="2:4" x14ac:dyDescent="0.25">
      <c r="B73" s="23"/>
      <c r="C73" s="24" t="s">
        <v>273</v>
      </c>
      <c r="D73" s="98" t="s">
        <v>484</v>
      </c>
    </row>
    <row r="74" spans="2:4" x14ac:dyDescent="0.25">
      <c r="B74" s="23"/>
      <c r="C74" s="26" t="s">
        <v>196</v>
      </c>
      <c r="D74" s="98" t="s">
        <v>485</v>
      </c>
    </row>
    <row r="75" spans="2:4" ht="30" x14ac:dyDescent="0.25">
      <c r="B75" s="23"/>
      <c r="C75" s="25" t="s">
        <v>66</v>
      </c>
      <c r="D75" s="98" t="s">
        <v>486</v>
      </c>
    </row>
    <row r="76" spans="2:4" ht="30" x14ac:dyDescent="0.25">
      <c r="B76" s="23"/>
      <c r="C76" s="25" t="s">
        <v>68</v>
      </c>
      <c r="D76" s="98" t="s">
        <v>487</v>
      </c>
    </row>
    <row r="77" spans="2:4" x14ac:dyDescent="0.25">
      <c r="B77" s="23"/>
      <c r="C77" s="25" t="s">
        <v>69</v>
      </c>
      <c r="D77" s="98" t="s">
        <v>488</v>
      </c>
    </row>
    <row r="78" spans="2:4" x14ac:dyDescent="0.25">
      <c r="B78" s="23"/>
      <c r="C78" s="25" t="s">
        <v>70</v>
      </c>
      <c r="D78" s="98" t="s">
        <v>456</v>
      </c>
    </row>
    <row r="79" spans="2:4" ht="45" x14ac:dyDescent="0.25">
      <c r="B79" s="23" t="s">
        <v>12</v>
      </c>
      <c r="C79" s="26" t="s">
        <v>197</v>
      </c>
      <c r="D79" s="98" t="s">
        <v>489</v>
      </c>
    </row>
    <row r="80" spans="2:4" ht="90" x14ac:dyDescent="0.25">
      <c r="B80" s="23"/>
      <c r="C80" s="26" t="s">
        <v>196</v>
      </c>
      <c r="D80" s="98" t="s">
        <v>490</v>
      </c>
    </row>
    <row r="81" spans="2:4" ht="60" x14ac:dyDescent="0.25">
      <c r="B81" s="23" t="s">
        <v>14</v>
      </c>
      <c r="C81" s="26" t="s">
        <v>419</v>
      </c>
      <c r="D81" s="98"/>
    </row>
    <row r="82" spans="2:4" x14ac:dyDescent="0.25">
      <c r="B82" s="23"/>
      <c r="C82" s="26" t="s">
        <v>196</v>
      </c>
      <c r="D82" s="98"/>
    </row>
    <row r="83" spans="2:4" x14ac:dyDescent="0.25">
      <c r="B83" s="23" t="s">
        <v>16</v>
      </c>
      <c r="C83" s="24" t="s">
        <v>335</v>
      </c>
      <c r="D83" s="98"/>
    </row>
    <row r="84" spans="2:4" x14ac:dyDescent="0.25">
      <c r="B84" s="23"/>
      <c r="C84" s="26" t="s">
        <v>196</v>
      </c>
      <c r="D84" s="98"/>
    </row>
    <row r="85" spans="2:4" x14ac:dyDescent="0.25">
      <c r="B85" s="23"/>
      <c r="C85" s="24" t="s">
        <v>336</v>
      </c>
      <c r="D85" s="98"/>
    </row>
    <row r="86" spans="2:4" x14ac:dyDescent="0.25">
      <c r="B86" s="23"/>
      <c r="C86" s="26" t="s">
        <v>196</v>
      </c>
      <c r="D86" s="98"/>
    </row>
    <row r="87" spans="2:4" x14ac:dyDescent="0.25">
      <c r="B87" s="23"/>
      <c r="C87" s="24" t="s">
        <v>337</v>
      </c>
      <c r="D87" s="98"/>
    </row>
    <row r="88" spans="2:4" x14ac:dyDescent="0.25">
      <c r="B88" s="23"/>
      <c r="C88" s="26" t="s">
        <v>196</v>
      </c>
      <c r="D88" s="98"/>
    </row>
    <row r="89" spans="2:4" x14ac:dyDescent="0.25">
      <c r="B89" s="23"/>
      <c r="C89" s="24" t="s">
        <v>338</v>
      </c>
      <c r="D89" s="98"/>
    </row>
    <row r="90" spans="2:4" x14ac:dyDescent="0.25">
      <c r="B90" s="23"/>
      <c r="C90" s="26" t="s">
        <v>196</v>
      </c>
      <c r="D90" s="98"/>
    </row>
    <row r="91" spans="2:4" x14ac:dyDescent="0.25">
      <c r="B91" s="23"/>
      <c r="C91" s="24" t="s">
        <v>339</v>
      </c>
      <c r="D91" s="98"/>
    </row>
    <row r="92" spans="2:4" x14ac:dyDescent="0.25">
      <c r="B92" s="23"/>
      <c r="C92" s="26" t="s">
        <v>196</v>
      </c>
      <c r="D92" s="98"/>
    </row>
    <row r="93" spans="2:4" x14ac:dyDescent="0.25">
      <c r="B93" s="23"/>
      <c r="C93" s="24" t="s">
        <v>340</v>
      </c>
      <c r="D93" s="98"/>
    </row>
    <row r="94" spans="2:4" x14ac:dyDescent="0.25">
      <c r="B94" s="23"/>
      <c r="C94" s="26" t="s">
        <v>196</v>
      </c>
      <c r="D94" s="98"/>
    </row>
    <row r="95" spans="2:4" x14ac:dyDescent="0.25">
      <c r="B95" s="23"/>
      <c r="C95" s="24" t="s">
        <v>341</v>
      </c>
      <c r="D95" s="98"/>
    </row>
    <row r="96" spans="2:4" x14ac:dyDescent="0.25">
      <c r="B96" s="23"/>
      <c r="C96" s="26" t="s">
        <v>196</v>
      </c>
      <c r="D96" s="98"/>
    </row>
    <row r="97" spans="2:4" x14ac:dyDescent="0.25">
      <c r="B97" s="23"/>
      <c r="C97" s="24" t="s">
        <v>342</v>
      </c>
      <c r="D97" s="98"/>
    </row>
    <row r="98" spans="2:4" x14ac:dyDescent="0.25">
      <c r="B98" s="23"/>
      <c r="C98" s="26" t="s">
        <v>196</v>
      </c>
      <c r="D98" s="98"/>
    </row>
    <row r="99" spans="2:4" x14ac:dyDescent="0.25">
      <c r="B99" s="23"/>
      <c r="C99" s="24" t="s">
        <v>343</v>
      </c>
      <c r="D99" s="98"/>
    </row>
    <row r="100" spans="2:4" x14ac:dyDescent="0.25">
      <c r="B100" s="23"/>
      <c r="C100" s="26" t="s">
        <v>196</v>
      </c>
      <c r="D100" s="98"/>
    </row>
    <row r="101" spans="2:4" ht="30" x14ac:dyDescent="0.25">
      <c r="B101" s="23" t="s">
        <v>18</v>
      </c>
      <c r="C101" s="25" t="s">
        <v>420</v>
      </c>
      <c r="D101" s="98"/>
    </row>
    <row r="102" spans="2:4" x14ac:dyDescent="0.25">
      <c r="B102" s="23"/>
      <c r="C102" s="26" t="s">
        <v>196</v>
      </c>
      <c r="D102" s="98"/>
    </row>
    <row r="103" spans="2:4" ht="30" x14ac:dyDescent="0.25">
      <c r="B103" s="23" t="s">
        <v>20</v>
      </c>
      <c r="C103" s="25" t="s">
        <v>421</v>
      </c>
      <c r="D103" s="98"/>
    </row>
    <row r="104" spans="2:4" x14ac:dyDescent="0.25">
      <c r="B104" s="23"/>
      <c r="C104" s="26" t="s">
        <v>196</v>
      </c>
      <c r="D104" s="98"/>
    </row>
    <row r="105" spans="2:4" ht="60" x14ac:dyDescent="0.25">
      <c r="B105" s="23" t="s">
        <v>23</v>
      </c>
      <c r="C105" s="25" t="s">
        <v>82</v>
      </c>
      <c r="D105" s="98" t="s">
        <v>491</v>
      </c>
    </row>
    <row r="106" spans="2:4" x14ac:dyDescent="0.25">
      <c r="B106" s="23" t="s">
        <v>26</v>
      </c>
      <c r="C106" s="25" t="s">
        <v>392</v>
      </c>
      <c r="D106" s="98" t="s">
        <v>492</v>
      </c>
    </row>
    <row r="107" spans="2:4" x14ac:dyDescent="0.25">
      <c r="B107" s="23"/>
      <c r="C107" s="26" t="s">
        <v>198</v>
      </c>
      <c r="D107" s="98"/>
    </row>
    <row r="108" spans="2:4" ht="15.75" x14ac:dyDescent="0.25">
      <c r="B108" s="33" t="s">
        <v>85</v>
      </c>
      <c r="C108" s="32"/>
      <c r="D108" s="98"/>
    </row>
    <row r="109" spans="2:4" x14ac:dyDescent="0.25">
      <c r="B109" s="23" t="s">
        <v>7</v>
      </c>
      <c r="C109" s="25" t="s">
        <v>86</v>
      </c>
      <c r="D109" s="98" t="s">
        <v>493</v>
      </c>
    </row>
    <row r="110" spans="2:4" x14ac:dyDescent="0.25">
      <c r="B110" s="23"/>
      <c r="C110" s="25" t="s">
        <v>87</v>
      </c>
      <c r="D110" s="98" t="s">
        <v>493</v>
      </c>
    </row>
    <row r="111" spans="2:4" x14ac:dyDescent="0.25">
      <c r="B111" s="23"/>
      <c r="C111" s="25" t="s">
        <v>88</v>
      </c>
      <c r="D111" s="98" t="s">
        <v>493</v>
      </c>
    </row>
    <row r="112" spans="2:4" x14ac:dyDescent="0.25">
      <c r="B112" s="23"/>
      <c r="C112" s="25" t="s">
        <v>89</v>
      </c>
      <c r="D112" s="98" t="s">
        <v>493</v>
      </c>
    </row>
    <row r="113" spans="2:4" x14ac:dyDescent="0.25">
      <c r="B113" s="23"/>
      <c r="C113" s="25" t="s">
        <v>90</v>
      </c>
      <c r="D113" s="98" t="s">
        <v>493</v>
      </c>
    </row>
    <row r="114" spans="2:4" x14ac:dyDescent="0.25">
      <c r="B114" s="23"/>
      <c r="C114" s="25" t="s">
        <v>199</v>
      </c>
      <c r="D114" s="98" t="s">
        <v>465</v>
      </c>
    </row>
    <row r="115" spans="2:4" x14ac:dyDescent="0.25">
      <c r="B115" s="23"/>
      <c r="C115" s="25" t="s">
        <v>200</v>
      </c>
      <c r="D115" s="98" t="s">
        <v>493</v>
      </c>
    </row>
    <row r="116" spans="2:4" x14ac:dyDescent="0.25">
      <c r="B116" s="23"/>
      <c r="C116" s="25" t="s">
        <v>201</v>
      </c>
      <c r="D116" s="98" t="s">
        <v>465</v>
      </c>
    </row>
    <row r="117" spans="2:4" x14ac:dyDescent="0.25">
      <c r="B117" s="23"/>
      <c r="C117" s="25" t="s">
        <v>200</v>
      </c>
      <c r="D117" s="98" t="s">
        <v>493</v>
      </c>
    </row>
    <row r="118" spans="2:4" x14ac:dyDescent="0.25">
      <c r="B118" s="23" t="s">
        <v>12</v>
      </c>
      <c r="C118" s="25" t="s">
        <v>91</v>
      </c>
      <c r="D118" s="98" t="s">
        <v>494</v>
      </c>
    </row>
    <row r="119" spans="2:4" x14ac:dyDescent="0.25">
      <c r="B119" s="23" t="s">
        <v>14</v>
      </c>
      <c r="C119" s="25" t="s">
        <v>92</v>
      </c>
      <c r="D119" s="98" t="s">
        <v>495</v>
      </c>
    </row>
    <row r="120" spans="2:4" ht="30" x14ac:dyDescent="0.25">
      <c r="B120" s="23" t="s">
        <v>16</v>
      </c>
      <c r="C120" s="25" t="s">
        <v>93</v>
      </c>
      <c r="D120" s="98" t="s">
        <v>433</v>
      </c>
    </row>
    <row r="121" spans="2:4" x14ac:dyDescent="0.25">
      <c r="B121" s="23"/>
      <c r="C121" s="25" t="s">
        <v>94</v>
      </c>
      <c r="D121" s="98" t="s">
        <v>471</v>
      </c>
    </row>
    <row r="122" spans="2:4" x14ac:dyDescent="0.25">
      <c r="B122" s="23"/>
      <c r="C122" s="25" t="s">
        <v>95</v>
      </c>
      <c r="D122" s="98" t="s">
        <v>497</v>
      </c>
    </row>
    <row r="123" spans="2:4" ht="30" x14ac:dyDescent="0.25">
      <c r="B123" s="23" t="s">
        <v>18</v>
      </c>
      <c r="C123" s="26" t="s">
        <v>422</v>
      </c>
      <c r="D123" s="98" t="s">
        <v>496</v>
      </c>
    </row>
    <row r="124" spans="2:4" x14ac:dyDescent="0.25">
      <c r="B124" s="23"/>
      <c r="C124" s="70" t="s">
        <v>96</v>
      </c>
      <c r="D124" s="98" t="s">
        <v>498</v>
      </c>
    </row>
    <row r="125" spans="2:4" x14ac:dyDescent="0.25">
      <c r="B125" s="23" t="s">
        <v>20</v>
      </c>
      <c r="C125" s="25" t="s">
        <v>393</v>
      </c>
      <c r="D125" s="98" t="s">
        <v>436</v>
      </c>
    </row>
    <row r="126" spans="2:4" ht="30" x14ac:dyDescent="0.25">
      <c r="B126" s="23" t="s">
        <v>23</v>
      </c>
      <c r="C126" s="25" t="s">
        <v>279</v>
      </c>
      <c r="D126" s="98" t="s">
        <v>434</v>
      </c>
    </row>
    <row r="127" spans="2:4" ht="30" x14ac:dyDescent="0.25">
      <c r="B127" s="23"/>
      <c r="C127" s="25" t="s">
        <v>97</v>
      </c>
      <c r="D127" s="98" t="s">
        <v>435</v>
      </c>
    </row>
    <row r="128" spans="2:4" x14ac:dyDescent="0.25">
      <c r="B128" s="23" t="s">
        <v>26</v>
      </c>
      <c r="C128" s="25" t="s">
        <v>98</v>
      </c>
      <c r="D128" s="98" t="s">
        <v>452</v>
      </c>
    </row>
    <row r="129" spans="2:4" x14ac:dyDescent="0.25">
      <c r="B129" s="23" t="s">
        <v>28</v>
      </c>
      <c r="C129" s="25" t="s">
        <v>329</v>
      </c>
      <c r="D129" s="98" t="s">
        <v>467</v>
      </c>
    </row>
    <row r="130" spans="2:4" x14ac:dyDescent="0.25">
      <c r="B130" s="23"/>
      <c r="C130" s="25" t="s">
        <v>202</v>
      </c>
      <c r="D130" s="98" t="s">
        <v>471</v>
      </c>
    </row>
    <row r="131" spans="2:4" x14ac:dyDescent="0.25">
      <c r="B131" s="23" t="s">
        <v>30</v>
      </c>
      <c r="C131" s="25" t="s">
        <v>99</v>
      </c>
      <c r="D131" s="98" t="s">
        <v>451</v>
      </c>
    </row>
    <row r="132" spans="2:4" x14ac:dyDescent="0.25">
      <c r="B132" s="23" t="s">
        <v>32</v>
      </c>
      <c r="C132" s="25" t="s">
        <v>100</v>
      </c>
      <c r="D132" s="98" t="s">
        <v>451</v>
      </c>
    </row>
    <row r="133" spans="2:4" x14ac:dyDescent="0.25">
      <c r="B133" s="23" t="s">
        <v>34</v>
      </c>
      <c r="C133" s="25" t="s">
        <v>203</v>
      </c>
      <c r="D133" s="98" t="s">
        <v>450</v>
      </c>
    </row>
    <row r="134" spans="2:4" x14ac:dyDescent="0.25">
      <c r="B134" s="23"/>
      <c r="C134" s="25" t="s">
        <v>204</v>
      </c>
      <c r="D134" s="98" t="s">
        <v>450</v>
      </c>
    </row>
    <row r="135" spans="2:4" x14ac:dyDescent="0.25">
      <c r="B135" s="23" t="s">
        <v>36</v>
      </c>
      <c r="C135" s="25" t="s">
        <v>378</v>
      </c>
      <c r="D135" s="98" t="s">
        <v>436</v>
      </c>
    </row>
    <row r="136" spans="2:4" x14ac:dyDescent="0.25">
      <c r="B136" s="23"/>
      <c r="C136" s="25" t="s">
        <v>288</v>
      </c>
      <c r="D136" s="98" t="s">
        <v>471</v>
      </c>
    </row>
    <row r="137" spans="2:4" ht="15.75" x14ac:dyDescent="0.25">
      <c r="B137" s="33" t="s">
        <v>101</v>
      </c>
      <c r="C137" s="32"/>
      <c r="D137" s="98"/>
    </row>
    <row r="138" spans="2:4" ht="15.75" x14ac:dyDescent="0.25">
      <c r="B138" s="33" t="s">
        <v>7</v>
      </c>
      <c r="C138" s="40" t="s">
        <v>102</v>
      </c>
      <c r="D138" s="98"/>
    </row>
    <row r="139" spans="2:4" ht="30" x14ac:dyDescent="0.25">
      <c r="B139" s="23" t="s">
        <v>103</v>
      </c>
      <c r="C139" s="25" t="s">
        <v>104</v>
      </c>
      <c r="D139" s="98" t="s">
        <v>471</v>
      </c>
    </row>
    <row r="140" spans="2:4" ht="45" x14ac:dyDescent="0.25">
      <c r="B140" s="23" t="s">
        <v>105</v>
      </c>
      <c r="C140" s="25" t="s">
        <v>106</v>
      </c>
      <c r="D140" s="98" t="s">
        <v>466</v>
      </c>
    </row>
    <row r="141" spans="2:4" x14ac:dyDescent="0.25">
      <c r="B141" s="23"/>
      <c r="C141" s="25" t="s">
        <v>328</v>
      </c>
      <c r="D141" s="98" t="s">
        <v>471</v>
      </c>
    </row>
    <row r="142" spans="2:4" x14ac:dyDescent="0.25">
      <c r="B142" s="23" t="s">
        <v>108</v>
      </c>
      <c r="C142" s="25" t="s">
        <v>109</v>
      </c>
      <c r="D142" s="98" t="s">
        <v>436</v>
      </c>
    </row>
    <row r="143" spans="2:4" ht="30" x14ac:dyDescent="0.25">
      <c r="B143" s="23" t="s">
        <v>110</v>
      </c>
      <c r="C143" s="25" t="s">
        <v>111</v>
      </c>
      <c r="D143" s="98" t="s">
        <v>436</v>
      </c>
    </row>
    <row r="144" spans="2:4" x14ac:dyDescent="0.25">
      <c r="B144" s="23" t="s">
        <v>112</v>
      </c>
      <c r="C144" s="25" t="s">
        <v>113</v>
      </c>
      <c r="D144" s="98" t="s">
        <v>471</v>
      </c>
    </row>
    <row r="145" spans="2:4" ht="15.75" x14ac:dyDescent="0.25">
      <c r="B145" s="33" t="s">
        <v>12</v>
      </c>
      <c r="C145" s="40" t="s">
        <v>114</v>
      </c>
      <c r="D145" s="98"/>
    </row>
    <row r="146" spans="2:4" ht="30" x14ac:dyDescent="0.25">
      <c r="B146" s="23" t="s">
        <v>103</v>
      </c>
      <c r="C146" s="25" t="s">
        <v>115</v>
      </c>
      <c r="D146" s="98" t="s">
        <v>471</v>
      </c>
    </row>
    <row r="147" spans="2:4" ht="30" x14ac:dyDescent="0.25">
      <c r="B147" s="23" t="s">
        <v>105</v>
      </c>
      <c r="C147" s="25" t="s">
        <v>116</v>
      </c>
      <c r="D147" s="98" t="s">
        <v>438</v>
      </c>
    </row>
    <row r="148" spans="2:4" x14ac:dyDescent="0.25">
      <c r="B148" s="23"/>
      <c r="C148" s="25" t="s">
        <v>327</v>
      </c>
      <c r="D148" s="98" t="s">
        <v>471</v>
      </c>
    </row>
    <row r="149" spans="2:4" ht="30" x14ac:dyDescent="0.25">
      <c r="B149" s="23" t="s">
        <v>108</v>
      </c>
      <c r="C149" s="25" t="s">
        <v>117</v>
      </c>
      <c r="D149" s="98" t="s">
        <v>436</v>
      </c>
    </row>
    <row r="150" spans="2:4" x14ac:dyDescent="0.25">
      <c r="B150" s="23" t="s">
        <v>110</v>
      </c>
      <c r="C150" s="25" t="s">
        <v>118</v>
      </c>
      <c r="D150" s="98" t="s">
        <v>436</v>
      </c>
    </row>
    <row r="151" spans="2:4" ht="30" x14ac:dyDescent="0.25">
      <c r="B151" s="23" t="s">
        <v>112</v>
      </c>
      <c r="C151" s="25" t="s">
        <v>119</v>
      </c>
      <c r="D151" s="98" t="s">
        <v>436</v>
      </c>
    </row>
    <row r="152" spans="2:4" x14ac:dyDescent="0.25">
      <c r="B152" s="23" t="s">
        <v>120</v>
      </c>
      <c r="C152" s="25" t="s">
        <v>121</v>
      </c>
      <c r="D152" s="98" t="s">
        <v>436</v>
      </c>
    </row>
    <row r="153" spans="2:4" x14ac:dyDescent="0.25">
      <c r="B153" s="23" t="s">
        <v>122</v>
      </c>
      <c r="C153" s="25" t="s">
        <v>394</v>
      </c>
      <c r="D153" s="98" t="s">
        <v>471</v>
      </c>
    </row>
    <row r="154" spans="2:4" ht="15.75" x14ac:dyDescent="0.25">
      <c r="B154" s="33" t="s">
        <v>14</v>
      </c>
      <c r="C154" s="40" t="s">
        <v>123</v>
      </c>
      <c r="D154" s="98"/>
    </row>
    <row r="155" spans="2:4" ht="30" x14ac:dyDescent="0.25">
      <c r="B155" s="23" t="s">
        <v>103</v>
      </c>
      <c r="C155" s="25" t="s">
        <v>124</v>
      </c>
      <c r="D155" s="98" t="s">
        <v>471</v>
      </c>
    </row>
    <row r="156" spans="2:4" x14ac:dyDescent="0.25">
      <c r="B156" s="23" t="s">
        <v>105</v>
      </c>
      <c r="C156" s="25" t="s">
        <v>205</v>
      </c>
      <c r="D156" s="98" t="s">
        <v>471</v>
      </c>
    </row>
    <row r="157" spans="2:4" ht="30" x14ac:dyDescent="0.25">
      <c r="B157" s="23" t="s">
        <v>108</v>
      </c>
      <c r="C157" s="25" t="s">
        <v>285</v>
      </c>
      <c r="D157" s="98" t="s">
        <v>436</v>
      </c>
    </row>
    <row r="158" spans="2:4" x14ac:dyDescent="0.25">
      <c r="B158" s="23"/>
      <c r="C158" s="25" t="s">
        <v>423</v>
      </c>
      <c r="D158" s="98" t="s">
        <v>471</v>
      </c>
    </row>
    <row r="159" spans="2:4" ht="30" x14ac:dyDescent="0.25">
      <c r="B159" s="23" t="s">
        <v>110</v>
      </c>
      <c r="C159" s="25" t="s">
        <v>125</v>
      </c>
      <c r="D159" s="98" t="s">
        <v>436</v>
      </c>
    </row>
    <row r="160" spans="2:4" ht="30" x14ac:dyDescent="0.25">
      <c r="B160" s="23"/>
      <c r="C160" s="25" t="s">
        <v>126</v>
      </c>
      <c r="D160" s="98" t="s">
        <v>436</v>
      </c>
    </row>
    <row r="161" spans="2:4" ht="30" x14ac:dyDescent="0.25">
      <c r="B161" s="23" t="s">
        <v>112</v>
      </c>
      <c r="C161" s="25" t="s">
        <v>127</v>
      </c>
      <c r="D161" s="98" t="s">
        <v>436</v>
      </c>
    </row>
    <row r="162" spans="2:4" ht="30" x14ac:dyDescent="0.25">
      <c r="B162" s="23"/>
      <c r="C162" s="25" t="s">
        <v>128</v>
      </c>
      <c r="D162" s="98" t="s">
        <v>436</v>
      </c>
    </row>
    <row r="163" spans="2:4" x14ac:dyDescent="0.25">
      <c r="B163" s="23" t="s">
        <v>120</v>
      </c>
      <c r="C163" s="25" t="s">
        <v>129</v>
      </c>
      <c r="D163" s="98" t="s">
        <v>471</v>
      </c>
    </row>
    <row r="164" spans="2:4" ht="15.75" x14ac:dyDescent="0.25">
      <c r="B164" s="33" t="s">
        <v>16</v>
      </c>
      <c r="C164" s="40" t="s">
        <v>130</v>
      </c>
      <c r="D164" s="98"/>
    </row>
    <row r="165" spans="2:4" ht="30" x14ac:dyDescent="0.25">
      <c r="B165" s="23" t="s">
        <v>103</v>
      </c>
      <c r="C165" s="25" t="s">
        <v>131</v>
      </c>
      <c r="D165" s="98" t="s">
        <v>471</v>
      </c>
    </row>
    <row r="166" spans="2:4" x14ac:dyDescent="0.25">
      <c r="B166" s="23" t="s">
        <v>105</v>
      </c>
      <c r="C166" s="25" t="s">
        <v>132</v>
      </c>
      <c r="D166" s="98" t="s">
        <v>436</v>
      </c>
    </row>
    <row r="167" spans="2:4" ht="30" x14ac:dyDescent="0.25">
      <c r="B167" s="23"/>
      <c r="C167" s="25" t="s">
        <v>133</v>
      </c>
      <c r="D167" s="98" t="s">
        <v>436</v>
      </c>
    </row>
    <row r="168" spans="2:4" ht="30" x14ac:dyDescent="0.25">
      <c r="B168" s="23" t="s">
        <v>108</v>
      </c>
      <c r="C168" s="25" t="s">
        <v>286</v>
      </c>
      <c r="D168" s="98" t="s">
        <v>436</v>
      </c>
    </row>
    <row r="169" spans="2:4" x14ac:dyDescent="0.25">
      <c r="B169" s="23"/>
      <c r="C169" s="25" t="s">
        <v>423</v>
      </c>
      <c r="D169" s="98" t="s">
        <v>471</v>
      </c>
    </row>
    <row r="170" spans="2:4" x14ac:dyDescent="0.25">
      <c r="B170" s="23" t="s">
        <v>110</v>
      </c>
      <c r="C170" s="25" t="s">
        <v>134</v>
      </c>
      <c r="D170" s="98" t="s">
        <v>471</v>
      </c>
    </row>
    <row r="171" spans="2:4" ht="15.75" x14ac:dyDescent="0.25">
      <c r="B171" s="33" t="s">
        <v>18</v>
      </c>
      <c r="C171" s="40" t="s">
        <v>135</v>
      </c>
      <c r="D171" s="98"/>
    </row>
    <row r="172" spans="2:4" ht="30" x14ac:dyDescent="0.25">
      <c r="B172" s="23"/>
      <c r="C172" s="25" t="s">
        <v>136</v>
      </c>
      <c r="D172" s="98" t="s">
        <v>471</v>
      </c>
    </row>
    <row r="173" spans="2:4" ht="15.75" x14ac:dyDescent="0.25">
      <c r="B173" s="33" t="s">
        <v>20</v>
      </c>
      <c r="C173" s="40" t="s">
        <v>137</v>
      </c>
      <c r="D173" s="98"/>
    </row>
    <row r="174" spans="2:4" ht="30" x14ac:dyDescent="0.25">
      <c r="B174" s="23"/>
      <c r="C174" s="25" t="s">
        <v>138</v>
      </c>
      <c r="D174" s="98" t="s">
        <v>439</v>
      </c>
    </row>
    <row r="175" spans="2:4" ht="15.75" x14ac:dyDescent="0.25">
      <c r="B175" s="33" t="s">
        <v>139</v>
      </c>
      <c r="C175" s="32"/>
      <c r="D175" s="98"/>
    </row>
    <row r="176" spans="2:4" ht="45" x14ac:dyDescent="0.25">
      <c r="B176" s="23" t="s">
        <v>7</v>
      </c>
      <c r="C176" s="25" t="s">
        <v>206</v>
      </c>
      <c r="D176" s="98" t="s">
        <v>451</v>
      </c>
    </row>
    <row r="177" spans="2:4" ht="105" x14ac:dyDescent="0.25">
      <c r="B177" s="23" t="s">
        <v>12</v>
      </c>
      <c r="C177" s="25" t="s">
        <v>382</v>
      </c>
      <c r="D177" s="98" t="s">
        <v>499</v>
      </c>
    </row>
    <row r="178" spans="2:4" x14ac:dyDescent="0.25">
      <c r="B178" s="23" t="s">
        <v>14</v>
      </c>
      <c r="C178" s="25" t="s">
        <v>140</v>
      </c>
      <c r="D178" s="98" t="s">
        <v>451</v>
      </c>
    </row>
    <row r="179" spans="2:4" x14ac:dyDescent="0.25">
      <c r="B179" s="23" t="s">
        <v>16</v>
      </c>
      <c r="C179" s="25" t="s">
        <v>141</v>
      </c>
      <c r="D179" s="98" t="s">
        <v>451</v>
      </c>
    </row>
    <row r="180" spans="2:4" ht="30" x14ac:dyDescent="0.25">
      <c r="B180" s="23" t="s">
        <v>18</v>
      </c>
      <c r="C180" s="25" t="s">
        <v>207</v>
      </c>
      <c r="D180" s="98" t="s">
        <v>451</v>
      </c>
    </row>
    <row r="181" spans="2:4" x14ac:dyDescent="0.25">
      <c r="B181" s="23"/>
      <c r="C181" s="25" t="s">
        <v>208</v>
      </c>
      <c r="D181" s="98" t="s">
        <v>451</v>
      </c>
    </row>
    <row r="182" spans="2:4" ht="30" x14ac:dyDescent="0.25">
      <c r="B182" s="23" t="s">
        <v>20</v>
      </c>
      <c r="C182" s="25" t="s">
        <v>144</v>
      </c>
      <c r="D182" s="98" t="s">
        <v>468</v>
      </c>
    </row>
    <row r="183" spans="2:4" x14ac:dyDescent="0.25">
      <c r="B183" s="23"/>
      <c r="C183" s="25" t="s">
        <v>145</v>
      </c>
      <c r="D183" s="98" t="s">
        <v>437</v>
      </c>
    </row>
    <row r="184" spans="2:4" x14ac:dyDescent="0.25">
      <c r="B184" s="23"/>
      <c r="C184" s="25" t="s">
        <v>146</v>
      </c>
      <c r="D184" s="98" t="s">
        <v>451</v>
      </c>
    </row>
    <row r="185" spans="2:4" x14ac:dyDescent="0.25">
      <c r="B185" s="23" t="s">
        <v>23</v>
      </c>
      <c r="C185" s="25" t="s">
        <v>148</v>
      </c>
      <c r="D185" s="98" t="s">
        <v>469</v>
      </c>
    </row>
    <row r="186" spans="2:4" x14ac:dyDescent="0.25">
      <c r="B186" s="23"/>
      <c r="C186" s="26" t="s">
        <v>379</v>
      </c>
      <c r="D186" s="98" t="s">
        <v>451</v>
      </c>
    </row>
    <row r="187" spans="2:4" x14ac:dyDescent="0.25">
      <c r="B187" s="23"/>
      <c r="C187" s="26" t="s">
        <v>209</v>
      </c>
      <c r="D187" s="98" t="s">
        <v>451</v>
      </c>
    </row>
    <row r="188" spans="2:4" x14ac:dyDescent="0.25">
      <c r="B188" s="23" t="s">
        <v>26</v>
      </c>
      <c r="C188" s="25" t="s">
        <v>150</v>
      </c>
      <c r="D188" s="98" t="s">
        <v>451</v>
      </c>
    </row>
    <row r="189" spans="2:4" ht="15.75" x14ac:dyDescent="0.25">
      <c r="B189" s="33" t="s">
        <v>151</v>
      </c>
      <c r="C189" s="32"/>
      <c r="D189" s="98"/>
    </row>
    <row r="190" spans="2:4" ht="45" x14ac:dyDescent="0.25">
      <c r="B190" s="23" t="s">
        <v>7</v>
      </c>
      <c r="C190" s="25" t="s">
        <v>152</v>
      </c>
      <c r="D190" s="98" t="s">
        <v>436</v>
      </c>
    </row>
    <row r="191" spans="2:4" x14ac:dyDescent="0.25">
      <c r="B191" s="23"/>
      <c r="C191" s="25" t="s">
        <v>153</v>
      </c>
      <c r="D191" s="98" t="s">
        <v>471</v>
      </c>
    </row>
    <row r="192" spans="2:4" x14ac:dyDescent="0.25">
      <c r="B192" s="23"/>
      <c r="C192" s="25" t="s">
        <v>154</v>
      </c>
      <c r="D192" s="98" t="s">
        <v>451</v>
      </c>
    </row>
    <row r="193" spans="2:4" ht="45" x14ac:dyDescent="0.25">
      <c r="B193" s="23" t="s">
        <v>12</v>
      </c>
      <c r="C193" s="25" t="s">
        <v>155</v>
      </c>
      <c r="D193" s="98" t="s">
        <v>437</v>
      </c>
    </row>
    <row r="194" spans="2:4" x14ac:dyDescent="0.25">
      <c r="B194" s="23"/>
      <c r="C194" s="25" t="s">
        <v>288</v>
      </c>
      <c r="D194" s="98" t="s">
        <v>471</v>
      </c>
    </row>
    <row r="195" spans="2:4" x14ac:dyDescent="0.25">
      <c r="B195" s="23"/>
      <c r="C195" s="25" t="s">
        <v>156</v>
      </c>
      <c r="D195" s="98" t="s">
        <v>451</v>
      </c>
    </row>
    <row r="196" spans="2:4" ht="30" x14ac:dyDescent="0.25">
      <c r="B196" s="23" t="s">
        <v>14</v>
      </c>
      <c r="C196" s="25" t="s">
        <v>157</v>
      </c>
      <c r="D196" s="98" t="s">
        <v>437</v>
      </c>
    </row>
    <row r="197" spans="2:4" x14ac:dyDescent="0.25">
      <c r="B197" s="23"/>
      <c r="C197" s="25" t="s">
        <v>288</v>
      </c>
      <c r="D197" s="98" t="s">
        <v>471</v>
      </c>
    </row>
    <row r="198" spans="2:4" x14ac:dyDescent="0.25">
      <c r="B198" s="23"/>
      <c r="C198" s="25" t="s">
        <v>158</v>
      </c>
      <c r="D198" s="98" t="s">
        <v>451</v>
      </c>
    </row>
    <row r="199" spans="2:4" x14ac:dyDescent="0.25">
      <c r="B199" s="23" t="s">
        <v>16</v>
      </c>
      <c r="C199" s="25" t="s">
        <v>159</v>
      </c>
      <c r="D199" s="98" t="s">
        <v>471</v>
      </c>
    </row>
    <row r="200" spans="2:4" ht="30" x14ac:dyDescent="0.25">
      <c r="B200" s="23" t="s">
        <v>18</v>
      </c>
      <c r="C200" s="25" t="s">
        <v>160</v>
      </c>
      <c r="D200" s="98" t="s">
        <v>436</v>
      </c>
    </row>
    <row r="201" spans="2:4" x14ac:dyDescent="0.25">
      <c r="B201" s="23"/>
      <c r="C201" s="25" t="s">
        <v>153</v>
      </c>
      <c r="D201" s="98" t="s">
        <v>471</v>
      </c>
    </row>
    <row r="202" spans="2:4" ht="30" x14ac:dyDescent="0.25">
      <c r="B202" s="33" t="s">
        <v>161</v>
      </c>
      <c r="C202" s="32"/>
      <c r="D202" s="98" t="s">
        <v>440</v>
      </c>
    </row>
    <row r="203" spans="2:4" x14ac:dyDescent="0.25">
      <c r="B203" s="23" t="s">
        <v>7</v>
      </c>
      <c r="C203" s="25" t="s">
        <v>162</v>
      </c>
      <c r="D203" s="98" t="s">
        <v>453</v>
      </c>
    </row>
    <row r="204" spans="2:4" x14ac:dyDescent="0.25">
      <c r="B204" s="23" t="s">
        <v>12</v>
      </c>
      <c r="C204" s="25" t="s">
        <v>163</v>
      </c>
      <c r="D204" s="98" t="s">
        <v>454</v>
      </c>
    </row>
    <row r="205" spans="2:4" x14ac:dyDescent="0.25">
      <c r="B205" s="23" t="s">
        <v>14</v>
      </c>
      <c r="C205" s="25" t="s">
        <v>210</v>
      </c>
      <c r="D205" s="98" t="s">
        <v>441</v>
      </c>
    </row>
    <row r="206" spans="2:4" x14ac:dyDescent="0.25">
      <c r="B206" s="23"/>
      <c r="C206" s="25" t="s">
        <v>211</v>
      </c>
      <c r="D206" s="98" t="s">
        <v>442</v>
      </c>
    </row>
    <row r="207" spans="2:4" x14ac:dyDescent="0.25">
      <c r="B207" s="23"/>
      <c r="C207" s="25" t="s">
        <v>212</v>
      </c>
      <c r="D207" s="98" t="s">
        <v>443</v>
      </c>
    </row>
    <row r="208" spans="2:4" x14ac:dyDescent="0.25">
      <c r="B208" s="23"/>
      <c r="C208" s="25" t="s">
        <v>213</v>
      </c>
      <c r="D208" s="98" t="s">
        <v>444</v>
      </c>
    </row>
    <row r="209" spans="2:4" x14ac:dyDescent="0.25">
      <c r="B209" s="23"/>
      <c r="C209" s="25" t="s">
        <v>214</v>
      </c>
      <c r="D209" s="98" t="s">
        <v>445</v>
      </c>
    </row>
    <row r="210" spans="2:4" ht="45" x14ac:dyDescent="0.25">
      <c r="B210" s="23" t="s">
        <v>16</v>
      </c>
      <c r="C210" s="25" t="s">
        <v>172</v>
      </c>
      <c r="D210" s="98" t="s">
        <v>436</v>
      </c>
    </row>
    <row r="211" spans="2:4" ht="30" x14ac:dyDescent="0.25">
      <c r="B211" s="23" t="s">
        <v>18</v>
      </c>
      <c r="C211" s="25" t="s">
        <v>173</v>
      </c>
      <c r="D211" s="98" t="s">
        <v>446</v>
      </c>
    </row>
    <row r="212" spans="2:4" ht="15.75" x14ac:dyDescent="0.25">
      <c r="B212" s="33" t="s">
        <v>174</v>
      </c>
      <c r="C212" s="32"/>
      <c r="D212" s="98"/>
    </row>
    <row r="213" spans="2:4" x14ac:dyDescent="0.25">
      <c r="B213" s="23" t="s">
        <v>7</v>
      </c>
      <c r="C213" s="25" t="s">
        <v>175</v>
      </c>
      <c r="D213" s="98" t="s">
        <v>471</v>
      </c>
    </row>
    <row r="214" spans="2:4" ht="30" x14ac:dyDescent="0.25">
      <c r="B214" s="23" t="s">
        <v>12</v>
      </c>
      <c r="C214" s="25" t="s">
        <v>177</v>
      </c>
      <c r="D214" s="98" t="s">
        <v>447</v>
      </c>
    </row>
    <row r="215" spans="2:4" x14ac:dyDescent="0.25">
      <c r="B215" s="23"/>
      <c r="C215" s="25" t="s">
        <v>178</v>
      </c>
      <c r="D215" s="98" t="s">
        <v>471</v>
      </c>
    </row>
    <row r="216" spans="2:4" x14ac:dyDescent="0.25">
      <c r="B216" s="23"/>
      <c r="C216" s="25" t="s">
        <v>179</v>
      </c>
      <c r="D216" s="98" t="s">
        <v>448</v>
      </c>
    </row>
    <row r="217" spans="2:4" x14ac:dyDescent="0.25">
      <c r="B217" s="23"/>
      <c r="C217" s="25" t="s">
        <v>180</v>
      </c>
      <c r="D217" s="98" t="s">
        <v>471</v>
      </c>
    </row>
    <row r="218" spans="2:4" x14ac:dyDescent="0.25">
      <c r="B218" s="23"/>
      <c r="C218" s="25" t="s">
        <v>181</v>
      </c>
      <c r="D218" s="98" t="s">
        <v>449</v>
      </c>
    </row>
    <row r="219" spans="2:4" x14ac:dyDescent="0.25">
      <c r="B219" s="23"/>
      <c r="C219" s="25" t="s">
        <v>182</v>
      </c>
      <c r="D219" s="98" t="s">
        <v>471</v>
      </c>
    </row>
    <row r="220" spans="2:4" ht="75" x14ac:dyDescent="0.25">
      <c r="B220" s="23" t="s">
        <v>14</v>
      </c>
      <c r="C220" s="25" t="s">
        <v>395</v>
      </c>
      <c r="D220" s="98" t="s">
        <v>474</v>
      </c>
    </row>
    <row r="221" spans="2:4" x14ac:dyDescent="0.25">
      <c r="B221" s="23"/>
      <c r="C221" s="25" t="s">
        <v>215</v>
      </c>
      <c r="D221" s="98" t="s">
        <v>471</v>
      </c>
    </row>
    <row r="222" spans="2:4" ht="30" x14ac:dyDescent="0.25">
      <c r="B222" s="23" t="s">
        <v>16</v>
      </c>
      <c r="C222" s="25" t="s">
        <v>183</v>
      </c>
      <c r="D222" s="98"/>
    </row>
    <row r="223" spans="2:4" x14ac:dyDescent="0.25">
      <c r="B223" s="23"/>
      <c r="C223" s="25" t="s">
        <v>215</v>
      </c>
      <c r="D223" s="98" t="s">
        <v>471</v>
      </c>
    </row>
    <row r="224" spans="2:4" ht="45" x14ac:dyDescent="0.25">
      <c r="B224" s="23" t="s">
        <v>18</v>
      </c>
      <c r="C224" s="25" t="s">
        <v>184</v>
      </c>
      <c r="D224" s="98" t="s">
        <v>436</v>
      </c>
    </row>
    <row r="225" spans="2:4" x14ac:dyDescent="0.25">
      <c r="B225" s="23"/>
      <c r="C225" s="25" t="s">
        <v>185</v>
      </c>
      <c r="D225" s="98" t="s">
        <v>471</v>
      </c>
    </row>
    <row r="226" spans="2:4" ht="15.75" x14ac:dyDescent="0.25">
      <c r="B226" s="33" t="s">
        <v>186</v>
      </c>
      <c r="C226" s="51"/>
      <c r="D226" s="98"/>
    </row>
    <row r="227" spans="2:4" x14ac:dyDescent="0.25">
      <c r="B227" s="103" t="s">
        <v>187</v>
      </c>
      <c r="C227" s="104"/>
      <c r="D227" s="98" t="s">
        <v>472</v>
      </c>
    </row>
    <row r="228" spans="2:4" x14ac:dyDescent="0.25">
      <c r="B228" s="23"/>
      <c r="C228" s="25" t="s">
        <v>500</v>
      </c>
      <c r="D228" s="98" t="s">
        <v>473</v>
      </c>
    </row>
    <row r="229" spans="2:4" ht="15.75" x14ac:dyDescent="0.25">
      <c r="B229" s="33" t="s">
        <v>188</v>
      </c>
      <c r="C229" s="32"/>
      <c r="D229" s="98"/>
    </row>
    <row r="230" spans="2:4" x14ac:dyDescent="0.25">
      <c r="B230" s="103" t="s">
        <v>216</v>
      </c>
      <c r="C230" s="104"/>
      <c r="D230" s="98" t="s">
        <v>472</v>
      </c>
    </row>
    <row r="231" spans="2:4" x14ac:dyDescent="0.25">
      <c r="B231" s="23"/>
      <c r="C231" s="25" t="s">
        <v>500</v>
      </c>
      <c r="D231" s="98" t="s">
        <v>473</v>
      </c>
    </row>
  </sheetData>
  <sheetProtection algorithmName="SHA-512" hashValue="QUePBo0jCPmhQqfGne9ssDEOSUMRkObFhCY3pnj7wxX9F1g4NHd5LNpITyaNlfobaa06dU1REV//dasMgzBqzA==" saltValue="TglVLvbZqOamfPtGqESBiQ==" spinCount="100000" sheet="1" objects="1" scenarios="1"/>
  <mergeCells count="5">
    <mergeCell ref="B227:C227"/>
    <mergeCell ref="B230:C230"/>
    <mergeCell ref="B2:D2"/>
    <mergeCell ref="B6:D6"/>
    <mergeCell ref="B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3</vt:i4>
      </vt:variant>
      <vt:variant>
        <vt:lpstr>Névvel ellátott tartományok</vt:lpstr>
      </vt:variant>
      <vt:variant>
        <vt:i4>2</vt:i4>
      </vt:variant>
    </vt:vector>
  </HeadingPairs>
  <TitlesOfParts>
    <vt:vector size="5" baseType="lpstr">
      <vt:lpstr>Adatlap</vt:lpstr>
      <vt:lpstr>Jelentes</vt:lpstr>
      <vt:lpstr>Sugo_lelkeszi jelenteshez</vt:lpstr>
      <vt:lpstr>evek</vt:lpstr>
      <vt:lpstr>Jelentes!Nyomtatási_terület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Beke Tivadar</dc:creator>
  <cp:lastModifiedBy>Beke Tivadar</cp:lastModifiedBy>
  <cp:lastPrinted>2026-01-03T08:40:27Z</cp:lastPrinted>
  <dcterms:created xsi:type="dcterms:W3CDTF">2025-11-27T06:30:47Z</dcterms:created>
  <dcterms:modified xsi:type="dcterms:W3CDTF">2026-01-07T06:13:37Z</dcterms:modified>
</cp:coreProperties>
</file>