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33f81537aedd25/Desktop/2026/Munkanaplo_Lelkeszi jelentes_Nyomtatvanyok/"/>
    </mc:Choice>
  </mc:AlternateContent>
  <xr:revisionPtr revIDLastSave="710" documentId="13_ncr:1_{07C566ED-67D1-4945-AEAF-025E04411BA0}" xr6:coauthVersionLast="47" xr6:coauthVersionMax="47" xr10:uidLastSave="{CBD2B165-8A9C-405D-BB27-F6673797E964}"/>
  <workbookProtection workbookAlgorithmName="SHA-512" workbookHashValue="RmDoEiFpqJT3GzZCWgCZDyZVWgWy+vTz3lIHa4SS5hraigo3uEyfkWBawh7VzlZpbydwnq3O2LXjag9a8L9j5g==" workbookSaltValue="beh8TDUebrRNU3IlqIE2ww==" workbookSpinCount="100000" lockStructure="1"/>
  <bookViews>
    <workbookView xWindow="-120" yWindow="-120" windowWidth="29040" windowHeight="15720" xr2:uid="{00000000-000D-0000-FFFF-FFFF00000000}"/>
  </bookViews>
  <sheets>
    <sheet name="Keszlet" sheetId="1" r:id="rId1"/>
    <sheet name="Bevetel" sheetId="2" r:id="rId2"/>
    <sheet name="Kiadas" sheetId="4" r:id="rId3"/>
    <sheet name="Kisero_iv" sheetId="3" r:id="rId4"/>
    <sheet name="Anyagraktar_iv" sheetId="5" r:id="rId5"/>
    <sheet name="Leltar_iv" sheetId="6" r:id="rId6"/>
    <sheet name="Vagyonleltar_jelentes" sheetId="7" r:id="rId7"/>
    <sheet name="Szinek" sheetId="8" r:id="rId8"/>
  </sheets>
  <definedNames>
    <definedName name="cimbev">Vagyonleltar_jelentes!$Z$1:INDEX(Vagyonleltar_jelentes!$Z:$Z,Vagyonleltar_jelentes!$Y$1)</definedName>
    <definedName name="cimkiad">Vagyonleltar_jelentes!$AB$1:INDEX(Vagyonleltar_jelentes!$AB:$AB,Vagyonleltar_jelentes!$Y$2)</definedName>
    <definedName name="kkezd">Keszlet!$K$1</definedName>
    <definedName name="kvegez">Keszlet!$K$2</definedName>
    <definedName name="_xlnm.Print_Area" localSheetId="4">Anyagraktar_iv!$B$3:$K$43</definedName>
    <definedName name="_xlnm.Print_Area" localSheetId="3">Kisero_iv!$C$4:$G$47</definedName>
    <definedName name="_xlnm.Print_Area" localSheetId="5">Leltar_iv!$B$3:$I$63</definedName>
    <definedName name="_xlnm.Print_Area" localSheetId="6">Vagyonleltar_jelentes!$C$5:$G$11</definedName>
    <definedName name="q">Anyagraktar_iv!$O$1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" i="6" l="1"/>
  <c r="E1" i="4" l="1"/>
  <c r="E1" i="2"/>
  <c r="AI197" i="7"/>
  <c r="K2" i="1"/>
  <c r="C10" i="1"/>
  <c r="C11" i="1"/>
  <c r="C14" i="1"/>
  <c r="C15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L6" i="1"/>
  <c r="M6" i="1" s="1"/>
  <c r="L7" i="1"/>
  <c r="M7" i="1" s="1"/>
  <c r="L8" i="1"/>
  <c r="M8" i="1" s="1"/>
  <c r="L9" i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5" i="1"/>
  <c r="M5" i="1" s="1"/>
  <c r="K1" i="1"/>
  <c r="O1" i="5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6" i="4"/>
  <c r="C204" i="1"/>
  <c r="G114" i="4"/>
  <c r="C201" i="1"/>
  <c r="C13" i="1" l="1"/>
  <c r="C8" i="1"/>
  <c r="C16" i="1"/>
  <c r="C12" i="1"/>
  <c r="C6" i="1"/>
  <c r="C5" i="1"/>
  <c r="C7" i="1"/>
  <c r="C9" i="1"/>
  <c r="M9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B3" i="6"/>
  <c r="D202" i="2"/>
  <c r="D203" i="2"/>
  <c r="D204" i="2"/>
  <c r="D205" i="2"/>
  <c r="Q1368" i="4" l="1"/>
  <c r="Q1560" i="4"/>
  <c r="Q1472" i="4"/>
  <c r="Q1457" i="4"/>
  <c r="Q1816" i="4"/>
  <c r="Q1713" i="4"/>
  <c r="Q1644" i="4"/>
  <c r="Q1950" i="4"/>
  <c r="Q1728" i="4"/>
  <c r="Q1350" i="4"/>
  <c r="Q1964" i="4"/>
  <c r="Q1900" i="4"/>
  <c r="Q1777" i="4"/>
  <c r="Q1948" i="4"/>
  <c r="Q1792" i="4"/>
  <c r="Q1708" i="4"/>
  <c r="Q1536" i="4"/>
  <c r="Q1290" i="4"/>
  <c r="Q1831" i="4"/>
  <c r="Q1603" i="4"/>
  <c r="Q1318" i="4"/>
  <c r="Q1774" i="4"/>
  <c r="Q1394" i="4"/>
  <c r="Q1221" i="4"/>
  <c r="Q1116" i="4"/>
  <c r="Q1585" i="4"/>
  <c r="Q1841" i="4"/>
  <c r="Q1994" i="4"/>
  <c r="Q1932" i="4"/>
  <c r="Q1856" i="4"/>
  <c r="Q1772" i="4"/>
  <c r="Q1688" i="4"/>
  <c r="Q1600" i="4"/>
  <c r="Q1516" i="4"/>
  <c r="Q1432" i="4"/>
  <c r="Q1194" i="4"/>
  <c r="Q1919" i="4"/>
  <c r="Q1799" i="4"/>
  <c r="Q1687" i="4"/>
  <c r="Q1575" i="4"/>
  <c r="Q1459" i="4"/>
  <c r="Q1206" i="4"/>
  <c r="Q1858" i="4"/>
  <c r="Q1730" i="4"/>
  <c r="Q1558" i="4"/>
  <c r="Q1250" i="4"/>
  <c r="Q1049" i="4"/>
  <c r="Q1967" i="4"/>
  <c r="Q1859" i="4"/>
  <c r="Q1747" i="4"/>
  <c r="Q1631" i="4"/>
  <c r="Q1519" i="4"/>
  <c r="Q1387" i="4"/>
  <c r="Q1910" i="4"/>
  <c r="Q1798" i="4"/>
  <c r="Q1646" i="4"/>
  <c r="Q1470" i="4"/>
  <c r="Q1313" i="4"/>
  <c r="Q1244" i="4"/>
  <c r="Q1521" i="4"/>
  <c r="Q1978" i="4"/>
  <c r="Q1880" i="4"/>
  <c r="Q1624" i="4"/>
  <c r="Q1452" i="4"/>
  <c r="Q1943" i="4"/>
  <c r="Q1715" i="4"/>
  <c r="Q1491" i="4"/>
  <c r="Q1886" i="4"/>
  <c r="Q1602" i="4"/>
  <c r="Q1032" i="4"/>
  <c r="Q1359" i="4"/>
  <c r="Q1649" i="4"/>
  <c r="Q1905" i="4"/>
  <c r="Q1985" i="4"/>
  <c r="Q1916" i="4"/>
  <c r="Q1836" i="4"/>
  <c r="Q1752" i="4"/>
  <c r="Q1664" i="4"/>
  <c r="Q1580" i="4"/>
  <c r="Q1496" i="4"/>
  <c r="Q1390" i="4"/>
  <c r="Q1076" i="4"/>
  <c r="Q1887" i="4"/>
  <c r="Q1775" i="4"/>
  <c r="Q1663" i="4"/>
  <c r="Q1543" i="4"/>
  <c r="Q1431" i="4"/>
  <c r="Q1036" i="4"/>
  <c r="Q1826" i="4"/>
  <c r="Q1686" i="4"/>
  <c r="Q1518" i="4"/>
  <c r="Q1397" i="4"/>
  <c r="Q1988" i="4"/>
  <c r="Q1223" i="4"/>
  <c r="Q192" i="4"/>
  <c r="Q1019" i="4"/>
  <c r="Q1070" i="4"/>
  <c r="Q1445" i="4"/>
  <c r="Q1991" i="4"/>
  <c r="Q1545" i="4"/>
  <c r="Q1198" i="4"/>
  <c r="Q1473" i="4"/>
  <c r="Q1601" i="4"/>
  <c r="Q1729" i="4"/>
  <c r="Q1857" i="4"/>
  <c r="Q1958" i="4"/>
  <c r="Q1998" i="4"/>
  <c r="Q1960" i="4"/>
  <c r="Q1928" i="4"/>
  <c r="Q1896" i="4"/>
  <c r="Q1852" i="4"/>
  <c r="Q1808" i="4"/>
  <c r="Q1768" i="4"/>
  <c r="Q1724" i="4"/>
  <c r="Q1680" i="4"/>
  <c r="Q1640" i="4"/>
  <c r="Q1596" i="4"/>
  <c r="Q1552" i="4"/>
  <c r="Q1512" i="4"/>
  <c r="Q1468" i="4"/>
  <c r="Q1422" i="4"/>
  <c r="Q1342" i="4"/>
  <c r="Q1178" i="4"/>
  <c r="Q1959" i="4"/>
  <c r="Q1907" i="4"/>
  <c r="Q1855" i="4"/>
  <c r="Q1795" i="4"/>
  <c r="Q1735" i="4"/>
  <c r="Q1683" i="4"/>
  <c r="Q1623" i="4"/>
  <c r="Q1567" i="4"/>
  <c r="Q1511" i="4"/>
  <c r="Q1455" i="4"/>
  <c r="Q1363" i="4"/>
  <c r="Q1190" i="4"/>
  <c r="Q1906" i="4"/>
  <c r="Q1878" i="4"/>
  <c r="Q1846" i="4"/>
  <c r="Q1822" i="4"/>
  <c r="Q1794" i="4"/>
  <c r="Q1758" i="4"/>
  <c r="Q1670" i="4"/>
  <c r="Q1630" i="4"/>
  <c r="Q1586" i="4"/>
  <c r="Q1542" i="4"/>
  <c r="Q1502" i="4"/>
  <c r="Q1450" i="4"/>
  <c r="Q1354" i="4"/>
  <c r="Q1170" i="4"/>
  <c r="Q1373" i="4"/>
  <c r="Q1285" i="4"/>
  <c r="Q1181" i="4"/>
  <c r="Q180" i="4"/>
  <c r="Q1332" i="4"/>
  <c r="Q1196" i="4"/>
  <c r="Q114" i="4"/>
  <c r="Q1175" i="4"/>
  <c r="Q1127" i="4"/>
  <c r="Q174" i="4"/>
  <c r="Q1018" i="4"/>
  <c r="Q1669" i="4"/>
  <c r="Q1581" i="4"/>
  <c r="Q1801" i="4"/>
  <c r="O2" i="5"/>
  <c r="G5" i="5" s="1"/>
  <c r="Q1262" i="4"/>
  <c r="Q1423" i="4"/>
  <c r="Q1489" i="4"/>
  <c r="Q1553" i="4"/>
  <c r="Q1617" i="4"/>
  <c r="Q1681" i="4"/>
  <c r="Q1745" i="4"/>
  <c r="Q1809" i="4"/>
  <c r="Q1873" i="4"/>
  <c r="Q1934" i="4"/>
  <c r="Q1966" i="4"/>
  <c r="Q1986" i="4"/>
  <c r="Q1677" i="4"/>
  <c r="Q1972" i="4"/>
  <c r="Q1956" i="4"/>
  <c r="Q1940" i="4"/>
  <c r="Q1924" i="4"/>
  <c r="Q1908" i="4"/>
  <c r="Q1888" i="4"/>
  <c r="Q1868" i="4"/>
  <c r="Q1848" i="4"/>
  <c r="Q1824" i="4"/>
  <c r="Q1804" i="4"/>
  <c r="Q1784" i="4"/>
  <c r="Q1760" i="4"/>
  <c r="Q1740" i="4"/>
  <c r="Q1720" i="4"/>
  <c r="Q1696" i="4"/>
  <c r="Q1676" i="4"/>
  <c r="Q1656" i="4"/>
  <c r="Q1632" i="4"/>
  <c r="Q1612" i="4"/>
  <c r="Q1592" i="4"/>
  <c r="Q1568" i="4"/>
  <c r="Q1548" i="4"/>
  <c r="Q1528" i="4"/>
  <c r="Q1504" i="4"/>
  <c r="Q1484" i="4"/>
  <c r="Q1464" i="4"/>
  <c r="Q1440" i="4"/>
  <c r="Q1414" i="4"/>
  <c r="Q1374" i="4"/>
  <c r="Q1322" i="4"/>
  <c r="Q1242" i="4"/>
  <c r="Q1162" i="4"/>
  <c r="Q175" i="4"/>
  <c r="Q1955" i="4"/>
  <c r="Q1927" i="4"/>
  <c r="Q1903" i="4"/>
  <c r="Q1875" i="4"/>
  <c r="Q1843" i="4"/>
  <c r="Q1815" i="4"/>
  <c r="Q1791" i="4"/>
  <c r="Q1759" i="4"/>
  <c r="Q1731" i="4"/>
  <c r="Q1703" i="4"/>
  <c r="Q1671" i="4"/>
  <c r="Q1647" i="4"/>
  <c r="Q1619" i="4"/>
  <c r="Q1587" i="4"/>
  <c r="Q1559" i="4"/>
  <c r="Q1535" i="4"/>
  <c r="Q1503" i="4"/>
  <c r="Q1475" i="4"/>
  <c r="Q1447" i="4"/>
  <c r="Q1403" i="4"/>
  <c r="Q1355" i="4"/>
  <c r="Q1270" i="4"/>
  <c r="Q1132" i="4"/>
  <c r="Q1926" i="4"/>
  <c r="Q1902" i="4"/>
  <c r="Q1870" i="4"/>
  <c r="Q1842" i="4"/>
  <c r="Q1814" i="4"/>
  <c r="Q1782" i="4"/>
  <c r="Q1750" i="4"/>
  <c r="Q1710" i="4"/>
  <c r="Q1666" i="4"/>
  <c r="Q1622" i="4"/>
  <c r="Q1582" i="4"/>
  <c r="Q1538" i="4"/>
  <c r="Q1494" i="4"/>
  <c r="Q1442" i="4"/>
  <c r="Q1346" i="4"/>
  <c r="Q1092" i="4"/>
  <c r="Q1357" i="4"/>
  <c r="Q1269" i="4"/>
  <c r="Q1161" i="4"/>
  <c r="Q1428" i="4"/>
  <c r="Q1312" i="4"/>
  <c r="Q1172" i="4"/>
  <c r="Q1303" i="4"/>
  <c r="Q1133" i="4"/>
  <c r="Q1095" i="4"/>
  <c r="Q1146" i="4"/>
  <c r="Q181" i="4"/>
  <c r="Q1765" i="4"/>
  <c r="Q1821" i="4"/>
  <c r="Q1984" i="4"/>
  <c r="Q1753" i="4"/>
  <c r="Q1577" i="4"/>
  <c r="Q1449" i="4"/>
  <c r="Q1052" i="4"/>
  <c r="Q1853" i="4"/>
  <c r="Q1613" i="4"/>
  <c r="Q1415" i="4"/>
  <c r="Q1983" i="4"/>
  <c r="Q1937" i="4"/>
  <c r="Q1829" i="4"/>
  <c r="Q1701" i="4"/>
  <c r="Q1605" i="4"/>
  <c r="Q1493" i="4"/>
  <c r="Q1278" i="4"/>
  <c r="Q161" i="4"/>
  <c r="Q185" i="4"/>
  <c r="Q1026" i="4"/>
  <c r="Q1054" i="4"/>
  <c r="Q1082" i="4"/>
  <c r="Q1114" i="4"/>
  <c r="Q1138" i="4"/>
  <c r="Q162" i="4"/>
  <c r="Q194" i="4"/>
  <c r="Q1027" i="4"/>
  <c r="Q1051" i="4"/>
  <c r="Q1083" i="4"/>
  <c r="Q1111" i="4"/>
  <c r="Q1139" i="4"/>
  <c r="Q184" i="4"/>
  <c r="Q1037" i="4"/>
  <c r="Q1093" i="4"/>
  <c r="Q1155" i="4"/>
  <c r="Q1183" i="4"/>
  <c r="Q1207" i="4"/>
  <c r="Q1239" i="4"/>
  <c r="Q1267" i="4"/>
  <c r="Q1295" i="4"/>
  <c r="Q1327" i="4"/>
  <c r="Q179" i="4"/>
  <c r="Q1040" i="4"/>
  <c r="Q1104" i="4"/>
  <c r="Q1156" i="4"/>
  <c r="Q1180" i="4"/>
  <c r="Q1212" i="4"/>
  <c r="Q1240" i="4"/>
  <c r="Q1268" i="4"/>
  <c r="Q1296" i="4"/>
  <c r="Q1316" i="4"/>
  <c r="Q1336" i="4"/>
  <c r="Q1360" i="4"/>
  <c r="Q1380" i="4"/>
  <c r="Q1400" i="4"/>
  <c r="Q1424" i="4"/>
  <c r="Q172" i="4"/>
  <c r="Q1017" i="4"/>
  <c r="Q1065" i="4"/>
  <c r="Q1105" i="4"/>
  <c r="Q1145" i="4"/>
  <c r="Q1173" i="4"/>
  <c r="Q1193" i="4"/>
  <c r="Q1213" i="4"/>
  <c r="Q1237" i="4"/>
  <c r="Q1257" i="4"/>
  <c r="Q1273" i="4"/>
  <c r="Q1289" i="4"/>
  <c r="Q1305" i="4"/>
  <c r="Q1321" i="4"/>
  <c r="Q1337" i="4"/>
  <c r="Q1353" i="4"/>
  <c r="Q1369" i="4"/>
  <c r="Q1385" i="4"/>
  <c r="Q1401" i="4"/>
  <c r="Q1417" i="4"/>
  <c r="Q1028" i="4"/>
  <c r="Q1154" i="4"/>
  <c r="Q1218" i="4"/>
  <c r="Q1282" i="4"/>
  <c r="Q1338" i="4"/>
  <c r="Q1370" i="4"/>
  <c r="Q1402" i="4"/>
  <c r="Q1430" i="4"/>
  <c r="Q1446" i="4"/>
  <c r="Q1462" i="4"/>
  <c r="Q1478" i="4"/>
  <c r="Q1946" i="4"/>
  <c r="Q1673" i="4"/>
  <c r="Q1481" i="4"/>
  <c r="Q1977" i="4"/>
  <c r="Q1757" i="4"/>
  <c r="Q1453" i="4"/>
  <c r="Q1975" i="4"/>
  <c r="Q1877" i="4"/>
  <c r="Q1749" i="4"/>
  <c r="Q1573" i="4"/>
  <c r="Q1429" i="4"/>
  <c r="Q153" i="4"/>
  <c r="Q197" i="4"/>
  <c r="Q1038" i="4"/>
  <c r="Q1074" i="4"/>
  <c r="Q1118" i="4"/>
  <c r="Q150" i="4"/>
  <c r="Q182" i="4"/>
  <c r="Q1031" i="4"/>
  <c r="Q1067" i="4"/>
  <c r="Q1107" i="4"/>
  <c r="Q1147" i="4"/>
  <c r="Q200" i="4"/>
  <c r="Q1085" i="4"/>
  <c r="Q1159" i="4"/>
  <c r="Q1199" i="4"/>
  <c r="Q1231" i="4"/>
  <c r="Q1271" i="4"/>
  <c r="Q1311" i="4"/>
  <c r="Q171" i="4"/>
  <c r="Q1064" i="4"/>
  <c r="Q1128" i="4"/>
  <c r="Q1176" i="4"/>
  <c r="Q1220" i="4"/>
  <c r="Q1256" i="4"/>
  <c r="Q1288" i="4"/>
  <c r="Q1320" i="4"/>
  <c r="Q1348" i="4"/>
  <c r="Q1376" i="4"/>
  <c r="Q1408" i="4"/>
  <c r="Q148" i="4"/>
  <c r="Q1009" i="4"/>
  <c r="Q1073" i="4"/>
  <c r="Q1129" i="4"/>
  <c r="Q1165" i="4"/>
  <c r="Q1197" i="4"/>
  <c r="Q1225" i="4"/>
  <c r="Q1253" i="4"/>
  <c r="Q1277" i="4"/>
  <c r="Q1297" i="4"/>
  <c r="Q1317" i="4"/>
  <c r="Q1341" i="4"/>
  <c r="Q1361" i="4"/>
  <c r="Q1381" i="4"/>
  <c r="Q1405" i="4"/>
  <c r="Q159" i="4"/>
  <c r="Q1124" i="4"/>
  <c r="Q1234" i="4"/>
  <c r="Q1314" i="4"/>
  <c r="Q1362" i="4"/>
  <c r="Q1410" i="4"/>
  <c r="Q1438" i="4"/>
  <c r="Q1458" i="4"/>
  <c r="Q1482" i="4"/>
  <c r="Q1498" i="4"/>
  <c r="Q1514" i="4"/>
  <c r="Q1530" i="4"/>
  <c r="Q1546" i="4"/>
  <c r="Q1562" i="4"/>
  <c r="Q1578" i="4"/>
  <c r="Q1594" i="4"/>
  <c r="Q1610" i="4"/>
  <c r="Q1626" i="4"/>
  <c r="Q1642" i="4"/>
  <c r="Q1658" i="4"/>
  <c r="Q1674" i="4"/>
  <c r="Q1690" i="4"/>
  <c r="Q1706" i="4"/>
  <c r="Q1722" i="4"/>
  <c r="Q1738" i="4"/>
  <c r="Q1754" i="4"/>
  <c r="Q1770" i="4"/>
  <c r="Q1786" i="4"/>
  <c r="Q1802" i="4"/>
  <c r="Q1818" i="4"/>
  <c r="Q1834" i="4"/>
  <c r="Q1850" i="4"/>
  <c r="Q1866" i="4"/>
  <c r="Q1882" i="4"/>
  <c r="Q1898" i="4"/>
  <c r="Q1914" i="4"/>
  <c r="Q1930" i="4"/>
  <c r="Q1068" i="4"/>
  <c r="Q1174" i="4"/>
  <c r="Q1238" i="4"/>
  <c r="Q1302" i="4"/>
  <c r="Q1347" i="4"/>
  <c r="Q1379" i="4"/>
  <c r="Q1411" i="4"/>
  <c r="Q1435" i="4"/>
  <c r="Q1451" i="4"/>
  <c r="Q1467" i="4"/>
  <c r="Q1483" i="4"/>
  <c r="Q1499" i="4"/>
  <c r="Q1515" i="4"/>
  <c r="Q1531" i="4"/>
  <c r="Q1547" i="4"/>
  <c r="Q1563" i="4"/>
  <c r="Q1579" i="4"/>
  <c r="Q1595" i="4"/>
  <c r="Q1611" i="4"/>
  <c r="Q1627" i="4"/>
  <c r="Q1643" i="4"/>
  <c r="Q1659" i="4"/>
  <c r="Q1675" i="4"/>
  <c r="Q1691" i="4"/>
  <c r="Q1707" i="4"/>
  <c r="Q1723" i="4"/>
  <c r="Q1739" i="4"/>
  <c r="Q1755" i="4"/>
  <c r="Q1771" i="4"/>
  <c r="Q1787" i="4"/>
  <c r="Q1803" i="4"/>
  <c r="Q1819" i="4"/>
  <c r="Q1835" i="4"/>
  <c r="Q1851" i="4"/>
  <c r="Q1867" i="4"/>
  <c r="Q1883" i="4"/>
  <c r="Q1899" i="4"/>
  <c r="Q1915" i="4"/>
  <c r="Q1931" i="4"/>
  <c r="Q1947" i="4"/>
  <c r="Q1963" i="4"/>
  <c r="Q1012" i="4"/>
  <c r="Q1140" i="4"/>
  <c r="Q1210" i="4"/>
  <c r="Q1274" i="4"/>
  <c r="Q1334" i="4"/>
  <c r="Q1366" i="4"/>
  <c r="Q1398" i="4"/>
  <c r="Q1427" i="4"/>
  <c r="Q1444" i="4"/>
  <c r="Q1460" i="4"/>
  <c r="Q1476" i="4"/>
  <c r="Q1492" i="4"/>
  <c r="Q1508" i="4"/>
  <c r="Q1524" i="4"/>
  <c r="Q1540" i="4"/>
  <c r="Q1556" i="4"/>
  <c r="Q1572" i="4"/>
  <c r="Q1588" i="4"/>
  <c r="Q1604" i="4"/>
  <c r="Q1620" i="4"/>
  <c r="Q1636" i="4"/>
  <c r="Q1652" i="4"/>
  <c r="Q1668" i="4"/>
  <c r="Q1684" i="4"/>
  <c r="Q1700" i="4"/>
  <c r="Q1716" i="4"/>
  <c r="Q1732" i="4"/>
  <c r="Q1748" i="4"/>
  <c r="Q1764" i="4"/>
  <c r="Q1780" i="4"/>
  <c r="Q1796" i="4"/>
  <c r="Q1812" i="4"/>
  <c r="Q1828" i="4"/>
  <c r="Q1844" i="4"/>
  <c r="Q1860" i="4"/>
  <c r="Q1876" i="4"/>
  <c r="Q1892" i="4"/>
  <c r="Q1661" i="4"/>
  <c r="Q1817" i="4"/>
  <c r="Q1641" i="4"/>
  <c r="Q1407" i="4"/>
  <c r="Q1965" i="4"/>
  <c r="Q1693" i="4"/>
  <c r="Q1084" i="4"/>
  <c r="Q1969" i="4"/>
  <c r="Q1861" i="4"/>
  <c r="Q1685" i="4"/>
  <c r="Q1541" i="4"/>
  <c r="Q1399" i="4"/>
  <c r="Q165" i="4"/>
  <c r="Q1010" i="4"/>
  <c r="Q1050" i="4"/>
  <c r="Q1090" i="4"/>
  <c r="Q1122" i="4"/>
  <c r="Q158" i="4"/>
  <c r="Q198" i="4"/>
  <c r="Q1043" i="4"/>
  <c r="Q1075" i="4"/>
  <c r="Q1115" i="4"/>
  <c r="Q152" i="4"/>
  <c r="Q1029" i="4"/>
  <c r="Q1117" i="4"/>
  <c r="Q1167" i="4"/>
  <c r="Q1203" i="4"/>
  <c r="Q1247" i="4"/>
  <c r="Q1283" i="4"/>
  <c r="Q1315" i="4"/>
  <c r="Q195" i="4"/>
  <c r="Q1072" i="4"/>
  <c r="Q1144" i="4"/>
  <c r="Q1192" i="4"/>
  <c r="Q1224" i="4"/>
  <c r="Q1260" i="4"/>
  <c r="Q1300" i="4"/>
  <c r="Q1328" i="4"/>
  <c r="Q1352" i="4"/>
  <c r="Q1384" i="4"/>
  <c r="Q1412" i="4"/>
  <c r="Q164" i="4"/>
  <c r="Q1033" i="4"/>
  <c r="Q1081" i="4"/>
  <c r="Q1137" i="4"/>
  <c r="Q1177" i="4"/>
  <c r="Q1205" i="4"/>
  <c r="Q1229" i="4"/>
  <c r="Q1261" i="4"/>
  <c r="Q1281" i="4"/>
  <c r="Q1301" i="4"/>
  <c r="Q1325" i="4"/>
  <c r="Q1345" i="4"/>
  <c r="Q1365" i="4"/>
  <c r="Q1389" i="4"/>
  <c r="Q1409" i="4"/>
  <c r="Q191" i="4"/>
  <c r="Q1705" i="4"/>
  <c r="Q1166" i="4"/>
  <c r="Q1485" i="4"/>
  <c r="Q1925" i="4"/>
  <c r="Q1621" i="4"/>
  <c r="Q1020" i="4"/>
  <c r="Q1034" i="4"/>
  <c r="Q1102" i="4"/>
  <c r="Q178" i="4"/>
  <c r="Q1063" i="4"/>
  <c r="Q1131" i="4"/>
  <c r="Q1069" i="4"/>
  <c r="Q1187" i="4"/>
  <c r="Q1263" i="4"/>
  <c r="Q147" i="4"/>
  <c r="Q1112" i="4"/>
  <c r="Q1204" i="4"/>
  <c r="Q1284" i="4"/>
  <c r="Q1344" i="4"/>
  <c r="Q1396" i="4"/>
  <c r="Q196" i="4"/>
  <c r="Q1113" i="4"/>
  <c r="Q1189" i="4"/>
  <c r="Q1245" i="4"/>
  <c r="Q1293" i="4"/>
  <c r="Q1333" i="4"/>
  <c r="Q1377" i="4"/>
  <c r="Q1421" i="4"/>
  <c r="Q1186" i="4"/>
  <c r="Q1298" i="4"/>
  <c r="Q1378" i="4"/>
  <c r="Q1425" i="4"/>
  <c r="Q1454" i="4"/>
  <c r="Q1486" i="4"/>
  <c r="Q1506" i="4"/>
  <c r="Q1526" i="4"/>
  <c r="Q1550" i="4"/>
  <c r="Q1570" i="4"/>
  <c r="Q1590" i="4"/>
  <c r="Q1614" i="4"/>
  <c r="Q1634" i="4"/>
  <c r="Q1654" i="4"/>
  <c r="Q1678" i="4"/>
  <c r="Q1698" i="4"/>
  <c r="Q1718" i="4"/>
  <c r="Q1742" i="4"/>
  <c r="Q1762" i="4"/>
  <c r="Q1565" i="4"/>
  <c r="Q1561" i="4"/>
  <c r="Q1941" i="4"/>
  <c r="Q1999" i="4"/>
  <c r="Q1797" i="4"/>
  <c r="Q1509" i="4"/>
  <c r="Q177" i="4"/>
  <c r="Q1058" i="4"/>
  <c r="Q1134" i="4"/>
  <c r="Q1011" i="4"/>
  <c r="Q1091" i="4"/>
  <c r="Q160" i="4"/>
  <c r="Q1125" i="4"/>
  <c r="Q1219" i="4"/>
  <c r="Q1287" i="4"/>
  <c r="Q1016" i="4"/>
  <c r="Q1160" i="4"/>
  <c r="Q1236" i="4"/>
  <c r="Q1304" i="4"/>
  <c r="Q1364" i="4"/>
  <c r="Q1416" i="4"/>
  <c r="Q1041" i="4"/>
  <c r="Q1157" i="4"/>
  <c r="Q1209" i="4"/>
  <c r="Q1265" i="4"/>
  <c r="Q1309" i="4"/>
  <c r="Q1349" i="4"/>
  <c r="Q1393" i="4"/>
  <c r="Q1060" i="4"/>
  <c r="Q1202" i="4"/>
  <c r="Q1330" i="4"/>
  <c r="Q1386" i="4"/>
  <c r="Q1434" i="4"/>
  <c r="Q1466" i="4"/>
  <c r="Q1490" i="4"/>
  <c r="Q1510" i="4"/>
  <c r="Q1534" i="4"/>
  <c r="Q1554" i="4"/>
  <c r="Q1574" i="4"/>
  <c r="Q1598" i="4"/>
  <c r="Q1618" i="4"/>
  <c r="Q1638" i="4"/>
  <c r="Q1662" i="4"/>
  <c r="Q1682" i="4"/>
  <c r="Q1702" i="4"/>
  <c r="Q1726" i="4"/>
  <c r="Q1746" i="4"/>
  <c r="Q1766" i="4"/>
  <c r="Q1790" i="4"/>
  <c r="Q1810" i="4"/>
  <c r="Q1830" i="4"/>
  <c r="Q1854" i="4"/>
  <c r="Q1874" i="4"/>
  <c r="Q1894" i="4"/>
  <c r="Q1918" i="4"/>
  <c r="Q199" i="4"/>
  <c r="Q1158" i="4"/>
  <c r="Q1254" i="4"/>
  <c r="Q1331" i="4"/>
  <c r="Q1371" i="4"/>
  <c r="Q1419" i="4"/>
  <c r="Q1443" i="4"/>
  <c r="Q1463" i="4"/>
  <c r="Q1487" i="4"/>
  <c r="Q1507" i="4"/>
  <c r="Q1527" i="4"/>
  <c r="Q1551" i="4"/>
  <c r="Q1571" i="4"/>
  <c r="Q1591" i="4"/>
  <c r="Q1615" i="4"/>
  <c r="Q1635" i="4"/>
  <c r="Q1655" i="4"/>
  <c r="Q1679" i="4"/>
  <c r="Q1699" i="4"/>
  <c r="Q1719" i="4"/>
  <c r="Q1743" i="4"/>
  <c r="Q1763" i="4"/>
  <c r="Q1783" i="4"/>
  <c r="Q1807" i="4"/>
  <c r="Q1827" i="4"/>
  <c r="Q1847" i="4"/>
  <c r="Q1871" i="4"/>
  <c r="Q1891" i="4"/>
  <c r="Q1911" i="4"/>
  <c r="Q1935" i="4"/>
  <c r="Q1391" i="4"/>
  <c r="Q1537" i="4"/>
  <c r="Q1665" i="4"/>
  <c r="Q1793" i="4"/>
  <c r="Q1921" i="4"/>
  <c r="Q1982" i="4"/>
  <c r="Q1997" i="4"/>
  <c r="Q1944" i="4"/>
  <c r="Q1912" i="4"/>
  <c r="Q1872" i="4"/>
  <c r="Q1832" i="4"/>
  <c r="Q1788" i="4"/>
  <c r="Q1744" i="4"/>
  <c r="Q1704" i="4"/>
  <c r="Q1660" i="4"/>
  <c r="Q1616" i="4"/>
  <c r="Q1576" i="4"/>
  <c r="Q1532" i="4"/>
  <c r="Q1488" i="4"/>
  <c r="Q1448" i="4"/>
  <c r="Q1382" i="4"/>
  <c r="Q1258" i="4"/>
  <c r="Q1044" i="4"/>
  <c r="Q1939" i="4"/>
  <c r="Q1879" i="4"/>
  <c r="Q1823" i="4"/>
  <c r="Q1767" i="4"/>
  <c r="Q1711" i="4"/>
  <c r="Q1651" i="4"/>
  <c r="Q1599" i="4"/>
  <c r="Q1539" i="4"/>
  <c r="Q1479" i="4"/>
  <c r="Q1426" i="4"/>
  <c r="Q1286" i="4"/>
  <c r="Q167" i="4"/>
  <c r="Q1714" i="4"/>
  <c r="Q183" i="4"/>
  <c r="Q1326" i="4"/>
  <c r="Q1441" i="4"/>
  <c r="Q1505" i="4"/>
  <c r="Q1569" i="4"/>
  <c r="Q1633" i="4"/>
  <c r="Q1697" i="4"/>
  <c r="Q1761" i="4"/>
  <c r="Q1825" i="4"/>
  <c r="Q1889" i="4"/>
  <c r="Q1942" i="4"/>
  <c r="Q1974" i="4"/>
  <c r="Q1990" i="4"/>
  <c r="Q1957" i="4"/>
  <c r="Q1968" i="4"/>
  <c r="Q1952" i="4"/>
  <c r="Q1936" i="4"/>
  <c r="Q1920" i="4"/>
  <c r="Q1904" i="4"/>
  <c r="Q1884" i="4"/>
  <c r="Q1864" i="4"/>
  <c r="Q1840" i="4"/>
  <c r="Q1820" i="4"/>
  <c r="Q1800" i="4"/>
  <c r="Q1776" i="4"/>
  <c r="Q1756" i="4"/>
  <c r="Q1736" i="4"/>
  <c r="Q1712" i="4"/>
  <c r="Q1692" i="4"/>
  <c r="Q1672" i="4"/>
  <c r="Q1648" i="4"/>
  <c r="Q1628" i="4"/>
  <c r="Q1608" i="4"/>
  <c r="Q1584" i="4"/>
  <c r="Q1564" i="4"/>
  <c r="Q1544" i="4"/>
  <c r="Q1520" i="4"/>
  <c r="Q1500" i="4"/>
  <c r="Q1480" i="4"/>
  <c r="Q1456" i="4"/>
  <c r="Q1436" i="4"/>
  <c r="Q1406" i="4"/>
  <c r="Q1358" i="4"/>
  <c r="Q1306" i="4"/>
  <c r="Q1226" i="4"/>
  <c r="Q1108" i="4"/>
  <c r="Q1971" i="4"/>
  <c r="Q1951" i="4"/>
  <c r="Q1923" i="4"/>
  <c r="Q1895" i="4"/>
  <c r="Q1863" i="4"/>
  <c r="Q1839" i="4"/>
  <c r="Q1811" i="4"/>
  <c r="Q1779" i="4"/>
  <c r="Q1751" i="4"/>
  <c r="Q1727" i="4"/>
  <c r="Q1695" i="4"/>
  <c r="Q1667" i="4"/>
  <c r="Q1639" i="4"/>
  <c r="Q1607" i="4"/>
  <c r="Q1583" i="4"/>
  <c r="Q1555" i="4"/>
  <c r="Q1523" i="4"/>
  <c r="Q1495" i="4"/>
  <c r="Q1471" i="4"/>
  <c r="Q1439" i="4"/>
  <c r="Q1395" i="4"/>
  <c r="Q1339" i="4"/>
  <c r="Q1222" i="4"/>
  <c r="Q1100" i="4"/>
  <c r="Q1922" i="4"/>
  <c r="Q1890" i="4"/>
  <c r="Q1862" i="4"/>
  <c r="Q1838" i="4"/>
  <c r="Q1806" i="4"/>
  <c r="Q1778" i="4"/>
  <c r="Q1734" i="4"/>
  <c r="Q1694" i="4"/>
  <c r="Q1650" i="4"/>
  <c r="Q1606" i="4"/>
  <c r="Q1566" i="4"/>
  <c r="Q1522" i="4"/>
  <c r="Q1474" i="4"/>
  <c r="Q1418" i="4"/>
  <c r="Q1266" i="4"/>
  <c r="Q1413" i="4"/>
  <c r="Q1329" i="4"/>
  <c r="Q1241" i="4"/>
  <c r="Q1097" i="4"/>
  <c r="Q1392" i="4"/>
  <c r="Q1276" i="4"/>
  <c r="Q1080" i="4"/>
  <c r="Q1251" i="4"/>
  <c r="Q1053" i="4"/>
  <c r="Q1047" i="4"/>
  <c r="Q1098" i="4"/>
  <c r="Q1214" i="4"/>
  <c r="Q1945" i="4"/>
  <c r="Q1294" i="4"/>
  <c r="Q1182" i="4"/>
  <c r="Q1929" i="4"/>
  <c r="Q1769" i="4"/>
  <c r="Q1689" i="4"/>
  <c r="Q1609" i="4"/>
  <c r="Q1513" i="4"/>
  <c r="Q1433" i="4"/>
  <c r="Q1230" i="4"/>
  <c r="Q1989" i="4"/>
  <c r="Q1917" i="4"/>
  <c r="Q1789" i="4"/>
  <c r="Q1645" i="4"/>
  <c r="Q1517" i="4"/>
  <c r="Q1351" i="4"/>
  <c r="Q1995" i="4"/>
  <c r="Q1979" i="4"/>
  <c r="Q1953" i="4"/>
  <c r="Q1909" i="4"/>
  <c r="Q1845" i="4"/>
  <c r="Q1781" i="4"/>
  <c r="Q1717" i="4"/>
  <c r="Q1653" i="4"/>
  <c r="Q1589" i="4"/>
  <c r="Q1525" i="4"/>
  <c r="Q1461" i="4"/>
  <c r="Q1367" i="4"/>
  <c r="Q1148" i="4"/>
  <c r="Q157" i="4"/>
  <c r="Q173" i="4"/>
  <c r="Q189" i="4"/>
  <c r="Q1014" i="4"/>
  <c r="Q1030" i="4"/>
  <c r="Q1046" i="4"/>
  <c r="Q1062" i="4"/>
  <c r="Q1078" i="4"/>
  <c r="Q1094" i="4"/>
  <c r="Q1110" i="4"/>
  <c r="Q1126" i="4"/>
  <c r="Q1142" i="4"/>
  <c r="Q154" i="4"/>
  <c r="Q170" i="4"/>
  <c r="Q186" i="4"/>
  <c r="Q1007" i="4"/>
  <c r="Q1023" i="4"/>
  <c r="Q1039" i="4"/>
  <c r="Q1055" i="4"/>
  <c r="Q1071" i="4"/>
  <c r="Q1087" i="4"/>
  <c r="Q1103" i="4"/>
  <c r="Q1119" i="4"/>
  <c r="Q1135" i="4"/>
  <c r="Q1151" i="4"/>
  <c r="Q176" i="4"/>
  <c r="Q1013" i="4"/>
  <c r="Q1045" i="4"/>
  <c r="Q1077" i="4"/>
  <c r="Q1109" i="4"/>
  <c r="Q1141" i="4"/>
  <c r="Q1163" i="4"/>
  <c r="Q1179" i="4"/>
  <c r="Q1195" i="4"/>
  <c r="Q1211" i="4"/>
  <c r="Q1227" i="4"/>
  <c r="Q1243" i="4"/>
  <c r="Q1259" i="4"/>
  <c r="Q1275" i="4"/>
  <c r="Q1291" i="4"/>
  <c r="Q1307" i="4"/>
  <c r="Q1323" i="4"/>
  <c r="Q155" i="4"/>
  <c r="Q187" i="4"/>
  <c r="Q1024" i="4"/>
  <c r="Q1056" i="4"/>
  <c r="Q1088" i="4"/>
  <c r="Q1120" i="4"/>
  <c r="Q1152" i="4"/>
  <c r="Q1168" i="4"/>
  <c r="Q1184" i="4"/>
  <c r="Q1200" i="4"/>
  <c r="Q1216" i="4"/>
  <c r="Q1232" i="4"/>
  <c r="Q1248" i="4"/>
  <c r="Q1264" i="4"/>
  <c r="Q1280" i="4"/>
  <c r="Q1383" i="4"/>
  <c r="Q1833" i="4"/>
  <c r="Q1737" i="4"/>
  <c r="Q1625" i="4"/>
  <c r="Q1497" i="4"/>
  <c r="Q1343" i="4"/>
  <c r="Q1006" i="4"/>
  <c r="Q1885" i="4"/>
  <c r="Q1725" i="4"/>
  <c r="Q1549" i="4"/>
  <c r="Q1246" i="4"/>
  <c r="Q1987" i="4"/>
  <c r="Q1961" i="4"/>
  <c r="Q1893" i="4"/>
  <c r="Q1813" i="4"/>
  <c r="Q1733" i="4"/>
  <c r="Q1637" i="4"/>
  <c r="Q1557" i="4"/>
  <c r="Q1477" i="4"/>
  <c r="Q1335" i="4"/>
  <c r="Q149" i="4"/>
  <c r="Q169" i="4"/>
  <c r="Q193" i="4"/>
  <c r="Q1022" i="4"/>
  <c r="Q1042" i="4"/>
  <c r="Q1066" i="4"/>
  <c r="Q1086" i="4"/>
  <c r="Q1106" i="4"/>
  <c r="Q1130" i="4"/>
  <c r="Q1150" i="4"/>
  <c r="Q166" i="4"/>
  <c r="Q190" i="4"/>
  <c r="Q1015" i="4"/>
  <c r="Q1035" i="4"/>
  <c r="Q1059" i="4"/>
  <c r="Q1079" i="4"/>
  <c r="Q1099" i="4"/>
  <c r="Q1123" i="4"/>
  <c r="Q1143" i="4"/>
  <c r="Q168" i="4"/>
  <c r="Q1021" i="4"/>
  <c r="Q1061" i="4"/>
  <c r="Q1101" i="4"/>
  <c r="Q1149" i="4"/>
  <c r="Q1171" i="4"/>
  <c r="Q1191" i="4"/>
  <c r="Q1215" i="4"/>
  <c r="Q1235" i="4"/>
  <c r="Q1255" i="4"/>
  <c r="Q1279" i="4"/>
  <c r="Q1299" i="4"/>
  <c r="Q1319" i="4"/>
  <c r="Q163" i="4"/>
  <c r="Q1008" i="4"/>
  <c r="Q1048" i="4"/>
  <c r="Q1096" i="4"/>
  <c r="Q1136" i="4"/>
  <c r="Q1164" i="4"/>
  <c r="Q1188" i="4"/>
  <c r="Q1208" i="4"/>
  <c r="Q1228" i="4"/>
  <c r="Q1252" i="4"/>
  <c r="Q1272" i="4"/>
  <c r="Q1292" i="4"/>
  <c r="Q1308" i="4"/>
  <c r="Q1324" i="4"/>
  <c r="Q1340" i="4"/>
  <c r="Q1356" i="4"/>
  <c r="Q1372" i="4"/>
  <c r="Q1388" i="4"/>
  <c r="Q1404" i="4"/>
  <c r="Q1420" i="4"/>
  <c r="Q156" i="4"/>
  <c r="Q188" i="4"/>
  <c r="Q1025" i="4"/>
  <c r="Q1057" i="4"/>
  <c r="Q1089" i="4"/>
  <c r="Q1121" i="4"/>
  <c r="Q1153" i="4"/>
  <c r="Q1169" i="4"/>
  <c r="Q1185" i="4"/>
  <c r="Q1201" i="4"/>
  <c r="Q1217" i="4"/>
  <c r="Q1233" i="4"/>
  <c r="Q1249" i="4"/>
  <c r="Q1993" i="4"/>
  <c r="Q1881" i="4"/>
  <c r="Q1962" i="4"/>
  <c r="Q1992" i="4"/>
  <c r="Q1469" i="4"/>
  <c r="Q1709" i="4"/>
  <c r="Q1897" i="4"/>
  <c r="Q1970" i="4"/>
  <c r="Q151" i="4"/>
  <c r="Q1533" i="4"/>
  <c r="Q1741" i="4"/>
  <c r="Q1837" i="4"/>
  <c r="Q1901" i="4"/>
  <c r="Q1981" i="4"/>
  <c r="Q1375" i="4"/>
  <c r="Q1465" i="4"/>
  <c r="Q1529" i="4"/>
  <c r="Q1593" i="4"/>
  <c r="Q1657" i="4"/>
  <c r="Q1721" i="4"/>
  <c r="Q1785" i="4"/>
  <c r="Q1865" i="4"/>
  <c r="Q1938" i="4"/>
  <c r="Q1976" i="4"/>
  <c r="Q2000" i="4"/>
  <c r="Q1437" i="4"/>
  <c r="Q1597" i="4"/>
  <c r="Q1805" i="4"/>
  <c r="Q1973" i="4"/>
  <c r="Q1849" i="4"/>
  <c r="Q1913" i="4"/>
  <c r="Q1954" i="4"/>
  <c r="Q1980" i="4"/>
  <c r="Q1996" i="4"/>
  <c r="Q1310" i="4"/>
  <c r="Q1501" i="4"/>
  <c r="Q1629" i="4"/>
  <c r="Q1773" i="4"/>
  <c r="Q1933" i="4"/>
  <c r="Q1949" i="4"/>
  <c r="Q1869" i="4"/>
  <c r="X1" i="7"/>
  <c r="T27" i="1" l="1"/>
  <c r="T70" i="1"/>
  <c r="T66" i="1"/>
  <c r="T58" i="1"/>
  <c r="T54" i="1"/>
  <c r="T46" i="1"/>
  <c r="T42" i="1"/>
  <c r="T34" i="1"/>
  <c r="T30" i="1"/>
  <c r="T22" i="1"/>
  <c r="T18" i="1"/>
  <c r="T43" i="1"/>
  <c r="T15" i="1"/>
  <c r="O5" i="1"/>
  <c r="N5" i="1"/>
  <c r="T69" i="1"/>
  <c r="T65" i="1"/>
  <c r="T37" i="1"/>
  <c r="T33" i="1"/>
  <c r="T21" i="1"/>
  <c r="T17" i="1"/>
  <c r="T13" i="1"/>
  <c r="T9" i="1"/>
  <c r="T47" i="1"/>
  <c r="T72" i="1"/>
  <c r="T52" i="1"/>
  <c r="T28" i="1"/>
  <c r="T16" i="1"/>
  <c r="T12" i="1"/>
  <c r="A5" i="1"/>
  <c r="A6" i="1" s="1"/>
  <c r="A7" i="1" s="1"/>
  <c r="M1469" i="4"/>
  <c r="M1844" i="4"/>
  <c r="M1848" i="4"/>
  <c r="M1852" i="4"/>
  <c r="M1856" i="4"/>
  <c r="M1860" i="4"/>
  <c r="M1864" i="4"/>
  <c r="M1868" i="4"/>
  <c r="M1872" i="4"/>
  <c r="M1876" i="4"/>
  <c r="M1880" i="4"/>
  <c r="M1884" i="4"/>
  <c r="M1888" i="4"/>
  <c r="M1892" i="4"/>
  <c r="M1896" i="4"/>
  <c r="M1900" i="4"/>
  <c r="M1904" i="4"/>
  <c r="M1908" i="4"/>
  <c r="M1912" i="4"/>
  <c r="M1916" i="4"/>
  <c r="M1920" i="4"/>
  <c r="M1841" i="4"/>
  <c r="M1845" i="4"/>
  <c r="M1849" i="4"/>
  <c r="M1853" i="4"/>
  <c r="M1857" i="4"/>
  <c r="M1861" i="4"/>
  <c r="M1865" i="4"/>
  <c r="M1869" i="4"/>
  <c r="M1873" i="4"/>
  <c r="M1877" i="4"/>
  <c r="M1881" i="4"/>
  <c r="M1885" i="4"/>
  <c r="M1889" i="4"/>
  <c r="M1893" i="4"/>
  <c r="M1897" i="4"/>
  <c r="M1901" i="4"/>
  <c r="M1905" i="4"/>
  <c r="M1909" i="4"/>
  <c r="M1913" i="4"/>
  <c r="M1917" i="4"/>
  <c r="M1921" i="4"/>
  <c r="M1925" i="4"/>
  <c r="M1843" i="4"/>
  <c r="M1851" i="4"/>
  <c r="M1859" i="4"/>
  <c r="M1867" i="4"/>
  <c r="M1875" i="4"/>
  <c r="M1883" i="4"/>
  <c r="M1891" i="4"/>
  <c r="M1899" i="4"/>
  <c r="M1907" i="4"/>
  <c r="M1915" i="4"/>
  <c r="M1923" i="4"/>
  <c r="M1928" i="4"/>
  <c r="M1932" i="4"/>
  <c r="M1936" i="4"/>
  <c r="M1940" i="4"/>
  <c r="M1944" i="4"/>
  <c r="M1948" i="4"/>
  <c r="M1952" i="4"/>
  <c r="M1956" i="4"/>
  <c r="M1960" i="4"/>
  <c r="M1964" i="4"/>
  <c r="M1968" i="4"/>
  <c r="M1972" i="4"/>
  <c r="M1976" i="4"/>
  <c r="M1980" i="4"/>
  <c r="M1984" i="4"/>
  <c r="M1988" i="4"/>
  <c r="M1992" i="4"/>
  <c r="M1996" i="4"/>
  <c r="M2000" i="4"/>
  <c r="M1983" i="4"/>
  <c r="M1846" i="4"/>
  <c r="M1854" i="4"/>
  <c r="M1862" i="4"/>
  <c r="M1870" i="4"/>
  <c r="M1878" i="4"/>
  <c r="M1886" i="4"/>
  <c r="M1894" i="4"/>
  <c r="M1902" i="4"/>
  <c r="M1910" i="4"/>
  <c r="M1918" i="4"/>
  <c r="M1924" i="4"/>
  <c r="M1929" i="4"/>
  <c r="M1933" i="4"/>
  <c r="M1937" i="4"/>
  <c r="M1941" i="4"/>
  <c r="M1945" i="4"/>
  <c r="M1949" i="4"/>
  <c r="M1953" i="4"/>
  <c r="M1957" i="4"/>
  <c r="M1961" i="4"/>
  <c r="M1965" i="4"/>
  <c r="M1969" i="4"/>
  <c r="M1973" i="4"/>
  <c r="M1977" i="4"/>
  <c r="M1981" i="4"/>
  <c r="M1985" i="4"/>
  <c r="M1989" i="4"/>
  <c r="M1993" i="4"/>
  <c r="M1997" i="4"/>
  <c r="M1850" i="4"/>
  <c r="M1866" i="4"/>
  <c r="M1882" i="4"/>
  <c r="M1898" i="4"/>
  <c r="M1914" i="4"/>
  <c r="M1927" i="4"/>
  <c r="M1939" i="4"/>
  <c r="M1947" i="4"/>
  <c r="M1955" i="4"/>
  <c r="M1963" i="4"/>
  <c r="M1971" i="4"/>
  <c r="M1979" i="4"/>
  <c r="M1991" i="4"/>
  <c r="M1999" i="4"/>
  <c r="M1847" i="4"/>
  <c r="M1855" i="4"/>
  <c r="M1863" i="4"/>
  <c r="M1871" i="4"/>
  <c r="M1879" i="4"/>
  <c r="M1887" i="4"/>
  <c r="M1895" i="4"/>
  <c r="M1903" i="4"/>
  <c r="M1911" i="4"/>
  <c r="M1919" i="4"/>
  <c r="M1926" i="4"/>
  <c r="M1930" i="4"/>
  <c r="M1934" i="4"/>
  <c r="M1938" i="4"/>
  <c r="M1942" i="4"/>
  <c r="M1946" i="4"/>
  <c r="M1950" i="4"/>
  <c r="M1954" i="4"/>
  <c r="M1958" i="4"/>
  <c r="M1962" i="4"/>
  <c r="M1966" i="4"/>
  <c r="M1970" i="4"/>
  <c r="M1974" i="4"/>
  <c r="M1978" i="4"/>
  <c r="M1982" i="4"/>
  <c r="M1986" i="4"/>
  <c r="M1990" i="4"/>
  <c r="M1994" i="4"/>
  <c r="M1998" i="4"/>
  <c r="M1842" i="4"/>
  <c r="M1858" i="4"/>
  <c r="M1874" i="4"/>
  <c r="M1890" i="4"/>
  <c r="M1906" i="4"/>
  <c r="M1922" i="4"/>
  <c r="M1931" i="4"/>
  <c r="M1935" i="4"/>
  <c r="M1943" i="4"/>
  <c r="M1951" i="4"/>
  <c r="M1959" i="4"/>
  <c r="M1967" i="4"/>
  <c r="M1975" i="4"/>
  <c r="M1987" i="4"/>
  <c r="M1995" i="4"/>
  <c r="I5" i="1" l="1"/>
  <c r="AI1" i="7" s="1"/>
  <c r="AH1" i="7" s="1"/>
  <c r="A8" i="1"/>
  <c r="N7" i="1"/>
  <c r="N8" i="1"/>
  <c r="O9" i="1"/>
  <c r="N11" i="1"/>
  <c r="O15" i="1"/>
  <c r="O21" i="1"/>
  <c r="O27" i="1"/>
  <c r="O33" i="1"/>
  <c r="O39" i="1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N9" i="1"/>
  <c r="N10" i="1"/>
  <c r="O10" i="1"/>
  <c r="O11" i="1"/>
  <c r="N12" i="1"/>
  <c r="O12" i="1"/>
  <c r="N13" i="1"/>
  <c r="O13" i="1"/>
  <c r="N14" i="1"/>
  <c r="O14" i="1"/>
  <c r="N15" i="1"/>
  <c r="N16" i="1"/>
  <c r="O16" i="1"/>
  <c r="N17" i="1"/>
  <c r="O17" i="1"/>
  <c r="N18" i="1"/>
  <c r="O18" i="1"/>
  <c r="N19" i="1"/>
  <c r="O19" i="1"/>
  <c r="N20" i="1"/>
  <c r="O20" i="1"/>
  <c r="N21" i="1"/>
  <c r="N22" i="1"/>
  <c r="O22" i="1"/>
  <c r="N23" i="1"/>
  <c r="O23" i="1"/>
  <c r="N24" i="1"/>
  <c r="O24" i="1"/>
  <c r="N25" i="1"/>
  <c r="O25" i="1"/>
  <c r="N26" i="1"/>
  <c r="O26" i="1"/>
  <c r="N27" i="1"/>
  <c r="N28" i="1"/>
  <c r="O28" i="1"/>
  <c r="N29" i="1"/>
  <c r="O29" i="1"/>
  <c r="N30" i="1"/>
  <c r="O30" i="1"/>
  <c r="N31" i="1"/>
  <c r="O31" i="1"/>
  <c r="N32" i="1"/>
  <c r="O32" i="1"/>
  <c r="N33" i="1"/>
  <c r="N34" i="1"/>
  <c r="O34" i="1"/>
  <c r="N35" i="1"/>
  <c r="O35" i="1"/>
  <c r="N36" i="1"/>
  <c r="O36" i="1"/>
  <c r="N37" i="1"/>
  <c r="O37" i="1"/>
  <c r="N38" i="1"/>
  <c r="O38" i="1"/>
  <c r="N39" i="1"/>
  <c r="N40" i="1"/>
  <c r="O40" i="1"/>
  <c r="N41" i="1"/>
  <c r="O41" i="1"/>
  <c r="N42" i="1"/>
  <c r="O42" i="1"/>
  <c r="N43" i="1"/>
  <c r="O43" i="1"/>
  <c r="N44" i="1"/>
  <c r="O44" i="1"/>
  <c r="N45" i="1"/>
  <c r="N46" i="1"/>
  <c r="O46" i="1"/>
  <c r="N47" i="1"/>
  <c r="O47" i="1"/>
  <c r="N48" i="1"/>
  <c r="O48" i="1"/>
  <c r="N49" i="1"/>
  <c r="O49" i="1"/>
  <c r="N50" i="1"/>
  <c r="O50" i="1"/>
  <c r="N51" i="1"/>
  <c r="N52" i="1"/>
  <c r="O52" i="1"/>
  <c r="N53" i="1"/>
  <c r="O53" i="1"/>
  <c r="N54" i="1"/>
  <c r="O54" i="1"/>
  <c r="N55" i="1"/>
  <c r="O55" i="1"/>
  <c r="N56" i="1"/>
  <c r="O56" i="1"/>
  <c r="N57" i="1"/>
  <c r="N58" i="1"/>
  <c r="O58" i="1"/>
  <c r="N59" i="1"/>
  <c r="O59" i="1"/>
  <c r="N60" i="1"/>
  <c r="O60" i="1"/>
  <c r="N61" i="1"/>
  <c r="O61" i="1"/>
  <c r="N62" i="1"/>
  <c r="O62" i="1"/>
  <c r="N63" i="1"/>
  <c r="N64" i="1"/>
  <c r="O64" i="1"/>
  <c r="N65" i="1"/>
  <c r="O65" i="1"/>
  <c r="N66" i="1"/>
  <c r="O66" i="1"/>
  <c r="N67" i="1"/>
  <c r="O67" i="1"/>
  <c r="N68" i="1"/>
  <c r="O68" i="1"/>
  <c r="N69" i="1"/>
  <c r="N70" i="1"/>
  <c r="O70" i="1"/>
  <c r="N71" i="1"/>
  <c r="O71" i="1"/>
  <c r="N72" i="1"/>
  <c r="O72" i="1"/>
  <c r="N73" i="1"/>
  <c r="O73" i="1"/>
  <c r="N74" i="1"/>
  <c r="O74" i="1"/>
  <c r="N75" i="1"/>
  <c r="N76" i="1"/>
  <c r="O76" i="1"/>
  <c r="N77" i="1"/>
  <c r="O77" i="1"/>
  <c r="N78" i="1"/>
  <c r="O78" i="1"/>
  <c r="N79" i="1"/>
  <c r="O79" i="1"/>
  <c r="N80" i="1"/>
  <c r="O80" i="1"/>
  <c r="N81" i="1"/>
  <c r="N82" i="1"/>
  <c r="O82" i="1"/>
  <c r="N83" i="1"/>
  <c r="O83" i="1"/>
  <c r="N84" i="1"/>
  <c r="O84" i="1"/>
  <c r="N85" i="1"/>
  <c r="O85" i="1"/>
  <c r="N86" i="1"/>
  <c r="O86" i="1"/>
  <c r="N87" i="1"/>
  <c r="N88" i="1"/>
  <c r="O88" i="1"/>
  <c r="N89" i="1"/>
  <c r="O89" i="1"/>
  <c r="K4" i="3"/>
  <c r="K5" i="3" s="1"/>
  <c r="B2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B3" i="4"/>
  <c r="G6" i="4"/>
  <c r="Q6" i="4" s="1"/>
  <c r="G7" i="4"/>
  <c r="Q7" i="4" s="1"/>
  <c r="G98" i="4"/>
  <c r="G97" i="4"/>
  <c r="Q97" i="4" s="1"/>
  <c r="G96" i="4"/>
  <c r="Q96" i="4" s="1"/>
  <c r="G95" i="4"/>
  <c r="Q95" i="4" s="1"/>
  <c r="G94" i="4"/>
  <c r="Q94" i="4" s="1"/>
  <c r="G93" i="4"/>
  <c r="Q93" i="4" s="1"/>
  <c r="G92" i="4"/>
  <c r="Q92" i="4" s="1"/>
  <c r="G91" i="4"/>
  <c r="Q91" i="4" s="1"/>
  <c r="G90" i="4"/>
  <c r="Q90" i="4" s="1"/>
  <c r="G89" i="4"/>
  <c r="Q89" i="4" s="1"/>
  <c r="G88" i="4"/>
  <c r="Q88" i="4" s="1"/>
  <c r="G87" i="4"/>
  <c r="Q87" i="4" s="1"/>
  <c r="G86" i="4"/>
  <c r="Q86" i="4" s="1"/>
  <c r="G85" i="4"/>
  <c r="Q85" i="4" s="1"/>
  <c r="G84" i="4"/>
  <c r="Q84" i="4" s="1"/>
  <c r="G83" i="4"/>
  <c r="Q83" i="4" s="1"/>
  <c r="G82" i="4"/>
  <c r="Q82" i="4" s="1"/>
  <c r="G81" i="4"/>
  <c r="Q81" i="4" s="1"/>
  <c r="G80" i="4"/>
  <c r="Q80" i="4" s="1"/>
  <c r="G79" i="4"/>
  <c r="Q79" i="4" s="1"/>
  <c r="G78" i="4"/>
  <c r="Q78" i="4" s="1"/>
  <c r="G77" i="4"/>
  <c r="Q77" i="4" s="1"/>
  <c r="G76" i="4"/>
  <c r="Q76" i="4" s="1"/>
  <c r="G75" i="4"/>
  <c r="Q75" i="4" s="1"/>
  <c r="G74" i="4"/>
  <c r="G73" i="4"/>
  <c r="Q73" i="4" s="1"/>
  <c r="G72" i="4"/>
  <c r="Q72" i="4" s="1"/>
  <c r="G71" i="4"/>
  <c r="Q71" i="4" s="1"/>
  <c r="G70" i="4"/>
  <c r="Q70" i="4" s="1"/>
  <c r="G69" i="4"/>
  <c r="Q69" i="4" s="1"/>
  <c r="G68" i="4"/>
  <c r="Q68" i="4" s="1"/>
  <c r="G67" i="4"/>
  <c r="Q67" i="4" s="1"/>
  <c r="G66" i="4"/>
  <c r="Q66" i="4" s="1"/>
  <c r="G65" i="4"/>
  <c r="Q65" i="4" s="1"/>
  <c r="G64" i="4"/>
  <c r="Q64" i="4" s="1"/>
  <c r="G63" i="4"/>
  <c r="Q63" i="4" s="1"/>
  <c r="G62" i="4"/>
  <c r="Q62" i="4" s="1"/>
  <c r="G61" i="4"/>
  <c r="Q61" i="4" s="1"/>
  <c r="G60" i="4"/>
  <c r="Q60" i="4" s="1"/>
  <c r="G59" i="4"/>
  <c r="Q59" i="4" s="1"/>
  <c r="G58" i="4"/>
  <c r="Q58" i="4" s="1"/>
  <c r="G57" i="4"/>
  <c r="Q57" i="4" s="1"/>
  <c r="G56" i="4"/>
  <c r="Q56" i="4" s="1"/>
  <c r="G55" i="4"/>
  <c r="Q55" i="4" s="1"/>
  <c r="G54" i="4"/>
  <c r="Q54" i="4" s="1"/>
  <c r="G53" i="4"/>
  <c r="Q53" i="4" s="1"/>
  <c r="G52" i="4"/>
  <c r="Q52" i="4" s="1"/>
  <c r="G51" i="4"/>
  <c r="Q51" i="4" s="1"/>
  <c r="G50" i="4"/>
  <c r="G49" i="4"/>
  <c r="Q49" i="4" s="1"/>
  <c r="G48" i="4"/>
  <c r="Q48" i="4" s="1"/>
  <c r="G47" i="4"/>
  <c r="Q47" i="4" s="1"/>
  <c r="G46" i="4"/>
  <c r="Q46" i="4" s="1"/>
  <c r="G45" i="4"/>
  <c r="Q45" i="4" s="1"/>
  <c r="G44" i="4"/>
  <c r="Q44" i="4" s="1"/>
  <c r="G43" i="4"/>
  <c r="Q43" i="4" s="1"/>
  <c r="G42" i="4"/>
  <c r="Q42" i="4" s="1"/>
  <c r="G41" i="4"/>
  <c r="Q41" i="4" s="1"/>
  <c r="G40" i="4"/>
  <c r="Q40" i="4" s="1"/>
  <c r="G39" i="4"/>
  <c r="Q39" i="4" s="1"/>
  <c r="G38" i="4"/>
  <c r="Q38" i="4" s="1"/>
  <c r="G37" i="4"/>
  <c r="Q37" i="4" s="1"/>
  <c r="G36" i="4"/>
  <c r="Q36" i="4" s="1"/>
  <c r="G35" i="4"/>
  <c r="Q35" i="4" s="1"/>
  <c r="G34" i="4"/>
  <c r="Q34" i="4" s="1"/>
  <c r="G33" i="4"/>
  <c r="Q33" i="4" s="1"/>
  <c r="G32" i="4"/>
  <c r="Q32" i="4" s="1"/>
  <c r="G31" i="4"/>
  <c r="Q31" i="4" s="1"/>
  <c r="G30" i="4"/>
  <c r="Q30" i="4" s="1"/>
  <c r="G29" i="4"/>
  <c r="Q29" i="4" s="1"/>
  <c r="G28" i="4"/>
  <c r="Q28" i="4" s="1"/>
  <c r="G27" i="4"/>
  <c r="Q27" i="4" s="1"/>
  <c r="G26" i="4"/>
  <c r="Q26" i="4" s="1"/>
  <c r="G25" i="4"/>
  <c r="Q25" i="4" s="1"/>
  <c r="G24" i="4"/>
  <c r="Q24" i="4" s="1"/>
  <c r="G23" i="4"/>
  <c r="Q23" i="4" s="1"/>
  <c r="G22" i="4"/>
  <c r="Q22" i="4" s="1"/>
  <c r="G21" i="4"/>
  <c r="Q21" i="4" s="1"/>
  <c r="G20" i="4"/>
  <c r="Q20" i="4" s="1"/>
  <c r="G19" i="4"/>
  <c r="Q19" i="4" s="1"/>
  <c r="G18" i="4"/>
  <c r="Q18" i="4" s="1"/>
  <c r="G17" i="4"/>
  <c r="Q17" i="4" s="1"/>
  <c r="G16" i="4"/>
  <c r="Q16" i="4" s="1"/>
  <c r="G15" i="4"/>
  <c r="Q15" i="4" s="1"/>
  <c r="G14" i="4"/>
  <c r="G13" i="4"/>
  <c r="Q13" i="4" s="1"/>
  <c r="G12" i="4"/>
  <c r="Q12" i="4" s="1"/>
  <c r="G11" i="4"/>
  <c r="Q11" i="4" s="1"/>
  <c r="G10" i="4"/>
  <c r="Q10" i="4" s="1"/>
  <c r="G9" i="4"/>
  <c r="Q9" i="4" s="1"/>
  <c r="G8" i="4"/>
  <c r="Q8" i="4" s="1"/>
  <c r="E6" i="4"/>
  <c r="W6" i="4" s="1"/>
  <c r="E7" i="4"/>
  <c r="G99" i="4"/>
  <c r="Q99" i="4" s="1"/>
  <c r="G100" i="4"/>
  <c r="Q100" i="4" s="1"/>
  <c r="G101" i="4"/>
  <c r="Q101" i="4" s="1"/>
  <c r="G102" i="4"/>
  <c r="G103" i="4"/>
  <c r="Q103" i="4" s="1"/>
  <c r="G104" i="4"/>
  <c r="Q104" i="4" s="1"/>
  <c r="G105" i="4"/>
  <c r="Q105" i="4" s="1"/>
  <c r="G106" i="4"/>
  <c r="Q106" i="4" s="1"/>
  <c r="G107" i="4"/>
  <c r="Q107" i="4" s="1"/>
  <c r="G108" i="4"/>
  <c r="Q108" i="4" s="1"/>
  <c r="G109" i="4"/>
  <c r="Q109" i="4" s="1"/>
  <c r="G110" i="4"/>
  <c r="Q110" i="4" s="1"/>
  <c r="G111" i="4"/>
  <c r="Q111" i="4" s="1"/>
  <c r="G112" i="4"/>
  <c r="Q112" i="4" s="1"/>
  <c r="G113" i="4"/>
  <c r="Q113" i="4" s="1"/>
  <c r="G115" i="4"/>
  <c r="Q115" i="4" s="1"/>
  <c r="G116" i="4"/>
  <c r="Q116" i="4" s="1"/>
  <c r="G117" i="4"/>
  <c r="Q117" i="4" s="1"/>
  <c r="G118" i="4"/>
  <c r="Q118" i="4" s="1"/>
  <c r="G119" i="4"/>
  <c r="Q119" i="4" s="1"/>
  <c r="G120" i="4"/>
  <c r="Q120" i="4" s="1"/>
  <c r="G121" i="4"/>
  <c r="Q121" i="4" s="1"/>
  <c r="G122" i="4"/>
  <c r="Q122" i="4" s="1"/>
  <c r="G123" i="4"/>
  <c r="Q123" i="4" s="1"/>
  <c r="G124" i="4"/>
  <c r="Q124" i="4" s="1"/>
  <c r="G125" i="4"/>
  <c r="Q125" i="4" s="1"/>
  <c r="G126" i="4"/>
  <c r="Q126" i="4" s="1"/>
  <c r="G127" i="4"/>
  <c r="Q127" i="4" s="1"/>
  <c r="G128" i="4"/>
  <c r="Q128" i="4" s="1"/>
  <c r="G129" i="4"/>
  <c r="Q129" i="4" s="1"/>
  <c r="G130" i="4"/>
  <c r="Q130" i="4" s="1"/>
  <c r="G131" i="4"/>
  <c r="Q131" i="4" s="1"/>
  <c r="G132" i="4"/>
  <c r="Q132" i="4" s="1"/>
  <c r="G133" i="4"/>
  <c r="Q133" i="4" s="1"/>
  <c r="G134" i="4"/>
  <c r="Q134" i="4" s="1"/>
  <c r="G135" i="4"/>
  <c r="Q135" i="4" s="1"/>
  <c r="G136" i="4"/>
  <c r="Q136" i="4" s="1"/>
  <c r="G137" i="4"/>
  <c r="Q137" i="4" s="1"/>
  <c r="G138" i="4"/>
  <c r="Q138" i="4" s="1"/>
  <c r="G139" i="4"/>
  <c r="Q139" i="4" s="1"/>
  <c r="G140" i="4"/>
  <c r="Q140" i="4" s="1"/>
  <c r="G141" i="4"/>
  <c r="Q141" i="4" s="1"/>
  <c r="G142" i="4"/>
  <c r="Q142" i="4" s="1"/>
  <c r="G143" i="4"/>
  <c r="Q143" i="4" s="1"/>
  <c r="G144" i="4"/>
  <c r="Q144" i="4" s="1"/>
  <c r="G145" i="4"/>
  <c r="Q145" i="4" s="1"/>
  <c r="G146" i="4"/>
  <c r="Q146" i="4" s="1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W1006" i="4"/>
  <c r="F7" i="4"/>
  <c r="F6" i="4"/>
  <c r="U6" i="4" s="1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B3" i="5"/>
  <c r="C4" i="3"/>
  <c r="C28" i="3" s="1"/>
  <c r="O93" i="1"/>
  <c r="O97" i="1"/>
  <c r="N97" i="1"/>
  <c r="O101" i="1"/>
  <c r="N105" i="1"/>
  <c r="O105" i="1"/>
  <c r="O109" i="1"/>
  <c r="O113" i="1"/>
  <c r="O117" i="1"/>
  <c r="O129" i="1"/>
  <c r="N129" i="1"/>
  <c r="O133" i="1"/>
  <c r="N145" i="1"/>
  <c r="O145" i="1"/>
  <c r="O150" i="1"/>
  <c r="O153" i="1"/>
  <c r="N153" i="1"/>
  <c r="O157" i="1"/>
  <c r="N157" i="1"/>
  <c r="O162" i="1"/>
  <c r="O165" i="1"/>
  <c r="N165" i="1"/>
  <c r="N173" i="1"/>
  <c r="O181" i="1"/>
  <c r="N181" i="1"/>
  <c r="N189" i="1"/>
  <c r="N193" i="1"/>
  <c r="O197" i="1"/>
  <c r="D2" i="4"/>
  <c r="D1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U1006" i="4"/>
  <c r="U1007" i="4" s="1"/>
  <c r="U1008" i="4" s="1"/>
  <c r="U1009" i="4" s="1"/>
  <c r="U1010" i="4" s="1"/>
  <c r="U1011" i="4" s="1"/>
  <c r="U1012" i="4" s="1"/>
  <c r="U1013" i="4" s="1"/>
  <c r="U1014" i="4" s="1"/>
  <c r="U1015" i="4" s="1"/>
  <c r="U1016" i="4" s="1"/>
  <c r="U1017" i="4" s="1"/>
  <c r="U1018" i="4" s="1"/>
  <c r="U1019" i="4" s="1"/>
  <c r="U1020" i="4" s="1"/>
  <c r="U1021" i="4" s="1"/>
  <c r="U1022" i="4" s="1"/>
  <c r="U1023" i="4" s="1"/>
  <c r="U1024" i="4" s="1"/>
  <c r="U1025" i="4" s="1"/>
  <c r="U1026" i="4" s="1"/>
  <c r="U1027" i="4" s="1"/>
  <c r="U1028" i="4" s="1"/>
  <c r="U1029" i="4" s="1"/>
  <c r="U1030" i="4" s="1"/>
  <c r="U1031" i="4" s="1"/>
  <c r="U1032" i="4" s="1"/>
  <c r="U1033" i="4" s="1"/>
  <c r="U1034" i="4" s="1"/>
  <c r="U1035" i="4" s="1"/>
  <c r="U1036" i="4" s="1"/>
  <c r="U1037" i="4" s="1"/>
  <c r="U1038" i="4" s="1"/>
  <c r="U1039" i="4" s="1"/>
  <c r="U1040" i="4" s="1"/>
  <c r="U1041" i="4" s="1"/>
  <c r="U1042" i="4" s="1"/>
  <c r="U1043" i="4" s="1"/>
  <c r="U1044" i="4" s="1"/>
  <c r="U1045" i="4" s="1"/>
  <c r="U1046" i="4" s="1"/>
  <c r="U1047" i="4" s="1"/>
  <c r="U1048" i="4" s="1"/>
  <c r="U1049" i="4" s="1"/>
  <c r="U1050" i="4" s="1"/>
  <c r="U1051" i="4" s="1"/>
  <c r="U1052" i="4" s="1"/>
  <c r="U1053" i="4" s="1"/>
  <c r="U1054" i="4" s="1"/>
  <c r="U1055" i="4" s="1"/>
  <c r="U1056" i="4" s="1"/>
  <c r="U1057" i="4" s="1"/>
  <c r="U1058" i="4" s="1"/>
  <c r="U1059" i="4" s="1"/>
  <c r="U1060" i="4" s="1"/>
  <c r="U1061" i="4" s="1"/>
  <c r="U1062" i="4" s="1"/>
  <c r="U1063" i="4" s="1"/>
  <c r="U1064" i="4" s="1"/>
  <c r="U1065" i="4" s="1"/>
  <c r="U1066" i="4" s="1"/>
  <c r="U1067" i="4" s="1"/>
  <c r="U1068" i="4" s="1"/>
  <c r="U1069" i="4" s="1"/>
  <c r="U1070" i="4" s="1"/>
  <c r="U1071" i="4" s="1"/>
  <c r="U1072" i="4" s="1"/>
  <c r="U1073" i="4" s="1"/>
  <c r="U1074" i="4" s="1"/>
  <c r="U1075" i="4" s="1"/>
  <c r="U1076" i="4" s="1"/>
  <c r="U1077" i="4" s="1"/>
  <c r="U1078" i="4" s="1"/>
  <c r="U1079" i="4" s="1"/>
  <c r="U1080" i="4" s="1"/>
  <c r="U1081" i="4" s="1"/>
  <c r="U1082" i="4" s="1"/>
  <c r="U1083" i="4" s="1"/>
  <c r="U1084" i="4" s="1"/>
  <c r="U1085" i="4" s="1"/>
  <c r="U1086" i="4" s="1"/>
  <c r="U1087" i="4" s="1"/>
  <c r="U1088" i="4" s="1"/>
  <c r="U1089" i="4" s="1"/>
  <c r="U1090" i="4" s="1"/>
  <c r="U1091" i="4" s="1"/>
  <c r="U1092" i="4" s="1"/>
  <c r="U1093" i="4" s="1"/>
  <c r="U1094" i="4" s="1"/>
  <c r="U1095" i="4" s="1"/>
  <c r="U1096" i="4" s="1"/>
  <c r="U1097" i="4" s="1"/>
  <c r="U1098" i="4" s="1"/>
  <c r="U1099" i="4" s="1"/>
  <c r="U1100" i="4" s="1"/>
  <c r="U1101" i="4" s="1"/>
  <c r="U1102" i="4" s="1"/>
  <c r="U1103" i="4" s="1"/>
  <c r="U1104" i="4" s="1"/>
  <c r="U1105" i="4" s="1"/>
  <c r="U1106" i="4" s="1"/>
  <c r="U1107" i="4" s="1"/>
  <c r="U1108" i="4" s="1"/>
  <c r="U1109" i="4" s="1"/>
  <c r="U1110" i="4" s="1"/>
  <c r="U1111" i="4" s="1"/>
  <c r="U1112" i="4" s="1"/>
  <c r="U1113" i="4" s="1"/>
  <c r="U1114" i="4" s="1"/>
  <c r="U1115" i="4" s="1"/>
  <c r="U1116" i="4" s="1"/>
  <c r="U1117" i="4" s="1"/>
  <c r="U1118" i="4" s="1"/>
  <c r="U1119" i="4" s="1"/>
  <c r="U1120" i="4" s="1"/>
  <c r="U1121" i="4" s="1"/>
  <c r="U1122" i="4" s="1"/>
  <c r="U1123" i="4" s="1"/>
  <c r="U1124" i="4" s="1"/>
  <c r="U1125" i="4" s="1"/>
  <c r="U1126" i="4" s="1"/>
  <c r="U1127" i="4" s="1"/>
  <c r="U1128" i="4" s="1"/>
  <c r="U1129" i="4" s="1"/>
  <c r="U1130" i="4" s="1"/>
  <c r="U1131" i="4" s="1"/>
  <c r="U1132" i="4" s="1"/>
  <c r="U1133" i="4" s="1"/>
  <c r="U1134" i="4" s="1"/>
  <c r="U1135" i="4" s="1"/>
  <c r="U1136" i="4" s="1"/>
  <c r="U1137" i="4" s="1"/>
  <c r="U1138" i="4" s="1"/>
  <c r="U1139" i="4" s="1"/>
  <c r="U1140" i="4" s="1"/>
  <c r="U1141" i="4" s="1"/>
  <c r="U1142" i="4" s="1"/>
  <c r="U1143" i="4" s="1"/>
  <c r="U1144" i="4" s="1"/>
  <c r="U1145" i="4" s="1"/>
  <c r="U1146" i="4" s="1"/>
  <c r="U1147" i="4" s="1"/>
  <c r="U1148" i="4" s="1"/>
  <c r="U1149" i="4" s="1"/>
  <c r="U1150" i="4" s="1"/>
  <c r="U1151" i="4" s="1"/>
  <c r="U1152" i="4" s="1"/>
  <c r="U1153" i="4" s="1"/>
  <c r="U1154" i="4" s="1"/>
  <c r="U1155" i="4" s="1"/>
  <c r="U1156" i="4" s="1"/>
  <c r="U1157" i="4" s="1"/>
  <c r="U1158" i="4" s="1"/>
  <c r="U1159" i="4" s="1"/>
  <c r="U1160" i="4" s="1"/>
  <c r="U1161" i="4" s="1"/>
  <c r="U1162" i="4" s="1"/>
  <c r="U1163" i="4" s="1"/>
  <c r="U1164" i="4" s="1"/>
  <c r="U1165" i="4" s="1"/>
  <c r="U1166" i="4" s="1"/>
  <c r="U1167" i="4" s="1"/>
  <c r="U1168" i="4" s="1"/>
  <c r="U1169" i="4" s="1"/>
  <c r="U1170" i="4" s="1"/>
  <c r="U1171" i="4" s="1"/>
  <c r="U1172" i="4" s="1"/>
  <c r="U1173" i="4" s="1"/>
  <c r="U1174" i="4" s="1"/>
  <c r="U1175" i="4" s="1"/>
  <c r="U1176" i="4" s="1"/>
  <c r="U1177" i="4" s="1"/>
  <c r="U1178" i="4" s="1"/>
  <c r="U1179" i="4" s="1"/>
  <c r="U1180" i="4" s="1"/>
  <c r="U1181" i="4" s="1"/>
  <c r="U1182" i="4" s="1"/>
  <c r="U1183" i="4" s="1"/>
  <c r="U1184" i="4" s="1"/>
  <c r="U1185" i="4" s="1"/>
  <c r="U1186" i="4" s="1"/>
  <c r="U1187" i="4" s="1"/>
  <c r="U1188" i="4" s="1"/>
  <c r="U1189" i="4" s="1"/>
  <c r="U1190" i="4" s="1"/>
  <c r="U1191" i="4" s="1"/>
  <c r="U1192" i="4" s="1"/>
  <c r="U1193" i="4" s="1"/>
  <c r="U1194" i="4" s="1"/>
  <c r="U1195" i="4" s="1"/>
  <c r="U1196" i="4" s="1"/>
  <c r="U1197" i="4" s="1"/>
  <c r="U1198" i="4" s="1"/>
  <c r="U1199" i="4" s="1"/>
  <c r="U1200" i="4" s="1"/>
  <c r="U1201" i="4" s="1"/>
  <c r="U1202" i="4" s="1"/>
  <c r="U1203" i="4" s="1"/>
  <c r="U1204" i="4" s="1"/>
  <c r="U1205" i="4" s="1"/>
  <c r="U1206" i="4" s="1"/>
  <c r="U1207" i="4" s="1"/>
  <c r="U1208" i="4" s="1"/>
  <c r="U1209" i="4" s="1"/>
  <c r="U1210" i="4" s="1"/>
  <c r="U1211" i="4" s="1"/>
  <c r="U1212" i="4" s="1"/>
  <c r="U1213" i="4" s="1"/>
  <c r="U1214" i="4" s="1"/>
  <c r="U1215" i="4" s="1"/>
  <c r="U1216" i="4" s="1"/>
  <c r="U1217" i="4" s="1"/>
  <c r="U1218" i="4" s="1"/>
  <c r="U1219" i="4" s="1"/>
  <c r="U1220" i="4" s="1"/>
  <c r="U1221" i="4" s="1"/>
  <c r="U1222" i="4" s="1"/>
  <c r="U1223" i="4" s="1"/>
  <c r="U1224" i="4" s="1"/>
  <c r="U1225" i="4" s="1"/>
  <c r="U1226" i="4" s="1"/>
  <c r="U1227" i="4" s="1"/>
  <c r="U1228" i="4" s="1"/>
  <c r="U1229" i="4" s="1"/>
  <c r="U1230" i="4" s="1"/>
  <c r="U1231" i="4" s="1"/>
  <c r="U1232" i="4" s="1"/>
  <c r="U1233" i="4" s="1"/>
  <c r="U1234" i="4" s="1"/>
  <c r="U1235" i="4" s="1"/>
  <c r="U1236" i="4" s="1"/>
  <c r="U1237" i="4" s="1"/>
  <c r="U1238" i="4" s="1"/>
  <c r="U1239" i="4" s="1"/>
  <c r="U1240" i="4" s="1"/>
  <c r="U1241" i="4" s="1"/>
  <c r="U1242" i="4" s="1"/>
  <c r="U1243" i="4" s="1"/>
  <c r="U1244" i="4" s="1"/>
  <c r="U1245" i="4" s="1"/>
  <c r="U1246" i="4" s="1"/>
  <c r="U1247" i="4" s="1"/>
  <c r="U1248" i="4" s="1"/>
  <c r="U1249" i="4" s="1"/>
  <c r="U1250" i="4" s="1"/>
  <c r="U1251" i="4" s="1"/>
  <c r="U1252" i="4" s="1"/>
  <c r="U1253" i="4" s="1"/>
  <c r="U1254" i="4" s="1"/>
  <c r="U1255" i="4" s="1"/>
  <c r="U1256" i="4" s="1"/>
  <c r="U1257" i="4" s="1"/>
  <c r="U1258" i="4" s="1"/>
  <c r="U1259" i="4" s="1"/>
  <c r="U1260" i="4" s="1"/>
  <c r="U1261" i="4" s="1"/>
  <c r="U1262" i="4" s="1"/>
  <c r="U1263" i="4" s="1"/>
  <c r="U1264" i="4" s="1"/>
  <c r="U1265" i="4" s="1"/>
  <c r="U1266" i="4" s="1"/>
  <c r="U1267" i="4" s="1"/>
  <c r="U1268" i="4" s="1"/>
  <c r="U1269" i="4" s="1"/>
  <c r="U1270" i="4" s="1"/>
  <c r="U1271" i="4" s="1"/>
  <c r="U1272" i="4" s="1"/>
  <c r="U1273" i="4" s="1"/>
  <c r="U1274" i="4" s="1"/>
  <c r="U1275" i="4" s="1"/>
  <c r="U1276" i="4" s="1"/>
  <c r="U1277" i="4" s="1"/>
  <c r="U1278" i="4" s="1"/>
  <c r="U1279" i="4" s="1"/>
  <c r="U1280" i="4" s="1"/>
  <c r="U1281" i="4" s="1"/>
  <c r="U1282" i="4" s="1"/>
  <c r="U1283" i="4" s="1"/>
  <c r="U1284" i="4" s="1"/>
  <c r="U1285" i="4" s="1"/>
  <c r="U1286" i="4" s="1"/>
  <c r="U1287" i="4" s="1"/>
  <c r="U1288" i="4" s="1"/>
  <c r="U1289" i="4" s="1"/>
  <c r="U1290" i="4" s="1"/>
  <c r="U1291" i="4" s="1"/>
  <c r="U1292" i="4" s="1"/>
  <c r="U1293" i="4" s="1"/>
  <c r="U1294" i="4" s="1"/>
  <c r="U1295" i="4" s="1"/>
  <c r="U1296" i="4" s="1"/>
  <c r="U1297" i="4" s="1"/>
  <c r="U1298" i="4" s="1"/>
  <c r="U1299" i="4" s="1"/>
  <c r="U1300" i="4" s="1"/>
  <c r="U1301" i="4" s="1"/>
  <c r="U1302" i="4" s="1"/>
  <c r="U1303" i="4" s="1"/>
  <c r="U1304" i="4" s="1"/>
  <c r="U1305" i="4" s="1"/>
  <c r="U1306" i="4" s="1"/>
  <c r="U1307" i="4" s="1"/>
  <c r="U1308" i="4" s="1"/>
  <c r="U1309" i="4" s="1"/>
  <c r="U1310" i="4" s="1"/>
  <c r="U1311" i="4" s="1"/>
  <c r="U1312" i="4" s="1"/>
  <c r="U1313" i="4" s="1"/>
  <c r="U1314" i="4" s="1"/>
  <c r="U1315" i="4" s="1"/>
  <c r="U1316" i="4" s="1"/>
  <c r="U1317" i="4" s="1"/>
  <c r="U1318" i="4" s="1"/>
  <c r="U1319" i="4" s="1"/>
  <c r="U1320" i="4" s="1"/>
  <c r="U1321" i="4" s="1"/>
  <c r="U1322" i="4" s="1"/>
  <c r="U1323" i="4" s="1"/>
  <c r="U1324" i="4" s="1"/>
  <c r="U1325" i="4" s="1"/>
  <c r="U1326" i="4" s="1"/>
  <c r="U1327" i="4" s="1"/>
  <c r="U1328" i="4" s="1"/>
  <c r="U1329" i="4" s="1"/>
  <c r="U1330" i="4" s="1"/>
  <c r="U1331" i="4" s="1"/>
  <c r="U1332" i="4" s="1"/>
  <c r="U1333" i="4" s="1"/>
  <c r="U1334" i="4" s="1"/>
  <c r="U1335" i="4" s="1"/>
  <c r="U1336" i="4" s="1"/>
  <c r="U1337" i="4" s="1"/>
  <c r="U1338" i="4" s="1"/>
  <c r="U1339" i="4" s="1"/>
  <c r="U1340" i="4" s="1"/>
  <c r="U1341" i="4" s="1"/>
  <c r="U1342" i="4" s="1"/>
  <c r="U1343" i="4" s="1"/>
  <c r="U1344" i="4" s="1"/>
  <c r="U1345" i="4" s="1"/>
  <c r="U1346" i="4" s="1"/>
  <c r="U1347" i="4" s="1"/>
  <c r="U1348" i="4" s="1"/>
  <c r="U1349" i="4" s="1"/>
  <c r="U1350" i="4" s="1"/>
  <c r="U1351" i="4" s="1"/>
  <c r="U1352" i="4" s="1"/>
  <c r="U1353" i="4" s="1"/>
  <c r="U1354" i="4" s="1"/>
  <c r="U1355" i="4" s="1"/>
  <c r="U1356" i="4" s="1"/>
  <c r="U1357" i="4" s="1"/>
  <c r="U1358" i="4" s="1"/>
  <c r="U1359" i="4" s="1"/>
  <c r="U1360" i="4" s="1"/>
  <c r="U1361" i="4" s="1"/>
  <c r="U1362" i="4" s="1"/>
  <c r="U1363" i="4" s="1"/>
  <c r="U1364" i="4" s="1"/>
  <c r="U1365" i="4" s="1"/>
  <c r="U1366" i="4" s="1"/>
  <c r="U1367" i="4" s="1"/>
  <c r="U1368" i="4" s="1"/>
  <c r="U1369" i="4" s="1"/>
  <c r="U1370" i="4" s="1"/>
  <c r="U1371" i="4" s="1"/>
  <c r="U1372" i="4" s="1"/>
  <c r="U1373" i="4" s="1"/>
  <c r="U1374" i="4" s="1"/>
  <c r="U1375" i="4" s="1"/>
  <c r="U1376" i="4" s="1"/>
  <c r="U1377" i="4" s="1"/>
  <c r="U1378" i="4" s="1"/>
  <c r="U1379" i="4" s="1"/>
  <c r="U1380" i="4" s="1"/>
  <c r="U1381" i="4" s="1"/>
  <c r="U1382" i="4" s="1"/>
  <c r="U1383" i="4" s="1"/>
  <c r="U1384" i="4" s="1"/>
  <c r="U1385" i="4" s="1"/>
  <c r="U1386" i="4" s="1"/>
  <c r="U1387" i="4" s="1"/>
  <c r="U1388" i="4" s="1"/>
  <c r="U1389" i="4" s="1"/>
  <c r="U1390" i="4" s="1"/>
  <c r="U1391" i="4" s="1"/>
  <c r="U1392" i="4" s="1"/>
  <c r="U1393" i="4" s="1"/>
  <c r="U1394" i="4" s="1"/>
  <c r="U1395" i="4" s="1"/>
  <c r="U1396" i="4" s="1"/>
  <c r="U1397" i="4" s="1"/>
  <c r="U1398" i="4" s="1"/>
  <c r="U1399" i="4" s="1"/>
  <c r="U1400" i="4" s="1"/>
  <c r="U1401" i="4" s="1"/>
  <c r="U1402" i="4" s="1"/>
  <c r="U1403" i="4" s="1"/>
  <c r="U1404" i="4" s="1"/>
  <c r="U1405" i="4" s="1"/>
  <c r="U1406" i="4" s="1"/>
  <c r="U1407" i="4" s="1"/>
  <c r="U1408" i="4" s="1"/>
  <c r="U1409" i="4" s="1"/>
  <c r="U1410" i="4" s="1"/>
  <c r="U1411" i="4" s="1"/>
  <c r="U1412" i="4" s="1"/>
  <c r="U1413" i="4" s="1"/>
  <c r="U1414" i="4" s="1"/>
  <c r="U1415" i="4" s="1"/>
  <c r="U1416" i="4" s="1"/>
  <c r="U1417" i="4" s="1"/>
  <c r="U1418" i="4" s="1"/>
  <c r="U1419" i="4" s="1"/>
  <c r="U1420" i="4" s="1"/>
  <c r="U1421" i="4" s="1"/>
  <c r="U1422" i="4" s="1"/>
  <c r="U1423" i="4" s="1"/>
  <c r="U1424" i="4" s="1"/>
  <c r="U1425" i="4" s="1"/>
  <c r="U1426" i="4" s="1"/>
  <c r="U1427" i="4" s="1"/>
  <c r="U1428" i="4" s="1"/>
  <c r="U1429" i="4" s="1"/>
  <c r="U1430" i="4" s="1"/>
  <c r="U1431" i="4" s="1"/>
  <c r="U1432" i="4" s="1"/>
  <c r="U1433" i="4" s="1"/>
  <c r="U1434" i="4" s="1"/>
  <c r="U1435" i="4" s="1"/>
  <c r="U1436" i="4" s="1"/>
  <c r="U1437" i="4" s="1"/>
  <c r="U1438" i="4" s="1"/>
  <c r="U1439" i="4" s="1"/>
  <c r="U1440" i="4" s="1"/>
  <c r="U1441" i="4" s="1"/>
  <c r="U1442" i="4" s="1"/>
  <c r="U1443" i="4" s="1"/>
  <c r="U1444" i="4" s="1"/>
  <c r="U1445" i="4" s="1"/>
  <c r="U1446" i="4" s="1"/>
  <c r="U1447" i="4" s="1"/>
  <c r="U1448" i="4" s="1"/>
  <c r="U1449" i="4" s="1"/>
  <c r="U1450" i="4" s="1"/>
  <c r="U1451" i="4" s="1"/>
  <c r="U1452" i="4" s="1"/>
  <c r="U1453" i="4" s="1"/>
  <c r="U1454" i="4" s="1"/>
  <c r="U1455" i="4" s="1"/>
  <c r="U1456" i="4" s="1"/>
  <c r="U1457" i="4" s="1"/>
  <c r="U1458" i="4" s="1"/>
  <c r="U1459" i="4" s="1"/>
  <c r="U1460" i="4" s="1"/>
  <c r="U1461" i="4" s="1"/>
  <c r="U1462" i="4" s="1"/>
  <c r="U1463" i="4" s="1"/>
  <c r="U1464" i="4" s="1"/>
  <c r="U1465" i="4" s="1"/>
  <c r="U1466" i="4" s="1"/>
  <c r="U1467" i="4" s="1"/>
  <c r="U1468" i="4" s="1"/>
  <c r="U1469" i="4" s="1"/>
  <c r="U1470" i="4" s="1"/>
  <c r="U1471" i="4" s="1"/>
  <c r="U1472" i="4" s="1"/>
  <c r="U1473" i="4" s="1"/>
  <c r="U1474" i="4" s="1"/>
  <c r="U1475" i="4" s="1"/>
  <c r="U1476" i="4" s="1"/>
  <c r="U1477" i="4" s="1"/>
  <c r="U1478" i="4" s="1"/>
  <c r="U1479" i="4" s="1"/>
  <c r="U1480" i="4" s="1"/>
  <c r="U1481" i="4" s="1"/>
  <c r="U1482" i="4" s="1"/>
  <c r="U1483" i="4" s="1"/>
  <c r="U1484" i="4" s="1"/>
  <c r="U1485" i="4" s="1"/>
  <c r="U1486" i="4" s="1"/>
  <c r="U1487" i="4" s="1"/>
  <c r="U1488" i="4" s="1"/>
  <c r="U1489" i="4" s="1"/>
  <c r="U1490" i="4" s="1"/>
  <c r="U1491" i="4" s="1"/>
  <c r="U1492" i="4" s="1"/>
  <c r="U1493" i="4" s="1"/>
  <c r="U1494" i="4" s="1"/>
  <c r="U1495" i="4" s="1"/>
  <c r="U1496" i="4" s="1"/>
  <c r="U1497" i="4" s="1"/>
  <c r="U1498" i="4" s="1"/>
  <c r="U1499" i="4" s="1"/>
  <c r="U1500" i="4" s="1"/>
  <c r="U1501" i="4" s="1"/>
  <c r="U1502" i="4" s="1"/>
  <c r="U1503" i="4" s="1"/>
  <c r="U1504" i="4" s="1"/>
  <c r="U1505" i="4" s="1"/>
  <c r="U1506" i="4" s="1"/>
  <c r="U1507" i="4" s="1"/>
  <c r="U1508" i="4" s="1"/>
  <c r="U1509" i="4" s="1"/>
  <c r="U1510" i="4" s="1"/>
  <c r="U1511" i="4" s="1"/>
  <c r="U1512" i="4" s="1"/>
  <c r="U1513" i="4" s="1"/>
  <c r="U1514" i="4" s="1"/>
  <c r="U1515" i="4" s="1"/>
  <c r="U1516" i="4" s="1"/>
  <c r="U1517" i="4" s="1"/>
  <c r="U1518" i="4" s="1"/>
  <c r="U1519" i="4" s="1"/>
  <c r="U1520" i="4" s="1"/>
  <c r="U1521" i="4" s="1"/>
  <c r="U1522" i="4" s="1"/>
  <c r="U1523" i="4" s="1"/>
  <c r="U1524" i="4" s="1"/>
  <c r="U1525" i="4" s="1"/>
  <c r="U1526" i="4" s="1"/>
  <c r="U1527" i="4" s="1"/>
  <c r="U1528" i="4" s="1"/>
  <c r="U1529" i="4" s="1"/>
  <c r="U1530" i="4" s="1"/>
  <c r="U1531" i="4" s="1"/>
  <c r="U1532" i="4" s="1"/>
  <c r="U1533" i="4" s="1"/>
  <c r="U1534" i="4" s="1"/>
  <c r="U1535" i="4" s="1"/>
  <c r="U1536" i="4" s="1"/>
  <c r="U1537" i="4" s="1"/>
  <c r="U1538" i="4" s="1"/>
  <c r="U1539" i="4" s="1"/>
  <c r="U1540" i="4" s="1"/>
  <c r="U1541" i="4" s="1"/>
  <c r="U1542" i="4" s="1"/>
  <c r="U1543" i="4" s="1"/>
  <c r="U1544" i="4" s="1"/>
  <c r="U1545" i="4" s="1"/>
  <c r="U1546" i="4" s="1"/>
  <c r="U1547" i="4" s="1"/>
  <c r="U1548" i="4" s="1"/>
  <c r="U1549" i="4" s="1"/>
  <c r="U1550" i="4" s="1"/>
  <c r="U1551" i="4" s="1"/>
  <c r="U1552" i="4" s="1"/>
  <c r="U1553" i="4" s="1"/>
  <c r="U1554" i="4" s="1"/>
  <c r="U1555" i="4" s="1"/>
  <c r="U1556" i="4" s="1"/>
  <c r="U1557" i="4" s="1"/>
  <c r="U1558" i="4" s="1"/>
  <c r="U1559" i="4" s="1"/>
  <c r="U1560" i="4" s="1"/>
  <c r="U1561" i="4" s="1"/>
  <c r="U1562" i="4" s="1"/>
  <c r="U1563" i="4" s="1"/>
  <c r="U1564" i="4" s="1"/>
  <c r="U1565" i="4" s="1"/>
  <c r="U1566" i="4" s="1"/>
  <c r="U1567" i="4" s="1"/>
  <c r="U1568" i="4" s="1"/>
  <c r="U1569" i="4" s="1"/>
  <c r="U1570" i="4" s="1"/>
  <c r="U1571" i="4" s="1"/>
  <c r="U1572" i="4" s="1"/>
  <c r="U1573" i="4" s="1"/>
  <c r="U1574" i="4" s="1"/>
  <c r="U1575" i="4" s="1"/>
  <c r="U1576" i="4" s="1"/>
  <c r="U1577" i="4" s="1"/>
  <c r="U1578" i="4" s="1"/>
  <c r="U1579" i="4" s="1"/>
  <c r="U1580" i="4" s="1"/>
  <c r="U1581" i="4" s="1"/>
  <c r="U1582" i="4" s="1"/>
  <c r="U1583" i="4" s="1"/>
  <c r="U1584" i="4" s="1"/>
  <c r="U1585" i="4" s="1"/>
  <c r="U1586" i="4" s="1"/>
  <c r="U1587" i="4" s="1"/>
  <c r="U1588" i="4" s="1"/>
  <c r="U1589" i="4" s="1"/>
  <c r="U1590" i="4" s="1"/>
  <c r="U1591" i="4" s="1"/>
  <c r="U1592" i="4" s="1"/>
  <c r="U1593" i="4" s="1"/>
  <c r="U1594" i="4" s="1"/>
  <c r="U1595" i="4" s="1"/>
  <c r="U1596" i="4" s="1"/>
  <c r="U1597" i="4" s="1"/>
  <c r="U1598" i="4" s="1"/>
  <c r="U1599" i="4" s="1"/>
  <c r="U1600" i="4" s="1"/>
  <c r="U1601" i="4" s="1"/>
  <c r="U1602" i="4" s="1"/>
  <c r="U1603" i="4" s="1"/>
  <c r="U1604" i="4" s="1"/>
  <c r="U1605" i="4" s="1"/>
  <c r="U1606" i="4" s="1"/>
  <c r="U1607" i="4" s="1"/>
  <c r="U1608" i="4" s="1"/>
  <c r="U1609" i="4" s="1"/>
  <c r="U1610" i="4" s="1"/>
  <c r="U1611" i="4" s="1"/>
  <c r="U1612" i="4" s="1"/>
  <c r="U1613" i="4" s="1"/>
  <c r="U1614" i="4" s="1"/>
  <c r="U1615" i="4" s="1"/>
  <c r="U1616" i="4" s="1"/>
  <c r="U1617" i="4" s="1"/>
  <c r="U1618" i="4" s="1"/>
  <c r="U1619" i="4" s="1"/>
  <c r="U1620" i="4" s="1"/>
  <c r="U1621" i="4" s="1"/>
  <c r="U1622" i="4" s="1"/>
  <c r="U1623" i="4" s="1"/>
  <c r="U1624" i="4" s="1"/>
  <c r="U1625" i="4" s="1"/>
  <c r="U1626" i="4" s="1"/>
  <c r="U1627" i="4" s="1"/>
  <c r="U1628" i="4" s="1"/>
  <c r="U1629" i="4" s="1"/>
  <c r="U1630" i="4" s="1"/>
  <c r="U1631" i="4" s="1"/>
  <c r="U1632" i="4" s="1"/>
  <c r="U1633" i="4" s="1"/>
  <c r="U1634" i="4" s="1"/>
  <c r="U1635" i="4" s="1"/>
  <c r="U1636" i="4" s="1"/>
  <c r="U1637" i="4" s="1"/>
  <c r="U1638" i="4" s="1"/>
  <c r="U1639" i="4" s="1"/>
  <c r="U1640" i="4" s="1"/>
  <c r="U1641" i="4" s="1"/>
  <c r="U1642" i="4" s="1"/>
  <c r="U1643" i="4" s="1"/>
  <c r="U1644" i="4" s="1"/>
  <c r="U1645" i="4" s="1"/>
  <c r="U1646" i="4" s="1"/>
  <c r="U1647" i="4" s="1"/>
  <c r="U1648" i="4" s="1"/>
  <c r="U1649" i="4" s="1"/>
  <c r="U1650" i="4" s="1"/>
  <c r="U1651" i="4" s="1"/>
  <c r="U1652" i="4" s="1"/>
  <c r="U1653" i="4" s="1"/>
  <c r="U1654" i="4" s="1"/>
  <c r="U1655" i="4" s="1"/>
  <c r="U1656" i="4" s="1"/>
  <c r="U1657" i="4" s="1"/>
  <c r="U1658" i="4" s="1"/>
  <c r="U1659" i="4" s="1"/>
  <c r="U1660" i="4" s="1"/>
  <c r="U1661" i="4" s="1"/>
  <c r="U1662" i="4" s="1"/>
  <c r="U1663" i="4" s="1"/>
  <c r="U1664" i="4" s="1"/>
  <c r="U1665" i="4" s="1"/>
  <c r="U1666" i="4" s="1"/>
  <c r="U1667" i="4" s="1"/>
  <c r="U1668" i="4" s="1"/>
  <c r="U1669" i="4" s="1"/>
  <c r="U1670" i="4" s="1"/>
  <c r="U1671" i="4" s="1"/>
  <c r="U1672" i="4" s="1"/>
  <c r="U1673" i="4" s="1"/>
  <c r="U1674" i="4" s="1"/>
  <c r="U1675" i="4" s="1"/>
  <c r="U1676" i="4" s="1"/>
  <c r="U1677" i="4" s="1"/>
  <c r="U1678" i="4" s="1"/>
  <c r="U1679" i="4" s="1"/>
  <c r="U1680" i="4" s="1"/>
  <c r="U1681" i="4" s="1"/>
  <c r="U1682" i="4" s="1"/>
  <c r="U1683" i="4" s="1"/>
  <c r="U1684" i="4" s="1"/>
  <c r="U1685" i="4" s="1"/>
  <c r="U1686" i="4" s="1"/>
  <c r="U1687" i="4" s="1"/>
  <c r="U1688" i="4" s="1"/>
  <c r="U1689" i="4" s="1"/>
  <c r="U1690" i="4" s="1"/>
  <c r="U1691" i="4" s="1"/>
  <c r="U1692" i="4" s="1"/>
  <c r="U1693" i="4" s="1"/>
  <c r="U1694" i="4" s="1"/>
  <c r="U1695" i="4" s="1"/>
  <c r="U1696" i="4" s="1"/>
  <c r="U1697" i="4" s="1"/>
  <c r="U1698" i="4" s="1"/>
  <c r="U1699" i="4" s="1"/>
  <c r="U1700" i="4" s="1"/>
  <c r="U1701" i="4" s="1"/>
  <c r="U1702" i="4" s="1"/>
  <c r="U1703" i="4" s="1"/>
  <c r="U1704" i="4" s="1"/>
  <c r="U1705" i="4" s="1"/>
  <c r="U1706" i="4" s="1"/>
  <c r="U1707" i="4" s="1"/>
  <c r="U1708" i="4" s="1"/>
  <c r="U1709" i="4" s="1"/>
  <c r="U1710" i="4" s="1"/>
  <c r="U1711" i="4" s="1"/>
  <c r="U1712" i="4" s="1"/>
  <c r="U1713" i="4" s="1"/>
  <c r="U1714" i="4" s="1"/>
  <c r="U1715" i="4" s="1"/>
  <c r="U1716" i="4" s="1"/>
  <c r="U1717" i="4" s="1"/>
  <c r="U1718" i="4" s="1"/>
  <c r="U1719" i="4" s="1"/>
  <c r="U1720" i="4" s="1"/>
  <c r="U1721" i="4" s="1"/>
  <c r="U1722" i="4" s="1"/>
  <c r="U1723" i="4" s="1"/>
  <c r="U1724" i="4" s="1"/>
  <c r="U1725" i="4" s="1"/>
  <c r="U1726" i="4" s="1"/>
  <c r="U1727" i="4" s="1"/>
  <c r="U1728" i="4" s="1"/>
  <c r="U1729" i="4" s="1"/>
  <c r="U1730" i="4" s="1"/>
  <c r="U1731" i="4" s="1"/>
  <c r="U1732" i="4" s="1"/>
  <c r="U1733" i="4" s="1"/>
  <c r="U1734" i="4" s="1"/>
  <c r="U1735" i="4" s="1"/>
  <c r="U1736" i="4" s="1"/>
  <c r="U1737" i="4" s="1"/>
  <c r="U1738" i="4" s="1"/>
  <c r="U1739" i="4" s="1"/>
  <c r="U1740" i="4" s="1"/>
  <c r="U1741" i="4" s="1"/>
  <c r="U1742" i="4" s="1"/>
  <c r="U1743" i="4" s="1"/>
  <c r="U1744" i="4" s="1"/>
  <c r="U1745" i="4" s="1"/>
  <c r="U1746" i="4" s="1"/>
  <c r="U1747" i="4" s="1"/>
  <c r="U1748" i="4" s="1"/>
  <c r="U1749" i="4" s="1"/>
  <c r="U1750" i="4" s="1"/>
  <c r="U1751" i="4" s="1"/>
  <c r="U1752" i="4" s="1"/>
  <c r="U1753" i="4" s="1"/>
  <c r="U1754" i="4" s="1"/>
  <c r="U1755" i="4" s="1"/>
  <c r="U1756" i="4" s="1"/>
  <c r="U1757" i="4" s="1"/>
  <c r="U1758" i="4" s="1"/>
  <c r="U1759" i="4" s="1"/>
  <c r="U1760" i="4" s="1"/>
  <c r="U1761" i="4" s="1"/>
  <c r="U1762" i="4" s="1"/>
  <c r="U1763" i="4" s="1"/>
  <c r="U1764" i="4" s="1"/>
  <c r="U1765" i="4" s="1"/>
  <c r="U1766" i="4" s="1"/>
  <c r="U1767" i="4" s="1"/>
  <c r="U1768" i="4" s="1"/>
  <c r="U1769" i="4" s="1"/>
  <c r="U1770" i="4" s="1"/>
  <c r="U1771" i="4" s="1"/>
  <c r="U1772" i="4" s="1"/>
  <c r="U1773" i="4" s="1"/>
  <c r="U1774" i="4" s="1"/>
  <c r="U1775" i="4" s="1"/>
  <c r="U1776" i="4" s="1"/>
  <c r="U1777" i="4" s="1"/>
  <c r="U1778" i="4" s="1"/>
  <c r="U1779" i="4" s="1"/>
  <c r="U1780" i="4" s="1"/>
  <c r="U1781" i="4" s="1"/>
  <c r="U1782" i="4" s="1"/>
  <c r="U1783" i="4" s="1"/>
  <c r="U1784" i="4" s="1"/>
  <c r="U1785" i="4" s="1"/>
  <c r="U1786" i="4" s="1"/>
  <c r="U1787" i="4" s="1"/>
  <c r="U1788" i="4" s="1"/>
  <c r="U1789" i="4" s="1"/>
  <c r="U1790" i="4" s="1"/>
  <c r="U1791" i="4" s="1"/>
  <c r="U1792" i="4" s="1"/>
  <c r="U1793" i="4" s="1"/>
  <c r="U1794" i="4" s="1"/>
  <c r="U1795" i="4" s="1"/>
  <c r="U1796" i="4" s="1"/>
  <c r="U1797" i="4" s="1"/>
  <c r="U1798" i="4" s="1"/>
  <c r="U1799" i="4" s="1"/>
  <c r="U1800" i="4" s="1"/>
  <c r="U1801" i="4" s="1"/>
  <c r="U1802" i="4" s="1"/>
  <c r="U1803" i="4" s="1"/>
  <c r="U1804" i="4" s="1"/>
  <c r="U1805" i="4" s="1"/>
  <c r="U1806" i="4" s="1"/>
  <c r="U1807" i="4" s="1"/>
  <c r="U1808" i="4" s="1"/>
  <c r="U1809" i="4" s="1"/>
  <c r="U1810" i="4" s="1"/>
  <c r="U1811" i="4" s="1"/>
  <c r="U1812" i="4" s="1"/>
  <c r="U1813" i="4" s="1"/>
  <c r="U1814" i="4" s="1"/>
  <c r="U1815" i="4" s="1"/>
  <c r="U1816" i="4" s="1"/>
  <c r="U1817" i="4" s="1"/>
  <c r="U1818" i="4" s="1"/>
  <c r="U1819" i="4" s="1"/>
  <c r="U1820" i="4" s="1"/>
  <c r="U1821" i="4" s="1"/>
  <c r="U1822" i="4" s="1"/>
  <c r="U1823" i="4" s="1"/>
  <c r="U1824" i="4" s="1"/>
  <c r="U1825" i="4" s="1"/>
  <c r="U1826" i="4" s="1"/>
  <c r="U1827" i="4" s="1"/>
  <c r="U1828" i="4" s="1"/>
  <c r="U1829" i="4" s="1"/>
  <c r="U1830" i="4" s="1"/>
  <c r="U1831" i="4" s="1"/>
  <c r="U1832" i="4" s="1"/>
  <c r="U1833" i="4" s="1"/>
  <c r="U1834" i="4" s="1"/>
  <c r="U1835" i="4" s="1"/>
  <c r="U1836" i="4" s="1"/>
  <c r="U1837" i="4" s="1"/>
  <c r="U1838" i="4" s="1"/>
  <c r="U1839" i="4" s="1"/>
  <c r="U1840" i="4" s="1"/>
  <c r="U1841" i="4" s="1"/>
  <c r="U1842" i="4" s="1"/>
  <c r="U1843" i="4" s="1"/>
  <c r="U1844" i="4" s="1"/>
  <c r="U1845" i="4" s="1"/>
  <c r="U1846" i="4" s="1"/>
  <c r="U1847" i="4" s="1"/>
  <c r="U1848" i="4" s="1"/>
  <c r="U1849" i="4" s="1"/>
  <c r="U1850" i="4" s="1"/>
  <c r="U1851" i="4" s="1"/>
  <c r="U1852" i="4" s="1"/>
  <c r="U1853" i="4" s="1"/>
  <c r="U1854" i="4" s="1"/>
  <c r="U1855" i="4" s="1"/>
  <c r="U1856" i="4" s="1"/>
  <c r="U1857" i="4" s="1"/>
  <c r="U1858" i="4" s="1"/>
  <c r="U1859" i="4" s="1"/>
  <c r="U1860" i="4" s="1"/>
  <c r="U1861" i="4" s="1"/>
  <c r="U1862" i="4" s="1"/>
  <c r="U1863" i="4" s="1"/>
  <c r="U1864" i="4" s="1"/>
  <c r="U1865" i="4" s="1"/>
  <c r="U1866" i="4" s="1"/>
  <c r="U1867" i="4" s="1"/>
  <c r="U1868" i="4" s="1"/>
  <c r="U1869" i="4" s="1"/>
  <c r="U1870" i="4" s="1"/>
  <c r="U1871" i="4" s="1"/>
  <c r="U1872" i="4" s="1"/>
  <c r="U1873" i="4" s="1"/>
  <c r="U1874" i="4" s="1"/>
  <c r="U1875" i="4" s="1"/>
  <c r="U1876" i="4" s="1"/>
  <c r="U1877" i="4" s="1"/>
  <c r="U1878" i="4" s="1"/>
  <c r="U1879" i="4" s="1"/>
  <c r="U1880" i="4" s="1"/>
  <c r="U1881" i="4" s="1"/>
  <c r="U1882" i="4" s="1"/>
  <c r="U1883" i="4" s="1"/>
  <c r="U1884" i="4" s="1"/>
  <c r="U1885" i="4" s="1"/>
  <c r="U1886" i="4" s="1"/>
  <c r="U1887" i="4" s="1"/>
  <c r="U1888" i="4" s="1"/>
  <c r="U1889" i="4" s="1"/>
  <c r="U1890" i="4" s="1"/>
  <c r="U1891" i="4" s="1"/>
  <c r="U1892" i="4" s="1"/>
  <c r="U1893" i="4" s="1"/>
  <c r="U1894" i="4" s="1"/>
  <c r="U1895" i="4" s="1"/>
  <c r="U1896" i="4" s="1"/>
  <c r="U1897" i="4" s="1"/>
  <c r="U1898" i="4" s="1"/>
  <c r="U1899" i="4" s="1"/>
  <c r="U1900" i="4" s="1"/>
  <c r="U1901" i="4" s="1"/>
  <c r="U1902" i="4" s="1"/>
  <c r="U1903" i="4" s="1"/>
  <c r="U1904" i="4" s="1"/>
  <c r="U1905" i="4" s="1"/>
  <c r="U1906" i="4" s="1"/>
  <c r="U1907" i="4" s="1"/>
  <c r="U1908" i="4" s="1"/>
  <c r="U1909" i="4" s="1"/>
  <c r="U1910" i="4" s="1"/>
  <c r="U1911" i="4" s="1"/>
  <c r="U1912" i="4" s="1"/>
  <c r="U1913" i="4" s="1"/>
  <c r="U1914" i="4" s="1"/>
  <c r="U1915" i="4" s="1"/>
  <c r="U1916" i="4" s="1"/>
  <c r="U1917" i="4" s="1"/>
  <c r="U1918" i="4" s="1"/>
  <c r="U1919" i="4" s="1"/>
  <c r="U1920" i="4" s="1"/>
  <c r="U1921" i="4" s="1"/>
  <c r="U1922" i="4" s="1"/>
  <c r="U1923" i="4" s="1"/>
  <c r="U1924" i="4" s="1"/>
  <c r="U1925" i="4" s="1"/>
  <c r="U1926" i="4" s="1"/>
  <c r="U1927" i="4" s="1"/>
  <c r="U1928" i="4" s="1"/>
  <c r="U1929" i="4" s="1"/>
  <c r="U1930" i="4" s="1"/>
  <c r="U1931" i="4" s="1"/>
  <c r="U1932" i="4" s="1"/>
  <c r="U1933" i="4" s="1"/>
  <c r="U1934" i="4" s="1"/>
  <c r="U1935" i="4" s="1"/>
  <c r="U1936" i="4" s="1"/>
  <c r="U1937" i="4" s="1"/>
  <c r="U1938" i="4" s="1"/>
  <c r="U1939" i="4" s="1"/>
  <c r="U1940" i="4" s="1"/>
  <c r="U1941" i="4" s="1"/>
  <c r="U1942" i="4" s="1"/>
  <c r="U1943" i="4" s="1"/>
  <c r="U1944" i="4" s="1"/>
  <c r="U1945" i="4" s="1"/>
  <c r="U1946" i="4" s="1"/>
  <c r="U1947" i="4" s="1"/>
  <c r="U1948" i="4" s="1"/>
  <c r="U1949" i="4" s="1"/>
  <c r="U1950" i="4" s="1"/>
  <c r="U1951" i="4" s="1"/>
  <c r="U1952" i="4" s="1"/>
  <c r="U1953" i="4" s="1"/>
  <c r="U1954" i="4" s="1"/>
  <c r="U1955" i="4" s="1"/>
  <c r="U1956" i="4" s="1"/>
  <c r="U1957" i="4" s="1"/>
  <c r="U1958" i="4" s="1"/>
  <c r="U1959" i="4" s="1"/>
  <c r="U1960" i="4" s="1"/>
  <c r="U1961" i="4" s="1"/>
  <c r="U1962" i="4" s="1"/>
  <c r="U1963" i="4" s="1"/>
  <c r="U1964" i="4" s="1"/>
  <c r="U1965" i="4" s="1"/>
  <c r="U1966" i="4" s="1"/>
  <c r="U1967" i="4" s="1"/>
  <c r="U1968" i="4" s="1"/>
  <c r="U1969" i="4" s="1"/>
  <c r="U1970" i="4" s="1"/>
  <c r="U1971" i="4" s="1"/>
  <c r="U1972" i="4" s="1"/>
  <c r="U1973" i="4" s="1"/>
  <c r="U1974" i="4" s="1"/>
  <c r="U1975" i="4" s="1"/>
  <c r="U1976" i="4" s="1"/>
  <c r="U1977" i="4" s="1"/>
  <c r="U1978" i="4" s="1"/>
  <c r="U1979" i="4" s="1"/>
  <c r="U1980" i="4" s="1"/>
  <c r="U1981" i="4" s="1"/>
  <c r="U1982" i="4" s="1"/>
  <c r="U1983" i="4" s="1"/>
  <c r="U1984" i="4" s="1"/>
  <c r="U1985" i="4" s="1"/>
  <c r="U1986" i="4" s="1"/>
  <c r="U1987" i="4" s="1"/>
  <c r="U1988" i="4" s="1"/>
  <c r="U1989" i="4" s="1"/>
  <c r="U1990" i="4" s="1"/>
  <c r="U1991" i="4" s="1"/>
  <c r="U1992" i="4" s="1"/>
  <c r="U1993" i="4" s="1"/>
  <c r="U1994" i="4" s="1"/>
  <c r="U1995" i="4" s="1"/>
  <c r="U1996" i="4" s="1"/>
  <c r="U1997" i="4" s="1"/>
  <c r="U1998" i="4" s="1"/>
  <c r="U1999" i="4" s="1"/>
  <c r="U2000" i="4" s="1"/>
  <c r="F31" i="4"/>
  <c r="F32" i="4"/>
  <c r="F33" i="4"/>
  <c r="F34" i="4"/>
  <c r="F35" i="4"/>
  <c r="I41" i="5"/>
  <c r="J41" i="5"/>
  <c r="C1004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5" i="5"/>
  <c r="C4" i="1"/>
  <c r="C46" i="3"/>
  <c r="F47" i="3"/>
  <c r="D47" i="3"/>
  <c r="E34" i="3"/>
  <c r="F34" i="3"/>
  <c r="G34" i="3"/>
  <c r="C34" i="3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N200" i="1"/>
  <c r="O200" i="1"/>
  <c r="N196" i="1"/>
  <c r="O196" i="1"/>
  <c r="N192" i="1"/>
  <c r="O192" i="1"/>
  <c r="N188" i="1"/>
  <c r="O188" i="1"/>
  <c r="N184" i="1"/>
  <c r="O184" i="1"/>
  <c r="N172" i="1"/>
  <c r="O172" i="1"/>
  <c r="N168" i="1"/>
  <c r="O168" i="1"/>
  <c r="N164" i="1"/>
  <c r="O164" i="1"/>
  <c r="N160" i="1"/>
  <c r="O160" i="1"/>
  <c r="N156" i="1"/>
  <c r="O156" i="1"/>
  <c r="N152" i="1"/>
  <c r="O152" i="1"/>
  <c r="N148" i="1"/>
  <c r="O148" i="1"/>
  <c r="N144" i="1"/>
  <c r="O144" i="1"/>
  <c r="N140" i="1"/>
  <c r="O140" i="1"/>
  <c r="N136" i="1"/>
  <c r="O136" i="1"/>
  <c r="N132" i="1"/>
  <c r="O132" i="1"/>
  <c r="N128" i="1"/>
  <c r="O128" i="1"/>
  <c r="N124" i="1"/>
  <c r="O124" i="1"/>
  <c r="N120" i="1"/>
  <c r="O120" i="1"/>
  <c r="N116" i="1"/>
  <c r="O116" i="1"/>
  <c r="N112" i="1"/>
  <c r="O112" i="1"/>
  <c r="N108" i="1"/>
  <c r="O108" i="1"/>
  <c r="N104" i="1"/>
  <c r="O104" i="1"/>
  <c r="N100" i="1"/>
  <c r="O100" i="1"/>
  <c r="N96" i="1"/>
  <c r="O96" i="1"/>
  <c r="N92" i="1"/>
  <c r="O92" i="1"/>
  <c r="N197" i="1"/>
  <c r="N198" i="1"/>
  <c r="O198" i="1"/>
  <c r="N194" i="1"/>
  <c r="O194" i="1"/>
  <c r="N190" i="1"/>
  <c r="O190" i="1"/>
  <c r="N186" i="1"/>
  <c r="N182" i="1"/>
  <c r="O182" i="1"/>
  <c r="N178" i="1"/>
  <c r="O178" i="1"/>
  <c r="N174" i="1"/>
  <c r="O174" i="1"/>
  <c r="N170" i="1"/>
  <c r="O170" i="1"/>
  <c r="N166" i="1"/>
  <c r="O166" i="1"/>
  <c r="N162" i="1"/>
  <c r="N158" i="1"/>
  <c r="O158" i="1"/>
  <c r="N154" i="1"/>
  <c r="O154" i="1"/>
  <c r="N150" i="1"/>
  <c r="N146" i="1"/>
  <c r="O146" i="1"/>
  <c r="N142" i="1"/>
  <c r="O142" i="1"/>
  <c r="N138" i="1"/>
  <c r="N134" i="1"/>
  <c r="O134" i="1"/>
  <c r="N130" i="1"/>
  <c r="O130" i="1"/>
  <c r="N126" i="1"/>
  <c r="O126" i="1"/>
  <c r="N122" i="1"/>
  <c r="O122" i="1"/>
  <c r="N118" i="1"/>
  <c r="O118" i="1"/>
  <c r="N114" i="1"/>
  <c r="N110" i="1"/>
  <c r="O110" i="1"/>
  <c r="N106" i="1"/>
  <c r="O106" i="1"/>
  <c r="N102" i="1"/>
  <c r="N98" i="1"/>
  <c r="O98" i="1"/>
  <c r="N94" i="1"/>
  <c r="O94" i="1"/>
  <c r="K1119" i="4"/>
  <c r="L1119" i="4" s="1"/>
  <c r="K1135" i="4"/>
  <c r="L1135" i="4" s="1"/>
  <c r="K1151" i="4"/>
  <c r="L1151" i="4" s="1"/>
  <c r="K1167" i="4"/>
  <c r="L1167" i="4" s="1"/>
  <c r="K1183" i="4"/>
  <c r="L1183" i="4" s="1"/>
  <c r="K1224" i="4"/>
  <c r="L1224" i="4" s="1"/>
  <c r="K1228" i="4"/>
  <c r="L1228" i="4" s="1"/>
  <c r="K1232" i="4"/>
  <c r="L1232" i="4" s="1"/>
  <c r="K1236" i="4"/>
  <c r="L1236" i="4" s="1"/>
  <c r="K1244" i="4"/>
  <c r="L1244" i="4" s="1"/>
  <c r="K1252" i="4"/>
  <c r="L1252" i="4" s="1"/>
  <c r="K1256" i="4"/>
  <c r="L1256" i="4" s="1"/>
  <c r="K1260" i="4"/>
  <c r="L1260" i="4" s="1"/>
  <c r="K1268" i="4"/>
  <c r="L1268" i="4" s="1"/>
  <c r="K1272" i="4"/>
  <c r="L1272" i="4" s="1"/>
  <c r="K1280" i="4"/>
  <c r="L1280" i="4" s="1"/>
  <c r="K1284" i="4"/>
  <c r="L1284" i="4" s="1"/>
  <c r="K1292" i="4"/>
  <c r="L1292" i="4" s="1"/>
  <c r="K1296" i="4"/>
  <c r="L1296" i="4" s="1"/>
  <c r="K1300" i="4"/>
  <c r="L1300" i="4" s="1"/>
  <c r="K1308" i="4"/>
  <c r="L1308" i="4" s="1"/>
  <c r="K1316" i="4"/>
  <c r="L1316" i="4" s="1"/>
  <c r="K1320" i="4"/>
  <c r="L1320" i="4" s="1"/>
  <c r="K1324" i="4"/>
  <c r="L1324" i="4" s="1"/>
  <c r="K1328" i="4"/>
  <c r="L1328" i="4" s="1"/>
  <c r="K1340" i="4"/>
  <c r="L1340" i="4" s="1"/>
  <c r="K1344" i="4"/>
  <c r="L1344" i="4" s="1"/>
  <c r="K1348" i="4"/>
  <c r="L1348" i="4" s="1"/>
  <c r="K1352" i="4"/>
  <c r="L1352" i="4" s="1"/>
  <c r="K1356" i="4"/>
  <c r="L1356" i="4" s="1"/>
  <c r="K1364" i="4"/>
  <c r="L1364" i="4" s="1"/>
  <c r="K1368" i="4"/>
  <c r="L1368" i="4" s="1"/>
  <c r="K1372" i="4"/>
  <c r="L1372" i="4" s="1"/>
  <c r="K1376" i="4"/>
  <c r="L1376" i="4" s="1"/>
  <c r="K1380" i="4"/>
  <c r="L1380" i="4" s="1"/>
  <c r="K1035" i="4"/>
  <c r="L1035" i="4" s="1"/>
  <c r="K1051" i="4"/>
  <c r="L1051" i="4" s="1"/>
  <c r="K1067" i="4"/>
  <c r="L1067" i="4" s="1"/>
  <c r="K1083" i="4"/>
  <c r="L1083" i="4" s="1"/>
  <c r="K1099" i="4"/>
  <c r="L1099" i="4" s="1"/>
  <c r="K1115" i="4"/>
  <c r="L1115" i="4" s="1"/>
  <c r="K1131" i="4"/>
  <c r="L1131" i="4" s="1"/>
  <c r="K1147" i="4"/>
  <c r="L1147" i="4" s="1"/>
  <c r="K1163" i="4"/>
  <c r="L1163" i="4" s="1"/>
  <c r="K1179" i="4"/>
  <c r="L1179" i="4" s="1"/>
  <c r="K1195" i="4"/>
  <c r="L1195" i="4" s="1"/>
  <c r="K1211" i="4"/>
  <c r="L1211" i="4" s="1"/>
  <c r="K1223" i="4"/>
  <c r="L1223" i="4" s="1"/>
  <c r="K1227" i="4"/>
  <c r="L1227" i="4" s="1"/>
  <c r="K1231" i="4"/>
  <c r="L1231" i="4" s="1"/>
  <c r="K1235" i="4"/>
  <c r="L1235" i="4" s="1"/>
  <c r="K1239" i="4"/>
  <c r="L1239" i="4" s="1"/>
  <c r="K1243" i="4"/>
  <c r="L1243" i="4" s="1"/>
  <c r="K1247" i="4"/>
  <c r="L1247" i="4" s="1"/>
  <c r="K1251" i="4"/>
  <c r="L1251" i="4" s="1"/>
  <c r="K1255" i="4"/>
  <c r="L1255" i="4" s="1"/>
  <c r="K1259" i="4"/>
  <c r="L1259" i="4" s="1"/>
  <c r="K1263" i="4"/>
  <c r="L1263" i="4" s="1"/>
  <c r="K1267" i="4"/>
  <c r="L1267" i="4" s="1"/>
  <c r="K1271" i="4"/>
  <c r="L1271" i="4" s="1"/>
  <c r="K1275" i="4"/>
  <c r="L1275" i="4" s="1"/>
  <c r="K1279" i="4"/>
  <c r="L1279" i="4" s="1"/>
  <c r="K1283" i="4"/>
  <c r="L1283" i="4" s="1"/>
  <c r="K1287" i="4"/>
  <c r="L1287" i="4" s="1"/>
  <c r="K1291" i="4"/>
  <c r="L1291" i="4" s="1"/>
  <c r="K1295" i="4"/>
  <c r="L1295" i="4" s="1"/>
  <c r="K1299" i="4"/>
  <c r="L1299" i="4" s="1"/>
  <c r="K1303" i="4"/>
  <c r="L1303" i="4" s="1"/>
  <c r="K1307" i="4"/>
  <c r="L1307" i="4" s="1"/>
  <c r="K1311" i="4"/>
  <c r="L1311" i="4" s="1"/>
  <c r="K1315" i="4"/>
  <c r="L1315" i="4" s="1"/>
  <c r="K1319" i="4"/>
  <c r="L1319" i="4" s="1"/>
  <c r="K1323" i="4"/>
  <c r="L1323" i="4" s="1"/>
  <c r="K1327" i="4"/>
  <c r="L1327" i="4" s="1"/>
  <c r="K1331" i="4"/>
  <c r="L1331" i="4" s="1"/>
  <c r="K1335" i="4"/>
  <c r="L1335" i="4" s="1"/>
  <c r="K1339" i="4"/>
  <c r="L1339" i="4" s="1"/>
  <c r="K1343" i="4"/>
  <c r="L1343" i="4" s="1"/>
  <c r="K1347" i="4"/>
  <c r="L1347" i="4" s="1"/>
  <c r="K1351" i="4"/>
  <c r="L1351" i="4" s="1"/>
  <c r="K1355" i="4"/>
  <c r="L1355" i="4" s="1"/>
  <c r="K1359" i="4"/>
  <c r="L1359" i="4" s="1"/>
  <c r="K1363" i="4"/>
  <c r="L1363" i="4" s="1"/>
  <c r="K1367" i="4"/>
  <c r="L1367" i="4" s="1"/>
  <c r="K1371" i="4"/>
  <c r="L1371" i="4" s="1"/>
  <c r="K1375" i="4"/>
  <c r="L1375" i="4" s="1"/>
  <c r="K1079" i="4"/>
  <c r="L1079" i="4" s="1"/>
  <c r="K1095" i="4"/>
  <c r="L1095" i="4" s="1"/>
  <c r="K1111" i="4"/>
  <c r="L1111" i="4" s="1"/>
  <c r="K1127" i="4"/>
  <c r="L1127" i="4" s="1"/>
  <c r="K1143" i="4"/>
  <c r="L1143" i="4" s="1"/>
  <c r="K1159" i="4"/>
  <c r="L1159" i="4" s="1"/>
  <c r="K1175" i="4"/>
  <c r="L1175" i="4" s="1"/>
  <c r="K1191" i="4"/>
  <c r="L1191" i="4" s="1"/>
  <c r="K1207" i="4"/>
  <c r="L1207" i="4" s="1"/>
  <c r="K1226" i="4"/>
  <c r="L1226" i="4" s="1"/>
  <c r="K1230" i="4"/>
  <c r="L1230" i="4" s="1"/>
  <c r="K1234" i="4"/>
  <c r="L1234" i="4" s="1"/>
  <c r="K1238" i="4"/>
  <c r="L1238" i="4" s="1"/>
  <c r="K1242" i="4"/>
  <c r="L1242" i="4" s="1"/>
  <c r="K1246" i="4"/>
  <c r="L1246" i="4" s="1"/>
  <c r="K1250" i="4"/>
  <c r="L1250" i="4" s="1"/>
  <c r="K1254" i="4"/>
  <c r="L1254" i="4" s="1"/>
  <c r="K1258" i="4"/>
  <c r="L1258" i="4" s="1"/>
  <c r="K1262" i="4"/>
  <c r="L1262" i="4" s="1"/>
  <c r="K1266" i="4"/>
  <c r="L1266" i="4" s="1"/>
  <c r="K1270" i="4"/>
  <c r="L1270" i="4" s="1"/>
  <c r="K1274" i="4"/>
  <c r="L1274" i="4" s="1"/>
  <c r="K1278" i="4"/>
  <c r="L1278" i="4" s="1"/>
  <c r="K1282" i="4"/>
  <c r="L1282" i="4" s="1"/>
  <c r="K1286" i="4"/>
  <c r="L1286" i="4" s="1"/>
  <c r="K1290" i="4"/>
  <c r="L1290" i="4" s="1"/>
  <c r="K1294" i="4"/>
  <c r="L1294" i="4" s="1"/>
  <c r="K1298" i="4"/>
  <c r="L1298" i="4" s="1"/>
  <c r="K1302" i="4"/>
  <c r="L1302" i="4" s="1"/>
  <c r="K1306" i="4"/>
  <c r="L1306" i="4" s="1"/>
  <c r="K1310" i="4"/>
  <c r="L1310" i="4" s="1"/>
  <c r="K1314" i="4"/>
  <c r="L1314" i="4" s="1"/>
  <c r="K1318" i="4"/>
  <c r="L1318" i="4" s="1"/>
  <c r="K1322" i="4"/>
  <c r="L1322" i="4" s="1"/>
  <c r="K1326" i="4"/>
  <c r="L1326" i="4" s="1"/>
  <c r="K1330" i="4"/>
  <c r="L1330" i="4" s="1"/>
  <c r="K1334" i="4"/>
  <c r="L1334" i="4" s="1"/>
  <c r="K1338" i="4"/>
  <c r="L1338" i="4" s="1"/>
  <c r="K1342" i="4"/>
  <c r="L1342" i="4" s="1"/>
  <c r="K1346" i="4"/>
  <c r="L1346" i="4" s="1"/>
  <c r="K1350" i="4"/>
  <c r="L1350" i="4" s="1"/>
  <c r="K1354" i="4"/>
  <c r="L1354" i="4" s="1"/>
  <c r="K1358" i="4"/>
  <c r="L1358" i="4" s="1"/>
  <c r="K1362" i="4"/>
  <c r="L1362" i="4" s="1"/>
  <c r="K1366" i="4"/>
  <c r="L1366" i="4" s="1"/>
  <c r="K1370" i="4"/>
  <c r="L1370" i="4" s="1"/>
  <c r="K1374" i="4"/>
  <c r="L1374" i="4" s="1"/>
  <c r="K1378" i="4"/>
  <c r="L1378" i="4" s="1"/>
  <c r="K1382" i="4"/>
  <c r="L1382" i="4" s="1"/>
  <c r="K1075" i="4"/>
  <c r="L1075" i="4" s="1"/>
  <c r="K1091" i="4"/>
  <c r="L1091" i="4" s="1"/>
  <c r="K1107" i="4"/>
  <c r="L1107" i="4" s="1"/>
  <c r="K1123" i="4"/>
  <c r="L1123" i="4" s="1"/>
  <c r="K1139" i="4"/>
  <c r="L1139" i="4" s="1"/>
  <c r="K1155" i="4"/>
  <c r="L1155" i="4" s="1"/>
  <c r="K1171" i="4"/>
  <c r="L1171" i="4" s="1"/>
  <c r="K1187" i="4"/>
  <c r="L1187" i="4" s="1"/>
  <c r="K1203" i="4"/>
  <c r="L1203" i="4" s="1"/>
  <c r="K1219" i="4"/>
  <c r="L1219" i="4" s="1"/>
  <c r="K1225" i="4"/>
  <c r="L1225" i="4" s="1"/>
  <c r="K1229" i="4"/>
  <c r="L1229" i="4" s="1"/>
  <c r="K1233" i="4"/>
  <c r="L1233" i="4" s="1"/>
  <c r="K1237" i="4"/>
  <c r="L1237" i="4" s="1"/>
  <c r="K1241" i="4"/>
  <c r="L1241" i="4" s="1"/>
  <c r="K1245" i="4"/>
  <c r="L1245" i="4" s="1"/>
  <c r="K1249" i="4"/>
  <c r="L1249" i="4" s="1"/>
  <c r="K1253" i="4"/>
  <c r="L1253" i="4" s="1"/>
  <c r="K1257" i="4"/>
  <c r="L1257" i="4" s="1"/>
  <c r="K1261" i="4"/>
  <c r="L1261" i="4" s="1"/>
  <c r="K1265" i="4"/>
  <c r="L1265" i="4" s="1"/>
  <c r="K1269" i="4"/>
  <c r="L1269" i="4" s="1"/>
  <c r="K1273" i="4"/>
  <c r="L1273" i="4" s="1"/>
  <c r="K1277" i="4"/>
  <c r="L1277" i="4" s="1"/>
  <c r="K1281" i="4"/>
  <c r="L1281" i="4" s="1"/>
  <c r="K1285" i="4"/>
  <c r="L1285" i="4" s="1"/>
  <c r="K1289" i="4"/>
  <c r="L1289" i="4" s="1"/>
  <c r="K1293" i="4"/>
  <c r="L1293" i="4" s="1"/>
  <c r="K1297" i="4"/>
  <c r="L1297" i="4" s="1"/>
  <c r="K1301" i="4"/>
  <c r="L1301" i="4" s="1"/>
  <c r="K1305" i="4"/>
  <c r="L1305" i="4" s="1"/>
  <c r="K1309" i="4"/>
  <c r="L1309" i="4" s="1"/>
  <c r="K1313" i="4"/>
  <c r="L1313" i="4" s="1"/>
  <c r="K1317" i="4"/>
  <c r="L1317" i="4" s="1"/>
  <c r="K1321" i="4"/>
  <c r="L1321" i="4" s="1"/>
  <c r="K1325" i="4"/>
  <c r="L1325" i="4" s="1"/>
  <c r="K1329" i="4"/>
  <c r="L1329" i="4" s="1"/>
  <c r="K1333" i="4"/>
  <c r="L1333" i="4" s="1"/>
  <c r="K1337" i="4"/>
  <c r="L1337" i="4" s="1"/>
  <c r="K1341" i="4"/>
  <c r="L1341" i="4" s="1"/>
  <c r="K1345" i="4"/>
  <c r="L1345" i="4" s="1"/>
  <c r="K1349" i="4"/>
  <c r="L1349" i="4" s="1"/>
  <c r="K1353" i="4"/>
  <c r="L1353" i="4" s="1"/>
  <c r="K1357" i="4"/>
  <c r="L1357" i="4" s="1"/>
  <c r="K1361" i="4"/>
  <c r="L1361" i="4" s="1"/>
  <c r="K1365" i="4"/>
  <c r="L1365" i="4" s="1"/>
  <c r="K1369" i="4"/>
  <c r="L1369" i="4" s="1"/>
  <c r="K1373" i="4"/>
  <c r="L1373" i="4" s="1"/>
  <c r="K1377" i="4"/>
  <c r="L1377" i="4" s="1"/>
  <c r="K1381" i="4"/>
  <c r="L1381" i="4" s="1"/>
  <c r="K1387" i="4"/>
  <c r="L1387" i="4" s="1"/>
  <c r="K1391" i="4"/>
  <c r="L1391" i="4" s="1"/>
  <c r="K1395" i="4"/>
  <c r="L1395" i="4" s="1"/>
  <c r="K1399" i="4"/>
  <c r="L1399" i="4" s="1"/>
  <c r="K1403" i="4"/>
  <c r="L1403" i="4" s="1"/>
  <c r="K1407" i="4"/>
  <c r="L1407" i="4" s="1"/>
  <c r="K1411" i="4"/>
  <c r="L1411" i="4" s="1"/>
  <c r="K1415" i="4"/>
  <c r="L1415" i="4" s="1"/>
  <c r="K1419" i="4"/>
  <c r="L1419" i="4" s="1"/>
  <c r="K1423" i="4"/>
  <c r="L1423" i="4" s="1"/>
  <c r="K1427" i="4"/>
  <c r="L1427" i="4" s="1"/>
  <c r="K1431" i="4"/>
  <c r="L1431" i="4" s="1"/>
  <c r="K1435" i="4"/>
  <c r="L1435" i="4" s="1"/>
  <c r="K1439" i="4"/>
  <c r="L1439" i="4" s="1"/>
  <c r="K1443" i="4"/>
  <c r="L1443" i="4" s="1"/>
  <c r="K1447" i="4"/>
  <c r="L1447" i="4" s="1"/>
  <c r="K1451" i="4"/>
  <c r="L1451" i="4" s="1"/>
  <c r="K1455" i="4"/>
  <c r="L1455" i="4" s="1"/>
  <c r="K1459" i="4"/>
  <c r="L1459" i="4" s="1"/>
  <c r="K1463" i="4"/>
  <c r="L1463" i="4" s="1"/>
  <c r="K1467" i="4"/>
  <c r="L1467" i="4" s="1"/>
  <c r="K1471" i="4"/>
  <c r="L1471" i="4" s="1"/>
  <c r="K1475" i="4"/>
  <c r="L1475" i="4" s="1"/>
  <c r="K1479" i="4"/>
  <c r="L1479" i="4" s="1"/>
  <c r="K1483" i="4"/>
  <c r="L1483" i="4" s="1"/>
  <c r="K1487" i="4"/>
  <c r="L1487" i="4" s="1"/>
  <c r="K1491" i="4"/>
  <c r="L1491" i="4" s="1"/>
  <c r="K1495" i="4"/>
  <c r="L1495" i="4" s="1"/>
  <c r="K1499" i="4"/>
  <c r="L1499" i="4" s="1"/>
  <c r="K1503" i="4"/>
  <c r="L1503" i="4" s="1"/>
  <c r="K1507" i="4"/>
  <c r="L1507" i="4" s="1"/>
  <c r="K1511" i="4"/>
  <c r="L1511" i="4" s="1"/>
  <c r="K1515" i="4"/>
  <c r="L1515" i="4" s="1"/>
  <c r="K1519" i="4"/>
  <c r="L1519" i="4" s="1"/>
  <c r="K1523" i="4"/>
  <c r="L1523" i="4" s="1"/>
  <c r="K1527" i="4"/>
  <c r="L1527" i="4" s="1"/>
  <c r="K1531" i="4"/>
  <c r="L1531" i="4" s="1"/>
  <c r="K1535" i="4"/>
  <c r="L1535" i="4" s="1"/>
  <c r="K1539" i="4"/>
  <c r="L1539" i="4" s="1"/>
  <c r="K1543" i="4"/>
  <c r="L1543" i="4" s="1"/>
  <c r="K1547" i="4"/>
  <c r="L1547" i="4" s="1"/>
  <c r="K1551" i="4"/>
  <c r="L1551" i="4" s="1"/>
  <c r="K1555" i="4"/>
  <c r="L1555" i="4" s="1"/>
  <c r="K1559" i="4"/>
  <c r="L1559" i="4" s="1"/>
  <c r="K1563" i="4"/>
  <c r="L1563" i="4" s="1"/>
  <c r="K1567" i="4"/>
  <c r="L1567" i="4" s="1"/>
  <c r="K1571" i="4"/>
  <c r="L1571" i="4" s="1"/>
  <c r="K1575" i="4"/>
  <c r="L1575" i="4" s="1"/>
  <c r="K1579" i="4"/>
  <c r="L1579" i="4" s="1"/>
  <c r="K1583" i="4"/>
  <c r="L1583" i="4" s="1"/>
  <c r="K1587" i="4"/>
  <c r="L1587" i="4" s="1"/>
  <c r="K1591" i="4"/>
  <c r="L1591" i="4" s="1"/>
  <c r="K1595" i="4"/>
  <c r="L1595" i="4" s="1"/>
  <c r="K1599" i="4"/>
  <c r="L1599" i="4" s="1"/>
  <c r="K1603" i="4"/>
  <c r="L1603" i="4" s="1"/>
  <c r="K1607" i="4"/>
  <c r="L1607" i="4" s="1"/>
  <c r="K1611" i="4"/>
  <c r="L1611" i="4" s="1"/>
  <c r="K1615" i="4"/>
  <c r="L1615" i="4" s="1"/>
  <c r="K1619" i="4"/>
  <c r="L1619" i="4" s="1"/>
  <c r="K1623" i="4"/>
  <c r="L1623" i="4" s="1"/>
  <c r="K1627" i="4"/>
  <c r="L1627" i="4" s="1"/>
  <c r="K1631" i="4"/>
  <c r="L1631" i="4" s="1"/>
  <c r="K1635" i="4"/>
  <c r="L1635" i="4" s="1"/>
  <c r="K1639" i="4"/>
  <c r="L1639" i="4" s="1"/>
  <c r="K1643" i="4"/>
  <c r="L1643" i="4" s="1"/>
  <c r="K1647" i="4"/>
  <c r="L1647" i="4" s="1"/>
  <c r="K1651" i="4"/>
  <c r="L1651" i="4" s="1"/>
  <c r="K1655" i="4"/>
  <c r="L1655" i="4" s="1"/>
  <c r="K1659" i="4"/>
  <c r="L1659" i="4" s="1"/>
  <c r="K1663" i="4"/>
  <c r="L1663" i="4" s="1"/>
  <c r="K1667" i="4"/>
  <c r="L1667" i="4" s="1"/>
  <c r="K1671" i="4"/>
  <c r="L1671" i="4" s="1"/>
  <c r="K1675" i="4"/>
  <c r="L1675" i="4" s="1"/>
  <c r="K1679" i="4"/>
  <c r="L1679" i="4" s="1"/>
  <c r="K1683" i="4"/>
  <c r="L1683" i="4" s="1"/>
  <c r="K1687" i="4"/>
  <c r="L1687" i="4" s="1"/>
  <c r="K1691" i="4"/>
  <c r="L1691" i="4" s="1"/>
  <c r="K1695" i="4"/>
  <c r="L1695" i="4" s="1"/>
  <c r="K1699" i="4"/>
  <c r="L1699" i="4" s="1"/>
  <c r="K1703" i="4"/>
  <c r="L1703" i="4" s="1"/>
  <c r="K1707" i="4"/>
  <c r="L1707" i="4" s="1"/>
  <c r="K1711" i="4"/>
  <c r="L1711" i="4" s="1"/>
  <c r="K1715" i="4"/>
  <c r="L1715" i="4" s="1"/>
  <c r="K1719" i="4"/>
  <c r="L1719" i="4" s="1"/>
  <c r="K1723" i="4"/>
  <c r="L1723" i="4" s="1"/>
  <c r="K1727" i="4"/>
  <c r="L1727" i="4" s="1"/>
  <c r="K1731" i="4"/>
  <c r="L1731" i="4" s="1"/>
  <c r="K1735" i="4"/>
  <c r="L1735" i="4" s="1"/>
  <c r="K1739" i="4"/>
  <c r="L1739" i="4" s="1"/>
  <c r="K1743" i="4"/>
  <c r="L1743" i="4" s="1"/>
  <c r="K1747" i="4"/>
  <c r="L1747" i="4" s="1"/>
  <c r="K1751" i="4"/>
  <c r="L1751" i="4" s="1"/>
  <c r="K1755" i="4"/>
  <c r="L1755" i="4" s="1"/>
  <c r="K1759" i="4"/>
  <c r="L1759" i="4" s="1"/>
  <c r="K1763" i="4"/>
  <c r="L1763" i="4" s="1"/>
  <c r="K1767" i="4"/>
  <c r="L1767" i="4" s="1"/>
  <c r="K1771" i="4"/>
  <c r="L1771" i="4" s="1"/>
  <c r="K1775" i="4"/>
  <c r="L1775" i="4" s="1"/>
  <c r="K1779" i="4"/>
  <c r="L1779" i="4" s="1"/>
  <c r="K1783" i="4"/>
  <c r="L1783" i="4" s="1"/>
  <c r="K1386" i="4"/>
  <c r="L1386" i="4" s="1"/>
  <c r="K1390" i="4"/>
  <c r="L1390" i="4" s="1"/>
  <c r="K1394" i="4"/>
  <c r="L1394" i="4" s="1"/>
  <c r="K1398" i="4"/>
  <c r="L1398" i="4" s="1"/>
  <c r="K1402" i="4"/>
  <c r="L1402" i="4" s="1"/>
  <c r="K1406" i="4"/>
  <c r="L1406" i="4" s="1"/>
  <c r="K1410" i="4"/>
  <c r="L1410" i="4" s="1"/>
  <c r="K1414" i="4"/>
  <c r="L1414" i="4" s="1"/>
  <c r="K1418" i="4"/>
  <c r="L1418" i="4" s="1"/>
  <c r="K1422" i="4"/>
  <c r="L1422" i="4" s="1"/>
  <c r="K1426" i="4"/>
  <c r="L1426" i="4" s="1"/>
  <c r="K1430" i="4"/>
  <c r="L1430" i="4" s="1"/>
  <c r="K1434" i="4"/>
  <c r="L1434" i="4" s="1"/>
  <c r="K1438" i="4"/>
  <c r="L1438" i="4" s="1"/>
  <c r="K1442" i="4"/>
  <c r="L1442" i="4" s="1"/>
  <c r="K1446" i="4"/>
  <c r="L1446" i="4" s="1"/>
  <c r="K1450" i="4"/>
  <c r="L1450" i="4" s="1"/>
  <c r="K1454" i="4"/>
  <c r="L1454" i="4" s="1"/>
  <c r="K1458" i="4"/>
  <c r="L1458" i="4" s="1"/>
  <c r="K1462" i="4"/>
  <c r="L1462" i="4" s="1"/>
  <c r="K1466" i="4"/>
  <c r="L1466" i="4" s="1"/>
  <c r="K1470" i="4"/>
  <c r="L1470" i="4" s="1"/>
  <c r="K1474" i="4"/>
  <c r="L1474" i="4" s="1"/>
  <c r="K1478" i="4"/>
  <c r="L1478" i="4" s="1"/>
  <c r="K1482" i="4"/>
  <c r="L1482" i="4" s="1"/>
  <c r="K1486" i="4"/>
  <c r="L1486" i="4" s="1"/>
  <c r="K1490" i="4"/>
  <c r="L1490" i="4" s="1"/>
  <c r="K1494" i="4"/>
  <c r="L1494" i="4" s="1"/>
  <c r="K1498" i="4"/>
  <c r="L1498" i="4" s="1"/>
  <c r="K1502" i="4"/>
  <c r="L1502" i="4" s="1"/>
  <c r="K1506" i="4"/>
  <c r="L1506" i="4" s="1"/>
  <c r="K1510" i="4"/>
  <c r="L1510" i="4" s="1"/>
  <c r="K1514" i="4"/>
  <c r="L1514" i="4" s="1"/>
  <c r="K1518" i="4"/>
  <c r="L1518" i="4" s="1"/>
  <c r="K1522" i="4"/>
  <c r="L1522" i="4" s="1"/>
  <c r="K1526" i="4"/>
  <c r="L1526" i="4" s="1"/>
  <c r="K1530" i="4"/>
  <c r="L1530" i="4" s="1"/>
  <c r="K1534" i="4"/>
  <c r="L1534" i="4" s="1"/>
  <c r="K1538" i="4"/>
  <c r="L1538" i="4" s="1"/>
  <c r="K1542" i="4"/>
  <c r="L1542" i="4" s="1"/>
  <c r="K1546" i="4"/>
  <c r="L1546" i="4" s="1"/>
  <c r="K1550" i="4"/>
  <c r="L1550" i="4" s="1"/>
  <c r="K1554" i="4"/>
  <c r="L1554" i="4" s="1"/>
  <c r="K1558" i="4"/>
  <c r="L1558" i="4" s="1"/>
  <c r="K1562" i="4"/>
  <c r="L1562" i="4" s="1"/>
  <c r="K1566" i="4"/>
  <c r="L1566" i="4" s="1"/>
  <c r="K1570" i="4"/>
  <c r="L1570" i="4" s="1"/>
  <c r="K1574" i="4"/>
  <c r="L1574" i="4" s="1"/>
  <c r="K1578" i="4"/>
  <c r="L1578" i="4" s="1"/>
  <c r="K1582" i="4"/>
  <c r="L1582" i="4" s="1"/>
  <c r="K1586" i="4"/>
  <c r="L1586" i="4" s="1"/>
  <c r="K1590" i="4"/>
  <c r="L1590" i="4" s="1"/>
  <c r="K1594" i="4"/>
  <c r="L1594" i="4" s="1"/>
  <c r="K1598" i="4"/>
  <c r="L1598" i="4" s="1"/>
  <c r="K1602" i="4"/>
  <c r="L1602" i="4" s="1"/>
  <c r="K1606" i="4"/>
  <c r="L1606" i="4" s="1"/>
  <c r="K1610" i="4"/>
  <c r="L1610" i="4" s="1"/>
  <c r="K1614" i="4"/>
  <c r="L1614" i="4" s="1"/>
  <c r="K1618" i="4"/>
  <c r="L1618" i="4" s="1"/>
  <c r="K1622" i="4"/>
  <c r="L1622" i="4" s="1"/>
  <c r="K1626" i="4"/>
  <c r="L1626" i="4" s="1"/>
  <c r="K1630" i="4"/>
  <c r="L1630" i="4" s="1"/>
  <c r="K1634" i="4"/>
  <c r="L1634" i="4" s="1"/>
  <c r="K1638" i="4"/>
  <c r="L1638" i="4" s="1"/>
  <c r="K1642" i="4"/>
  <c r="L1642" i="4" s="1"/>
  <c r="K1646" i="4"/>
  <c r="L1646" i="4" s="1"/>
  <c r="K1650" i="4"/>
  <c r="L1650" i="4" s="1"/>
  <c r="K1654" i="4"/>
  <c r="L1654" i="4" s="1"/>
  <c r="K1658" i="4"/>
  <c r="L1658" i="4" s="1"/>
  <c r="K1662" i="4"/>
  <c r="L1662" i="4" s="1"/>
  <c r="K1666" i="4"/>
  <c r="L1666" i="4" s="1"/>
  <c r="K1670" i="4"/>
  <c r="L1670" i="4" s="1"/>
  <c r="K1674" i="4"/>
  <c r="L1674" i="4" s="1"/>
  <c r="K1678" i="4"/>
  <c r="L1678" i="4" s="1"/>
  <c r="K1682" i="4"/>
  <c r="L1682" i="4" s="1"/>
  <c r="K1686" i="4"/>
  <c r="L1686" i="4" s="1"/>
  <c r="K1690" i="4"/>
  <c r="L1690" i="4" s="1"/>
  <c r="K1694" i="4"/>
  <c r="L1694" i="4" s="1"/>
  <c r="K1698" i="4"/>
  <c r="L1698" i="4" s="1"/>
  <c r="K1702" i="4"/>
  <c r="L1702" i="4" s="1"/>
  <c r="K1706" i="4"/>
  <c r="L1706" i="4" s="1"/>
  <c r="K1710" i="4"/>
  <c r="L1710" i="4" s="1"/>
  <c r="K1714" i="4"/>
  <c r="L1714" i="4" s="1"/>
  <c r="K1718" i="4"/>
  <c r="L1718" i="4" s="1"/>
  <c r="K1722" i="4"/>
  <c r="L1722" i="4" s="1"/>
  <c r="K1726" i="4"/>
  <c r="L1726" i="4" s="1"/>
  <c r="K1730" i="4"/>
  <c r="L1730" i="4" s="1"/>
  <c r="K1734" i="4"/>
  <c r="L1734" i="4" s="1"/>
  <c r="K1738" i="4"/>
  <c r="L1738" i="4" s="1"/>
  <c r="K1742" i="4"/>
  <c r="L1742" i="4" s="1"/>
  <c r="K1746" i="4"/>
  <c r="L1746" i="4" s="1"/>
  <c r="K1750" i="4"/>
  <c r="L1750" i="4" s="1"/>
  <c r="K1754" i="4"/>
  <c r="L1754" i="4" s="1"/>
  <c r="K1758" i="4"/>
  <c r="L1758" i="4" s="1"/>
  <c r="K1762" i="4"/>
  <c r="L1762" i="4" s="1"/>
  <c r="K1766" i="4"/>
  <c r="L1766" i="4" s="1"/>
  <c r="K1770" i="4"/>
  <c r="L1770" i="4" s="1"/>
  <c r="K1774" i="4"/>
  <c r="L1774" i="4" s="1"/>
  <c r="K1778" i="4"/>
  <c r="L1778" i="4" s="1"/>
  <c r="K1782" i="4"/>
  <c r="L1782" i="4" s="1"/>
  <c r="K1385" i="4"/>
  <c r="L1385" i="4" s="1"/>
  <c r="K1389" i="4"/>
  <c r="L1389" i="4" s="1"/>
  <c r="K1393" i="4"/>
  <c r="L1393" i="4" s="1"/>
  <c r="K1397" i="4"/>
  <c r="L1397" i="4" s="1"/>
  <c r="K1401" i="4"/>
  <c r="L1401" i="4" s="1"/>
  <c r="K1405" i="4"/>
  <c r="L1405" i="4" s="1"/>
  <c r="K1409" i="4"/>
  <c r="L1409" i="4" s="1"/>
  <c r="K1413" i="4"/>
  <c r="L1413" i="4" s="1"/>
  <c r="K1417" i="4"/>
  <c r="L1417" i="4" s="1"/>
  <c r="K1421" i="4"/>
  <c r="L1421" i="4" s="1"/>
  <c r="K1425" i="4"/>
  <c r="L1425" i="4" s="1"/>
  <c r="K1429" i="4"/>
  <c r="L1429" i="4" s="1"/>
  <c r="K1433" i="4"/>
  <c r="L1433" i="4" s="1"/>
  <c r="K1437" i="4"/>
  <c r="L1437" i="4" s="1"/>
  <c r="K1441" i="4"/>
  <c r="L1441" i="4" s="1"/>
  <c r="K1445" i="4"/>
  <c r="L1445" i="4" s="1"/>
  <c r="K1449" i="4"/>
  <c r="L1449" i="4" s="1"/>
  <c r="K1453" i="4"/>
  <c r="L1453" i="4" s="1"/>
  <c r="K1457" i="4"/>
  <c r="L1457" i="4" s="1"/>
  <c r="K1461" i="4"/>
  <c r="L1461" i="4" s="1"/>
  <c r="K1465" i="4"/>
  <c r="L1465" i="4" s="1"/>
  <c r="K1469" i="4"/>
  <c r="L1469" i="4" s="1"/>
  <c r="K1473" i="4"/>
  <c r="L1473" i="4" s="1"/>
  <c r="K1477" i="4"/>
  <c r="L1477" i="4" s="1"/>
  <c r="K1481" i="4"/>
  <c r="L1481" i="4" s="1"/>
  <c r="K1485" i="4"/>
  <c r="L1485" i="4" s="1"/>
  <c r="K1489" i="4"/>
  <c r="L1489" i="4" s="1"/>
  <c r="K1493" i="4"/>
  <c r="L1493" i="4" s="1"/>
  <c r="K1497" i="4"/>
  <c r="L1497" i="4" s="1"/>
  <c r="K1501" i="4"/>
  <c r="L1501" i="4" s="1"/>
  <c r="K1505" i="4"/>
  <c r="L1505" i="4" s="1"/>
  <c r="K1509" i="4"/>
  <c r="L1509" i="4" s="1"/>
  <c r="K1513" i="4"/>
  <c r="L1513" i="4" s="1"/>
  <c r="K1517" i="4"/>
  <c r="L1517" i="4" s="1"/>
  <c r="K1521" i="4"/>
  <c r="L1521" i="4" s="1"/>
  <c r="K1525" i="4"/>
  <c r="L1525" i="4" s="1"/>
  <c r="K1529" i="4"/>
  <c r="L1529" i="4" s="1"/>
  <c r="K1533" i="4"/>
  <c r="L1533" i="4" s="1"/>
  <c r="K1537" i="4"/>
  <c r="L1537" i="4" s="1"/>
  <c r="K1541" i="4"/>
  <c r="L1541" i="4" s="1"/>
  <c r="K1545" i="4"/>
  <c r="L1545" i="4" s="1"/>
  <c r="K1549" i="4"/>
  <c r="L1549" i="4" s="1"/>
  <c r="K1553" i="4"/>
  <c r="L1553" i="4" s="1"/>
  <c r="K1557" i="4"/>
  <c r="L1557" i="4" s="1"/>
  <c r="K1561" i="4"/>
  <c r="L1561" i="4" s="1"/>
  <c r="K1565" i="4"/>
  <c r="L1565" i="4" s="1"/>
  <c r="K1569" i="4"/>
  <c r="L1569" i="4" s="1"/>
  <c r="K1573" i="4"/>
  <c r="L1573" i="4" s="1"/>
  <c r="K1577" i="4"/>
  <c r="L1577" i="4" s="1"/>
  <c r="K1581" i="4"/>
  <c r="L1581" i="4" s="1"/>
  <c r="K1585" i="4"/>
  <c r="L1585" i="4" s="1"/>
  <c r="K1589" i="4"/>
  <c r="L1589" i="4" s="1"/>
  <c r="K1593" i="4"/>
  <c r="L1593" i="4" s="1"/>
  <c r="K1597" i="4"/>
  <c r="L1597" i="4" s="1"/>
  <c r="K1601" i="4"/>
  <c r="L1601" i="4" s="1"/>
  <c r="K1605" i="4"/>
  <c r="L1605" i="4" s="1"/>
  <c r="K1609" i="4"/>
  <c r="L1609" i="4" s="1"/>
  <c r="K1613" i="4"/>
  <c r="L1613" i="4" s="1"/>
  <c r="K1617" i="4"/>
  <c r="L1617" i="4" s="1"/>
  <c r="K1621" i="4"/>
  <c r="L1621" i="4" s="1"/>
  <c r="K1625" i="4"/>
  <c r="L1625" i="4" s="1"/>
  <c r="K1629" i="4"/>
  <c r="L1629" i="4" s="1"/>
  <c r="K1633" i="4"/>
  <c r="L1633" i="4" s="1"/>
  <c r="K1637" i="4"/>
  <c r="L1637" i="4" s="1"/>
  <c r="K1641" i="4"/>
  <c r="L1641" i="4" s="1"/>
  <c r="K1645" i="4"/>
  <c r="L1645" i="4" s="1"/>
  <c r="K1649" i="4"/>
  <c r="L1649" i="4" s="1"/>
  <c r="K1653" i="4"/>
  <c r="L1653" i="4" s="1"/>
  <c r="K1657" i="4"/>
  <c r="L1657" i="4" s="1"/>
  <c r="K1661" i="4"/>
  <c r="L1661" i="4" s="1"/>
  <c r="K1665" i="4"/>
  <c r="L1665" i="4" s="1"/>
  <c r="K1669" i="4"/>
  <c r="L1669" i="4" s="1"/>
  <c r="K1673" i="4"/>
  <c r="L1673" i="4" s="1"/>
  <c r="K1677" i="4"/>
  <c r="L1677" i="4" s="1"/>
  <c r="K1681" i="4"/>
  <c r="L1681" i="4" s="1"/>
  <c r="K1685" i="4"/>
  <c r="L1685" i="4" s="1"/>
  <c r="K1689" i="4"/>
  <c r="L1689" i="4" s="1"/>
  <c r="K1693" i="4"/>
  <c r="L1693" i="4" s="1"/>
  <c r="K1697" i="4"/>
  <c r="L1697" i="4" s="1"/>
  <c r="K1701" i="4"/>
  <c r="L1701" i="4" s="1"/>
  <c r="K1705" i="4"/>
  <c r="L1705" i="4" s="1"/>
  <c r="K1709" i="4"/>
  <c r="L1709" i="4" s="1"/>
  <c r="K1713" i="4"/>
  <c r="L1713" i="4" s="1"/>
  <c r="K1717" i="4"/>
  <c r="L1717" i="4" s="1"/>
  <c r="K1721" i="4"/>
  <c r="L1721" i="4" s="1"/>
  <c r="K1725" i="4"/>
  <c r="L1725" i="4" s="1"/>
  <c r="K1729" i="4"/>
  <c r="L1729" i="4" s="1"/>
  <c r="K1733" i="4"/>
  <c r="L1733" i="4" s="1"/>
  <c r="K1737" i="4"/>
  <c r="L1737" i="4" s="1"/>
  <c r="K1741" i="4"/>
  <c r="L1741" i="4" s="1"/>
  <c r="K1745" i="4"/>
  <c r="L1745" i="4" s="1"/>
  <c r="K1749" i="4"/>
  <c r="L1749" i="4" s="1"/>
  <c r="K1753" i="4"/>
  <c r="L1753" i="4" s="1"/>
  <c r="K1757" i="4"/>
  <c r="L1757" i="4" s="1"/>
  <c r="K1761" i="4"/>
  <c r="L1761" i="4" s="1"/>
  <c r="K1765" i="4"/>
  <c r="L1765" i="4" s="1"/>
  <c r="K1769" i="4"/>
  <c r="L1769" i="4" s="1"/>
  <c r="K1773" i="4"/>
  <c r="L1773" i="4" s="1"/>
  <c r="K1777" i="4"/>
  <c r="L1777" i="4" s="1"/>
  <c r="K1781" i="4"/>
  <c r="L1781" i="4" s="1"/>
  <c r="K1785" i="4"/>
  <c r="L1785" i="4" s="1"/>
  <c r="K1379" i="4"/>
  <c r="L1379" i="4" s="1"/>
  <c r="K1383" i="4"/>
  <c r="L1383" i="4" s="1"/>
  <c r="K1384" i="4"/>
  <c r="L1384" i="4" s="1"/>
  <c r="K1388" i="4"/>
  <c r="L1388" i="4" s="1"/>
  <c r="K1392" i="4"/>
  <c r="L1392" i="4" s="1"/>
  <c r="K1396" i="4"/>
  <c r="L1396" i="4" s="1"/>
  <c r="K1400" i="4"/>
  <c r="L1400" i="4" s="1"/>
  <c r="K1404" i="4"/>
  <c r="L1404" i="4" s="1"/>
  <c r="K1408" i="4"/>
  <c r="L1408" i="4" s="1"/>
  <c r="K1412" i="4"/>
  <c r="L1412" i="4" s="1"/>
  <c r="K1416" i="4"/>
  <c r="L1416" i="4" s="1"/>
  <c r="K1420" i="4"/>
  <c r="L1420" i="4" s="1"/>
  <c r="K1424" i="4"/>
  <c r="L1424" i="4" s="1"/>
  <c r="K1428" i="4"/>
  <c r="L1428" i="4" s="1"/>
  <c r="K1432" i="4"/>
  <c r="L1432" i="4" s="1"/>
  <c r="K1436" i="4"/>
  <c r="L1436" i="4" s="1"/>
  <c r="K1440" i="4"/>
  <c r="L1440" i="4" s="1"/>
  <c r="K1444" i="4"/>
  <c r="L1444" i="4" s="1"/>
  <c r="K1448" i="4"/>
  <c r="L1448" i="4" s="1"/>
  <c r="K1452" i="4"/>
  <c r="L1452" i="4" s="1"/>
  <c r="K1456" i="4"/>
  <c r="L1456" i="4" s="1"/>
  <c r="K1460" i="4"/>
  <c r="L1460" i="4" s="1"/>
  <c r="K1464" i="4"/>
  <c r="L1464" i="4" s="1"/>
  <c r="K1468" i="4"/>
  <c r="L1468" i="4" s="1"/>
  <c r="K1472" i="4"/>
  <c r="L1472" i="4" s="1"/>
  <c r="K1476" i="4"/>
  <c r="L1476" i="4" s="1"/>
  <c r="K1480" i="4"/>
  <c r="L1480" i="4" s="1"/>
  <c r="K1484" i="4"/>
  <c r="L1484" i="4" s="1"/>
  <c r="K1488" i="4"/>
  <c r="L1488" i="4" s="1"/>
  <c r="K1492" i="4"/>
  <c r="L1492" i="4" s="1"/>
  <c r="K1496" i="4"/>
  <c r="L1496" i="4" s="1"/>
  <c r="K1500" i="4"/>
  <c r="L1500" i="4" s="1"/>
  <c r="K1504" i="4"/>
  <c r="L1504" i="4" s="1"/>
  <c r="K1508" i="4"/>
  <c r="L1508" i="4" s="1"/>
  <c r="K1512" i="4"/>
  <c r="L1512" i="4" s="1"/>
  <c r="K1516" i="4"/>
  <c r="L1516" i="4" s="1"/>
  <c r="K1520" i="4"/>
  <c r="L1520" i="4" s="1"/>
  <c r="K1524" i="4"/>
  <c r="L1524" i="4" s="1"/>
  <c r="K1528" i="4"/>
  <c r="L1528" i="4" s="1"/>
  <c r="K1532" i="4"/>
  <c r="L1532" i="4" s="1"/>
  <c r="K1536" i="4"/>
  <c r="L1536" i="4" s="1"/>
  <c r="K1540" i="4"/>
  <c r="L1540" i="4" s="1"/>
  <c r="K1544" i="4"/>
  <c r="L1544" i="4" s="1"/>
  <c r="K1548" i="4"/>
  <c r="L1548" i="4" s="1"/>
  <c r="K1552" i="4"/>
  <c r="L1552" i="4" s="1"/>
  <c r="K1556" i="4"/>
  <c r="L1556" i="4" s="1"/>
  <c r="K1560" i="4"/>
  <c r="L1560" i="4" s="1"/>
  <c r="K1564" i="4"/>
  <c r="L1564" i="4" s="1"/>
  <c r="K1568" i="4"/>
  <c r="L1568" i="4" s="1"/>
  <c r="K1572" i="4"/>
  <c r="L1572" i="4" s="1"/>
  <c r="K1576" i="4"/>
  <c r="L1576" i="4" s="1"/>
  <c r="K1580" i="4"/>
  <c r="L1580" i="4" s="1"/>
  <c r="K1584" i="4"/>
  <c r="L1584" i="4" s="1"/>
  <c r="K1588" i="4"/>
  <c r="L1588" i="4" s="1"/>
  <c r="K1592" i="4"/>
  <c r="L1592" i="4" s="1"/>
  <c r="K1596" i="4"/>
  <c r="L1596" i="4" s="1"/>
  <c r="K1600" i="4"/>
  <c r="L1600" i="4" s="1"/>
  <c r="K1604" i="4"/>
  <c r="L1604" i="4" s="1"/>
  <c r="K1608" i="4"/>
  <c r="L1608" i="4" s="1"/>
  <c r="K1612" i="4"/>
  <c r="L1612" i="4" s="1"/>
  <c r="K1616" i="4"/>
  <c r="L1616" i="4" s="1"/>
  <c r="K1620" i="4"/>
  <c r="L1620" i="4" s="1"/>
  <c r="K1624" i="4"/>
  <c r="L1624" i="4" s="1"/>
  <c r="K1628" i="4"/>
  <c r="L1628" i="4" s="1"/>
  <c r="K1632" i="4"/>
  <c r="L1632" i="4" s="1"/>
  <c r="K1636" i="4"/>
  <c r="L1636" i="4" s="1"/>
  <c r="K1640" i="4"/>
  <c r="L1640" i="4" s="1"/>
  <c r="K1644" i="4"/>
  <c r="L1644" i="4" s="1"/>
  <c r="K1648" i="4"/>
  <c r="L1648" i="4" s="1"/>
  <c r="K1652" i="4"/>
  <c r="L1652" i="4" s="1"/>
  <c r="K1656" i="4"/>
  <c r="L1656" i="4" s="1"/>
  <c r="K1660" i="4"/>
  <c r="L1660" i="4" s="1"/>
  <c r="K1664" i="4"/>
  <c r="L1664" i="4" s="1"/>
  <c r="K1668" i="4"/>
  <c r="L1668" i="4" s="1"/>
  <c r="K1672" i="4"/>
  <c r="L1672" i="4" s="1"/>
  <c r="K1676" i="4"/>
  <c r="L1676" i="4" s="1"/>
  <c r="K1680" i="4"/>
  <c r="L1680" i="4" s="1"/>
  <c r="K1684" i="4"/>
  <c r="L1684" i="4" s="1"/>
  <c r="K1688" i="4"/>
  <c r="L1688" i="4" s="1"/>
  <c r="K1692" i="4"/>
  <c r="L1692" i="4" s="1"/>
  <c r="K1696" i="4"/>
  <c r="L1696" i="4" s="1"/>
  <c r="K1700" i="4"/>
  <c r="L1700" i="4" s="1"/>
  <c r="K1704" i="4"/>
  <c r="L1704" i="4" s="1"/>
  <c r="K1708" i="4"/>
  <c r="L1708" i="4" s="1"/>
  <c r="K1712" i="4"/>
  <c r="L1712" i="4" s="1"/>
  <c r="K1716" i="4"/>
  <c r="L1716" i="4" s="1"/>
  <c r="K1720" i="4"/>
  <c r="L1720" i="4" s="1"/>
  <c r="K1724" i="4"/>
  <c r="L1724" i="4" s="1"/>
  <c r="K1728" i="4"/>
  <c r="L1728" i="4" s="1"/>
  <c r="K1732" i="4"/>
  <c r="L1732" i="4" s="1"/>
  <c r="K1736" i="4"/>
  <c r="L1736" i="4" s="1"/>
  <c r="K1740" i="4"/>
  <c r="L1740" i="4" s="1"/>
  <c r="K1744" i="4"/>
  <c r="L1744" i="4" s="1"/>
  <c r="K1748" i="4"/>
  <c r="L1748" i="4" s="1"/>
  <c r="K1752" i="4"/>
  <c r="L1752" i="4" s="1"/>
  <c r="K1756" i="4"/>
  <c r="L1756" i="4" s="1"/>
  <c r="K1760" i="4"/>
  <c r="L1760" i="4" s="1"/>
  <c r="K1764" i="4"/>
  <c r="L1764" i="4" s="1"/>
  <c r="K1768" i="4"/>
  <c r="L1768" i="4" s="1"/>
  <c r="K1772" i="4"/>
  <c r="L1772" i="4" s="1"/>
  <c r="K1776" i="4"/>
  <c r="L1776" i="4" s="1"/>
  <c r="K1780" i="4"/>
  <c r="L1780" i="4" s="1"/>
  <c r="K1784" i="4"/>
  <c r="L1784" i="4" s="1"/>
  <c r="K1789" i="4"/>
  <c r="L1789" i="4" s="1"/>
  <c r="K1793" i="4"/>
  <c r="L1793" i="4" s="1"/>
  <c r="K1797" i="4"/>
  <c r="L1797" i="4" s="1"/>
  <c r="K1801" i="4"/>
  <c r="L1801" i="4" s="1"/>
  <c r="K1805" i="4"/>
  <c r="L1805" i="4" s="1"/>
  <c r="K1809" i="4"/>
  <c r="L1809" i="4" s="1"/>
  <c r="K1813" i="4"/>
  <c r="L1813" i="4" s="1"/>
  <c r="K1817" i="4"/>
  <c r="L1817" i="4" s="1"/>
  <c r="K1821" i="4"/>
  <c r="L1821" i="4" s="1"/>
  <c r="K1825" i="4"/>
  <c r="L1825" i="4" s="1"/>
  <c r="K1829" i="4"/>
  <c r="L1829" i="4" s="1"/>
  <c r="K1833" i="4"/>
  <c r="L1833" i="4" s="1"/>
  <c r="K1837" i="4"/>
  <c r="L1837" i="4" s="1"/>
  <c r="K1841" i="4"/>
  <c r="L1841" i="4" s="1"/>
  <c r="K1845" i="4"/>
  <c r="L1845" i="4" s="1"/>
  <c r="K1849" i="4"/>
  <c r="L1849" i="4" s="1"/>
  <c r="K1853" i="4"/>
  <c r="L1853" i="4" s="1"/>
  <c r="K1857" i="4"/>
  <c r="L1857" i="4" s="1"/>
  <c r="K1861" i="4"/>
  <c r="L1861" i="4" s="1"/>
  <c r="K1865" i="4"/>
  <c r="L1865" i="4" s="1"/>
  <c r="K1869" i="4"/>
  <c r="L1869" i="4" s="1"/>
  <c r="K1873" i="4"/>
  <c r="L1873" i="4" s="1"/>
  <c r="K1877" i="4"/>
  <c r="L1877" i="4" s="1"/>
  <c r="K1881" i="4"/>
  <c r="L1881" i="4" s="1"/>
  <c r="K1885" i="4"/>
  <c r="L1885" i="4" s="1"/>
  <c r="K1889" i="4"/>
  <c r="L1889" i="4" s="1"/>
  <c r="K1893" i="4"/>
  <c r="L1893" i="4" s="1"/>
  <c r="K1897" i="4"/>
  <c r="L1897" i="4" s="1"/>
  <c r="K1901" i="4"/>
  <c r="L1901" i="4" s="1"/>
  <c r="K1905" i="4"/>
  <c r="L1905" i="4" s="1"/>
  <c r="K1909" i="4"/>
  <c r="L1909" i="4" s="1"/>
  <c r="K1913" i="4"/>
  <c r="L1913" i="4" s="1"/>
  <c r="K1917" i="4"/>
  <c r="L1917" i="4" s="1"/>
  <c r="K1921" i="4"/>
  <c r="L1921" i="4" s="1"/>
  <c r="K1925" i="4"/>
  <c r="L1925" i="4" s="1"/>
  <c r="K1929" i="4"/>
  <c r="L1929" i="4" s="1"/>
  <c r="K1933" i="4"/>
  <c r="L1933" i="4" s="1"/>
  <c r="K1937" i="4"/>
  <c r="L1937" i="4" s="1"/>
  <c r="K1941" i="4"/>
  <c r="L1941" i="4" s="1"/>
  <c r="K1945" i="4"/>
  <c r="L1945" i="4" s="1"/>
  <c r="K1949" i="4"/>
  <c r="L1949" i="4" s="1"/>
  <c r="K1953" i="4"/>
  <c r="L1953" i="4" s="1"/>
  <c r="K1957" i="4"/>
  <c r="L1957" i="4" s="1"/>
  <c r="K1961" i="4"/>
  <c r="L1961" i="4" s="1"/>
  <c r="K1965" i="4"/>
  <c r="L1965" i="4" s="1"/>
  <c r="K1969" i="4"/>
  <c r="L1969" i="4" s="1"/>
  <c r="K1973" i="4"/>
  <c r="L1973" i="4" s="1"/>
  <c r="K1977" i="4"/>
  <c r="L1977" i="4" s="1"/>
  <c r="K1981" i="4"/>
  <c r="L1981" i="4" s="1"/>
  <c r="K1985" i="4"/>
  <c r="L1985" i="4" s="1"/>
  <c r="K1989" i="4"/>
  <c r="L1989" i="4" s="1"/>
  <c r="K1993" i="4"/>
  <c r="L1993" i="4" s="1"/>
  <c r="K1997" i="4"/>
  <c r="L1997" i="4" s="1"/>
  <c r="J9" i="2"/>
  <c r="J9" i="4" s="1"/>
  <c r="J11" i="2"/>
  <c r="J11" i="4" s="1"/>
  <c r="K29" i="2"/>
  <c r="K29" i="4" s="1"/>
  <c r="J15" i="2"/>
  <c r="J15" i="4" s="1"/>
  <c r="K33" i="2"/>
  <c r="K33" i="4" s="1"/>
  <c r="J19" i="2"/>
  <c r="J19" i="4" s="1"/>
  <c r="K37" i="2"/>
  <c r="K37" i="4" s="1"/>
  <c r="J23" i="2"/>
  <c r="J23" i="4" s="1"/>
  <c r="K41" i="2"/>
  <c r="K41" i="4" s="1"/>
  <c r="J27" i="2"/>
  <c r="J27" i="4" s="1"/>
  <c r="K45" i="2"/>
  <c r="K45" i="4" s="1"/>
  <c r="J31" i="2"/>
  <c r="J31" i="4" s="1"/>
  <c r="K49" i="2"/>
  <c r="K49" i="4" s="1"/>
  <c r="J35" i="2"/>
  <c r="J35" i="4" s="1"/>
  <c r="K53" i="2"/>
  <c r="L53" i="2" s="1"/>
  <c r="L53" i="4" s="1"/>
  <c r="J39" i="2"/>
  <c r="J39" i="4" s="1"/>
  <c r="K57" i="2"/>
  <c r="L57" i="2" s="1"/>
  <c r="L57" i="4" s="1"/>
  <c r="J43" i="2"/>
  <c r="J43" i="4" s="1"/>
  <c r="K61" i="2"/>
  <c r="K61" i="4" s="1"/>
  <c r="J47" i="2"/>
  <c r="J47" i="4" s="1"/>
  <c r="K65" i="2"/>
  <c r="L65" i="2" s="1"/>
  <c r="L65" i="4" s="1"/>
  <c r="J51" i="2"/>
  <c r="J51" i="4" s="1"/>
  <c r="K69" i="2"/>
  <c r="L69" i="2" s="1"/>
  <c r="L69" i="4" s="1"/>
  <c r="J55" i="2"/>
  <c r="J55" i="4" s="1"/>
  <c r="K73" i="2"/>
  <c r="K73" i="4" s="1"/>
  <c r="J59" i="2"/>
  <c r="J59" i="4" s="1"/>
  <c r="K77" i="2"/>
  <c r="K77" i="4" s="1"/>
  <c r="J63" i="2"/>
  <c r="J63" i="4" s="1"/>
  <c r="K81" i="2"/>
  <c r="K81" i="4" s="1"/>
  <c r="J67" i="2"/>
  <c r="J67" i="4" s="1"/>
  <c r="K85" i="2"/>
  <c r="L85" i="2" s="1"/>
  <c r="L85" i="4" s="1"/>
  <c r="J71" i="2"/>
  <c r="J71" i="4" s="1"/>
  <c r="K89" i="2"/>
  <c r="L89" i="2" s="1"/>
  <c r="L89" i="4" s="1"/>
  <c r="J75" i="2"/>
  <c r="J75" i="4" s="1"/>
  <c r="K93" i="2"/>
  <c r="L93" i="2" s="1"/>
  <c r="L93" i="4" s="1"/>
  <c r="J79" i="2"/>
  <c r="J79" i="4" s="1"/>
  <c r="K97" i="2"/>
  <c r="L97" i="2" s="1"/>
  <c r="L97" i="4" s="1"/>
  <c r="J83" i="2"/>
  <c r="J83" i="4" s="1"/>
  <c r="K101" i="2"/>
  <c r="L101" i="2" s="1"/>
  <c r="L101" i="4" s="1"/>
  <c r="K1788" i="4"/>
  <c r="L1788" i="4" s="1"/>
  <c r="K1792" i="4"/>
  <c r="L1792" i="4" s="1"/>
  <c r="K1796" i="4"/>
  <c r="L1796" i="4" s="1"/>
  <c r="K1800" i="4"/>
  <c r="L1800" i="4" s="1"/>
  <c r="K1804" i="4"/>
  <c r="L1804" i="4" s="1"/>
  <c r="K1808" i="4"/>
  <c r="L1808" i="4" s="1"/>
  <c r="K1812" i="4"/>
  <c r="L1812" i="4" s="1"/>
  <c r="K1816" i="4"/>
  <c r="L1816" i="4" s="1"/>
  <c r="K1820" i="4"/>
  <c r="L1820" i="4" s="1"/>
  <c r="K1824" i="4"/>
  <c r="L1824" i="4" s="1"/>
  <c r="K1828" i="4"/>
  <c r="L1828" i="4" s="1"/>
  <c r="K1832" i="4"/>
  <c r="L1832" i="4" s="1"/>
  <c r="K1836" i="4"/>
  <c r="L1836" i="4" s="1"/>
  <c r="K1840" i="4"/>
  <c r="L1840" i="4" s="1"/>
  <c r="K1844" i="4"/>
  <c r="L1844" i="4" s="1"/>
  <c r="K1848" i="4"/>
  <c r="L1848" i="4" s="1"/>
  <c r="K1852" i="4"/>
  <c r="L1852" i="4" s="1"/>
  <c r="K1856" i="4"/>
  <c r="L1856" i="4" s="1"/>
  <c r="K1860" i="4"/>
  <c r="L1860" i="4" s="1"/>
  <c r="K1864" i="4"/>
  <c r="L1864" i="4" s="1"/>
  <c r="K1868" i="4"/>
  <c r="L1868" i="4" s="1"/>
  <c r="K1872" i="4"/>
  <c r="L1872" i="4" s="1"/>
  <c r="K1876" i="4"/>
  <c r="L1876" i="4" s="1"/>
  <c r="K1880" i="4"/>
  <c r="L1880" i="4" s="1"/>
  <c r="K1884" i="4"/>
  <c r="L1884" i="4" s="1"/>
  <c r="K1888" i="4"/>
  <c r="L1888" i="4" s="1"/>
  <c r="K1892" i="4"/>
  <c r="L1892" i="4" s="1"/>
  <c r="K1896" i="4"/>
  <c r="L1896" i="4" s="1"/>
  <c r="K1900" i="4"/>
  <c r="L1900" i="4" s="1"/>
  <c r="K1904" i="4"/>
  <c r="L1904" i="4" s="1"/>
  <c r="K1908" i="4"/>
  <c r="L1908" i="4" s="1"/>
  <c r="K1912" i="4"/>
  <c r="L1912" i="4" s="1"/>
  <c r="K1916" i="4"/>
  <c r="L1916" i="4" s="1"/>
  <c r="K1920" i="4"/>
  <c r="L1920" i="4" s="1"/>
  <c r="K1924" i="4"/>
  <c r="L1924" i="4" s="1"/>
  <c r="K1928" i="4"/>
  <c r="L1928" i="4" s="1"/>
  <c r="K1932" i="4"/>
  <c r="L1932" i="4" s="1"/>
  <c r="K1936" i="4"/>
  <c r="L1936" i="4" s="1"/>
  <c r="K1940" i="4"/>
  <c r="L1940" i="4" s="1"/>
  <c r="K1944" i="4"/>
  <c r="L1944" i="4" s="1"/>
  <c r="K1948" i="4"/>
  <c r="L1948" i="4" s="1"/>
  <c r="K1952" i="4"/>
  <c r="L1952" i="4" s="1"/>
  <c r="K1956" i="4"/>
  <c r="L1956" i="4" s="1"/>
  <c r="K1960" i="4"/>
  <c r="L1960" i="4" s="1"/>
  <c r="K1964" i="4"/>
  <c r="L1964" i="4" s="1"/>
  <c r="K1968" i="4"/>
  <c r="L1968" i="4" s="1"/>
  <c r="K1972" i="4"/>
  <c r="L1972" i="4" s="1"/>
  <c r="K1976" i="4"/>
  <c r="L1976" i="4" s="1"/>
  <c r="K1980" i="4"/>
  <c r="L1980" i="4" s="1"/>
  <c r="K1984" i="4"/>
  <c r="L1984" i="4" s="1"/>
  <c r="K1988" i="4"/>
  <c r="L1988" i="4" s="1"/>
  <c r="K1992" i="4"/>
  <c r="L1992" i="4" s="1"/>
  <c r="K1996" i="4"/>
  <c r="L1996" i="4" s="1"/>
  <c r="K2000" i="4"/>
  <c r="L2000" i="4" s="1"/>
  <c r="K6" i="2"/>
  <c r="L6" i="2" s="1"/>
  <c r="L6" i="4" s="1"/>
  <c r="K8" i="2"/>
  <c r="L8" i="2" s="1"/>
  <c r="L8" i="4" s="1"/>
  <c r="K10" i="2"/>
  <c r="L10" i="2" s="1"/>
  <c r="L10" i="4" s="1"/>
  <c r="K12" i="2"/>
  <c r="L12" i="2" s="1"/>
  <c r="L12" i="4" s="1"/>
  <c r="K14" i="2"/>
  <c r="L14" i="2" s="1"/>
  <c r="L14" i="4" s="1"/>
  <c r="K16" i="2"/>
  <c r="L16" i="2" s="1"/>
  <c r="L16" i="4" s="1"/>
  <c r="K18" i="2"/>
  <c r="L18" i="2" s="1"/>
  <c r="L18" i="4" s="1"/>
  <c r="K20" i="2"/>
  <c r="L20" i="2" s="1"/>
  <c r="L20" i="4" s="1"/>
  <c r="K22" i="2"/>
  <c r="L22" i="2" s="1"/>
  <c r="L22" i="4" s="1"/>
  <c r="K24" i="2"/>
  <c r="L24" i="2" s="1"/>
  <c r="L24" i="4" s="1"/>
  <c r="K26" i="2"/>
  <c r="L26" i="2" s="1"/>
  <c r="L26" i="4" s="1"/>
  <c r="J8" i="2"/>
  <c r="J8" i="4" s="1"/>
  <c r="J12" i="2"/>
  <c r="J12" i="4" s="1"/>
  <c r="K30" i="2"/>
  <c r="L30" i="2" s="1"/>
  <c r="L30" i="4" s="1"/>
  <c r="J16" i="2"/>
  <c r="J16" i="4" s="1"/>
  <c r="K34" i="2"/>
  <c r="L34" i="2" s="1"/>
  <c r="L34" i="4" s="1"/>
  <c r="J20" i="2"/>
  <c r="J20" i="4" s="1"/>
  <c r="K38" i="2"/>
  <c r="L38" i="2" s="1"/>
  <c r="L38" i="4" s="1"/>
  <c r="J24" i="2"/>
  <c r="J24" i="4" s="1"/>
  <c r="K42" i="2"/>
  <c r="K42" i="4" s="1"/>
  <c r="J28" i="2"/>
  <c r="J28" i="4" s="1"/>
  <c r="K46" i="2"/>
  <c r="L46" i="2" s="1"/>
  <c r="L46" i="4" s="1"/>
  <c r="J32" i="2"/>
  <c r="J32" i="4" s="1"/>
  <c r="K50" i="2"/>
  <c r="K50" i="4" s="1"/>
  <c r="J36" i="2"/>
  <c r="J36" i="4" s="1"/>
  <c r="K54" i="2"/>
  <c r="L54" i="2" s="1"/>
  <c r="L54" i="4" s="1"/>
  <c r="J40" i="2"/>
  <c r="J40" i="4" s="1"/>
  <c r="K58" i="2"/>
  <c r="K58" i="4" s="1"/>
  <c r="J44" i="2"/>
  <c r="J44" i="4" s="1"/>
  <c r="K62" i="2"/>
  <c r="K62" i="4" s="1"/>
  <c r="J48" i="2"/>
  <c r="J48" i="4" s="1"/>
  <c r="K66" i="2"/>
  <c r="L66" i="2" s="1"/>
  <c r="L66" i="4" s="1"/>
  <c r="J52" i="2"/>
  <c r="J52" i="4" s="1"/>
  <c r="K70" i="2"/>
  <c r="L70" i="2" s="1"/>
  <c r="L70" i="4" s="1"/>
  <c r="J56" i="2"/>
  <c r="J56" i="4" s="1"/>
  <c r="K74" i="2"/>
  <c r="L74" i="2" s="1"/>
  <c r="L74" i="4" s="1"/>
  <c r="J60" i="2"/>
  <c r="J60" i="4" s="1"/>
  <c r="K78" i="2"/>
  <c r="L78" i="2" s="1"/>
  <c r="L78" i="4" s="1"/>
  <c r="J64" i="2"/>
  <c r="J64" i="4" s="1"/>
  <c r="K82" i="2"/>
  <c r="L82" i="2" s="1"/>
  <c r="L82" i="4" s="1"/>
  <c r="J68" i="2"/>
  <c r="J68" i="4" s="1"/>
  <c r="K86" i="2"/>
  <c r="L86" i="2" s="1"/>
  <c r="L86" i="4" s="1"/>
  <c r="J72" i="2"/>
  <c r="J72" i="4" s="1"/>
  <c r="K90" i="2"/>
  <c r="K90" i="4" s="1"/>
  <c r="J76" i="2"/>
  <c r="J76" i="4" s="1"/>
  <c r="K94" i="2"/>
  <c r="L94" i="2" s="1"/>
  <c r="L94" i="4" s="1"/>
  <c r="J80" i="2"/>
  <c r="J80" i="4" s="1"/>
  <c r="K98" i="2"/>
  <c r="L98" i="2" s="1"/>
  <c r="L98" i="4" s="1"/>
  <c r="J84" i="2"/>
  <c r="J84" i="4" s="1"/>
  <c r="K102" i="2"/>
  <c r="L102" i="2" s="1"/>
  <c r="L102" i="4" s="1"/>
  <c r="J88" i="2"/>
  <c r="J88" i="4" s="1"/>
  <c r="K106" i="2"/>
  <c r="K106" i="4" s="1"/>
  <c r="K1787" i="4"/>
  <c r="L1787" i="4" s="1"/>
  <c r="K1791" i="4"/>
  <c r="L1791" i="4" s="1"/>
  <c r="K1795" i="4"/>
  <c r="L1795" i="4" s="1"/>
  <c r="K1799" i="4"/>
  <c r="L1799" i="4" s="1"/>
  <c r="K1803" i="4"/>
  <c r="L1803" i="4" s="1"/>
  <c r="K1807" i="4"/>
  <c r="L1807" i="4" s="1"/>
  <c r="K1811" i="4"/>
  <c r="L1811" i="4" s="1"/>
  <c r="K1815" i="4"/>
  <c r="L1815" i="4" s="1"/>
  <c r="K1819" i="4"/>
  <c r="L1819" i="4" s="1"/>
  <c r="K1823" i="4"/>
  <c r="L1823" i="4" s="1"/>
  <c r="K1827" i="4"/>
  <c r="L1827" i="4" s="1"/>
  <c r="K1831" i="4"/>
  <c r="L1831" i="4" s="1"/>
  <c r="K1835" i="4"/>
  <c r="L1835" i="4" s="1"/>
  <c r="K1839" i="4"/>
  <c r="L1839" i="4" s="1"/>
  <c r="K1843" i="4"/>
  <c r="L1843" i="4" s="1"/>
  <c r="K1847" i="4"/>
  <c r="L1847" i="4" s="1"/>
  <c r="K1851" i="4"/>
  <c r="L1851" i="4" s="1"/>
  <c r="K1855" i="4"/>
  <c r="L1855" i="4" s="1"/>
  <c r="K1859" i="4"/>
  <c r="L1859" i="4" s="1"/>
  <c r="K1863" i="4"/>
  <c r="L1863" i="4" s="1"/>
  <c r="K1867" i="4"/>
  <c r="L1867" i="4" s="1"/>
  <c r="K1871" i="4"/>
  <c r="L1871" i="4" s="1"/>
  <c r="K1875" i="4"/>
  <c r="L1875" i="4" s="1"/>
  <c r="K1879" i="4"/>
  <c r="L1879" i="4" s="1"/>
  <c r="K1883" i="4"/>
  <c r="L1883" i="4" s="1"/>
  <c r="K1887" i="4"/>
  <c r="L1887" i="4" s="1"/>
  <c r="K1891" i="4"/>
  <c r="L1891" i="4" s="1"/>
  <c r="K1895" i="4"/>
  <c r="L1895" i="4" s="1"/>
  <c r="K1899" i="4"/>
  <c r="L1899" i="4" s="1"/>
  <c r="K1903" i="4"/>
  <c r="L1903" i="4" s="1"/>
  <c r="K1907" i="4"/>
  <c r="L1907" i="4" s="1"/>
  <c r="K1911" i="4"/>
  <c r="L1911" i="4" s="1"/>
  <c r="K1915" i="4"/>
  <c r="L1915" i="4" s="1"/>
  <c r="K1919" i="4"/>
  <c r="L1919" i="4" s="1"/>
  <c r="K1923" i="4"/>
  <c r="L1923" i="4" s="1"/>
  <c r="K1927" i="4"/>
  <c r="L1927" i="4" s="1"/>
  <c r="K1931" i="4"/>
  <c r="L1931" i="4" s="1"/>
  <c r="K1935" i="4"/>
  <c r="L1935" i="4" s="1"/>
  <c r="K1939" i="4"/>
  <c r="L1939" i="4" s="1"/>
  <c r="K1943" i="4"/>
  <c r="L1943" i="4" s="1"/>
  <c r="K1947" i="4"/>
  <c r="L1947" i="4" s="1"/>
  <c r="K1951" i="4"/>
  <c r="L1951" i="4" s="1"/>
  <c r="K1955" i="4"/>
  <c r="L1955" i="4" s="1"/>
  <c r="K1959" i="4"/>
  <c r="L1959" i="4" s="1"/>
  <c r="K1963" i="4"/>
  <c r="L1963" i="4" s="1"/>
  <c r="K1967" i="4"/>
  <c r="L1967" i="4" s="1"/>
  <c r="K1971" i="4"/>
  <c r="L1971" i="4" s="1"/>
  <c r="K1975" i="4"/>
  <c r="L1975" i="4" s="1"/>
  <c r="K1979" i="4"/>
  <c r="L1979" i="4" s="1"/>
  <c r="K1983" i="4"/>
  <c r="L1983" i="4" s="1"/>
  <c r="K1987" i="4"/>
  <c r="L1987" i="4" s="1"/>
  <c r="K1991" i="4"/>
  <c r="L1991" i="4" s="1"/>
  <c r="K1995" i="4"/>
  <c r="L1995" i="4" s="1"/>
  <c r="K1999" i="4"/>
  <c r="L1999" i="4" s="1"/>
  <c r="J7" i="2"/>
  <c r="J7" i="4" s="1"/>
  <c r="K27" i="2"/>
  <c r="K27" i="4" s="1"/>
  <c r="J13" i="2"/>
  <c r="J13" i="4" s="1"/>
  <c r="K31" i="2"/>
  <c r="K31" i="4" s="1"/>
  <c r="J17" i="2"/>
  <c r="J17" i="4" s="1"/>
  <c r="K35" i="2"/>
  <c r="L35" i="2" s="1"/>
  <c r="L35" i="4" s="1"/>
  <c r="J21" i="2"/>
  <c r="J21" i="4" s="1"/>
  <c r="K39" i="2"/>
  <c r="L39" i="2" s="1"/>
  <c r="L39" i="4" s="1"/>
  <c r="J25" i="2"/>
  <c r="J25" i="4" s="1"/>
  <c r="K43" i="2"/>
  <c r="L43" i="2" s="1"/>
  <c r="L43" i="4" s="1"/>
  <c r="J29" i="2"/>
  <c r="J29" i="4" s="1"/>
  <c r="K47" i="2"/>
  <c r="L47" i="2" s="1"/>
  <c r="L47" i="4" s="1"/>
  <c r="J33" i="2"/>
  <c r="J33" i="4" s="1"/>
  <c r="K51" i="2"/>
  <c r="L51" i="2" s="1"/>
  <c r="L51" i="4" s="1"/>
  <c r="J37" i="2"/>
  <c r="J37" i="4" s="1"/>
  <c r="K55" i="2"/>
  <c r="L55" i="2" s="1"/>
  <c r="L55" i="4" s="1"/>
  <c r="J41" i="2"/>
  <c r="J41" i="4" s="1"/>
  <c r="K59" i="2"/>
  <c r="L59" i="2" s="1"/>
  <c r="L59" i="4" s="1"/>
  <c r="J45" i="2"/>
  <c r="J45" i="4" s="1"/>
  <c r="K63" i="2"/>
  <c r="K63" i="4" s="1"/>
  <c r="J49" i="2"/>
  <c r="J49" i="4" s="1"/>
  <c r="K67" i="2"/>
  <c r="L67" i="2" s="1"/>
  <c r="L67" i="4" s="1"/>
  <c r="J53" i="2"/>
  <c r="J53" i="4" s="1"/>
  <c r="K71" i="2"/>
  <c r="L71" i="2" s="1"/>
  <c r="L71" i="4" s="1"/>
  <c r="J57" i="2"/>
  <c r="J57" i="4" s="1"/>
  <c r="K75" i="2"/>
  <c r="L75" i="2" s="1"/>
  <c r="L75" i="4" s="1"/>
  <c r="J61" i="2"/>
  <c r="J61" i="4" s="1"/>
  <c r="K79" i="2"/>
  <c r="K79" i="4" s="1"/>
  <c r="J65" i="2"/>
  <c r="J65" i="4" s="1"/>
  <c r="K83" i="2"/>
  <c r="L83" i="2" s="1"/>
  <c r="L83" i="4" s="1"/>
  <c r="J69" i="2"/>
  <c r="J69" i="4" s="1"/>
  <c r="K87" i="2"/>
  <c r="L87" i="2" s="1"/>
  <c r="L87" i="4" s="1"/>
  <c r="J73" i="2"/>
  <c r="J73" i="4" s="1"/>
  <c r="K91" i="2"/>
  <c r="L91" i="2" s="1"/>
  <c r="L91" i="4" s="1"/>
  <c r="J77" i="2"/>
  <c r="J77" i="4" s="1"/>
  <c r="K95" i="2"/>
  <c r="K95" i="4" s="1"/>
  <c r="J81" i="2"/>
  <c r="J81" i="4" s="1"/>
  <c r="K99" i="2"/>
  <c r="K99" i="4" s="1"/>
  <c r="J85" i="2"/>
  <c r="J85" i="4" s="1"/>
  <c r="K103" i="2"/>
  <c r="K103" i="4" s="1"/>
  <c r="J89" i="2"/>
  <c r="J89" i="4" s="1"/>
  <c r="K107" i="2"/>
  <c r="L107" i="2" s="1"/>
  <c r="L107" i="4" s="1"/>
  <c r="J93" i="2"/>
  <c r="J93" i="4" s="1"/>
  <c r="K1786" i="4"/>
  <c r="L1786" i="4" s="1"/>
  <c r="K1790" i="4"/>
  <c r="L1790" i="4" s="1"/>
  <c r="K1794" i="4"/>
  <c r="L1794" i="4" s="1"/>
  <c r="K1798" i="4"/>
  <c r="L1798" i="4" s="1"/>
  <c r="K1802" i="4"/>
  <c r="L1802" i="4" s="1"/>
  <c r="K1806" i="4"/>
  <c r="L1806" i="4" s="1"/>
  <c r="K1810" i="4"/>
  <c r="L1810" i="4" s="1"/>
  <c r="K1814" i="4"/>
  <c r="L1814" i="4" s="1"/>
  <c r="K1818" i="4"/>
  <c r="L1818" i="4" s="1"/>
  <c r="K1822" i="4"/>
  <c r="L1822" i="4" s="1"/>
  <c r="K1826" i="4"/>
  <c r="L1826" i="4" s="1"/>
  <c r="K1830" i="4"/>
  <c r="L1830" i="4" s="1"/>
  <c r="K1834" i="4"/>
  <c r="L1834" i="4" s="1"/>
  <c r="K1838" i="4"/>
  <c r="L1838" i="4" s="1"/>
  <c r="K1842" i="4"/>
  <c r="L1842" i="4" s="1"/>
  <c r="K1846" i="4"/>
  <c r="L1846" i="4" s="1"/>
  <c r="K1850" i="4"/>
  <c r="L1850" i="4" s="1"/>
  <c r="K1854" i="4"/>
  <c r="L1854" i="4" s="1"/>
  <c r="K1858" i="4"/>
  <c r="L1858" i="4" s="1"/>
  <c r="K1862" i="4"/>
  <c r="L1862" i="4" s="1"/>
  <c r="K1866" i="4"/>
  <c r="L1866" i="4" s="1"/>
  <c r="K1870" i="4"/>
  <c r="L1870" i="4" s="1"/>
  <c r="K1874" i="4"/>
  <c r="L1874" i="4" s="1"/>
  <c r="K1878" i="4"/>
  <c r="L1878" i="4" s="1"/>
  <c r="K1882" i="4"/>
  <c r="L1882" i="4" s="1"/>
  <c r="K1886" i="4"/>
  <c r="L1886" i="4" s="1"/>
  <c r="K1890" i="4"/>
  <c r="L1890" i="4" s="1"/>
  <c r="K1894" i="4"/>
  <c r="L1894" i="4" s="1"/>
  <c r="K1898" i="4"/>
  <c r="L1898" i="4" s="1"/>
  <c r="K1902" i="4"/>
  <c r="L1902" i="4" s="1"/>
  <c r="K1906" i="4"/>
  <c r="L1906" i="4" s="1"/>
  <c r="K1910" i="4"/>
  <c r="L1910" i="4" s="1"/>
  <c r="K1914" i="4"/>
  <c r="L1914" i="4" s="1"/>
  <c r="K1918" i="4"/>
  <c r="L1918" i="4" s="1"/>
  <c r="K1922" i="4"/>
  <c r="L1922" i="4" s="1"/>
  <c r="K1926" i="4"/>
  <c r="L1926" i="4" s="1"/>
  <c r="K1930" i="4"/>
  <c r="L1930" i="4" s="1"/>
  <c r="K1934" i="4"/>
  <c r="L1934" i="4" s="1"/>
  <c r="K1938" i="4"/>
  <c r="L1938" i="4" s="1"/>
  <c r="K1942" i="4"/>
  <c r="L1942" i="4" s="1"/>
  <c r="K1946" i="4"/>
  <c r="L1946" i="4" s="1"/>
  <c r="K1950" i="4"/>
  <c r="L1950" i="4" s="1"/>
  <c r="K1954" i="4"/>
  <c r="L1954" i="4" s="1"/>
  <c r="K1958" i="4"/>
  <c r="L1958" i="4" s="1"/>
  <c r="K1962" i="4"/>
  <c r="L1962" i="4" s="1"/>
  <c r="K1966" i="4"/>
  <c r="L1966" i="4" s="1"/>
  <c r="K1970" i="4"/>
  <c r="L1970" i="4" s="1"/>
  <c r="K1974" i="4"/>
  <c r="L1974" i="4" s="1"/>
  <c r="K1978" i="4"/>
  <c r="L1978" i="4" s="1"/>
  <c r="K1982" i="4"/>
  <c r="L1982" i="4" s="1"/>
  <c r="K1986" i="4"/>
  <c r="L1986" i="4" s="1"/>
  <c r="K1990" i="4"/>
  <c r="L1990" i="4" s="1"/>
  <c r="K1994" i="4"/>
  <c r="L1994" i="4" s="1"/>
  <c r="K1998" i="4"/>
  <c r="L1998" i="4" s="1"/>
  <c r="K7" i="2"/>
  <c r="K7" i="4" s="1"/>
  <c r="K9" i="2"/>
  <c r="K9" i="4" s="1"/>
  <c r="K11" i="2"/>
  <c r="L11" i="2" s="1"/>
  <c r="L11" i="4" s="1"/>
  <c r="K13" i="2"/>
  <c r="K13" i="4" s="1"/>
  <c r="K15" i="2"/>
  <c r="L15" i="2" s="1"/>
  <c r="L15" i="4" s="1"/>
  <c r="K17" i="2"/>
  <c r="L17" i="2" s="1"/>
  <c r="L17" i="4" s="1"/>
  <c r="K19" i="2"/>
  <c r="L19" i="2" s="1"/>
  <c r="L19" i="4" s="1"/>
  <c r="K21" i="2"/>
  <c r="K21" i="4" s="1"/>
  <c r="K23" i="2"/>
  <c r="L23" i="2" s="1"/>
  <c r="L23" i="4" s="1"/>
  <c r="K25" i="2"/>
  <c r="K25" i="4" s="1"/>
  <c r="J6" i="2"/>
  <c r="J6" i="4" s="1"/>
  <c r="J10" i="2"/>
  <c r="J10" i="4" s="1"/>
  <c r="K28" i="2"/>
  <c r="L28" i="2" s="1"/>
  <c r="L28" i="4" s="1"/>
  <c r="J14" i="2"/>
  <c r="J14" i="4" s="1"/>
  <c r="K32" i="2"/>
  <c r="L32" i="2" s="1"/>
  <c r="L32" i="4" s="1"/>
  <c r="J18" i="2"/>
  <c r="J18" i="4" s="1"/>
  <c r="K36" i="2"/>
  <c r="K36" i="4" s="1"/>
  <c r="J22" i="2"/>
  <c r="J22" i="4" s="1"/>
  <c r="K40" i="2"/>
  <c r="L40" i="2" s="1"/>
  <c r="L40" i="4" s="1"/>
  <c r="J26" i="2"/>
  <c r="J26" i="4" s="1"/>
  <c r="K44" i="2"/>
  <c r="L44" i="2" s="1"/>
  <c r="L44" i="4" s="1"/>
  <c r="J30" i="2"/>
  <c r="J30" i="4" s="1"/>
  <c r="K48" i="2"/>
  <c r="L48" i="2" s="1"/>
  <c r="L48" i="4" s="1"/>
  <c r="J34" i="2"/>
  <c r="J34" i="4" s="1"/>
  <c r="K52" i="2"/>
  <c r="L52" i="2" s="1"/>
  <c r="L52" i="4" s="1"/>
  <c r="J38" i="2"/>
  <c r="J38" i="4" s="1"/>
  <c r="K56" i="2"/>
  <c r="K56" i="4" s="1"/>
  <c r="J42" i="2"/>
  <c r="J42" i="4" s="1"/>
  <c r="K60" i="2"/>
  <c r="L60" i="2" s="1"/>
  <c r="L60" i="4" s="1"/>
  <c r="J46" i="2"/>
  <c r="J46" i="4" s="1"/>
  <c r="K64" i="2"/>
  <c r="L64" i="2" s="1"/>
  <c r="L64" i="4" s="1"/>
  <c r="J50" i="2"/>
  <c r="J50" i="4" s="1"/>
  <c r="K68" i="2"/>
  <c r="L68" i="2" s="1"/>
  <c r="L68" i="4" s="1"/>
  <c r="J54" i="2"/>
  <c r="J54" i="4" s="1"/>
  <c r="K72" i="2"/>
  <c r="L72" i="2" s="1"/>
  <c r="L72" i="4" s="1"/>
  <c r="J58" i="2"/>
  <c r="J58" i="4" s="1"/>
  <c r="K76" i="2"/>
  <c r="L76" i="2" s="1"/>
  <c r="L76" i="4" s="1"/>
  <c r="J62" i="2"/>
  <c r="J62" i="4" s="1"/>
  <c r="K80" i="2"/>
  <c r="L80" i="2" s="1"/>
  <c r="L80" i="4" s="1"/>
  <c r="J66" i="2"/>
  <c r="J66" i="4" s="1"/>
  <c r="K84" i="2"/>
  <c r="L84" i="2" s="1"/>
  <c r="L84" i="4" s="1"/>
  <c r="J70" i="2"/>
  <c r="J70" i="4" s="1"/>
  <c r="K88" i="2"/>
  <c r="K88" i="4" s="1"/>
  <c r="J74" i="2"/>
  <c r="J74" i="4" s="1"/>
  <c r="K92" i="2"/>
  <c r="L92" i="2" s="1"/>
  <c r="L92" i="4" s="1"/>
  <c r="J78" i="2"/>
  <c r="J78" i="4" s="1"/>
  <c r="K96" i="2"/>
  <c r="L96" i="2" s="1"/>
  <c r="L96" i="4" s="1"/>
  <c r="J82" i="2"/>
  <c r="J82" i="4" s="1"/>
  <c r="K100" i="2"/>
  <c r="K100" i="4" s="1"/>
  <c r="J86" i="2"/>
  <c r="J86" i="4" s="1"/>
  <c r="K104" i="2"/>
  <c r="K104" i="4" s="1"/>
  <c r="J90" i="2"/>
  <c r="J90" i="4" s="1"/>
  <c r="J91" i="2"/>
  <c r="J91" i="4" s="1"/>
  <c r="K108" i="2"/>
  <c r="L108" i="2" s="1"/>
  <c r="L108" i="4" s="1"/>
  <c r="J95" i="2"/>
  <c r="J95" i="4" s="1"/>
  <c r="K113" i="2"/>
  <c r="L113" i="2" s="1"/>
  <c r="L113" i="4" s="1"/>
  <c r="K116" i="2"/>
  <c r="K116" i="4" s="1"/>
  <c r="K118" i="2"/>
  <c r="K118" i="4" s="1"/>
  <c r="K120" i="2"/>
  <c r="L120" i="2" s="1"/>
  <c r="L120" i="4" s="1"/>
  <c r="K122" i="2"/>
  <c r="L122" i="2" s="1"/>
  <c r="L122" i="4" s="1"/>
  <c r="K124" i="2"/>
  <c r="K124" i="4" s="1"/>
  <c r="K126" i="2"/>
  <c r="K126" i="4" s="1"/>
  <c r="K128" i="2"/>
  <c r="K128" i="4" s="1"/>
  <c r="K130" i="2"/>
  <c r="L130" i="2" s="1"/>
  <c r="L130" i="4" s="1"/>
  <c r="K132" i="2"/>
  <c r="K132" i="4" s="1"/>
  <c r="K134" i="2"/>
  <c r="L134" i="2" s="1"/>
  <c r="L134" i="4" s="1"/>
  <c r="K136" i="2"/>
  <c r="L136" i="2" s="1"/>
  <c r="L136" i="4" s="1"/>
  <c r="K138" i="2"/>
  <c r="L138" i="2" s="1"/>
  <c r="L138" i="4" s="1"/>
  <c r="K140" i="2"/>
  <c r="L140" i="2" s="1"/>
  <c r="L140" i="4" s="1"/>
  <c r="K142" i="2"/>
  <c r="K142" i="4" s="1"/>
  <c r="K144" i="2"/>
  <c r="L144" i="2" s="1"/>
  <c r="L144" i="4" s="1"/>
  <c r="K146" i="2"/>
  <c r="K146" i="4" s="1"/>
  <c r="K148" i="2"/>
  <c r="L148" i="2" s="1"/>
  <c r="L148" i="4" s="1"/>
  <c r="K150" i="2"/>
  <c r="L150" i="2" s="1"/>
  <c r="L150" i="4" s="1"/>
  <c r="K152" i="2"/>
  <c r="K152" i="4" s="1"/>
  <c r="K154" i="2"/>
  <c r="L154" i="2" s="1"/>
  <c r="L154" i="4" s="1"/>
  <c r="K156" i="2"/>
  <c r="K156" i="4" s="1"/>
  <c r="K158" i="2"/>
  <c r="K158" i="4" s="1"/>
  <c r="K160" i="2"/>
  <c r="K160" i="4" s="1"/>
  <c r="K162" i="2"/>
  <c r="K162" i="4" s="1"/>
  <c r="K164" i="2"/>
  <c r="K164" i="4" s="1"/>
  <c r="K166" i="2"/>
  <c r="K166" i="4" s="1"/>
  <c r="K168" i="2"/>
  <c r="K168" i="4" s="1"/>
  <c r="K170" i="2"/>
  <c r="K170" i="4" s="1"/>
  <c r="K172" i="2"/>
  <c r="K172" i="4" s="1"/>
  <c r="K174" i="2"/>
  <c r="K174" i="4" s="1"/>
  <c r="K176" i="2"/>
  <c r="K176" i="4" s="1"/>
  <c r="K178" i="2"/>
  <c r="L178" i="2" s="1"/>
  <c r="L178" i="4" s="1"/>
  <c r="K180" i="2"/>
  <c r="K180" i="4" s="1"/>
  <c r="K182" i="2"/>
  <c r="K182" i="4" s="1"/>
  <c r="K184" i="2"/>
  <c r="K184" i="4" s="1"/>
  <c r="K186" i="2"/>
  <c r="L186" i="2" s="1"/>
  <c r="L186" i="4" s="1"/>
  <c r="K188" i="2"/>
  <c r="K188" i="4" s="1"/>
  <c r="K190" i="2"/>
  <c r="L190" i="2" s="1"/>
  <c r="L190" i="4" s="1"/>
  <c r="K192" i="2"/>
  <c r="L192" i="2" s="1"/>
  <c r="L192" i="4" s="1"/>
  <c r="K194" i="2"/>
  <c r="K194" i="4" s="1"/>
  <c r="K196" i="2"/>
  <c r="L196" i="2" s="1"/>
  <c r="L196" i="4" s="1"/>
  <c r="K198" i="2"/>
  <c r="L198" i="2" s="1"/>
  <c r="L198" i="4" s="1"/>
  <c r="K200" i="2"/>
  <c r="L200" i="2" s="1"/>
  <c r="L200" i="4" s="1"/>
  <c r="K202" i="2"/>
  <c r="L202" i="2" s="1"/>
  <c r="K204" i="2"/>
  <c r="L204" i="2" s="1"/>
  <c r="J1006" i="4"/>
  <c r="J1010" i="4"/>
  <c r="J1012" i="4"/>
  <c r="J1014" i="4"/>
  <c r="J1016" i="4"/>
  <c r="J1018" i="4"/>
  <c r="J1020" i="4"/>
  <c r="J1022" i="4"/>
  <c r="J1024" i="4"/>
  <c r="J1026" i="4"/>
  <c r="J1028" i="4"/>
  <c r="J1030" i="4"/>
  <c r="J1032" i="4"/>
  <c r="J1034" i="4"/>
  <c r="J1036" i="4"/>
  <c r="J1038" i="4"/>
  <c r="J1040" i="4"/>
  <c r="J1042" i="4"/>
  <c r="J1044" i="4"/>
  <c r="J96" i="2"/>
  <c r="J96" i="4" s="1"/>
  <c r="K114" i="2"/>
  <c r="L114" i="2" s="1"/>
  <c r="L114" i="4" s="1"/>
  <c r="J99" i="2"/>
  <c r="J99" i="4" s="1"/>
  <c r="J101" i="2"/>
  <c r="J101" i="4" s="1"/>
  <c r="J103" i="2"/>
  <c r="J103" i="4" s="1"/>
  <c r="J105" i="2"/>
  <c r="J105" i="4" s="1"/>
  <c r="J107" i="2"/>
  <c r="J107" i="4" s="1"/>
  <c r="J109" i="2"/>
  <c r="J109" i="4" s="1"/>
  <c r="J111" i="2"/>
  <c r="J111" i="4" s="1"/>
  <c r="J113" i="2"/>
  <c r="J113" i="4" s="1"/>
  <c r="J115" i="2"/>
  <c r="J115" i="4" s="1"/>
  <c r="J117" i="2"/>
  <c r="J117" i="4" s="1"/>
  <c r="J119" i="2"/>
  <c r="J119" i="4" s="1"/>
  <c r="J121" i="2"/>
  <c r="J121" i="4" s="1"/>
  <c r="J123" i="2"/>
  <c r="J123" i="4" s="1"/>
  <c r="J125" i="2"/>
  <c r="J125" i="4" s="1"/>
  <c r="J127" i="2"/>
  <c r="J127" i="4" s="1"/>
  <c r="J129" i="2"/>
  <c r="J129" i="4" s="1"/>
  <c r="J131" i="2"/>
  <c r="J131" i="4" s="1"/>
  <c r="J133" i="2"/>
  <c r="J133" i="4" s="1"/>
  <c r="J135" i="2"/>
  <c r="J135" i="4" s="1"/>
  <c r="J137" i="2"/>
  <c r="J137" i="4" s="1"/>
  <c r="J139" i="2"/>
  <c r="J139" i="4" s="1"/>
  <c r="J141" i="2"/>
  <c r="J141" i="4" s="1"/>
  <c r="J143" i="2"/>
  <c r="J143" i="4" s="1"/>
  <c r="J145" i="2"/>
  <c r="J145" i="4" s="1"/>
  <c r="J147" i="2"/>
  <c r="J147" i="4" s="1"/>
  <c r="J149" i="2"/>
  <c r="J149" i="4" s="1"/>
  <c r="J151" i="2"/>
  <c r="J151" i="4" s="1"/>
  <c r="J153" i="2"/>
  <c r="J153" i="4" s="1"/>
  <c r="J155" i="2"/>
  <c r="J155" i="4" s="1"/>
  <c r="J157" i="2"/>
  <c r="J157" i="4" s="1"/>
  <c r="J159" i="2"/>
  <c r="J159" i="4" s="1"/>
  <c r="J161" i="2"/>
  <c r="J161" i="4" s="1"/>
  <c r="J163" i="2"/>
  <c r="J163" i="4" s="1"/>
  <c r="J165" i="2"/>
  <c r="J165" i="4" s="1"/>
  <c r="J167" i="2"/>
  <c r="J167" i="4" s="1"/>
  <c r="J169" i="2"/>
  <c r="J169" i="4" s="1"/>
  <c r="J171" i="2"/>
  <c r="J171" i="4" s="1"/>
  <c r="J173" i="2"/>
  <c r="J173" i="4" s="1"/>
  <c r="J175" i="2"/>
  <c r="J175" i="4" s="1"/>
  <c r="J177" i="2"/>
  <c r="J177" i="4" s="1"/>
  <c r="J179" i="2"/>
  <c r="J179" i="4" s="1"/>
  <c r="J181" i="2"/>
  <c r="J181" i="4" s="1"/>
  <c r="J183" i="2"/>
  <c r="J183" i="4" s="1"/>
  <c r="J185" i="2"/>
  <c r="J185" i="4" s="1"/>
  <c r="J187" i="2"/>
  <c r="J187" i="4" s="1"/>
  <c r="J189" i="2"/>
  <c r="J189" i="4" s="1"/>
  <c r="J190" i="2"/>
  <c r="J190" i="4" s="1"/>
  <c r="J191" i="2"/>
  <c r="J191" i="4" s="1"/>
  <c r="J192" i="2"/>
  <c r="J192" i="4" s="1"/>
  <c r="J193" i="2"/>
  <c r="J193" i="4" s="1"/>
  <c r="J194" i="2"/>
  <c r="J194" i="4" s="1"/>
  <c r="J195" i="2"/>
  <c r="J195" i="4" s="1"/>
  <c r="J196" i="2"/>
  <c r="J196" i="4" s="1"/>
  <c r="J197" i="2"/>
  <c r="J197" i="4" s="1"/>
  <c r="J198" i="2"/>
  <c r="J198" i="4" s="1"/>
  <c r="J199" i="2"/>
  <c r="J199" i="4" s="1"/>
  <c r="J200" i="2"/>
  <c r="J200" i="4" s="1"/>
  <c r="J1009" i="4"/>
  <c r="K105" i="2"/>
  <c r="L105" i="2" s="1"/>
  <c r="L105" i="4" s="1"/>
  <c r="J94" i="2"/>
  <c r="J94" i="4" s="1"/>
  <c r="K111" i="2"/>
  <c r="L111" i="2" s="1"/>
  <c r="L111" i="4" s="1"/>
  <c r="J97" i="2"/>
  <c r="J97" i="4" s="1"/>
  <c r="K115" i="2"/>
  <c r="L115" i="2" s="1"/>
  <c r="L115" i="4" s="1"/>
  <c r="K117" i="2"/>
  <c r="L117" i="2" s="1"/>
  <c r="L117" i="4" s="1"/>
  <c r="K119" i="2"/>
  <c r="K119" i="4" s="1"/>
  <c r="K121" i="2"/>
  <c r="L121" i="2" s="1"/>
  <c r="L121" i="4" s="1"/>
  <c r="K123" i="2"/>
  <c r="L123" i="2" s="1"/>
  <c r="L123" i="4" s="1"/>
  <c r="K125" i="2"/>
  <c r="L125" i="2" s="1"/>
  <c r="L125" i="4" s="1"/>
  <c r="K127" i="2"/>
  <c r="L127" i="2" s="1"/>
  <c r="L127" i="4" s="1"/>
  <c r="K129" i="2"/>
  <c r="L129" i="2" s="1"/>
  <c r="L129" i="4" s="1"/>
  <c r="K131" i="2"/>
  <c r="L131" i="2" s="1"/>
  <c r="L131" i="4" s="1"/>
  <c r="K133" i="2"/>
  <c r="K133" i="4" s="1"/>
  <c r="K135" i="2"/>
  <c r="K135" i="4" s="1"/>
  <c r="K137" i="2"/>
  <c r="L137" i="2" s="1"/>
  <c r="L137" i="4" s="1"/>
  <c r="K139" i="2"/>
  <c r="L139" i="2" s="1"/>
  <c r="L139" i="4" s="1"/>
  <c r="K141" i="2"/>
  <c r="K141" i="4" s="1"/>
  <c r="K143" i="2"/>
  <c r="L143" i="2" s="1"/>
  <c r="L143" i="4" s="1"/>
  <c r="K145" i="2"/>
  <c r="L145" i="2" s="1"/>
  <c r="L145" i="4" s="1"/>
  <c r="K147" i="2"/>
  <c r="L147" i="2" s="1"/>
  <c r="L147" i="4" s="1"/>
  <c r="K149" i="2"/>
  <c r="L149" i="2" s="1"/>
  <c r="L149" i="4" s="1"/>
  <c r="K151" i="2"/>
  <c r="L151" i="2" s="1"/>
  <c r="L151" i="4" s="1"/>
  <c r="K153" i="2"/>
  <c r="L153" i="2" s="1"/>
  <c r="L153" i="4" s="1"/>
  <c r="K155" i="2"/>
  <c r="L155" i="2" s="1"/>
  <c r="L155" i="4" s="1"/>
  <c r="K157" i="2"/>
  <c r="K157" i="4" s="1"/>
  <c r="K159" i="2"/>
  <c r="L159" i="2" s="1"/>
  <c r="L159" i="4" s="1"/>
  <c r="K161" i="2"/>
  <c r="L161" i="2" s="1"/>
  <c r="L161" i="4" s="1"/>
  <c r="K163" i="2"/>
  <c r="K163" i="4" s="1"/>
  <c r="K165" i="2"/>
  <c r="L165" i="2" s="1"/>
  <c r="L165" i="4" s="1"/>
  <c r="K167" i="2"/>
  <c r="L167" i="2" s="1"/>
  <c r="L167" i="4" s="1"/>
  <c r="K169" i="2"/>
  <c r="L169" i="2" s="1"/>
  <c r="L169" i="4" s="1"/>
  <c r="K171" i="2"/>
  <c r="K171" i="4" s="1"/>
  <c r="K173" i="2"/>
  <c r="L173" i="2" s="1"/>
  <c r="L173" i="4" s="1"/>
  <c r="K175" i="2"/>
  <c r="L175" i="2" s="1"/>
  <c r="L175" i="4" s="1"/>
  <c r="K177" i="2"/>
  <c r="K177" i="4" s="1"/>
  <c r="K179" i="2"/>
  <c r="K179" i="4" s="1"/>
  <c r="K181" i="2"/>
  <c r="K181" i="4" s="1"/>
  <c r="K183" i="2"/>
  <c r="K183" i="4" s="1"/>
  <c r="K185" i="2"/>
  <c r="L185" i="2" s="1"/>
  <c r="L185" i="4" s="1"/>
  <c r="K187" i="2"/>
  <c r="K187" i="4" s="1"/>
  <c r="K189" i="2"/>
  <c r="L189" i="2" s="1"/>
  <c r="L189" i="4" s="1"/>
  <c r="K191" i="2"/>
  <c r="K191" i="4" s="1"/>
  <c r="K193" i="2"/>
  <c r="K193" i="4" s="1"/>
  <c r="K195" i="2"/>
  <c r="K195" i="4" s="1"/>
  <c r="K197" i="2"/>
  <c r="L197" i="2" s="1"/>
  <c r="L197" i="4" s="1"/>
  <c r="K199" i="2"/>
  <c r="L199" i="2" s="1"/>
  <c r="L199" i="4" s="1"/>
  <c r="K201" i="2"/>
  <c r="L201" i="2" s="1"/>
  <c r="K203" i="2"/>
  <c r="L203" i="2" s="1"/>
  <c r="K205" i="2"/>
  <c r="L205" i="2" s="1"/>
  <c r="J1008" i="4"/>
  <c r="J1011" i="4"/>
  <c r="J1013" i="4"/>
  <c r="J1015" i="4"/>
  <c r="J1017" i="4"/>
  <c r="J1019" i="4"/>
  <c r="J1021" i="4"/>
  <c r="J1023" i="4"/>
  <c r="J1025" i="4"/>
  <c r="J1027" i="4"/>
  <c r="J1029" i="4"/>
  <c r="J1031" i="4"/>
  <c r="J1033" i="4"/>
  <c r="J1035" i="4"/>
  <c r="J1037" i="4"/>
  <c r="J1039" i="4"/>
  <c r="J1041" i="4"/>
  <c r="J1043" i="4"/>
  <c r="J1045" i="4"/>
  <c r="J1047" i="4"/>
  <c r="J1049" i="4"/>
  <c r="J1051" i="4"/>
  <c r="J1053" i="4"/>
  <c r="J1055" i="4"/>
  <c r="J1057" i="4"/>
  <c r="J1059" i="4"/>
  <c r="J1061" i="4"/>
  <c r="J1063" i="4"/>
  <c r="J87" i="2"/>
  <c r="J87" i="4" s="1"/>
  <c r="J92" i="2"/>
  <c r="J92" i="4" s="1"/>
  <c r="K109" i="2"/>
  <c r="L109" i="2" s="1"/>
  <c r="L109" i="4" s="1"/>
  <c r="K110" i="2"/>
  <c r="L110" i="2" s="1"/>
  <c r="L110" i="4" s="1"/>
  <c r="K112" i="2"/>
  <c r="L112" i="2" s="1"/>
  <c r="L112" i="4" s="1"/>
  <c r="J98" i="2"/>
  <c r="J98" i="4" s="1"/>
  <c r="J100" i="2"/>
  <c r="J100" i="4" s="1"/>
  <c r="J102" i="2"/>
  <c r="J102" i="4" s="1"/>
  <c r="J104" i="2"/>
  <c r="J104" i="4" s="1"/>
  <c r="J106" i="2"/>
  <c r="J106" i="4" s="1"/>
  <c r="J108" i="2"/>
  <c r="J108" i="4" s="1"/>
  <c r="J110" i="2"/>
  <c r="J110" i="4" s="1"/>
  <c r="J112" i="2"/>
  <c r="J112" i="4" s="1"/>
  <c r="J114" i="2"/>
  <c r="J114" i="4" s="1"/>
  <c r="J116" i="2"/>
  <c r="J116" i="4" s="1"/>
  <c r="J118" i="2"/>
  <c r="J118" i="4" s="1"/>
  <c r="J120" i="2"/>
  <c r="J120" i="4" s="1"/>
  <c r="J122" i="2"/>
  <c r="J122" i="4" s="1"/>
  <c r="J124" i="2"/>
  <c r="J124" i="4" s="1"/>
  <c r="J126" i="2"/>
  <c r="J126" i="4" s="1"/>
  <c r="J128" i="2"/>
  <c r="J128" i="4" s="1"/>
  <c r="J130" i="2"/>
  <c r="J130" i="4" s="1"/>
  <c r="J132" i="2"/>
  <c r="J132" i="4" s="1"/>
  <c r="J134" i="2"/>
  <c r="J134" i="4" s="1"/>
  <c r="J136" i="2"/>
  <c r="J136" i="4" s="1"/>
  <c r="J138" i="2"/>
  <c r="J138" i="4" s="1"/>
  <c r="J140" i="2"/>
  <c r="J140" i="4" s="1"/>
  <c r="J142" i="2"/>
  <c r="J142" i="4" s="1"/>
  <c r="J144" i="2"/>
  <c r="J144" i="4" s="1"/>
  <c r="J146" i="2"/>
  <c r="J146" i="4" s="1"/>
  <c r="J148" i="2"/>
  <c r="J148" i="4" s="1"/>
  <c r="J150" i="2"/>
  <c r="J150" i="4" s="1"/>
  <c r="J152" i="2"/>
  <c r="J152" i="4" s="1"/>
  <c r="J154" i="2"/>
  <c r="J154" i="4" s="1"/>
  <c r="J156" i="2"/>
  <c r="J156" i="4" s="1"/>
  <c r="J158" i="2"/>
  <c r="J158" i="4" s="1"/>
  <c r="J160" i="2"/>
  <c r="J160" i="4" s="1"/>
  <c r="J162" i="2"/>
  <c r="J162" i="4" s="1"/>
  <c r="J164" i="2"/>
  <c r="J164" i="4" s="1"/>
  <c r="J166" i="2"/>
  <c r="J166" i="4" s="1"/>
  <c r="J168" i="2"/>
  <c r="J168" i="4" s="1"/>
  <c r="J170" i="2"/>
  <c r="J170" i="4" s="1"/>
  <c r="J172" i="2"/>
  <c r="J172" i="4" s="1"/>
  <c r="J174" i="2"/>
  <c r="J174" i="4" s="1"/>
  <c r="J176" i="2"/>
  <c r="J176" i="4" s="1"/>
  <c r="J178" i="2"/>
  <c r="J178" i="4" s="1"/>
  <c r="J180" i="2"/>
  <c r="J180" i="4" s="1"/>
  <c r="J182" i="2"/>
  <c r="J182" i="4" s="1"/>
  <c r="J184" i="2"/>
  <c r="J184" i="4" s="1"/>
  <c r="J186" i="2"/>
  <c r="J186" i="4" s="1"/>
  <c r="J188" i="2"/>
  <c r="J188" i="4" s="1"/>
  <c r="J1007" i="4"/>
  <c r="J1048" i="4"/>
  <c r="J1056" i="4"/>
  <c r="J1064" i="4"/>
  <c r="J1068" i="4"/>
  <c r="J1072" i="4"/>
  <c r="J1076" i="4"/>
  <c r="J1080" i="4"/>
  <c r="J1084" i="4"/>
  <c r="J1088" i="4"/>
  <c r="J1092" i="4"/>
  <c r="J1096" i="4"/>
  <c r="J1100" i="4"/>
  <c r="J1104" i="4"/>
  <c r="J1108" i="4"/>
  <c r="J1112" i="4"/>
  <c r="J1116" i="4"/>
  <c r="J1120" i="4"/>
  <c r="J1124" i="4"/>
  <c r="J1128" i="4"/>
  <c r="J1132" i="4"/>
  <c r="J1136" i="4"/>
  <c r="J1140" i="4"/>
  <c r="J1144" i="4"/>
  <c r="J1148" i="4"/>
  <c r="J1152" i="4"/>
  <c r="J1156" i="4"/>
  <c r="J1160" i="4"/>
  <c r="J1164" i="4"/>
  <c r="J1168" i="4"/>
  <c r="J1172" i="4"/>
  <c r="J1176" i="4"/>
  <c r="J1180" i="4"/>
  <c r="J1184" i="4"/>
  <c r="J1188" i="4"/>
  <c r="J1192" i="4"/>
  <c r="J1196" i="4"/>
  <c r="J1200" i="4"/>
  <c r="J1204" i="4"/>
  <c r="J1208" i="4"/>
  <c r="J1212" i="4"/>
  <c r="J1216" i="4"/>
  <c r="J1220" i="4"/>
  <c r="J1224" i="4"/>
  <c r="J1228" i="4"/>
  <c r="J1232" i="4"/>
  <c r="J1236" i="4"/>
  <c r="J1240" i="4"/>
  <c r="J1244" i="4"/>
  <c r="J1248" i="4"/>
  <c r="J1252" i="4"/>
  <c r="J1256" i="4"/>
  <c r="J1260" i="4"/>
  <c r="J1264" i="4"/>
  <c r="J1268" i="4"/>
  <c r="J1272" i="4"/>
  <c r="J1276" i="4"/>
  <c r="J1280" i="4"/>
  <c r="J1284" i="4"/>
  <c r="J1288" i="4"/>
  <c r="J1292" i="4"/>
  <c r="J1296" i="4"/>
  <c r="J1300" i="4"/>
  <c r="J1304" i="4"/>
  <c r="J1308" i="4"/>
  <c r="J1312" i="4"/>
  <c r="J1316" i="4"/>
  <c r="J1320" i="4"/>
  <c r="J1324" i="4"/>
  <c r="J1328" i="4"/>
  <c r="J1332" i="4"/>
  <c r="J1336" i="4"/>
  <c r="J1340" i="4"/>
  <c r="J1344" i="4"/>
  <c r="J1348" i="4"/>
  <c r="J1352" i="4"/>
  <c r="J1356" i="4"/>
  <c r="J1360" i="4"/>
  <c r="J1364" i="4"/>
  <c r="J1368" i="4"/>
  <c r="J1372" i="4"/>
  <c r="J1376" i="4"/>
  <c r="J1380" i="4"/>
  <c r="J1384" i="4"/>
  <c r="J1388" i="4"/>
  <c r="J1392" i="4"/>
  <c r="J1396" i="4"/>
  <c r="J1400" i="4"/>
  <c r="J1403" i="4"/>
  <c r="J1408" i="4"/>
  <c r="J1411" i="4"/>
  <c r="J1416" i="4"/>
  <c r="J1419" i="4"/>
  <c r="J1424" i="4"/>
  <c r="J1427" i="4"/>
  <c r="J1432" i="4"/>
  <c r="J1435" i="4"/>
  <c r="J1440" i="4"/>
  <c r="J1443" i="4"/>
  <c r="J1448" i="4"/>
  <c r="J1451" i="4"/>
  <c r="J1456" i="4"/>
  <c r="J1459" i="4"/>
  <c r="J1464" i="4"/>
  <c r="J1467" i="4"/>
  <c r="J1472" i="4"/>
  <c r="J1475" i="4"/>
  <c r="J1480" i="4"/>
  <c r="J1046" i="4"/>
  <c r="J1054" i="4"/>
  <c r="J1062" i="4"/>
  <c r="J1067" i="4"/>
  <c r="J1071" i="4"/>
  <c r="J1075" i="4"/>
  <c r="J1079" i="4"/>
  <c r="J1083" i="4"/>
  <c r="J1087" i="4"/>
  <c r="J1091" i="4"/>
  <c r="J1095" i="4"/>
  <c r="J1099" i="4"/>
  <c r="J1103" i="4"/>
  <c r="J1107" i="4"/>
  <c r="J1111" i="4"/>
  <c r="J1115" i="4"/>
  <c r="J1119" i="4"/>
  <c r="J1123" i="4"/>
  <c r="J1127" i="4"/>
  <c r="J1131" i="4"/>
  <c r="J1135" i="4"/>
  <c r="J1139" i="4"/>
  <c r="J1143" i="4"/>
  <c r="J1147" i="4"/>
  <c r="J1151" i="4"/>
  <c r="J1155" i="4"/>
  <c r="J1159" i="4"/>
  <c r="J1163" i="4"/>
  <c r="J1167" i="4"/>
  <c r="J1171" i="4"/>
  <c r="J1175" i="4"/>
  <c r="J1179" i="4"/>
  <c r="J1183" i="4"/>
  <c r="J1187" i="4"/>
  <c r="J1191" i="4"/>
  <c r="J1195" i="4"/>
  <c r="J1199" i="4"/>
  <c r="J1203" i="4"/>
  <c r="J1207" i="4"/>
  <c r="J1211" i="4"/>
  <c r="J1215" i="4"/>
  <c r="J1219" i="4"/>
  <c r="J1223" i="4"/>
  <c r="J1227" i="4"/>
  <c r="J1231" i="4"/>
  <c r="J1235" i="4"/>
  <c r="J1239" i="4"/>
  <c r="J1243" i="4"/>
  <c r="J1247" i="4"/>
  <c r="J1251" i="4"/>
  <c r="J1255" i="4"/>
  <c r="J1259" i="4"/>
  <c r="J1263" i="4"/>
  <c r="J1267" i="4"/>
  <c r="J1271" i="4"/>
  <c r="J1275" i="4"/>
  <c r="J1279" i="4"/>
  <c r="J1283" i="4"/>
  <c r="J1287" i="4"/>
  <c r="J1291" i="4"/>
  <c r="J1295" i="4"/>
  <c r="J1299" i="4"/>
  <c r="J1303" i="4"/>
  <c r="J1307" i="4"/>
  <c r="J1311" i="4"/>
  <c r="J1315" i="4"/>
  <c r="J1319" i="4"/>
  <c r="J1323" i="4"/>
  <c r="J1327" i="4"/>
  <c r="J1331" i="4"/>
  <c r="J1335" i="4"/>
  <c r="J1339" i="4"/>
  <c r="J1343" i="4"/>
  <c r="J1347" i="4"/>
  <c r="J1351" i="4"/>
  <c r="J1355" i="4"/>
  <c r="J1359" i="4"/>
  <c r="J1363" i="4"/>
  <c r="J1367" i="4"/>
  <c r="J1371" i="4"/>
  <c r="J1375" i="4"/>
  <c r="J1379" i="4"/>
  <c r="J1383" i="4"/>
  <c r="J1387" i="4"/>
  <c r="J1391" i="4"/>
  <c r="J1395" i="4"/>
  <c r="J1399" i="4"/>
  <c r="J1402" i="4"/>
  <c r="J1405" i="4"/>
  <c r="J1410" i="4"/>
  <c r="J1413" i="4"/>
  <c r="J1418" i="4"/>
  <c r="J1421" i="4"/>
  <c r="J1426" i="4"/>
  <c r="J1429" i="4"/>
  <c r="J1434" i="4"/>
  <c r="J1437" i="4"/>
  <c r="J1442" i="4"/>
  <c r="J1445" i="4"/>
  <c r="J1450" i="4"/>
  <c r="J1453" i="4"/>
  <c r="J1458" i="4"/>
  <c r="J1461" i="4"/>
  <c r="J1466" i="4"/>
  <c r="J1469" i="4"/>
  <c r="J1474" i="4"/>
  <c r="J1477" i="4"/>
  <c r="J1482" i="4"/>
  <c r="J1484" i="4"/>
  <c r="J1486" i="4"/>
  <c r="J1488" i="4"/>
  <c r="J1490" i="4"/>
  <c r="J1492" i="4"/>
  <c r="J1494" i="4"/>
  <c r="J1496" i="4"/>
  <c r="J1498" i="4"/>
  <c r="J1500" i="4"/>
  <c r="J1502" i="4"/>
  <c r="J1504" i="4"/>
  <c r="J1506" i="4"/>
  <c r="J1508" i="4"/>
  <c r="J1510" i="4"/>
  <c r="J1512" i="4"/>
  <c r="J1514" i="4"/>
  <c r="J1516" i="4"/>
  <c r="J1518" i="4"/>
  <c r="J1520" i="4"/>
  <c r="J1522" i="4"/>
  <c r="J1524" i="4"/>
  <c r="J1526" i="4"/>
  <c r="J1528" i="4"/>
  <c r="J1530" i="4"/>
  <c r="J1532" i="4"/>
  <c r="J1534" i="4"/>
  <c r="J1536" i="4"/>
  <c r="J1538" i="4"/>
  <c r="J1540" i="4"/>
  <c r="J1542" i="4"/>
  <c r="J1544" i="4"/>
  <c r="J1546" i="4"/>
  <c r="J1548" i="4"/>
  <c r="J1550" i="4"/>
  <c r="J1552" i="4"/>
  <c r="J1554" i="4"/>
  <c r="J1556" i="4"/>
  <c r="J1558" i="4"/>
  <c r="J1560" i="4"/>
  <c r="J1562" i="4"/>
  <c r="J1564" i="4"/>
  <c r="J1566" i="4"/>
  <c r="J1568" i="4"/>
  <c r="J1570" i="4"/>
  <c r="J1572" i="4"/>
  <c r="J1574" i="4"/>
  <c r="J1576" i="4"/>
  <c r="J1578" i="4"/>
  <c r="J1580" i="4"/>
  <c r="J1582" i="4"/>
  <c r="J1584" i="4"/>
  <c r="J1586" i="4"/>
  <c r="J1588" i="4"/>
  <c r="J1590" i="4"/>
  <c r="J1592" i="4"/>
  <c r="J1594" i="4"/>
  <c r="J1596" i="4"/>
  <c r="J1598" i="4"/>
  <c r="J1600" i="4"/>
  <c r="J1602" i="4"/>
  <c r="J1604" i="4"/>
  <c r="J1606" i="4"/>
  <c r="J1608" i="4"/>
  <c r="J1610" i="4"/>
  <c r="J1612" i="4"/>
  <c r="J1614" i="4"/>
  <c r="J1616" i="4"/>
  <c r="J1618" i="4"/>
  <c r="J1620" i="4"/>
  <c r="J1622" i="4"/>
  <c r="J1624" i="4"/>
  <c r="J1626" i="4"/>
  <c r="J1628" i="4"/>
  <c r="J1630" i="4"/>
  <c r="J1632" i="4"/>
  <c r="J1634" i="4"/>
  <c r="J1636" i="4"/>
  <c r="J1638" i="4"/>
  <c r="J1640" i="4"/>
  <c r="J1642" i="4"/>
  <c r="J1644" i="4"/>
  <c r="J1646" i="4"/>
  <c r="J1648" i="4"/>
  <c r="J1650" i="4"/>
  <c r="J1652" i="4"/>
  <c r="J1654" i="4"/>
  <c r="J1656" i="4"/>
  <c r="J1658" i="4"/>
  <c r="J1660" i="4"/>
  <c r="J1662" i="4"/>
  <c r="J1664" i="4"/>
  <c r="J1666" i="4"/>
  <c r="J1668" i="4"/>
  <c r="J1670" i="4"/>
  <c r="J1672" i="4"/>
  <c r="J1674" i="4"/>
  <c r="J1676" i="4"/>
  <c r="J1678" i="4"/>
  <c r="J1680" i="4"/>
  <c r="J1682" i="4"/>
  <c r="J1684" i="4"/>
  <c r="J1686" i="4"/>
  <c r="J1688" i="4"/>
  <c r="J1690" i="4"/>
  <c r="J1692" i="4"/>
  <c r="J1694" i="4"/>
  <c r="J1696" i="4"/>
  <c r="J1698" i="4"/>
  <c r="J1700" i="4"/>
  <c r="J1702" i="4"/>
  <c r="J1704" i="4"/>
  <c r="J1706" i="4"/>
  <c r="J1708" i="4"/>
  <c r="J1710" i="4"/>
  <c r="J1712" i="4"/>
  <c r="J1714" i="4"/>
  <c r="J1716" i="4"/>
  <c r="J1718" i="4"/>
  <c r="J1720" i="4"/>
  <c r="J1722" i="4"/>
  <c r="J1724" i="4"/>
  <c r="J1726" i="4"/>
  <c r="J1728" i="4"/>
  <c r="J1730" i="4"/>
  <c r="J1732" i="4"/>
  <c r="J1734" i="4"/>
  <c r="J1736" i="4"/>
  <c r="J1738" i="4"/>
  <c r="J1740" i="4"/>
  <c r="J1742" i="4"/>
  <c r="J1744" i="4"/>
  <c r="J1746" i="4"/>
  <c r="J1748" i="4"/>
  <c r="J1750" i="4"/>
  <c r="J1752" i="4"/>
  <c r="J1754" i="4"/>
  <c r="J1756" i="4"/>
  <c r="J1758" i="4"/>
  <c r="J1760" i="4"/>
  <c r="J1762" i="4"/>
  <c r="J1764" i="4"/>
  <c r="J1766" i="4"/>
  <c r="J1768" i="4"/>
  <c r="J1770" i="4"/>
  <c r="J1772" i="4"/>
  <c r="J1774" i="4"/>
  <c r="J1776" i="4"/>
  <c r="J1778" i="4"/>
  <c r="J1780" i="4"/>
  <c r="J1782" i="4"/>
  <c r="J1784" i="4"/>
  <c r="J1786" i="4"/>
  <c r="J1788" i="4"/>
  <c r="J1790" i="4"/>
  <c r="J1792" i="4"/>
  <c r="J1794" i="4"/>
  <c r="J1796" i="4"/>
  <c r="J1798" i="4"/>
  <c r="J1800" i="4"/>
  <c r="J1802" i="4"/>
  <c r="J1804" i="4"/>
  <c r="J1806" i="4"/>
  <c r="J1808" i="4"/>
  <c r="J1810" i="4"/>
  <c r="J1812" i="4"/>
  <c r="J1814" i="4"/>
  <c r="J1816" i="4"/>
  <c r="J1818" i="4"/>
  <c r="J1820" i="4"/>
  <c r="J1822" i="4"/>
  <c r="J1824" i="4"/>
  <c r="J1826" i="4"/>
  <c r="J1828" i="4"/>
  <c r="J1830" i="4"/>
  <c r="J1832" i="4"/>
  <c r="J1834" i="4"/>
  <c r="J1836" i="4"/>
  <c r="J1838" i="4"/>
  <c r="J1840" i="4"/>
  <c r="J1842" i="4"/>
  <c r="J1844" i="4"/>
  <c r="J1846" i="4"/>
  <c r="J1848" i="4"/>
  <c r="J1850" i="4"/>
  <c r="J1852" i="4"/>
  <c r="J1854" i="4"/>
  <c r="J1856" i="4"/>
  <c r="J1858" i="4"/>
  <c r="J1860" i="4"/>
  <c r="J1862" i="4"/>
  <c r="J1864" i="4"/>
  <c r="J1866" i="4"/>
  <c r="J1868" i="4"/>
  <c r="J1870" i="4"/>
  <c r="J1872" i="4"/>
  <c r="J1874" i="4"/>
  <c r="J1876" i="4"/>
  <c r="J1878" i="4"/>
  <c r="J1880" i="4"/>
  <c r="J1882" i="4"/>
  <c r="J1884" i="4"/>
  <c r="J1886" i="4"/>
  <c r="J1888" i="4"/>
  <c r="J1890" i="4"/>
  <c r="J1892" i="4"/>
  <c r="J1894" i="4"/>
  <c r="J1896" i="4"/>
  <c r="J1898" i="4"/>
  <c r="J1900" i="4"/>
  <c r="J1902" i="4"/>
  <c r="J1904" i="4"/>
  <c r="J1906" i="4"/>
  <c r="J1908" i="4"/>
  <c r="J1910" i="4"/>
  <c r="J1912" i="4"/>
  <c r="J1914" i="4"/>
  <c r="J1916" i="4"/>
  <c r="J1918" i="4"/>
  <c r="J1920" i="4"/>
  <c r="J1922" i="4"/>
  <c r="J1924" i="4"/>
  <c r="J1926" i="4"/>
  <c r="J1928" i="4"/>
  <c r="J1930" i="4"/>
  <c r="J1932" i="4"/>
  <c r="J1934" i="4"/>
  <c r="J1936" i="4"/>
  <c r="J1938" i="4"/>
  <c r="J1940" i="4"/>
  <c r="J1942" i="4"/>
  <c r="J1944" i="4"/>
  <c r="J1946" i="4"/>
  <c r="J1948" i="4"/>
  <c r="J1950" i="4"/>
  <c r="J1952" i="4"/>
  <c r="J1954" i="4"/>
  <c r="J1956" i="4"/>
  <c r="J1958" i="4"/>
  <c r="J1960" i="4"/>
  <c r="J1962" i="4"/>
  <c r="J1964" i="4"/>
  <c r="J1966" i="4"/>
  <c r="J1968" i="4"/>
  <c r="J1970" i="4"/>
  <c r="J1972" i="4"/>
  <c r="J1974" i="4"/>
  <c r="J1976" i="4"/>
  <c r="J1978" i="4"/>
  <c r="J1980" i="4"/>
  <c r="J1982" i="4"/>
  <c r="J1984" i="4"/>
  <c r="J1986" i="4"/>
  <c r="J1988" i="4"/>
  <c r="J1990" i="4"/>
  <c r="J1992" i="4"/>
  <c r="J1994" i="4"/>
  <c r="J1996" i="4"/>
  <c r="J1998" i="4"/>
  <c r="J2000" i="4"/>
  <c r="J1052" i="4"/>
  <c r="J1060" i="4"/>
  <c r="J1066" i="4"/>
  <c r="J1070" i="4"/>
  <c r="J1074" i="4"/>
  <c r="J1078" i="4"/>
  <c r="J1082" i="4"/>
  <c r="J1086" i="4"/>
  <c r="J1090" i="4"/>
  <c r="J1094" i="4"/>
  <c r="J1098" i="4"/>
  <c r="J1102" i="4"/>
  <c r="J1106" i="4"/>
  <c r="J1110" i="4"/>
  <c r="J1114" i="4"/>
  <c r="J1118" i="4"/>
  <c r="J1122" i="4"/>
  <c r="J1126" i="4"/>
  <c r="J1130" i="4"/>
  <c r="J1134" i="4"/>
  <c r="J1138" i="4"/>
  <c r="J1142" i="4"/>
  <c r="J1146" i="4"/>
  <c r="J1150" i="4"/>
  <c r="J1154" i="4"/>
  <c r="J1158" i="4"/>
  <c r="J1162" i="4"/>
  <c r="J1166" i="4"/>
  <c r="J1170" i="4"/>
  <c r="J1174" i="4"/>
  <c r="J1178" i="4"/>
  <c r="J1182" i="4"/>
  <c r="J1186" i="4"/>
  <c r="J1190" i="4"/>
  <c r="J1194" i="4"/>
  <c r="J1198" i="4"/>
  <c r="J1202" i="4"/>
  <c r="J1206" i="4"/>
  <c r="J1210" i="4"/>
  <c r="J1214" i="4"/>
  <c r="J1218" i="4"/>
  <c r="J1222" i="4"/>
  <c r="J1226" i="4"/>
  <c r="J1230" i="4"/>
  <c r="J1234" i="4"/>
  <c r="J1238" i="4"/>
  <c r="J1242" i="4"/>
  <c r="J1246" i="4"/>
  <c r="J1250" i="4"/>
  <c r="J1254" i="4"/>
  <c r="J1258" i="4"/>
  <c r="J1262" i="4"/>
  <c r="J1266" i="4"/>
  <c r="J1270" i="4"/>
  <c r="J1274" i="4"/>
  <c r="J1278" i="4"/>
  <c r="J1282" i="4"/>
  <c r="J1286" i="4"/>
  <c r="J1290" i="4"/>
  <c r="J1294" i="4"/>
  <c r="J1298" i="4"/>
  <c r="J1302" i="4"/>
  <c r="J1306" i="4"/>
  <c r="J1310" i="4"/>
  <c r="J1314" i="4"/>
  <c r="J1318" i="4"/>
  <c r="J1322" i="4"/>
  <c r="J1326" i="4"/>
  <c r="J1330" i="4"/>
  <c r="J1334" i="4"/>
  <c r="J1338" i="4"/>
  <c r="J1342" i="4"/>
  <c r="J1346" i="4"/>
  <c r="J1350" i="4"/>
  <c r="J1354" i="4"/>
  <c r="J1358" i="4"/>
  <c r="J1362" i="4"/>
  <c r="J1366" i="4"/>
  <c r="J1370" i="4"/>
  <c r="J1374" i="4"/>
  <c r="J1378" i="4"/>
  <c r="J1382" i="4"/>
  <c r="J1386" i="4"/>
  <c r="J1390" i="4"/>
  <c r="J1394" i="4"/>
  <c r="J1398" i="4"/>
  <c r="J1404" i="4"/>
  <c r="J1407" i="4"/>
  <c r="J1412" i="4"/>
  <c r="J1415" i="4"/>
  <c r="J1420" i="4"/>
  <c r="J1423" i="4"/>
  <c r="J1428" i="4"/>
  <c r="J1431" i="4"/>
  <c r="J1436" i="4"/>
  <c r="J1439" i="4"/>
  <c r="J1444" i="4"/>
  <c r="J1447" i="4"/>
  <c r="J1452" i="4"/>
  <c r="J1455" i="4"/>
  <c r="J1460" i="4"/>
  <c r="J1463" i="4"/>
  <c r="J1468" i="4"/>
  <c r="J1471" i="4"/>
  <c r="J1476" i="4"/>
  <c r="J1479" i="4"/>
  <c r="N90" i="1"/>
  <c r="J1050" i="4"/>
  <c r="J1058" i="4"/>
  <c r="J1065" i="4"/>
  <c r="J1069" i="4"/>
  <c r="J1073" i="4"/>
  <c r="J1077" i="4"/>
  <c r="J1081" i="4"/>
  <c r="J1085" i="4"/>
  <c r="J1089" i="4"/>
  <c r="J1093" i="4"/>
  <c r="J1097" i="4"/>
  <c r="J1101" i="4"/>
  <c r="J1105" i="4"/>
  <c r="J1109" i="4"/>
  <c r="J1113" i="4"/>
  <c r="J1117" i="4"/>
  <c r="J1121" i="4"/>
  <c r="J1125" i="4"/>
  <c r="J1129" i="4"/>
  <c r="J1133" i="4"/>
  <c r="J1137" i="4"/>
  <c r="J1141" i="4"/>
  <c r="J1145" i="4"/>
  <c r="J1149" i="4"/>
  <c r="J1153" i="4"/>
  <c r="J1157" i="4"/>
  <c r="J1161" i="4"/>
  <c r="J1165" i="4"/>
  <c r="J1169" i="4"/>
  <c r="J1173" i="4"/>
  <c r="J1177" i="4"/>
  <c r="J1181" i="4"/>
  <c r="J1185" i="4"/>
  <c r="J1189" i="4"/>
  <c r="J1193" i="4"/>
  <c r="J1197" i="4"/>
  <c r="J1201" i="4"/>
  <c r="J1205" i="4"/>
  <c r="J1209" i="4"/>
  <c r="J1213" i="4"/>
  <c r="J1217" i="4"/>
  <c r="J1221" i="4"/>
  <c r="J1225" i="4"/>
  <c r="J1229" i="4"/>
  <c r="J1233" i="4"/>
  <c r="J1237" i="4"/>
  <c r="J1241" i="4"/>
  <c r="J1245" i="4"/>
  <c r="J1249" i="4"/>
  <c r="J1253" i="4"/>
  <c r="J1257" i="4"/>
  <c r="J1261" i="4"/>
  <c r="J1265" i="4"/>
  <c r="J1269" i="4"/>
  <c r="J1273" i="4"/>
  <c r="J1277" i="4"/>
  <c r="J1281" i="4"/>
  <c r="J1285" i="4"/>
  <c r="J1289" i="4"/>
  <c r="J1293" i="4"/>
  <c r="J1297" i="4"/>
  <c r="J1301" i="4"/>
  <c r="J1305" i="4"/>
  <c r="J1309" i="4"/>
  <c r="J1313" i="4"/>
  <c r="J1317" i="4"/>
  <c r="J1321" i="4"/>
  <c r="J1325" i="4"/>
  <c r="J1329" i="4"/>
  <c r="J1333" i="4"/>
  <c r="J1337" i="4"/>
  <c r="J1341" i="4"/>
  <c r="J1345" i="4"/>
  <c r="J1349" i="4"/>
  <c r="J1353" i="4"/>
  <c r="J1357" i="4"/>
  <c r="J1361" i="4"/>
  <c r="J1365" i="4"/>
  <c r="J1369" i="4"/>
  <c r="J1373" i="4"/>
  <c r="J1377" i="4"/>
  <c r="J1381" i="4"/>
  <c r="J1385" i="4"/>
  <c r="J1389" i="4"/>
  <c r="J1393" i="4"/>
  <c r="J1397" i="4"/>
  <c r="J1401" i="4"/>
  <c r="J1406" i="4"/>
  <c r="J1409" i="4"/>
  <c r="J1414" i="4"/>
  <c r="J1417" i="4"/>
  <c r="J1422" i="4"/>
  <c r="J1425" i="4"/>
  <c r="J1430" i="4"/>
  <c r="J1433" i="4"/>
  <c r="J1438" i="4"/>
  <c r="J1441" i="4"/>
  <c r="J1446" i="4"/>
  <c r="J1449" i="4"/>
  <c r="J1454" i="4"/>
  <c r="J1457" i="4"/>
  <c r="J1462" i="4"/>
  <c r="J1465" i="4"/>
  <c r="J1470" i="4"/>
  <c r="J1473" i="4"/>
  <c r="J1478" i="4"/>
  <c r="J1481" i="4"/>
  <c r="J1483" i="4"/>
  <c r="J1485" i="4"/>
  <c r="J1487" i="4"/>
  <c r="J1489" i="4"/>
  <c r="J1491" i="4"/>
  <c r="J1493" i="4"/>
  <c r="J1495" i="4"/>
  <c r="J1497" i="4"/>
  <c r="J1499" i="4"/>
  <c r="J1501" i="4"/>
  <c r="J1503" i="4"/>
  <c r="J1505" i="4"/>
  <c r="J1507" i="4"/>
  <c r="J1509" i="4"/>
  <c r="J1511" i="4"/>
  <c r="J1513" i="4"/>
  <c r="J1515" i="4"/>
  <c r="J1517" i="4"/>
  <c r="J1519" i="4"/>
  <c r="J1521" i="4"/>
  <c r="J1523" i="4"/>
  <c r="J1525" i="4"/>
  <c r="J1527" i="4"/>
  <c r="J1529" i="4"/>
  <c r="J1531" i="4"/>
  <c r="J1533" i="4"/>
  <c r="J1535" i="4"/>
  <c r="J1537" i="4"/>
  <c r="J1539" i="4"/>
  <c r="J1541" i="4"/>
  <c r="J1543" i="4"/>
  <c r="J1545" i="4"/>
  <c r="J1547" i="4"/>
  <c r="J1549" i="4"/>
  <c r="J1551" i="4"/>
  <c r="J1553" i="4"/>
  <c r="J1555" i="4"/>
  <c r="J1557" i="4"/>
  <c r="J1559" i="4"/>
  <c r="J1561" i="4"/>
  <c r="J1563" i="4"/>
  <c r="J1565" i="4"/>
  <c r="J1567" i="4"/>
  <c r="J1569" i="4"/>
  <c r="J1571" i="4"/>
  <c r="J1573" i="4"/>
  <c r="J1575" i="4"/>
  <c r="J1577" i="4"/>
  <c r="J1579" i="4"/>
  <c r="J1581" i="4"/>
  <c r="J1583" i="4"/>
  <c r="J1585" i="4"/>
  <c r="J1587" i="4"/>
  <c r="J1589" i="4"/>
  <c r="J1591" i="4"/>
  <c r="J1593" i="4"/>
  <c r="J1595" i="4"/>
  <c r="J1597" i="4"/>
  <c r="J1599" i="4"/>
  <c r="J1601" i="4"/>
  <c r="J1603" i="4"/>
  <c r="J1605" i="4"/>
  <c r="J1607" i="4"/>
  <c r="J1609" i="4"/>
  <c r="J1611" i="4"/>
  <c r="J1613" i="4"/>
  <c r="J1615" i="4"/>
  <c r="J1617" i="4"/>
  <c r="J1619" i="4"/>
  <c r="J1621" i="4"/>
  <c r="J1623" i="4"/>
  <c r="J1625" i="4"/>
  <c r="J1627" i="4"/>
  <c r="J1629" i="4"/>
  <c r="J1631" i="4"/>
  <c r="J1633" i="4"/>
  <c r="J1635" i="4"/>
  <c r="J1637" i="4"/>
  <c r="J1639" i="4"/>
  <c r="J1641" i="4"/>
  <c r="J1643" i="4"/>
  <c r="J1645" i="4"/>
  <c r="J1647" i="4"/>
  <c r="J1649" i="4"/>
  <c r="J1651" i="4"/>
  <c r="J1653" i="4"/>
  <c r="J1655" i="4"/>
  <c r="J1657" i="4"/>
  <c r="J1659" i="4"/>
  <c r="J1661" i="4"/>
  <c r="J1663" i="4"/>
  <c r="J1665" i="4"/>
  <c r="J1667" i="4"/>
  <c r="J1669" i="4"/>
  <c r="J1671" i="4"/>
  <c r="J1673" i="4"/>
  <c r="J1675" i="4"/>
  <c r="J1677" i="4"/>
  <c r="J1679" i="4"/>
  <c r="J1681" i="4"/>
  <c r="J1683" i="4"/>
  <c r="J1685" i="4"/>
  <c r="J1687" i="4"/>
  <c r="J1689" i="4"/>
  <c r="J1691" i="4"/>
  <c r="J1693" i="4"/>
  <c r="J1695" i="4"/>
  <c r="J1697" i="4"/>
  <c r="J1699" i="4"/>
  <c r="J1701" i="4"/>
  <c r="J1703" i="4"/>
  <c r="J1705" i="4"/>
  <c r="J1707" i="4"/>
  <c r="J1709" i="4"/>
  <c r="J1711" i="4"/>
  <c r="J1713" i="4"/>
  <c r="J1715" i="4"/>
  <c r="J1717" i="4"/>
  <c r="J1719" i="4"/>
  <c r="J1721" i="4"/>
  <c r="J1723" i="4"/>
  <c r="J1725" i="4"/>
  <c r="J1727" i="4"/>
  <c r="J1729" i="4"/>
  <c r="J1731" i="4"/>
  <c r="J1733" i="4"/>
  <c r="J1735" i="4"/>
  <c r="J1737" i="4"/>
  <c r="J1739" i="4"/>
  <c r="J1741" i="4"/>
  <c r="J1743" i="4"/>
  <c r="J1745" i="4"/>
  <c r="J1747" i="4"/>
  <c r="J1749" i="4"/>
  <c r="J1751" i="4"/>
  <c r="J1753" i="4"/>
  <c r="J1755" i="4"/>
  <c r="J1757" i="4"/>
  <c r="J1759" i="4"/>
  <c r="J1761" i="4"/>
  <c r="J1763" i="4"/>
  <c r="J1765" i="4"/>
  <c r="J1767" i="4"/>
  <c r="J1769" i="4"/>
  <c r="J1771" i="4"/>
  <c r="J1773" i="4"/>
  <c r="J1775" i="4"/>
  <c r="J1777" i="4"/>
  <c r="J1779" i="4"/>
  <c r="J1781" i="4"/>
  <c r="J1783" i="4"/>
  <c r="J1785" i="4"/>
  <c r="J1787" i="4"/>
  <c r="J1789" i="4"/>
  <c r="J1791" i="4"/>
  <c r="J1793" i="4"/>
  <c r="J1795" i="4"/>
  <c r="J1797" i="4"/>
  <c r="J1799" i="4"/>
  <c r="J1801" i="4"/>
  <c r="J1803" i="4"/>
  <c r="J1805" i="4"/>
  <c r="J1807" i="4"/>
  <c r="J1809" i="4"/>
  <c r="J1811" i="4"/>
  <c r="J1813" i="4"/>
  <c r="J1815" i="4"/>
  <c r="J1817" i="4"/>
  <c r="J1819" i="4"/>
  <c r="J1821" i="4"/>
  <c r="J1823" i="4"/>
  <c r="J1825" i="4"/>
  <c r="J1827" i="4"/>
  <c r="J1829" i="4"/>
  <c r="J1831" i="4"/>
  <c r="J1833" i="4"/>
  <c r="J1835" i="4"/>
  <c r="J1837" i="4"/>
  <c r="J1839" i="4"/>
  <c r="J1841" i="4"/>
  <c r="J1843" i="4"/>
  <c r="J1845" i="4"/>
  <c r="J1847" i="4"/>
  <c r="J1849" i="4"/>
  <c r="J1851" i="4"/>
  <c r="J1853" i="4"/>
  <c r="J1855" i="4"/>
  <c r="J1857" i="4"/>
  <c r="J1859" i="4"/>
  <c r="J1861" i="4"/>
  <c r="J1863" i="4"/>
  <c r="J1865" i="4"/>
  <c r="J1867" i="4"/>
  <c r="J1869" i="4"/>
  <c r="J1871" i="4"/>
  <c r="J1873" i="4"/>
  <c r="J1875" i="4"/>
  <c r="J1877" i="4"/>
  <c r="J1879" i="4"/>
  <c r="J1881" i="4"/>
  <c r="J1883" i="4"/>
  <c r="J1885" i="4"/>
  <c r="J1887" i="4"/>
  <c r="J1889" i="4"/>
  <c r="J1891" i="4"/>
  <c r="J1893" i="4"/>
  <c r="J1895" i="4"/>
  <c r="J1897" i="4"/>
  <c r="J1899" i="4"/>
  <c r="J1901" i="4"/>
  <c r="J1903" i="4"/>
  <c r="J1905" i="4"/>
  <c r="J1907" i="4"/>
  <c r="J1909" i="4"/>
  <c r="J1911" i="4"/>
  <c r="J1913" i="4"/>
  <c r="J1915" i="4"/>
  <c r="J1917" i="4"/>
  <c r="J1919" i="4"/>
  <c r="J1921" i="4"/>
  <c r="J1923" i="4"/>
  <c r="J1925" i="4"/>
  <c r="J1927" i="4"/>
  <c r="J1929" i="4"/>
  <c r="J1931" i="4"/>
  <c r="J1933" i="4"/>
  <c r="J1935" i="4"/>
  <c r="J1937" i="4"/>
  <c r="J1939" i="4"/>
  <c r="J1941" i="4"/>
  <c r="J1943" i="4"/>
  <c r="J1945" i="4"/>
  <c r="J1947" i="4"/>
  <c r="J1949" i="4"/>
  <c r="J1951" i="4"/>
  <c r="J1953" i="4"/>
  <c r="J1955" i="4"/>
  <c r="J1957" i="4"/>
  <c r="J1959" i="4"/>
  <c r="J1961" i="4"/>
  <c r="J1963" i="4"/>
  <c r="J1965" i="4"/>
  <c r="J1967" i="4"/>
  <c r="J1969" i="4"/>
  <c r="J1971" i="4"/>
  <c r="J1973" i="4"/>
  <c r="J1975" i="4"/>
  <c r="J1977" i="4"/>
  <c r="J1979" i="4"/>
  <c r="J1981" i="4"/>
  <c r="J1983" i="4"/>
  <c r="J1985" i="4"/>
  <c r="J1987" i="4"/>
  <c r="J1989" i="4"/>
  <c r="J1991" i="4"/>
  <c r="J1993" i="4"/>
  <c r="J1995" i="4"/>
  <c r="J1997" i="4"/>
  <c r="J1999" i="4"/>
  <c r="O90" i="1"/>
  <c r="N199" i="1"/>
  <c r="O199" i="1"/>
  <c r="N195" i="1"/>
  <c r="O195" i="1"/>
  <c r="N191" i="1"/>
  <c r="O191" i="1"/>
  <c r="N187" i="1"/>
  <c r="O187" i="1"/>
  <c r="N183" i="1"/>
  <c r="O183" i="1"/>
  <c r="N179" i="1"/>
  <c r="O179" i="1"/>
  <c r="N175" i="1"/>
  <c r="O175" i="1"/>
  <c r="N171" i="1"/>
  <c r="O171" i="1"/>
  <c r="N167" i="1"/>
  <c r="O167" i="1"/>
  <c r="N163" i="1"/>
  <c r="O163" i="1"/>
  <c r="N159" i="1"/>
  <c r="O159" i="1"/>
  <c r="N155" i="1"/>
  <c r="O155" i="1"/>
  <c r="N151" i="1"/>
  <c r="O151" i="1"/>
  <c r="N147" i="1"/>
  <c r="O147" i="1"/>
  <c r="N143" i="1"/>
  <c r="O143" i="1"/>
  <c r="N139" i="1"/>
  <c r="O139" i="1"/>
  <c r="N135" i="1"/>
  <c r="O135" i="1"/>
  <c r="N131" i="1"/>
  <c r="O131" i="1"/>
  <c r="N127" i="1"/>
  <c r="O127" i="1"/>
  <c r="N123" i="1"/>
  <c r="O123" i="1"/>
  <c r="N119" i="1"/>
  <c r="O119" i="1"/>
  <c r="N115" i="1"/>
  <c r="O115" i="1"/>
  <c r="N111" i="1"/>
  <c r="O111" i="1"/>
  <c r="N107" i="1"/>
  <c r="O107" i="1"/>
  <c r="N103" i="1"/>
  <c r="O103" i="1"/>
  <c r="N99" i="1"/>
  <c r="O99" i="1"/>
  <c r="N95" i="1"/>
  <c r="O95" i="1"/>
  <c r="N91" i="1"/>
  <c r="O91" i="1"/>
  <c r="X200" i="4"/>
  <c r="X198" i="4"/>
  <c r="X196" i="4"/>
  <c r="X194" i="4"/>
  <c r="X192" i="4"/>
  <c r="X190" i="4"/>
  <c r="X188" i="4"/>
  <c r="X186" i="4"/>
  <c r="X184" i="4"/>
  <c r="X182" i="4"/>
  <c r="X180" i="4"/>
  <c r="X178" i="4"/>
  <c r="X176" i="4"/>
  <c r="X174" i="4"/>
  <c r="X172" i="4"/>
  <c r="X170" i="4"/>
  <c r="X168" i="4"/>
  <c r="X166" i="4"/>
  <c r="X164" i="4"/>
  <c r="X162" i="4"/>
  <c r="X160" i="4"/>
  <c r="X158" i="4"/>
  <c r="X156" i="4"/>
  <c r="X154" i="4"/>
  <c r="X152" i="4"/>
  <c r="X150" i="4"/>
  <c r="X148" i="4"/>
  <c r="X146" i="4"/>
  <c r="X144" i="4"/>
  <c r="X142" i="4"/>
  <c r="X138" i="4"/>
  <c r="X136" i="4"/>
  <c r="X134" i="4"/>
  <c r="X130" i="4"/>
  <c r="X128" i="4"/>
  <c r="X126" i="4"/>
  <c r="X122" i="4"/>
  <c r="X120" i="4"/>
  <c r="X118" i="4"/>
  <c r="X114" i="4"/>
  <c r="X112" i="4"/>
  <c r="X108" i="4"/>
  <c r="X104" i="4"/>
  <c r="X100" i="4"/>
  <c r="X76" i="4"/>
  <c r="X60" i="4"/>
  <c r="X44" i="4"/>
  <c r="X12" i="4"/>
  <c r="K1059" i="4"/>
  <c r="L1059" i="4" s="1"/>
  <c r="K1071" i="4"/>
  <c r="L1071" i="4" s="1"/>
  <c r="K1043" i="4"/>
  <c r="L1043" i="4" s="1"/>
  <c r="K1055" i="4"/>
  <c r="L1055" i="4" s="1"/>
  <c r="K1027" i="4"/>
  <c r="L1027" i="4" s="1"/>
  <c r="K1039" i="4"/>
  <c r="L1039" i="4" s="1"/>
  <c r="K1031" i="4"/>
  <c r="L1031" i="4" s="1"/>
  <c r="K1063" i="4"/>
  <c r="L1063" i="4" s="1"/>
  <c r="K1047" i="4"/>
  <c r="L1047" i="4" s="1"/>
  <c r="K1007" i="4"/>
  <c r="L1007" i="4" s="1"/>
  <c r="K1009" i="4"/>
  <c r="L1009" i="4" s="1"/>
  <c r="K1011" i="4"/>
  <c r="L1011" i="4" s="1"/>
  <c r="K1013" i="4"/>
  <c r="L1013" i="4" s="1"/>
  <c r="K1015" i="4"/>
  <c r="L1015" i="4" s="1"/>
  <c r="K1017" i="4"/>
  <c r="L1017" i="4" s="1"/>
  <c r="K1019" i="4"/>
  <c r="L1019" i="4" s="1"/>
  <c r="K1021" i="4"/>
  <c r="L1021" i="4" s="1"/>
  <c r="K1023" i="4"/>
  <c r="L1023" i="4" s="1"/>
  <c r="K1025" i="4"/>
  <c r="L1025" i="4" s="1"/>
  <c r="K1028" i="4"/>
  <c r="L1028" i="4" s="1"/>
  <c r="K1032" i="4"/>
  <c r="L1032" i="4" s="1"/>
  <c r="K1036" i="4"/>
  <c r="L1036" i="4" s="1"/>
  <c r="K1040" i="4"/>
  <c r="L1040" i="4" s="1"/>
  <c r="K1044" i="4"/>
  <c r="L1044" i="4" s="1"/>
  <c r="K1048" i="4"/>
  <c r="L1048" i="4" s="1"/>
  <c r="K1052" i="4"/>
  <c r="L1052" i="4" s="1"/>
  <c r="K1056" i="4"/>
  <c r="L1056" i="4" s="1"/>
  <c r="K1060" i="4"/>
  <c r="L1060" i="4" s="1"/>
  <c r="K1064" i="4"/>
  <c r="L1064" i="4" s="1"/>
  <c r="K1068" i="4"/>
  <c r="L1068" i="4" s="1"/>
  <c r="K1072" i="4"/>
  <c r="L1072" i="4" s="1"/>
  <c r="K1076" i="4"/>
  <c r="L1076" i="4" s="1"/>
  <c r="K1080" i="4"/>
  <c r="L1080" i="4" s="1"/>
  <c r="K1084" i="4"/>
  <c r="L1084" i="4" s="1"/>
  <c r="K1088" i="4"/>
  <c r="L1088" i="4" s="1"/>
  <c r="K1092" i="4"/>
  <c r="L1092" i="4" s="1"/>
  <c r="K1096" i="4"/>
  <c r="L1096" i="4" s="1"/>
  <c r="K1100" i="4"/>
  <c r="L1100" i="4" s="1"/>
  <c r="K1104" i="4"/>
  <c r="L1104" i="4" s="1"/>
  <c r="K1108" i="4"/>
  <c r="L1108" i="4" s="1"/>
  <c r="K1112" i="4"/>
  <c r="L1112" i="4" s="1"/>
  <c r="K1116" i="4"/>
  <c r="L1116" i="4" s="1"/>
  <c r="K1120" i="4"/>
  <c r="L1120" i="4" s="1"/>
  <c r="K1124" i="4"/>
  <c r="L1124" i="4" s="1"/>
  <c r="K1128" i="4"/>
  <c r="L1128" i="4" s="1"/>
  <c r="K1132" i="4"/>
  <c r="L1132" i="4" s="1"/>
  <c r="K1136" i="4"/>
  <c r="L1136" i="4" s="1"/>
  <c r="K1140" i="4"/>
  <c r="L1140" i="4" s="1"/>
  <c r="K1144" i="4"/>
  <c r="L1144" i="4" s="1"/>
  <c r="K1148" i="4"/>
  <c r="L1148" i="4" s="1"/>
  <c r="K1152" i="4"/>
  <c r="L1152" i="4" s="1"/>
  <c r="K1156" i="4"/>
  <c r="L1156" i="4" s="1"/>
  <c r="K1160" i="4"/>
  <c r="L1160" i="4" s="1"/>
  <c r="K1164" i="4"/>
  <c r="L1164" i="4" s="1"/>
  <c r="K1168" i="4"/>
  <c r="L1168" i="4" s="1"/>
  <c r="K1172" i="4"/>
  <c r="L1172" i="4" s="1"/>
  <c r="K1176" i="4"/>
  <c r="L1176" i="4" s="1"/>
  <c r="K1180" i="4"/>
  <c r="L1180" i="4" s="1"/>
  <c r="K1184" i="4"/>
  <c r="L1184" i="4" s="1"/>
  <c r="K1188" i="4"/>
  <c r="L1188" i="4" s="1"/>
  <c r="K1192" i="4"/>
  <c r="L1192" i="4" s="1"/>
  <c r="K1196" i="4"/>
  <c r="L1196" i="4" s="1"/>
  <c r="K1200" i="4"/>
  <c r="L1200" i="4" s="1"/>
  <c r="K1204" i="4"/>
  <c r="L1204" i="4" s="1"/>
  <c r="K1208" i="4"/>
  <c r="L1208" i="4" s="1"/>
  <c r="K1212" i="4"/>
  <c r="L1212" i="4" s="1"/>
  <c r="K1216" i="4"/>
  <c r="L1216" i="4" s="1"/>
  <c r="K1220" i="4"/>
  <c r="L1220" i="4" s="1"/>
  <c r="K1006" i="4"/>
  <c r="L1006" i="4" s="1"/>
  <c r="K1008" i="4"/>
  <c r="L1008" i="4" s="1"/>
  <c r="K1010" i="4"/>
  <c r="L1010" i="4" s="1"/>
  <c r="K1012" i="4"/>
  <c r="L1012" i="4" s="1"/>
  <c r="K1014" i="4"/>
  <c r="L1014" i="4" s="1"/>
  <c r="K1016" i="4"/>
  <c r="L1016" i="4" s="1"/>
  <c r="K1018" i="4"/>
  <c r="L1018" i="4" s="1"/>
  <c r="K1020" i="4"/>
  <c r="L1020" i="4" s="1"/>
  <c r="K1022" i="4"/>
  <c r="L1022" i="4" s="1"/>
  <c r="K1024" i="4"/>
  <c r="L1024" i="4" s="1"/>
  <c r="K1026" i="4"/>
  <c r="L1026" i="4" s="1"/>
  <c r="K1030" i="4"/>
  <c r="L1030" i="4" s="1"/>
  <c r="K1034" i="4"/>
  <c r="L1034" i="4" s="1"/>
  <c r="K1038" i="4"/>
  <c r="L1038" i="4" s="1"/>
  <c r="K1042" i="4"/>
  <c r="L1042" i="4" s="1"/>
  <c r="K1046" i="4"/>
  <c r="L1046" i="4" s="1"/>
  <c r="K1050" i="4"/>
  <c r="L1050" i="4" s="1"/>
  <c r="K1054" i="4"/>
  <c r="L1054" i="4" s="1"/>
  <c r="K1058" i="4"/>
  <c r="L1058" i="4" s="1"/>
  <c r="K1062" i="4"/>
  <c r="L1062" i="4" s="1"/>
  <c r="K1066" i="4"/>
  <c r="L1066" i="4" s="1"/>
  <c r="K1070" i="4"/>
  <c r="L1070" i="4" s="1"/>
  <c r="K1074" i="4"/>
  <c r="L1074" i="4" s="1"/>
  <c r="K1078" i="4"/>
  <c r="L1078" i="4" s="1"/>
  <c r="K1082" i="4"/>
  <c r="L1082" i="4" s="1"/>
  <c r="K1086" i="4"/>
  <c r="L1086" i="4" s="1"/>
  <c r="K1090" i="4"/>
  <c r="L1090" i="4" s="1"/>
  <c r="K1094" i="4"/>
  <c r="L1094" i="4" s="1"/>
  <c r="K1098" i="4"/>
  <c r="L1098" i="4" s="1"/>
  <c r="K1102" i="4"/>
  <c r="L1102" i="4" s="1"/>
  <c r="K1106" i="4"/>
  <c r="L1106" i="4" s="1"/>
  <c r="K1110" i="4"/>
  <c r="L1110" i="4" s="1"/>
  <c r="K1114" i="4"/>
  <c r="L1114" i="4" s="1"/>
  <c r="K1118" i="4"/>
  <c r="L1118" i="4" s="1"/>
  <c r="K1122" i="4"/>
  <c r="L1122" i="4" s="1"/>
  <c r="K1126" i="4"/>
  <c r="L1126" i="4" s="1"/>
  <c r="K1130" i="4"/>
  <c r="L1130" i="4" s="1"/>
  <c r="K1134" i="4"/>
  <c r="L1134" i="4" s="1"/>
  <c r="K1138" i="4"/>
  <c r="L1138" i="4" s="1"/>
  <c r="K1142" i="4"/>
  <c r="L1142" i="4" s="1"/>
  <c r="K1146" i="4"/>
  <c r="L1146" i="4" s="1"/>
  <c r="K1150" i="4"/>
  <c r="L1150" i="4" s="1"/>
  <c r="K1154" i="4"/>
  <c r="L1154" i="4" s="1"/>
  <c r="K1158" i="4"/>
  <c r="L1158" i="4" s="1"/>
  <c r="K1162" i="4"/>
  <c r="L1162" i="4" s="1"/>
  <c r="K1166" i="4"/>
  <c r="L1166" i="4" s="1"/>
  <c r="K1170" i="4"/>
  <c r="L1170" i="4" s="1"/>
  <c r="K1174" i="4"/>
  <c r="L1174" i="4" s="1"/>
  <c r="K1178" i="4"/>
  <c r="L1178" i="4" s="1"/>
  <c r="K1182" i="4"/>
  <c r="L1182" i="4" s="1"/>
  <c r="K1186" i="4"/>
  <c r="L1186" i="4" s="1"/>
  <c r="K1190" i="4"/>
  <c r="L1190" i="4" s="1"/>
  <c r="K1194" i="4"/>
  <c r="L1194" i="4" s="1"/>
  <c r="K1198" i="4"/>
  <c r="L1198" i="4" s="1"/>
  <c r="K1202" i="4"/>
  <c r="L1202" i="4" s="1"/>
  <c r="K1206" i="4"/>
  <c r="L1206" i="4" s="1"/>
  <c r="K1210" i="4"/>
  <c r="L1210" i="4" s="1"/>
  <c r="K1214" i="4"/>
  <c r="L1214" i="4" s="1"/>
  <c r="K1218" i="4"/>
  <c r="L1218" i="4" s="1"/>
  <c r="K1222" i="4"/>
  <c r="L1222" i="4" s="1"/>
  <c r="K1029" i="4"/>
  <c r="L1029" i="4" s="1"/>
  <c r="K1033" i="4"/>
  <c r="L1033" i="4" s="1"/>
  <c r="K1037" i="4"/>
  <c r="L1037" i="4" s="1"/>
  <c r="K1041" i="4"/>
  <c r="L1041" i="4" s="1"/>
  <c r="K1045" i="4"/>
  <c r="L1045" i="4" s="1"/>
  <c r="K1049" i="4"/>
  <c r="L1049" i="4" s="1"/>
  <c r="K1053" i="4"/>
  <c r="L1053" i="4" s="1"/>
  <c r="K1057" i="4"/>
  <c r="L1057" i="4" s="1"/>
  <c r="K1061" i="4"/>
  <c r="L1061" i="4" s="1"/>
  <c r="K1065" i="4"/>
  <c r="L1065" i="4" s="1"/>
  <c r="K1069" i="4"/>
  <c r="L1069" i="4" s="1"/>
  <c r="K1073" i="4"/>
  <c r="L1073" i="4" s="1"/>
  <c r="K1077" i="4"/>
  <c r="L1077" i="4" s="1"/>
  <c r="K1081" i="4"/>
  <c r="L1081" i="4" s="1"/>
  <c r="K1085" i="4"/>
  <c r="L1085" i="4" s="1"/>
  <c r="K1089" i="4"/>
  <c r="L1089" i="4" s="1"/>
  <c r="K1093" i="4"/>
  <c r="L1093" i="4" s="1"/>
  <c r="K1097" i="4"/>
  <c r="L1097" i="4" s="1"/>
  <c r="K1101" i="4"/>
  <c r="L1101" i="4" s="1"/>
  <c r="K1105" i="4"/>
  <c r="L1105" i="4" s="1"/>
  <c r="K1109" i="4"/>
  <c r="L1109" i="4" s="1"/>
  <c r="K1113" i="4"/>
  <c r="L1113" i="4" s="1"/>
  <c r="K1117" i="4"/>
  <c r="L1117" i="4" s="1"/>
  <c r="K1121" i="4"/>
  <c r="L1121" i="4" s="1"/>
  <c r="K1125" i="4"/>
  <c r="L1125" i="4" s="1"/>
  <c r="K1129" i="4"/>
  <c r="L1129" i="4" s="1"/>
  <c r="K1133" i="4"/>
  <c r="L1133" i="4" s="1"/>
  <c r="K1137" i="4"/>
  <c r="L1137" i="4" s="1"/>
  <c r="K1141" i="4"/>
  <c r="L1141" i="4" s="1"/>
  <c r="K1145" i="4"/>
  <c r="L1145" i="4" s="1"/>
  <c r="K1149" i="4"/>
  <c r="L1149" i="4" s="1"/>
  <c r="K1153" i="4"/>
  <c r="L1153" i="4" s="1"/>
  <c r="K1157" i="4"/>
  <c r="L1157" i="4" s="1"/>
  <c r="K1161" i="4"/>
  <c r="L1161" i="4" s="1"/>
  <c r="K1165" i="4"/>
  <c r="L1165" i="4" s="1"/>
  <c r="K1169" i="4"/>
  <c r="L1169" i="4" s="1"/>
  <c r="K1173" i="4"/>
  <c r="L1173" i="4" s="1"/>
  <c r="K1177" i="4"/>
  <c r="L1177" i="4" s="1"/>
  <c r="K1181" i="4"/>
  <c r="L1181" i="4" s="1"/>
  <c r="K1185" i="4"/>
  <c r="L1185" i="4" s="1"/>
  <c r="K1189" i="4"/>
  <c r="L1189" i="4" s="1"/>
  <c r="K1193" i="4"/>
  <c r="L1193" i="4" s="1"/>
  <c r="K1197" i="4"/>
  <c r="L1197" i="4" s="1"/>
  <c r="K1201" i="4"/>
  <c r="L1201" i="4" s="1"/>
  <c r="K1205" i="4"/>
  <c r="L1205" i="4" s="1"/>
  <c r="K1209" i="4"/>
  <c r="L1209" i="4" s="1"/>
  <c r="K1213" i="4"/>
  <c r="L1213" i="4" s="1"/>
  <c r="K1217" i="4"/>
  <c r="L1217" i="4" s="1"/>
  <c r="K1221" i="4"/>
  <c r="L1221" i="4" s="1"/>
  <c r="O169" i="1"/>
  <c r="N169" i="1"/>
  <c r="J203" i="2"/>
  <c r="O177" i="1"/>
  <c r="N177" i="1"/>
  <c r="O141" i="1"/>
  <c r="N141" i="1"/>
  <c r="O189" i="1"/>
  <c r="O193" i="1"/>
  <c r="O185" i="1"/>
  <c r="N185" i="1"/>
  <c r="O173" i="1"/>
  <c r="O161" i="1"/>
  <c r="N161" i="1"/>
  <c r="O149" i="1"/>
  <c r="N149" i="1"/>
  <c r="O125" i="1"/>
  <c r="N125" i="1"/>
  <c r="N133" i="1"/>
  <c r="N117" i="1"/>
  <c r="N101" i="1"/>
  <c r="N109" i="1"/>
  <c r="N93" i="1"/>
  <c r="X7" i="4" l="1"/>
  <c r="X116" i="4"/>
  <c r="X132" i="4"/>
  <c r="X124" i="4"/>
  <c r="X140" i="4"/>
  <c r="X102" i="4"/>
  <c r="Q102" i="4"/>
  <c r="X98" i="4"/>
  <c r="Q98" i="4"/>
  <c r="X92" i="4"/>
  <c r="X74" i="4"/>
  <c r="Q74" i="4"/>
  <c r="X50" i="4"/>
  <c r="Q50" i="4"/>
  <c r="X28" i="4"/>
  <c r="X14" i="4"/>
  <c r="Q14" i="4"/>
  <c r="K101" i="4"/>
  <c r="L191" i="2"/>
  <c r="L191" i="4" s="1"/>
  <c r="I27" i="1"/>
  <c r="X34" i="4"/>
  <c r="X82" i="4"/>
  <c r="X110" i="4"/>
  <c r="X66" i="4"/>
  <c r="X90" i="4"/>
  <c r="L179" i="2"/>
  <c r="L179" i="4" s="1"/>
  <c r="L99" i="2"/>
  <c r="L99" i="4" s="1"/>
  <c r="I72" i="1"/>
  <c r="X199" i="4"/>
  <c r="X191" i="4"/>
  <c r="X187" i="4"/>
  <c r="X179" i="4"/>
  <c r="X175" i="4"/>
  <c r="X167" i="4"/>
  <c r="X163" i="4"/>
  <c r="X155" i="4"/>
  <c r="X151" i="4"/>
  <c r="X139" i="4"/>
  <c r="X127" i="4"/>
  <c r="X115" i="4"/>
  <c r="X103" i="4"/>
  <c r="W1007" i="4"/>
  <c r="S75" i="1"/>
  <c r="R75" i="1" s="1"/>
  <c r="U75" i="1" s="1"/>
  <c r="S79" i="1"/>
  <c r="R79" i="1" s="1"/>
  <c r="U79" i="1" s="1"/>
  <c r="S83" i="1"/>
  <c r="R83" i="1" s="1"/>
  <c r="U83" i="1" s="1"/>
  <c r="S87" i="1"/>
  <c r="R87" i="1" s="1"/>
  <c r="U87" i="1" s="1"/>
  <c r="S91" i="1"/>
  <c r="R91" i="1" s="1"/>
  <c r="U91" i="1" s="1"/>
  <c r="S95" i="1"/>
  <c r="R95" i="1" s="1"/>
  <c r="U95" i="1" s="1"/>
  <c r="S99" i="1"/>
  <c r="R99" i="1" s="1"/>
  <c r="U99" i="1" s="1"/>
  <c r="S103" i="1"/>
  <c r="R103" i="1" s="1"/>
  <c r="U103" i="1" s="1"/>
  <c r="S107" i="1"/>
  <c r="R107" i="1" s="1"/>
  <c r="U107" i="1" s="1"/>
  <c r="S111" i="1"/>
  <c r="R111" i="1" s="1"/>
  <c r="U111" i="1" s="1"/>
  <c r="S115" i="1"/>
  <c r="R115" i="1" s="1"/>
  <c r="U115" i="1" s="1"/>
  <c r="S119" i="1"/>
  <c r="R119" i="1" s="1"/>
  <c r="U119" i="1" s="1"/>
  <c r="S123" i="1"/>
  <c r="R123" i="1" s="1"/>
  <c r="U123" i="1" s="1"/>
  <c r="S127" i="1"/>
  <c r="R127" i="1" s="1"/>
  <c r="U127" i="1" s="1"/>
  <c r="S131" i="1"/>
  <c r="R131" i="1" s="1"/>
  <c r="U131" i="1" s="1"/>
  <c r="S135" i="1"/>
  <c r="R135" i="1" s="1"/>
  <c r="U135" i="1" s="1"/>
  <c r="S139" i="1"/>
  <c r="R139" i="1" s="1"/>
  <c r="U139" i="1" s="1"/>
  <c r="S143" i="1"/>
  <c r="R143" i="1" s="1"/>
  <c r="U143" i="1" s="1"/>
  <c r="S147" i="1"/>
  <c r="R147" i="1" s="1"/>
  <c r="U147" i="1" s="1"/>
  <c r="S151" i="1"/>
  <c r="R151" i="1" s="1"/>
  <c r="U151" i="1" s="1"/>
  <c r="S155" i="1"/>
  <c r="R155" i="1" s="1"/>
  <c r="U155" i="1" s="1"/>
  <c r="S159" i="1"/>
  <c r="R159" i="1" s="1"/>
  <c r="U159" i="1" s="1"/>
  <c r="S163" i="1"/>
  <c r="R163" i="1" s="1"/>
  <c r="U163" i="1" s="1"/>
  <c r="S167" i="1"/>
  <c r="R167" i="1" s="1"/>
  <c r="U167" i="1" s="1"/>
  <c r="S171" i="1"/>
  <c r="R171" i="1" s="1"/>
  <c r="U171" i="1" s="1"/>
  <c r="S175" i="1"/>
  <c r="R175" i="1" s="1"/>
  <c r="U175" i="1" s="1"/>
  <c r="S179" i="1"/>
  <c r="R179" i="1" s="1"/>
  <c r="U179" i="1" s="1"/>
  <c r="S183" i="1"/>
  <c r="R183" i="1" s="1"/>
  <c r="U183" i="1" s="1"/>
  <c r="S187" i="1"/>
  <c r="R187" i="1" s="1"/>
  <c r="U187" i="1" s="1"/>
  <c r="S191" i="1"/>
  <c r="R191" i="1" s="1"/>
  <c r="U191" i="1" s="1"/>
  <c r="S195" i="1"/>
  <c r="R195" i="1" s="1"/>
  <c r="U195" i="1" s="1"/>
  <c r="S199" i="1"/>
  <c r="R199" i="1" s="1"/>
  <c r="U199" i="1" s="1"/>
  <c r="S76" i="1"/>
  <c r="R76" i="1" s="1"/>
  <c r="U76" i="1" s="1"/>
  <c r="S80" i="1"/>
  <c r="R80" i="1" s="1"/>
  <c r="U80" i="1" s="1"/>
  <c r="S84" i="1"/>
  <c r="R84" i="1" s="1"/>
  <c r="U84" i="1" s="1"/>
  <c r="S88" i="1"/>
  <c r="R88" i="1" s="1"/>
  <c r="U88" i="1" s="1"/>
  <c r="S92" i="1"/>
  <c r="R92" i="1" s="1"/>
  <c r="U92" i="1" s="1"/>
  <c r="S96" i="1"/>
  <c r="R96" i="1" s="1"/>
  <c r="U96" i="1" s="1"/>
  <c r="S100" i="1"/>
  <c r="R100" i="1" s="1"/>
  <c r="U100" i="1" s="1"/>
  <c r="S104" i="1"/>
  <c r="R104" i="1" s="1"/>
  <c r="U104" i="1" s="1"/>
  <c r="S108" i="1"/>
  <c r="R108" i="1" s="1"/>
  <c r="U108" i="1" s="1"/>
  <c r="S112" i="1"/>
  <c r="R112" i="1" s="1"/>
  <c r="U112" i="1" s="1"/>
  <c r="S116" i="1"/>
  <c r="R116" i="1" s="1"/>
  <c r="U116" i="1" s="1"/>
  <c r="S120" i="1"/>
  <c r="R120" i="1" s="1"/>
  <c r="U120" i="1" s="1"/>
  <c r="S124" i="1"/>
  <c r="R124" i="1" s="1"/>
  <c r="U124" i="1" s="1"/>
  <c r="S128" i="1"/>
  <c r="R128" i="1" s="1"/>
  <c r="U128" i="1" s="1"/>
  <c r="S132" i="1"/>
  <c r="R132" i="1" s="1"/>
  <c r="U132" i="1" s="1"/>
  <c r="S136" i="1"/>
  <c r="R136" i="1" s="1"/>
  <c r="U136" i="1" s="1"/>
  <c r="S140" i="1"/>
  <c r="R140" i="1" s="1"/>
  <c r="U140" i="1" s="1"/>
  <c r="S144" i="1"/>
  <c r="R144" i="1" s="1"/>
  <c r="U144" i="1" s="1"/>
  <c r="S148" i="1"/>
  <c r="R148" i="1" s="1"/>
  <c r="U148" i="1" s="1"/>
  <c r="S152" i="1"/>
  <c r="R152" i="1" s="1"/>
  <c r="U152" i="1" s="1"/>
  <c r="S156" i="1"/>
  <c r="R156" i="1" s="1"/>
  <c r="U156" i="1" s="1"/>
  <c r="S160" i="1"/>
  <c r="R160" i="1" s="1"/>
  <c r="U160" i="1" s="1"/>
  <c r="S164" i="1"/>
  <c r="R164" i="1" s="1"/>
  <c r="U164" i="1" s="1"/>
  <c r="S168" i="1"/>
  <c r="R168" i="1" s="1"/>
  <c r="U168" i="1" s="1"/>
  <c r="S172" i="1"/>
  <c r="R172" i="1" s="1"/>
  <c r="U172" i="1" s="1"/>
  <c r="S176" i="1"/>
  <c r="R176" i="1" s="1"/>
  <c r="U176" i="1" s="1"/>
  <c r="S180" i="1"/>
  <c r="R180" i="1" s="1"/>
  <c r="U180" i="1" s="1"/>
  <c r="S184" i="1"/>
  <c r="R184" i="1" s="1"/>
  <c r="U184" i="1" s="1"/>
  <c r="S188" i="1"/>
  <c r="R188" i="1" s="1"/>
  <c r="U188" i="1" s="1"/>
  <c r="S192" i="1"/>
  <c r="R192" i="1" s="1"/>
  <c r="U192" i="1" s="1"/>
  <c r="S196" i="1"/>
  <c r="R196" i="1" s="1"/>
  <c r="U196" i="1" s="1"/>
  <c r="S200" i="1"/>
  <c r="R200" i="1" s="1"/>
  <c r="U200" i="1" s="1"/>
  <c r="S73" i="1"/>
  <c r="R73" i="1" s="1"/>
  <c r="U73" i="1" s="1"/>
  <c r="S77" i="1"/>
  <c r="R77" i="1" s="1"/>
  <c r="U77" i="1" s="1"/>
  <c r="S81" i="1"/>
  <c r="R81" i="1" s="1"/>
  <c r="U81" i="1" s="1"/>
  <c r="S85" i="1"/>
  <c r="R85" i="1" s="1"/>
  <c r="U85" i="1" s="1"/>
  <c r="S89" i="1"/>
  <c r="R89" i="1" s="1"/>
  <c r="U89" i="1" s="1"/>
  <c r="S93" i="1"/>
  <c r="R93" i="1" s="1"/>
  <c r="U93" i="1" s="1"/>
  <c r="S97" i="1"/>
  <c r="R97" i="1" s="1"/>
  <c r="U97" i="1" s="1"/>
  <c r="S101" i="1"/>
  <c r="R101" i="1" s="1"/>
  <c r="U101" i="1" s="1"/>
  <c r="S105" i="1"/>
  <c r="R105" i="1" s="1"/>
  <c r="U105" i="1" s="1"/>
  <c r="S109" i="1"/>
  <c r="R109" i="1" s="1"/>
  <c r="U109" i="1" s="1"/>
  <c r="S113" i="1"/>
  <c r="R113" i="1" s="1"/>
  <c r="U113" i="1" s="1"/>
  <c r="S117" i="1"/>
  <c r="R117" i="1" s="1"/>
  <c r="U117" i="1" s="1"/>
  <c r="S121" i="1"/>
  <c r="R121" i="1" s="1"/>
  <c r="U121" i="1" s="1"/>
  <c r="S125" i="1"/>
  <c r="R125" i="1" s="1"/>
  <c r="U125" i="1" s="1"/>
  <c r="S129" i="1"/>
  <c r="R129" i="1" s="1"/>
  <c r="U129" i="1" s="1"/>
  <c r="S133" i="1"/>
  <c r="R133" i="1" s="1"/>
  <c r="U133" i="1" s="1"/>
  <c r="S137" i="1"/>
  <c r="R137" i="1" s="1"/>
  <c r="U137" i="1" s="1"/>
  <c r="S141" i="1"/>
  <c r="R141" i="1" s="1"/>
  <c r="U141" i="1" s="1"/>
  <c r="S145" i="1"/>
  <c r="R145" i="1" s="1"/>
  <c r="U145" i="1" s="1"/>
  <c r="S149" i="1"/>
  <c r="R149" i="1" s="1"/>
  <c r="U149" i="1" s="1"/>
  <c r="S153" i="1"/>
  <c r="R153" i="1" s="1"/>
  <c r="U153" i="1" s="1"/>
  <c r="S157" i="1"/>
  <c r="R157" i="1" s="1"/>
  <c r="U157" i="1" s="1"/>
  <c r="S161" i="1"/>
  <c r="R161" i="1" s="1"/>
  <c r="U161" i="1" s="1"/>
  <c r="S165" i="1"/>
  <c r="R165" i="1" s="1"/>
  <c r="U165" i="1" s="1"/>
  <c r="S169" i="1"/>
  <c r="R169" i="1" s="1"/>
  <c r="U169" i="1" s="1"/>
  <c r="S173" i="1"/>
  <c r="R173" i="1" s="1"/>
  <c r="U173" i="1" s="1"/>
  <c r="S177" i="1"/>
  <c r="R177" i="1" s="1"/>
  <c r="U177" i="1" s="1"/>
  <c r="S181" i="1"/>
  <c r="R181" i="1" s="1"/>
  <c r="U181" i="1" s="1"/>
  <c r="S185" i="1"/>
  <c r="R185" i="1" s="1"/>
  <c r="U185" i="1" s="1"/>
  <c r="S189" i="1"/>
  <c r="R189" i="1" s="1"/>
  <c r="U189" i="1" s="1"/>
  <c r="S193" i="1"/>
  <c r="R193" i="1" s="1"/>
  <c r="U193" i="1" s="1"/>
  <c r="S197" i="1"/>
  <c r="R197" i="1" s="1"/>
  <c r="U197" i="1" s="1"/>
  <c r="S74" i="1"/>
  <c r="R74" i="1" s="1"/>
  <c r="U74" i="1" s="1"/>
  <c r="S78" i="1"/>
  <c r="R78" i="1" s="1"/>
  <c r="U78" i="1" s="1"/>
  <c r="S82" i="1"/>
  <c r="R82" i="1" s="1"/>
  <c r="U82" i="1" s="1"/>
  <c r="S86" i="1"/>
  <c r="R86" i="1" s="1"/>
  <c r="U86" i="1" s="1"/>
  <c r="S90" i="1"/>
  <c r="R90" i="1" s="1"/>
  <c r="U90" i="1" s="1"/>
  <c r="S94" i="1"/>
  <c r="R94" i="1" s="1"/>
  <c r="U94" i="1" s="1"/>
  <c r="S98" i="1"/>
  <c r="R98" i="1" s="1"/>
  <c r="U98" i="1" s="1"/>
  <c r="S114" i="1"/>
  <c r="R114" i="1" s="1"/>
  <c r="U114" i="1" s="1"/>
  <c r="S130" i="1"/>
  <c r="R130" i="1" s="1"/>
  <c r="U130" i="1" s="1"/>
  <c r="S146" i="1"/>
  <c r="R146" i="1" s="1"/>
  <c r="U146" i="1" s="1"/>
  <c r="S162" i="1"/>
  <c r="R162" i="1" s="1"/>
  <c r="U162" i="1" s="1"/>
  <c r="S178" i="1"/>
  <c r="R178" i="1" s="1"/>
  <c r="U178" i="1" s="1"/>
  <c r="S194" i="1"/>
  <c r="R194" i="1" s="1"/>
  <c r="U194" i="1" s="1"/>
  <c r="S110" i="1"/>
  <c r="R110" i="1" s="1"/>
  <c r="U110" i="1" s="1"/>
  <c r="S158" i="1"/>
  <c r="R158" i="1" s="1"/>
  <c r="U158" i="1" s="1"/>
  <c r="S102" i="1"/>
  <c r="R102" i="1" s="1"/>
  <c r="U102" i="1" s="1"/>
  <c r="S118" i="1"/>
  <c r="R118" i="1" s="1"/>
  <c r="U118" i="1" s="1"/>
  <c r="S134" i="1"/>
  <c r="R134" i="1" s="1"/>
  <c r="U134" i="1" s="1"/>
  <c r="S150" i="1"/>
  <c r="R150" i="1" s="1"/>
  <c r="U150" i="1" s="1"/>
  <c r="S166" i="1"/>
  <c r="R166" i="1" s="1"/>
  <c r="U166" i="1" s="1"/>
  <c r="S182" i="1"/>
  <c r="R182" i="1" s="1"/>
  <c r="U182" i="1" s="1"/>
  <c r="S198" i="1"/>
  <c r="R198" i="1" s="1"/>
  <c r="U198" i="1" s="1"/>
  <c r="S142" i="1"/>
  <c r="R142" i="1" s="1"/>
  <c r="U142" i="1" s="1"/>
  <c r="S190" i="1"/>
  <c r="R190" i="1" s="1"/>
  <c r="U190" i="1" s="1"/>
  <c r="S106" i="1"/>
  <c r="R106" i="1" s="1"/>
  <c r="U106" i="1" s="1"/>
  <c r="S122" i="1"/>
  <c r="R122" i="1" s="1"/>
  <c r="U122" i="1" s="1"/>
  <c r="S138" i="1"/>
  <c r="R138" i="1" s="1"/>
  <c r="U138" i="1" s="1"/>
  <c r="S154" i="1"/>
  <c r="R154" i="1" s="1"/>
  <c r="U154" i="1" s="1"/>
  <c r="S170" i="1"/>
  <c r="R170" i="1" s="1"/>
  <c r="U170" i="1" s="1"/>
  <c r="S186" i="1"/>
  <c r="R186" i="1" s="1"/>
  <c r="U186" i="1" s="1"/>
  <c r="S126" i="1"/>
  <c r="R126" i="1" s="1"/>
  <c r="U126" i="1" s="1"/>
  <c r="S174" i="1"/>
  <c r="R174" i="1" s="1"/>
  <c r="U174" i="1" s="1"/>
  <c r="S70" i="1"/>
  <c r="R70" i="1" s="1"/>
  <c r="U70" i="1" s="1"/>
  <c r="S37" i="1"/>
  <c r="R37" i="1" s="1"/>
  <c r="U37" i="1" s="1"/>
  <c r="S66" i="1"/>
  <c r="R66" i="1" s="1"/>
  <c r="U66" i="1" s="1"/>
  <c r="S18" i="1"/>
  <c r="R18" i="1" s="1"/>
  <c r="U18" i="1" s="1"/>
  <c r="P3" i="5"/>
  <c r="P4" i="5" s="1"/>
  <c r="N3" i="5" s="1"/>
  <c r="O3" i="5"/>
  <c r="X51" i="4"/>
  <c r="K38" i="4"/>
  <c r="I59" i="1"/>
  <c r="AI55" i="7" s="1"/>
  <c r="K39" i="4"/>
  <c r="K136" i="4"/>
  <c r="L29" i="2"/>
  <c r="L29" i="4" s="1"/>
  <c r="L88" i="2"/>
  <c r="L88" i="4" s="1"/>
  <c r="L119" i="2"/>
  <c r="L119" i="4" s="1"/>
  <c r="I52" i="1"/>
  <c r="I32" i="1"/>
  <c r="AI28" i="7" s="1"/>
  <c r="I19" i="1"/>
  <c r="AI15" i="7" s="1"/>
  <c r="I82" i="1"/>
  <c r="I62" i="1"/>
  <c r="AI58" i="7" s="1"/>
  <c r="I49" i="1"/>
  <c r="AI45" i="7" s="1"/>
  <c r="I36" i="1"/>
  <c r="AI32" i="7" s="1"/>
  <c r="I16" i="1"/>
  <c r="C7" i="3"/>
  <c r="C31" i="3" s="1"/>
  <c r="X88" i="4"/>
  <c r="X197" i="4"/>
  <c r="X193" i="4"/>
  <c r="X185" i="4"/>
  <c r="X181" i="4"/>
  <c r="X173" i="4"/>
  <c r="X169" i="4"/>
  <c r="X161" i="4"/>
  <c r="X157" i="4"/>
  <c r="X145" i="4"/>
  <c r="X133" i="4"/>
  <c r="X121" i="4"/>
  <c r="X109" i="4"/>
  <c r="X20" i="4"/>
  <c r="X45" i="4"/>
  <c r="I88" i="1"/>
  <c r="I68" i="1"/>
  <c r="AI64" i="7" s="1"/>
  <c r="I55" i="1"/>
  <c r="AI51" i="7" s="1"/>
  <c r="I42" i="1"/>
  <c r="I33" i="1"/>
  <c r="I29" i="1"/>
  <c r="AI25" i="7" s="1"/>
  <c r="L41" i="2"/>
  <c r="L41" i="4" s="1"/>
  <c r="K76" i="4"/>
  <c r="I78" i="1"/>
  <c r="I65" i="1"/>
  <c r="I93" i="1"/>
  <c r="L50" i="2"/>
  <c r="L50" i="4" s="1"/>
  <c r="L100" i="2"/>
  <c r="L100" i="4" s="1"/>
  <c r="L27" i="2"/>
  <c r="L27" i="4" s="1"/>
  <c r="K148" i="4"/>
  <c r="C6" i="3"/>
  <c r="C30" i="3" s="1"/>
  <c r="I101" i="1"/>
  <c r="I197" i="1"/>
  <c r="I162" i="1"/>
  <c r="I133" i="1"/>
  <c r="I153" i="1"/>
  <c r="I145" i="1"/>
  <c r="I105" i="1"/>
  <c r="I161" i="1"/>
  <c r="I169" i="1"/>
  <c r="X21" i="4"/>
  <c r="K114" i="4"/>
  <c r="I117" i="1"/>
  <c r="I170" i="1"/>
  <c r="I178" i="1"/>
  <c r="I96" i="1"/>
  <c r="I112" i="1"/>
  <c r="I136" i="1"/>
  <c r="I144" i="1"/>
  <c r="I160" i="1"/>
  <c r="I168" i="1"/>
  <c r="I192" i="1"/>
  <c r="I157" i="1"/>
  <c r="I129" i="1"/>
  <c r="I185" i="1"/>
  <c r="I165" i="1"/>
  <c r="I83" i="1"/>
  <c r="I74" i="1"/>
  <c r="I70" i="1"/>
  <c r="I61" i="1"/>
  <c r="I50" i="1"/>
  <c r="I48" i="1"/>
  <c r="AI44" i="7" s="1"/>
  <c r="I37" i="1"/>
  <c r="I35" i="1"/>
  <c r="AI31" i="7" s="1"/>
  <c r="I24" i="1"/>
  <c r="AI20" i="7" s="1"/>
  <c r="I22" i="1"/>
  <c r="I109" i="1"/>
  <c r="I110" i="1"/>
  <c r="I146" i="1"/>
  <c r="I166" i="1"/>
  <c r="I182" i="1"/>
  <c r="I100" i="1"/>
  <c r="I108" i="1"/>
  <c r="I124" i="1"/>
  <c r="I132" i="1"/>
  <c r="I148" i="1"/>
  <c r="I156" i="1"/>
  <c r="I172" i="1"/>
  <c r="I188" i="1"/>
  <c r="I181" i="1"/>
  <c r="I21" i="1"/>
  <c r="I150" i="1"/>
  <c r="I86" i="1"/>
  <c r="I84" i="1"/>
  <c r="I73" i="1"/>
  <c r="I71" i="1"/>
  <c r="AI67" i="7" s="1"/>
  <c r="I60" i="1"/>
  <c r="AI56" i="7" s="1"/>
  <c r="I58" i="1"/>
  <c r="I47" i="1"/>
  <c r="I38" i="1"/>
  <c r="AI34" i="7" s="1"/>
  <c r="I34" i="1"/>
  <c r="I25" i="1"/>
  <c r="AI21" i="7" s="1"/>
  <c r="I14" i="1"/>
  <c r="I12" i="1"/>
  <c r="U7" i="4"/>
  <c r="U8" i="4" s="1"/>
  <c r="U9" i="4" s="1"/>
  <c r="U10" i="4" s="1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U25" i="4" s="1"/>
  <c r="U26" i="4" s="1"/>
  <c r="U27" i="4" s="1"/>
  <c r="U28" i="4" s="1"/>
  <c r="U29" i="4" s="1"/>
  <c r="U30" i="4" s="1"/>
  <c r="U31" i="4" s="1"/>
  <c r="U32" i="4" s="1"/>
  <c r="U33" i="4" s="1"/>
  <c r="U34" i="4" s="1"/>
  <c r="U35" i="4" s="1"/>
  <c r="U36" i="4" s="1"/>
  <c r="U37" i="4" s="1"/>
  <c r="U38" i="4" s="1"/>
  <c r="U39" i="4" s="1"/>
  <c r="U40" i="4" s="1"/>
  <c r="U41" i="4" s="1"/>
  <c r="U42" i="4" s="1"/>
  <c r="U43" i="4" s="1"/>
  <c r="U44" i="4" s="1"/>
  <c r="U45" i="4" s="1"/>
  <c r="U46" i="4" s="1"/>
  <c r="U47" i="4" s="1"/>
  <c r="U48" i="4" s="1"/>
  <c r="U49" i="4" s="1"/>
  <c r="U50" i="4" s="1"/>
  <c r="U51" i="4" s="1"/>
  <c r="U52" i="4" s="1"/>
  <c r="U53" i="4" s="1"/>
  <c r="U54" i="4" s="1"/>
  <c r="U55" i="4" s="1"/>
  <c r="U56" i="4" s="1"/>
  <c r="U57" i="4" s="1"/>
  <c r="U58" i="4" s="1"/>
  <c r="U59" i="4" s="1"/>
  <c r="U60" i="4" s="1"/>
  <c r="U61" i="4" s="1"/>
  <c r="U62" i="4" s="1"/>
  <c r="U63" i="4" s="1"/>
  <c r="U64" i="4" s="1"/>
  <c r="U65" i="4" s="1"/>
  <c r="U66" i="4" s="1"/>
  <c r="U67" i="4" s="1"/>
  <c r="U68" i="4" s="1"/>
  <c r="U69" i="4" s="1"/>
  <c r="U70" i="4" s="1"/>
  <c r="U71" i="4" s="1"/>
  <c r="U72" i="4" s="1"/>
  <c r="U73" i="4" s="1"/>
  <c r="U74" i="4" s="1"/>
  <c r="U75" i="4" s="1"/>
  <c r="U76" i="4" s="1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U89" i="4" s="1"/>
  <c r="U90" i="4" s="1"/>
  <c r="U91" i="4" s="1"/>
  <c r="U92" i="4" s="1"/>
  <c r="U93" i="4" s="1"/>
  <c r="U94" i="4" s="1"/>
  <c r="U95" i="4" s="1"/>
  <c r="U96" i="4" s="1"/>
  <c r="U97" i="4" s="1"/>
  <c r="U98" i="4" s="1"/>
  <c r="U99" i="4" s="1"/>
  <c r="U100" i="4" s="1"/>
  <c r="U101" i="4" s="1"/>
  <c r="U102" i="4" s="1"/>
  <c r="U103" i="4" s="1"/>
  <c r="U104" i="4" s="1"/>
  <c r="U105" i="4" s="1"/>
  <c r="U106" i="4" s="1"/>
  <c r="U107" i="4" s="1"/>
  <c r="U108" i="4" s="1"/>
  <c r="U109" i="4" s="1"/>
  <c r="U110" i="4" s="1"/>
  <c r="U111" i="4" s="1"/>
  <c r="U112" i="4" s="1"/>
  <c r="U113" i="4" s="1"/>
  <c r="U114" i="4" s="1"/>
  <c r="U115" i="4" s="1"/>
  <c r="U116" i="4" s="1"/>
  <c r="U117" i="4" s="1"/>
  <c r="U118" i="4" s="1"/>
  <c r="U119" i="4" s="1"/>
  <c r="U120" i="4" s="1"/>
  <c r="U121" i="4" s="1"/>
  <c r="U122" i="4" s="1"/>
  <c r="U123" i="4" s="1"/>
  <c r="U124" i="4" s="1"/>
  <c r="U125" i="4" s="1"/>
  <c r="U126" i="4" s="1"/>
  <c r="U127" i="4" s="1"/>
  <c r="U128" i="4" s="1"/>
  <c r="U129" i="4" s="1"/>
  <c r="U130" i="4" s="1"/>
  <c r="U131" i="4" s="1"/>
  <c r="U132" i="4" s="1"/>
  <c r="U133" i="4" s="1"/>
  <c r="U134" i="4" s="1"/>
  <c r="U135" i="4" s="1"/>
  <c r="U136" i="4" s="1"/>
  <c r="U137" i="4" s="1"/>
  <c r="U138" i="4" s="1"/>
  <c r="U139" i="4" s="1"/>
  <c r="U140" i="4" s="1"/>
  <c r="U141" i="4" s="1"/>
  <c r="U142" i="4" s="1"/>
  <c r="U143" i="4" s="1"/>
  <c r="U144" i="4" s="1"/>
  <c r="U145" i="4" s="1"/>
  <c r="U146" i="4" s="1"/>
  <c r="U147" i="4" s="1"/>
  <c r="U148" i="4" s="1"/>
  <c r="U149" i="4" s="1"/>
  <c r="U150" i="4" s="1"/>
  <c r="U151" i="4" s="1"/>
  <c r="U152" i="4" s="1"/>
  <c r="U153" i="4" s="1"/>
  <c r="U154" i="4" s="1"/>
  <c r="U155" i="4" s="1"/>
  <c r="U156" i="4" s="1"/>
  <c r="U157" i="4" s="1"/>
  <c r="U158" i="4" s="1"/>
  <c r="U159" i="4" s="1"/>
  <c r="U160" i="4" s="1"/>
  <c r="U161" i="4" s="1"/>
  <c r="U162" i="4" s="1"/>
  <c r="U163" i="4" s="1"/>
  <c r="U164" i="4" s="1"/>
  <c r="U165" i="4" s="1"/>
  <c r="U166" i="4" s="1"/>
  <c r="U167" i="4" s="1"/>
  <c r="U168" i="4" s="1"/>
  <c r="U169" i="4" s="1"/>
  <c r="U170" i="4" s="1"/>
  <c r="U171" i="4" s="1"/>
  <c r="U172" i="4" s="1"/>
  <c r="U173" i="4" s="1"/>
  <c r="U174" i="4" s="1"/>
  <c r="U175" i="4" s="1"/>
  <c r="U176" i="4" s="1"/>
  <c r="U177" i="4" s="1"/>
  <c r="U178" i="4" s="1"/>
  <c r="U179" i="4" s="1"/>
  <c r="U180" i="4" s="1"/>
  <c r="U181" i="4" s="1"/>
  <c r="U182" i="4" s="1"/>
  <c r="U183" i="4" s="1"/>
  <c r="U184" i="4" s="1"/>
  <c r="U185" i="4" s="1"/>
  <c r="U186" i="4" s="1"/>
  <c r="U187" i="4" s="1"/>
  <c r="U188" i="4" s="1"/>
  <c r="U189" i="4" s="1"/>
  <c r="U190" i="4" s="1"/>
  <c r="U191" i="4" s="1"/>
  <c r="U192" i="4" s="1"/>
  <c r="U193" i="4" s="1"/>
  <c r="U194" i="4" s="1"/>
  <c r="U195" i="4" s="1"/>
  <c r="U196" i="4" s="1"/>
  <c r="U197" i="4" s="1"/>
  <c r="U198" i="4" s="1"/>
  <c r="U199" i="4" s="1"/>
  <c r="U200" i="4" s="1"/>
  <c r="I193" i="1"/>
  <c r="L180" i="2"/>
  <c r="L180" i="4" s="1"/>
  <c r="K35" i="4"/>
  <c r="K46" i="4"/>
  <c r="K144" i="4"/>
  <c r="L49" i="2"/>
  <c r="L49" i="4" s="1"/>
  <c r="L163" i="2"/>
  <c r="L163" i="4" s="1"/>
  <c r="K12" i="4"/>
  <c r="L36" i="2"/>
  <c r="L36" i="4" s="1"/>
  <c r="L95" i="2"/>
  <c r="L95" i="4" s="1"/>
  <c r="K127" i="4"/>
  <c r="L58" i="2"/>
  <c r="L58" i="4" s="1"/>
  <c r="K85" i="4"/>
  <c r="K96" i="4"/>
  <c r="K47" i="4"/>
  <c r="K48" i="4"/>
  <c r="L168" i="2"/>
  <c r="L168" i="4" s="1"/>
  <c r="K199" i="4"/>
  <c r="K82" i="4"/>
  <c r="K107" i="4"/>
  <c r="K60" i="4"/>
  <c r="L132" i="2"/>
  <c r="L132" i="4" s="1"/>
  <c r="K70" i="4"/>
  <c r="K34" i="4"/>
  <c r="L187" i="2"/>
  <c r="L187" i="4" s="1"/>
  <c r="L37" i="2"/>
  <c r="L37" i="4" s="1"/>
  <c r="K151" i="4"/>
  <c r="L73" i="2"/>
  <c r="L73" i="4" s="1"/>
  <c r="K59" i="4"/>
  <c r="K115" i="4"/>
  <c r="K24" i="4"/>
  <c r="K71" i="4"/>
  <c r="K72" i="4"/>
  <c r="K120" i="4"/>
  <c r="K192" i="4"/>
  <c r="K112" i="4"/>
  <c r="L106" i="2"/>
  <c r="L106" i="4" s="1"/>
  <c r="K15" i="4"/>
  <c r="K175" i="4"/>
  <c r="L61" i="2"/>
  <c r="L61" i="4" s="1"/>
  <c r="K94" i="4"/>
  <c r="K97" i="4"/>
  <c r="K83" i="4"/>
  <c r="K84" i="4"/>
  <c r="L156" i="2"/>
  <c r="L156" i="4" s="1"/>
  <c r="K139" i="4"/>
  <c r="A9" i="1"/>
  <c r="I149" i="1"/>
  <c r="I177" i="1"/>
  <c r="I95" i="1"/>
  <c r="I107" i="1"/>
  <c r="I119" i="1"/>
  <c r="I131" i="1"/>
  <c r="I143" i="1"/>
  <c r="I155" i="1"/>
  <c r="I167" i="1"/>
  <c r="I179" i="1"/>
  <c r="I191" i="1"/>
  <c r="I90" i="1"/>
  <c r="I94" i="1"/>
  <c r="I134" i="1"/>
  <c r="I190" i="1"/>
  <c r="I80" i="1"/>
  <c r="I77" i="1"/>
  <c r="I67" i="1"/>
  <c r="AI63" i="7" s="1"/>
  <c r="I64" i="1"/>
  <c r="I54" i="1"/>
  <c r="I44" i="1"/>
  <c r="AI40" i="7" s="1"/>
  <c r="I41" i="1"/>
  <c r="I31" i="1"/>
  <c r="AI27" i="7" s="1"/>
  <c r="I28" i="1"/>
  <c r="I18" i="1"/>
  <c r="I99" i="1"/>
  <c r="I123" i="1"/>
  <c r="I135" i="1"/>
  <c r="I147" i="1"/>
  <c r="I159" i="1"/>
  <c r="I171" i="1"/>
  <c r="I183" i="1"/>
  <c r="I195" i="1"/>
  <c r="I98" i="1"/>
  <c r="I126" i="1"/>
  <c r="I154" i="1"/>
  <c r="I194" i="1"/>
  <c r="I79" i="1"/>
  <c r="I43" i="1"/>
  <c r="I142" i="1"/>
  <c r="I92" i="1"/>
  <c r="I104" i="1"/>
  <c r="I116" i="1"/>
  <c r="I128" i="1"/>
  <c r="I140" i="1"/>
  <c r="I152" i="1"/>
  <c r="I164" i="1"/>
  <c r="I184" i="1"/>
  <c r="I196" i="1"/>
  <c r="I97" i="1"/>
  <c r="I85" i="1"/>
  <c r="I46" i="1"/>
  <c r="I39" i="1"/>
  <c r="AI35" i="7" s="1"/>
  <c r="I26" i="1"/>
  <c r="AI22" i="7" s="1"/>
  <c r="I23" i="1"/>
  <c r="I13" i="1"/>
  <c r="I125" i="1"/>
  <c r="I141" i="1"/>
  <c r="I91" i="1"/>
  <c r="I103" i="1"/>
  <c r="I115" i="1"/>
  <c r="I127" i="1"/>
  <c r="I139" i="1"/>
  <c r="I151" i="1"/>
  <c r="I163" i="1"/>
  <c r="I175" i="1"/>
  <c r="I187" i="1"/>
  <c r="I199" i="1"/>
  <c r="I118" i="1"/>
  <c r="I130" i="1"/>
  <c r="I158" i="1"/>
  <c r="I198" i="1"/>
  <c r="I189" i="1"/>
  <c r="K20" i="4"/>
  <c r="X195" i="4"/>
  <c r="X189" i="4"/>
  <c r="X183" i="4"/>
  <c r="X177" i="4"/>
  <c r="X171" i="4"/>
  <c r="X24" i="4"/>
  <c r="X10" i="4"/>
  <c r="X15" i="4"/>
  <c r="X149" i="4"/>
  <c r="X143" i="4"/>
  <c r="X137" i="4"/>
  <c r="X131" i="4"/>
  <c r="X125" i="4"/>
  <c r="X119" i="4"/>
  <c r="X113" i="4"/>
  <c r="X107" i="4"/>
  <c r="X101" i="4"/>
  <c r="X59" i="4"/>
  <c r="X30" i="4"/>
  <c r="X165" i="4"/>
  <c r="X159" i="4"/>
  <c r="X153" i="4"/>
  <c r="X147" i="4"/>
  <c r="X141" i="4"/>
  <c r="X135" i="4"/>
  <c r="X129" i="4"/>
  <c r="X123" i="4"/>
  <c r="X117" i="4"/>
  <c r="X111" i="4"/>
  <c r="X105" i="4"/>
  <c r="X99" i="4"/>
  <c r="X54" i="4"/>
  <c r="X23" i="4"/>
  <c r="X40" i="4"/>
  <c r="X46" i="4"/>
  <c r="X52" i="4"/>
  <c r="X64" i="4"/>
  <c r="X69" i="4"/>
  <c r="X36" i="4"/>
  <c r="X89" i="4"/>
  <c r="X68" i="4"/>
  <c r="X16" i="4"/>
  <c r="X26" i="4"/>
  <c r="X38" i="4"/>
  <c r="X62" i="4"/>
  <c r="X67" i="4"/>
  <c r="X72" i="4"/>
  <c r="L141" i="2"/>
  <c r="L141" i="4" s="1"/>
  <c r="L170" i="2"/>
  <c r="L170" i="4" s="1"/>
  <c r="L194" i="2"/>
  <c r="L194" i="4" s="1"/>
  <c r="K17" i="4"/>
  <c r="L177" i="2"/>
  <c r="L177" i="4" s="1"/>
  <c r="K134" i="4"/>
  <c r="X80" i="4"/>
  <c r="X35" i="4"/>
  <c r="X8" i="4"/>
  <c r="X33" i="4"/>
  <c r="X39" i="4"/>
  <c r="X43" i="4"/>
  <c r="X49" i="4"/>
  <c r="X55" i="4"/>
  <c r="X56" i="4"/>
  <c r="X95" i="4"/>
  <c r="X11" i="4"/>
  <c r="X22" i="4"/>
  <c r="X27" i="4"/>
  <c r="X32" i="4"/>
  <c r="X42" i="4"/>
  <c r="X47" i="4"/>
  <c r="X58" i="4"/>
  <c r="X63" i="4"/>
  <c r="X73" i="4"/>
  <c r="X79" i="4"/>
  <c r="L171" i="2"/>
  <c r="L171" i="4" s="1"/>
  <c r="K11" i="4"/>
  <c r="K44" i="4"/>
  <c r="K123" i="4"/>
  <c r="K109" i="4"/>
  <c r="K92" i="4"/>
  <c r="K68" i="4"/>
  <c r="K147" i="4"/>
  <c r="K23" i="4"/>
  <c r="L21" i="2"/>
  <c r="L21" i="4" s="1"/>
  <c r="L9" i="2"/>
  <c r="L9" i="4" s="1"/>
  <c r="L133" i="2"/>
  <c r="L133" i="4" s="1"/>
  <c r="K113" i="4"/>
  <c r="K169" i="4"/>
  <c r="L162" i="2"/>
  <c r="L162" i="4" s="1"/>
  <c r="L193" i="2"/>
  <c r="L193" i="4" s="1"/>
  <c r="K150" i="4"/>
  <c r="K18" i="4"/>
  <c r="L174" i="2"/>
  <c r="L174" i="4" s="1"/>
  <c r="K186" i="4"/>
  <c r="K53" i="4"/>
  <c r="L62" i="2"/>
  <c r="L62" i="4" s="1"/>
  <c r="L63" i="2"/>
  <c r="L63" i="4" s="1"/>
  <c r="K65" i="4"/>
  <c r="K19" i="4"/>
  <c r="K64" i="4"/>
  <c r="L184" i="2"/>
  <c r="L184" i="4" s="1"/>
  <c r="K167" i="4"/>
  <c r="K98" i="4"/>
  <c r="K75" i="4"/>
  <c r="K52" i="4"/>
  <c r="L124" i="2"/>
  <c r="L124" i="4" s="1"/>
  <c r="K196" i="4"/>
  <c r="K155" i="4"/>
  <c r="L77" i="2"/>
  <c r="L77" i="4" s="1"/>
  <c r="K16" i="4"/>
  <c r="K86" i="4"/>
  <c r="K87" i="4"/>
  <c r="K89" i="4"/>
  <c r="K28" i="4"/>
  <c r="K131" i="4"/>
  <c r="K40" i="4"/>
  <c r="L160" i="2"/>
  <c r="L160" i="4" s="1"/>
  <c r="K143" i="4"/>
  <c r="K74" i="4"/>
  <c r="K51" i="4"/>
  <c r="L7" i="2"/>
  <c r="L7" i="4" s="1"/>
  <c r="L172" i="2"/>
  <c r="L172" i="4" s="1"/>
  <c r="K105" i="4"/>
  <c r="K154" i="4"/>
  <c r="L45" i="2"/>
  <c r="L45" i="4" s="1"/>
  <c r="K93" i="4"/>
  <c r="K55" i="4"/>
  <c r="K32" i="4"/>
  <c r="K80" i="4"/>
  <c r="K111" i="4"/>
  <c r="K159" i="4"/>
  <c r="L33" i="2"/>
  <c r="L33" i="4" s="1"/>
  <c r="L81" i="2"/>
  <c r="L81" i="4" s="1"/>
  <c r="K66" i="4"/>
  <c r="L116" i="2"/>
  <c r="L116" i="4" s="1"/>
  <c r="L164" i="2"/>
  <c r="L164" i="4" s="1"/>
  <c r="L188" i="2"/>
  <c r="L188" i="4" s="1"/>
  <c r="K69" i="4"/>
  <c r="L31" i="2"/>
  <c r="L31" i="4" s="1"/>
  <c r="L79" i="2"/>
  <c r="L79" i="4" s="1"/>
  <c r="L103" i="2"/>
  <c r="L103" i="4" s="1"/>
  <c r="L56" i="2"/>
  <c r="L56" i="4" s="1"/>
  <c r="L104" i="2"/>
  <c r="L104" i="4" s="1"/>
  <c r="L135" i="2"/>
  <c r="L135" i="4" s="1"/>
  <c r="L183" i="2"/>
  <c r="L183" i="4" s="1"/>
  <c r="K57" i="4"/>
  <c r="L42" i="2"/>
  <c r="L42" i="4" s="1"/>
  <c r="L90" i="2"/>
  <c r="L90" i="4" s="1"/>
  <c r="K140" i="4"/>
  <c r="L195" i="2"/>
  <c r="L195" i="4" s="1"/>
  <c r="I200" i="1"/>
  <c r="K8" i="4"/>
  <c r="K30" i="4"/>
  <c r="K54" i="4"/>
  <c r="K78" i="4"/>
  <c r="K102" i="4"/>
  <c r="L128" i="2"/>
  <c r="L128" i="4" s="1"/>
  <c r="L152" i="2"/>
  <c r="L152" i="4" s="1"/>
  <c r="L176" i="2"/>
  <c r="L176" i="4" s="1"/>
  <c r="K200" i="4"/>
  <c r="L126" i="2"/>
  <c r="L126" i="4" s="1"/>
  <c r="L157" i="2"/>
  <c r="L157" i="4" s="1"/>
  <c r="K43" i="4"/>
  <c r="K67" i="4"/>
  <c r="K91" i="4"/>
  <c r="K138" i="4"/>
  <c r="K121" i="4"/>
  <c r="K198" i="4"/>
  <c r="L181" i="2"/>
  <c r="L181" i="4" s="1"/>
  <c r="K145" i="4"/>
  <c r="I89" i="1"/>
  <c r="I76" i="1"/>
  <c r="I66" i="1"/>
  <c r="I106" i="1"/>
  <c r="I174" i="1"/>
  <c r="I9" i="1"/>
  <c r="K130" i="4"/>
  <c r="K110" i="4"/>
  <c r="K178" i="4"/>
  <c r="I173" i="1"/>
  <c r="I56" i="1"/>
  <c r="I53" i="1"/>
  <c r="AI49" i="7" s="1"/>
  <c r="I40" i="1"/>
  <c r="I30" i="1"/>
  <c r="I20" i="1"/>
  <c r="AI16" i="7" s="1"/>
  <c r="I17" i="1"/>
  <c r="K6" i="4"/>
  <c r="I15" i="1"/>
  <c r="K14" i="4"/>
  <c r="K108" i="4"/>
  <c r="L182" i="2"/>
  <c r="L182" i="4" s="1"/>
  <c r="K117" i="4"/>
  <c r="K189" i="4"/>
  <c r="L146" i="2"/>
  <c r="L146" i="4" s="1"/>
  <c r="K153" i="4"/>
  <c r="K26" i="4"/>
  <c r="L158" i="2"/>
  <c r="L158" i="4" s="1"/>
  <c r="K165" i="4"/>
  <c r="K122" i="4"/>
  <c r="K129" i="4"/>
  <c r="I11" i="1"/>
  <c r="AI7" i="7" s="1"/>
  <c r="I10" i="1"/>
  <c r="AI6" i="7" s="1"/>
  <c r="L118" i="2"/>
  <c r="L118" i="4" s="1"/>
  <c r="L142" i="2"/>
  <c r="L142" i="4" s="1"/>
  <c r="L166" i="2"/>
  <c r="L166" i="4" s="1"/>
  <c r="K190" i="4"/>
  <c r="K22" i="4"/>
  <c r="L25" i="2"/>
  <c r="L25" i="4" s="1"/>
  <c r="K125" i="4"/>
  <c r="K149" i="4"/>
  <c r="K173" i="4"/>
  <c r="K197" i="4"/>
  <c r="K10" i="4"/>
  <c r="L13" i="2"/>
  <c r="L13" i="4" s="1"/>
  <c r="K137" i="4"/>
  <c r="K161" i="4"/>
  <c r="K185" i="4"/>
  <c r="N6" i="1"/>
  <c r="O8" i="1"/>
  <c r="I8" i="1" s="1"/>
  <c r="O7" i="1"/>
  <c r="I7" i="1" s="1"/>
  <c r="AI3" i="7" s="1"/>
  <c r="O6" i="1"/>
  <c r="N176" i="1"/>
  <c r="O138" i="1"/>
  <c r="I138" i="1" s="1"/>
  <c r="I120" i="1"/>
  <c r="I111" i="1"/>
  <c r="N137" i="1"/>
  <c r="O137" i="1"/>
  <c r="O4" i="5"/>
  <c r="K6" i="5" s="1"/>
  <c r="O180" i="1"/>
  <c r="J205" i="2"/>
  <c r="O114" i="1"/>
  <c r="I114" i="1" s="1"/>
  <c r="J202" i="2"/>
  <c r="N180" i="1"/>
  <c r="J201" i="2"/>
  <c r="N113" i="1"/>
  <c r="I113" i="1" s="1"/>
  <c r="O102" i="1"/>
  <c r="I102" i="1" s="1"/>
  <c r="K1103" i="4"/>
  <c r="L1103" i="4" s="1"/>
  <c r="K1199" i="4"/>
  <c r="L1199" i="4" s="1"/>
  <c r="K1240" i="4"/>
  <c r="L1240" i="4" s="1"/>
  <c r="K1264" i="4"/>
  <c r="L1264" i="4" s="1"/>
  <c r="K1288" i="4"/>
  <c r="L1288" i="4" s="1"/>
  <c r="K1312" i="4"/>
  <c r="L1312" i="4" s="1"/>
  <c r="K1336" i="4"/>
  <c r="L1336" i="4" s="1"/>
  <c r="K1360" i="4"/>
  <c r="L1360" i="4" s="1"/>
  <c r="J204" i="2"/>
  <c r="K1332" i="4"/>
  <c r="L1332" i="4" s="1"/>
  <c r="K1304" i="4"/>
  <c r="L1304" i="4" s="1"/>
  <c r="K1276" i="4"/>
  <c r="L1276" i="4" s="1"/>
  <c r="K1248" i="4"/>
  <c r="L1248" i="4" s="1"/>
  <c r="K1215" i="4"/>
  <c r="L1215" i="4" s="1"/>
  <c r="K1087" i="4"/>
  <c r="L1087" i="4" s="1"/>
  <c r="O176" i="1"/>
  <c r="O186" i="1"/>
  <c r="I186" i="1" s="1"/>
  <c r="I122" i="1"/>
  <c r="O6" i="5"/>
  <c r="G6" i="5" s="1"/>
  <c r="N121" i="1"/>
  <c r="O121" i="1"/>
  <c r="X61" i="4"/>
  <c r="X57" i="4"/>
  <c r="X41" i="4"/>
  <c r="X37" i="4"/>
  <c r="X29" i="4"/>
  <c r="X25" i="4"/>
  <c r="X13" i="4"/>
  <c r="X9" i="4"/>
  <c r="X31" i="4"/>
  <c r="X48" i="4"/>
  <c r="X78" i="4"/>
  <c r="X70" i="4"/>
  <c r="X83" i="4"/>
  <c r="X75" i="4"/>
  <c r="X91" i="4"/>
  <c r="O87" i="1"/>
  <c r="I87" i="1" s="1"/>
  <c r="O81" i="1"/>
  <c r="I81" i="1" s="1"/>
  <c r="O75" i="1"/>
  <c r="I75" i="1" s="1"/>
  <c r="O69" i="1"/>
  <c r="I69" i="1" s="1"/>
  <c r="O63" i="1"/>
  <c r="I63" i="1" s="1"/>
  <c r="AI59" i="7" s="1"/>
  <c r="O57" i="1"/>
  <c r="I57" i="1" s="1"/>
  <c r="AI53" i="7" s="1"/>
  <c r="O51" i="1"/>
  <c r="I51" i="1" s="1"/>
  <c r="AI47" i="7" s="1"/>
  <c r="O45" i="1"/>
  <c r="I45" i="1" s="1"/>
  <c r="AI41" i="7" s="1"/>
  <c r="X81" i="4"/>
  <c r="X6" i="4"/>
  <c r="X1007" i="4"/>
  <c r="W1008" i="4"/>
  <c r="X1006" i="4"/>
  <c r="T1006" i="4"/>
  <c r="C1006" i="4" s="1"/>
  <c r="D1006" i="4" s="1"/>
  <c r="W7" i="4"/>
  <c r="X53" i="4"/>
  <c r="X65" i="4"/>
  <c r="X71" i="4"/>
  <c r="X77" i="4"/>
  <c r="X85" i="4"/>
  <c r="X87" i="4"/>
  <c r="X93" i="4"/>
  <c r="X96" i="4"/>
  <c r="X84" i="4"/>
  <c r="X86" i="4"/>
  <c r="X94" i="4"/>
  <c r="E10" i="5" l="1"/>
  <c r="J69" i="1"/>
  <c r="AI65" i="7"/>
  <c r="J102" i="1"/>
  <c r="AI98" i="7"/>
  <c r="J120" i="1"/>
  <c r="AI116" i="7"/>
  <c r="J173" i="1"/>
  <c r="AI169" i="7"/>
  <c r="J163" i="1"/>
  <c r="AI159" i="7"/>
  <c r="J15" i="1"/>
  <c r="AI11" i="7"/>
  <c r="J30" i="1"/>
  <c r="AI26" i="7"/>
  <c r="J9" i="1"/>
  <c r="AI5" i="7"/>
  <c r="J76" i="1"/>
  <c r="AI72" i="7"/>
  <c r="J189" i="1"/>
  <c r="AI185" i="7"/>
  <c r="J118" i="1"/>
  <c r="AI114" i="7"/>
  <c r="J115" i="1"/>
  <c r="AI111" i="7"/>
  <c r="J196" i="1"/>
  <c r="AI192" i="7"/>
  <c r="J92" i="1"/>
  <c r="AI88" i="7"/>
  <c r="J194" i="1"/>
  <c r="AI190" i="7"/>
  <c r="J147" i="1"/>
  <c r="AI143" i="7"/>
  <c r="J18" i="1"/>
  <c r="AI14" i="7"/>
  <c r="J94" i="1"/>
  <c r="AI90" i="7"/>
  <c r="J132" i="1"/>
  <c r="AI128" i="7"/>
  <c r="J37" i="1"/>
  <c r="AI33" i="7"/>
  <c r="J70" i="1"/>
  <c r="AI66" i="7"/>
  <c r="J117" i="1"/>
  <c r="AI113" i="7"/>
  <c r="J42" i="1"/>
  <c r="AI38" i="7"/>
  <c r="J82" i="1"/>
  <c r="AI78" i="7"/>
  <c r="J27" i="1"/>
  <c r="AI23" i="7"/>
  <c r="J75" i="1"/>
  <c r="AI71" i="7"/>
  <c r="J113" i="1"/>
  <c r="AI109" i="7"/>
  <c r="J8" i="1"/>
  <c r="AI4" i="7"/>
  <c r="J40" i="1"/>
  <c r="AI36" i="7"/>
  <c r="J174" i="1"/>
  <c r="AI170" i="7"/>
  <c r="J89" i="1"/>
  <c r="AI85" i="7"/>
  <c r="J200" i="1"/>
  <c r="AI196" i="7"/>
  <c r="J198" i="1"/>
  <c r="AI194" i="7"/>
  <c r="J199" i="1"/>
  <c r="AI195" i="7"/>
  <c r="J151" i="1"/>
  <c r="AI147" i="7"/>
  <c r="J103" i="1"/>
  <c r="AI99" i="7"/>
  <c r="J13" i="1"/>
  <c r="AI9" i="7"/>
  <c r="J46" i="1"/>
  <c r="AI42" i="7"/>
  <c r="J184" i="1"/>
  <c r="AI180" i="7"/>
  <c r="J128" i="1"/>
  <c r="AI124" i="7"/>
  <c r="J142" i="1"/>
  <c r="AI138" i="7"/>
  <c r="J154" i="1"/>
  <c r="AI150" i="7"/>
  <c r="J183" i="1"/>
  <c r="AI179" i="7"/>
  <c r="J135" i="1"/>
  <c r="AI131" i="7"/>
  <c r="J28" i="1"/>
  <c r="AI24" i="7"/>
  <c r="J54" i="1"/>
  <c r="AI50" i="7"/>
  <c r="J80" i="1"/>
  <c r="AI76" i="7"/>
  <c r="J90" i="1"/>
  <c r="AI86" i="7"/>
  <c r="J155" i="1"/>
  <c r="AI151" i="7"/>
  <c r="J107" i="1"/>
  <c r="AI103" i="7"/>
  <c r="J12" i="1"/>
  <c r="AI8" i="7"/>
  <c r="J150" i="1"/>
  <c r="AI146" i="7"/>
  <c r="J172" i="1"/>
  <c r="AI168" i="7"/>
  <c r="J124" i="1"/>
  <c r="AI120" i="7"/>
  <c r="J166" i="1"/>
  <c r="AI162" i="7"/>
  <c r="J22" i="1"/>
  <c r="AI18" i="7"/>
  <c r="J74" i="1"/>
  <c r="AI70" i="7"/>
  <c r="J129" i="1"/>
  <c r="AI125" i="7"/>
  <c r="J160" i="1"/>
  <c r="AI156" i="7"/>
  <c r="J96" i="1"/>
  <c r="AI92" i="7"/>
  <c r="J105" i="1"/>
  <c r="AI101" i="7"/>
  <c r="J162" i="1"/>
  <c r="AI158" i="7"/>
  <c r="J93" i="1"/>
  <c r="AI89" i="7"/>
  <c r="J125" i="1"/>
  <c r="AI121" i="7"/>
  <c r="J140" i="1"/>
  <c r="AI136" i="7"/>
  <c r="J195" i="1"/>
  <c r="AI191" i="7"/>
  <c r="J77" i="1"/>
  <c r="AI73" i="7"/>
  <c r="J167" i="1"/>
  <c r="AI163" i="7"/>
  <c r="J119" i="1"/>
  <c r="AI115" i="7"/>
  <c r="J149" i="1"/>
  <c r="AI145" i="7"/>
  <c r="J34" i="1"/>
  <c r="AI30" i="7"/>
  <c r="J188" i="1"/>
  <c r="AI184" i="7"/>
  <c r="J182" i="1"/>
  <c r="AI178" i="7"/>
  <c r="J185" i="1"/>
  <c r="AI181" i="7"/>
  <c r="J161" i="1"/>
  <c r="AI157" i="7"/>
  <c r="J72" i="1"/>
  <c r="AI68" i="7"/>
  <c r="J114" i="1"/>
  <c r="AI110" i="7"/>
  <c r="J81" i="1"/>
  <c r="AI77" i="7"/>
  <c r="J122" i="1"/>
  <c r="AI118" i="7"/>
  <c r="J17" i="1"/>
  <c r="AI13" i="7"/>
  <c r="J106" i="1"/>
  <c r="AI102" i="7"/>
  <c r="J158" i="1"/>
  <c r="AI154" i="7"/>
  <c r="J187" i="1"/>
  <c r="AI183" i="7"/>
  <c r="J139" i="1"/>
  <c r="AI135" i="7"/>
  <c r="J91" i="1"/>
  <c r="AI87" i="7"/>
  <c r="J23" i="1"/>
  <c r="AI19" i="7"/>
  <c r="J85" i="1"/>
  <c r="AI81" i="7"/>
  <c r="J164" i="1"/>
  <c r="AI160" i="7"/>
  <c r="J116" i="1"/>
  <c r="AI112" i="7"/>
  <c r="J43" i="1"/>
  <c r="AI39" i="7"/>
  <c r="J126" i="1"/>
  <c r="AI122" i="7"/>
  <c r="J171" i="1"/>
  <c r="AI167" i="7"/>
  <c r="J123" i="1"/>
  <c r="AI119" i="7"/>
  <c r="M1840" i="4"/>
  <c r="AI60" i="7"/>
  <c r="J190" i="1"/>
  <c r="AI186" i="7"/>
  <c r="J191" i="1"/>
  <c r="AI187" i="7"/>
  <c r="J143" i="1"/>
  <c r="AI139" i="7"/>
  <c r="J95" i="1"/>
  <c r="AI91" i="7"/>
  <c r="J14" i="1"/>
  <c r="AI10" i="7"/>
  <c r="J47" i="1"/>
  <c r="AI43" i="7"/>
  <c r="J73" i="1"/>
  <c r="AI69" i="7"/>
  <c r="J21" i="1"/>
  <c r="AI17" i="7"/>
  <c r="J156" i="1"/>
  <c r="AI152" i="7"/>
  <c r="J108" i="1"/>
  <c r="AI104" i="7"/>
  <c r="J146" i="1"/>
  <c r="AI142" i="7"/>
  <c r="J50" i="1"/>
  <c r="AI46" i="7"/>
  <c r="J83" i="1"/>
  <c r="AI79" i="7"/>
  <c r="J157" i="1"/>
  <c r="AI153" i="7"/>
  <c r="J144" i="1"/>
  <c r="AI140" i="7"/>
  <c r="J178" i="1"/>
  <c r="AI174" i="7"/>
  <c r="J145" i="1"/>
  <c r="AI141" i="7"/>
  <c r="J197" i="1"/>
  <c r="AI193" i="7"/>
  <c r="J65" i="1"/>
  <c r="AI61" i="7"/>
  <c r="J86" i="1"/>
  <c r="AI82" i="7"/>
  <c r="J109" i="1"/>
  <c r="AI105" i="7"/>
  <c r="J168" i="1"/>
  <c r="AI164" i="7"/>
  <c r="J112" i="1"/>
  <c r="AI108" i="7"/>
  <c r="J133" i="1"/>
  <c r="AI129" i="7"/>
  <c r="J16" i="1"/>
  <c r="AI12" i="7"/>
  <c r="J138" i="1"/>
  <c r="AI134" i="7"/>
  <c r="J87" i="1"/>
  <c r="AI83" i="7"/>
  <c r="J186" i="1"/>
  <c r="AI182" i="7"/>
  <c r="J111" i="1"/>
  <c r="AI107" i="7"/>
  <c r="J56" i="1"/>
  <c r="AI52" i="7"/>
  <c r="J66" i="1"/>
  <c r="AI62" i="7"/>
  <c r="J130" i="1"/>
  <c r="AI126" i="7"/>
  <c r="J175" i="1"/>
  <c r="AI171" i="7"/>
  <c r="J127" i="1"/>
  <c r="AI123" i="7"/>
  <c r="J141" i="1"/>
  <c r="AI137" i="7"/>
  <c r="J97" i="1"/>
  <c r="AI93" i="7"/>
  <c r="J152" i="1"/>
  <c r="AI148" i="7"/>
  <c r="J104" i="1"/>
  <c r="AI100" i="7"/>
  <c r="J79" i="1"/>
  <c r="AI75" i="7"/>
  <c r="J98" i="1"/>
  <c r="AI94" i="7"/>
  <c r="J159" i="1"/>
  <c r="AI155" i="7"/>
  <c r="J99" i="1"/>
  <c r="AI95" i="7"/>
  <c r="J41" i="1"/>
  <c r="AI37" i="7"/>
  <c r="J134" i="1"/>
  <c r="AI130" i="7"/>
  <c r="J179" i="1"/>
  <c r="AI175" i="7"/>
  <c r="J131" i="1"/>
  <c r="AI127" i="7"/>
  <c r="J177" i="1"/>
  <c r="AI173" i="7"/>
  <c r="J193" i="1"/>
  <c r="AI189" i="7"/>
  <c r="J58" i="1"/>
  <c r="AI54" i="7"/>
  <c r="J84" i="1"/>
  <c r="AI80" i="7"/>
  <c r="J181" i="1"/>
  <c r="AI177" i="7"/>
  <c r="J148" i="1"/>
  <c r="AI144" i="7"/>
  <c r="J100" i="1"/>
  <c r="AI96" i="7"/>
  <c r="J110" i="1"/>
  <c r="AI106" i="7"/>
  <c r="J61" i="1"/>
  <c r="AI57" i="7"/>
  <c r="J165" i="1"/>
  <c r="AI161" i="7"/>
  <c r="J192" i="1"/>
  <c r="AI188" i="7"/>
  <c r="J136" i="1"/>
  <c r="AI132" i="7"/>
  <c r="J170" i="1"/>
  <c r="AI166" i="7"/>
  <c r="J169" i="1"/>
  <c r="AI165" i="7"/>
  <c r="J153" i="1"/>
  <c r="AI149" i="7"/>
  <c r="J101" i="1"/>
  <c r="AI97" i="7"/>
  <c r="J78" i="1"/>
  <c r="AI74" i="7"/>
  <c r="J33" i="1"/>
  <c r="AI29" i="7"/>
  <c r="J88" i="1"/>
  <c r="AI84" i="7"/>
  <c r="J52" i="1"/>
  <c r="AI48" i="7"/>
  <c r="M1839" i="4"/>
  <c r="B2" i="5"/>
  <c r="J51" i="1"/>
  <c r="M1366" i="4"/>
  <c r="M1323" i="4"/>
  <c r="M1439" i="4"/>
  <c r="M1456" i="4"/>
  <c r="M1472" i="4"/>
  <c r="M1475" i="4"/>
  <c r="M1460" i="4"/>
  <c r="M1476" i="4"/>
  <c r="M1492" i="4"/>
  <c r="M1431" i="4"/>
  <c r="M1479" i="4"/>
  <c r="M1511" i="4"/>
  <c r="M1493" i="4"/>
  <c r="M1557" i="4"/>
  <c r="M1717" i="4"/>
  <c r="M1795" i="4"/>
  <c r="M1780" i="4"/>
  <c r="M1769" i="4"/>
  <c r="M1739" i="4"/>
  <c r="M1758" i="4"/>
  <c r="M1433" i="4"/>
  <c r="M1470" i="4"/>
  <c r="M1708" i="4"/>
  <c r="M1757" i="4"/>
  <c r="M1771" i="4"/>
  <c r="M1819" i="4"/>
  <c r="M1434" i="4"/>
  <c r="M1441" i="4"/>
  <c r="M1745" i="4"/>
  <c r="M1740" i="4"/>
  <c r="M1462" i="4"/>
  <c r="M1781" i="4"/>
  <c r="J20" i="1"/>
  <c r="M1506" i="4"/>
  <c r="J67" i="1"/>
  <c r="M1800" i="4"/>
  <c r="M1808" i="4"/>
  <c r="J62" i="1"/>
  <c r="M1368" i="4"/>
  <c r="M1384" i="4"/>
  <c r="M1382" i="4"/>
  <c r="M1377" i="4"/>
  <c r="M1379" i="4"/>
  <c r="M1372" i="4"/>
  <c r="M1388" i="4"/>
  <c r="M1369" i="4"/>
  <c r="M1370" i="4"/>
  <c r="M1386" i="4"/>
  <c r="M1385" i="4"/>
  <c r="M1387" i="4"/>
  <c r="M1389" i="4"/>
  <c r="M1376" i="4"/>
  <c r="M1392" i="4"/>
  <c r="M1374" i="4"/>
  <c r="M1390" i="4"/>
  <c r="M1393" i="4"/>
  <c r="M1395" i="4"/>
  <c r="M1380" i="4"/>
  <c r="M1378" i="4"/>
  <c r="M1394" i="4"/>
  <c r="M1371" i="4"/>
  <c r="M1373" i="4"/>
  <c r="M1381" i="4"/>
  <c r="M1383" i="4"/>
  <c r="M1391" i="4"/>
  <c r="M1375" i="4"/>
  <c r="M1396" i="4"/>
  <c r="J60" i="1"/>
  <c r="M1711" i="4"/>
  <c r="M1710" i="4"/>
  <c r="J38" i="1"/>
  <c r="M1483" i="4"/>
  <c r="M1515" i="4"/>
  <c r="M1484" i="4"/>
  <c r="M1564" i="4"/>
  <c r="M1337" i="4"/>
  <c r="M1335" i="4"/>
  <c r="M1471" i="4"/>
  <c r="M1503" i="4"/>
  <c r="M1488" i="4"/>
  <c r="M1312" i="4"/>
  <c r="M1508" i="4"/>
  <c r="M1496" i="4"/>
  <c r="M1509" i="4"/>
  <c r="M1779" i="4"/>
  <c r="M1785" i="4"/>
  <c r="M1767" i="4"/>
  <c r="M1783" i="4"/>
  <c r="M1784" i="4"/>
  <c r="M1773" i="4"/>
  <c r="M1789" i="4"/>
  <c r="M1786" i="4"/>
  <c r="M1501" i="4"/>
  <c r="M1486" i="4"/>
  <c r="M1490" i="4"/>
  <c r="M1554" i="4"/>
  <c r="M1574" i="4"/>
  <c r="M1775" i="4"/>
  <c r="M1776" i="4"/>
  <c r="M1702" i="4"/>
  <c r="M1778" i="4"/>
  <c r="M1782" i="4"/>
  <c r="J71" i="1"/>
  <c r="M1318" i="4"/>
  <c r="M1467" i="4"/>
  <c r="M1358" i="4"/>
  <c r="M1427" i="4"/>
  <c r="M1444" i="4"/>
  <c r="M1359" i="4"/>
  <c r="M1447" i="4"/>
  <c r="M1429" i="4"/>
  <c r="M1746" i="4"/>
  <c r="M1458" i="4"/>
  <c r="M1726" i="4"/>
  <c r="M1723" i="4"/>
  <c r="M1481" i="4"/>
  <c r="M1730" i="4"/>
  <c r="M1430" i="4"/>
  <c r="M1743" i="4"/>
  <c r="M1762" i="4"/>
  <c r="M1748" i="4"/>
  <c r="J48" i="1"/>
  <c r="M1349" i="4"/>
  <c r="M1350" i="4"/>
  <c r="M1340" i="4"/>
  <c r="M1339" i="4"/>
  <c r="M1343" i="4"/>
  <c r="M1344" i="4"/>
  <c r="M1341" i="4"/>
  <c r="M1342" i="4"/>
  <c r="M1351" i="4"/>
  <c r="M1348" i="4"/>
  <c r="M1345" i="4"/>
  <c r="M1346" i="4"/>
  <c r="M1347" i="4"/>
  <c r="J55" i="1"/>
  <c r="M1737" i="4"/>
  <c r="M1738" i="4"/>
  <c r="M1450" i="4"/>
  <c r="M1744" i="4"/>
  <c r="M1760" i="4"/>
  <c r="J36" i="1"/>
  <c r="M1224" i="4"/>
  <c r="M1240" i="4"/>
  <c r="M1237" i="4"/>
  <c r="M1253" i="4"/>
  <c r="M1317" i="4"/>
  <c r="M1238" i="4"/>
  <c r="M1228" i="4"/>
  <c r="M1244" i="4"/>
  <c r="M1225" i="4"/>
  <c r="M1241" i="4"/>
  <c r="M1226" i="4"/>
  <c r="M1242" i="4"/>
  <c r="M1232" i="4"/>
  <c r="M1248" i="4"/>
  <c r="M1229" i="4"/>
  <c r="M1245" i="4"/>
  <c r="M1230" i="4"/>
  <c r="M1246" i="4"/>
  <c r="M1223" i="4"/>
  <c r="M1227" i="4"/>
  <c r="M1231" i="4"/>
  <c r="M1236" i="4"/>
  <c r="M1252" i="4"/>
  <c r="M1233" i="4"/>
  <c r="M1249" i="4"/>
  <c r="M1234" i="4"/>
  <c r="M1250" i="4"/>
  <c r="M1239" i="4"/>
  <c r="M1243" i="4"/>
  <c r="M1247" i="4"/>
  <c r="M1235" i="4"/>
  <c r="M1315" i="4"/>
  <c r="M1251" i="4"/>
  <c r="J19" i="1"/>
  <c r="M1452" i="4"/>
  <c r="M1324" i="4"/>
  <c r="M1338" i="4"/>
  <c r="M1455" i="4"/>
  <c r="M1360" i="4"/>
  <c r="M1309" i="4"/>
  <c r="M1443" i="4"/>
  <c r="M1556" i="4"/>
  <c r="M1361" i="4"/>
  <c r="M1432" i="4"/>
  <c r="M1480" i="4"/>
  <c r="M1573" i="4"/>
  <c r="M1749" i="4"/>
  <c r="M1454" i="4"/>
  <c r="M1732" i="4"/>
  <c r="M1449" i="4"/>
  <c r="M1561" i="4"/>
  <c r="M1474" i="4"/>
  <c r="M1750" i="4"/>
  <c r="M1437" i="4"/>
  <c r="M1735" i="4"/>
  <c r="M1755" i="4"/>
  <c r="M1715" i="4"/>
  <c r="M1718" i="4"/>
  <c r="M1729" i="4"/>
  <c r="M1331" i="4"/>
  <c r="M1502" i="4"/>
  <c r="M1742" i="4"/>
  <c r="M1727" i="4"/>
  <c r="J11" i="1"/>
  <c r="M1579" i="4"/>
  <c r="M1595" i="4"/>
  <c r="M1611" i="4"/>
  <c r="M1627" i="4"/>
  <c r="M1643" i="4"/>
  <c r="M1583" i="4"/>
  <c r="M1616" i="4"/>
  <c r="M1587" i="4"/>
  <c r="M1603" i="4"/>
  <c r="M1619" i="4"/>
  <c r="M1635" i="4"/>
  <c r="M1607" i="4"/>
  <c r="M1623" i="4"/>
  <c r="M1589" i="4"/>
  <c r="M1605" i="4"/>
  <c r="M1621" i="4"/>
  <c r="M1653" i="4"/>
  <c r="M1638" i="4"/>
  <c r="M1625" i="4"/>
  <c r="M1641" i="4"/>
  <c r="M1598" i="4"/>
  <c r="M1581" i="4"/>
  <c r="M1629" i="4"/>
  <c r="M1645" i="4"/>
  <c r="M1614" i="4"/>
  <c r="M1632" i="4"/>
  <c r="M1585" i="4"/>
  <c r="M1601" i="4"/>
  <c r="M1594" i="4"/>
  <c r="J25" i="1"/>
  <c r="M1811" i="4"/>
  <c r="M1796" i="4"/>
  <c r="M1812" i="4"/>
  <c r="M1828" i="4"/>
  <c r="M1801" i="4"/>
  <c r="M1817" i="4"/>
  <c r="M1833" i="4"/>
  <c r="M1835" i="4"/>
  <c r="M1798" i="4"/>
  <c r="M1838" i="4"/>
  <c r="M1823" i="4"/>
  <c r="M1799" i="4"/>
  <c r="M1816" i="4"/>
  <c r="M1832" i="4"/>
  <c r="M1805" i="4"/>
  <c r="M1837" i="4"/>
  <c r="M1814" i="4"/>
  <c r="M1818" i="4"/>
  <c r="M1803" i="4"/>
  <c r="M1804" i="4"/>
  <c r="M1836" i="4"/>
  <c r="M1809" i="4"/>
  <c r="M1825" i="4"/>
  <c r="M1822" i="4"/>
  <c r="M1834" i="4"/>
  <c r="M1802" i="4"/>
  <c r="M1806" i="4"/>
  <c r="M1830" i="4"/>
  <c r="M1807" i="4"/>
  <c r="M1824" i="4"/>
  <c r="M1797" i="4"/>
  <c r="M1813" i="4"/>
  <c r="M1829" i="4"/>
  <c r="M1827" i="4"/>
  <c r="M1826" i="4"/>
  <c r="J35" i="1"/>
  <c r="M1208" i="4"/>
  <c r="M1205" i="4"/>
  <c r="M1221" i="4"/>
  <c r="M1206" i="4"/>
  <c r="M1222" i="4"/>
  <c r="M1212" i="4"/>
  <c r="M1209" i="4"/>
  <c r="M1210" i="4"/>
  <c r="M1207" i="4"/>
  <c r="M1211" i="4"/>
  <c r="M1215" i="4"/>
  <c r="M1200" i="4"/>
  <c r="M1216" i="4"/>
  <c r="M1213" i="4"/>
  <c r="M1198" i="4"/>
  <c r="M1214" i="4"/>
  <c r="M1204" i="4"/>
  <c r="M1220" i="4"/>
  <c r="M1316" i="4"/>
  <c r="M1201" i="4"/>
  <c r="M1217" i="4"/>
  <c r="M1202" i="4"/>
  <c r="M1218" i="4"/>
  <c r="M1314" i="4"/>
  <c r="M1199" i="4"/>
  <c r="M1203" i="4"/>
  <c r="M1219" i="4"/>
  <c r="M1197" i="4"/>
  <c r="M1451" i="4"/>
  <c r="J39" i="1"/>
  <c r="M1567" i="4"/>
  <c r="J44" i="1"/>
  <c r="M1288" i="4"/>
  <c r="M1304" i="4"/>
  <c r="M1269" i="4"/>
  <c r="M1254" i="4"/>
  <c r="M1286" i="4"/>
  <c r="M1302" i="4"/>
  <c r="M1255" i="4"/>
  <c r="M1292" i="4"/>
  <c r="M1257" i="4"/>
  <c r="M1273" i="4"/>
  <c r="M1258" i="4"/>
  <c r="M1290" i="4"/>
  <c r="M1306" i="4"/>
  <c r="M1271" i="4"/>
  <c r="M1275" i="4"/>
  <c r="M1280" i="4"/>
  <c r="M1296" i="4"/>
  <c r="M1277" i="4"/>
  <c r="M1262" i="4"/>
  <c r="M1278" i="4"/>
  <c r="M1294" i="4"/>
  <c r="M1284" i="4"/>
  <c r="M1300" i="4"/>
  <c r="M1265" i="4"/>
  <c r="M1282" i="4"/>
  <c r="M1298" i="4"/>
  <c r="M1263" i="4"/>
  <c r="M1267" i="4"/>
  <c r="J63" i="1"/>
  <c r="M1398" i="4"/>
  <c r="M1403" i="4"/>
  <c r="M1419" i="4"/>
  <c r="M1404" i="4"/>
  <c r="M1420" i="4"/>
  <c r="M1407" i="4"/>
  <c r="M1423" i="4"/>
  <c r="M1408" i="4"/>
  <c r="M1424" i="4"/>
  <c r="M1409" i="4"/>
  <c r="M1411" i="4"/>
  <c r="M1412" i="4"/>
  <c r="M1399" i="4"/>
  <c r="M1415" i="4"/>
  <c r="M1400" i="4"/>
  <c r="M1416" i="4"/>
  <c r="M1413" i="4"/>
  <c r="M1414" i="4"/>
  <c r="M1402" i="4"/>
  <c r="M1417" i="4"/>
  <c r="M1406" i="4"/>
  <c r="M1410" i="4"/>
  <c r="M1401" i="4"/>
  <c r="M1421" i="4"/>
  <c r="M1422" i="4"/>
  <c r="M1418" i="4"/>
  <c r="M1405" i="4"/>
  <c r="M1425" i="4"/>
  <c r="M1397" i="4"/>
  <c r="P5" i="5"/>
  <c r="Q4" i="5" s="1"/>
  <c r="J45" i="1"/>
  <c r="M1615" i="4"/>
  <c r="M1631" i="4"/>
  <c r="M1584" i="4"/>
  <c r="M1600" i="4"/>
  <c r="M1604" i="4"/>
  <c r="M1620" i="4"/>
  <c r="M1624" i="4"/>
  <c r="M1637" i="4"/>
  <c r="M1606" i="4"/>
  <c r="M1647" i="4"/>
  <c r="M1634" i="4"/>
  <c r="M1642" i="4"/>
  <c r="M1626" i="4"/>
  <c r="M1593" i="4"/>
  <c r="M1609" i="4"/>
  <c r="M1602" i="4"/>
  <c r="M1622" i="4"/>
  <c r="M1610" i="4"/>
  <c r="M1580" i="4"/>
  <c r="M1597" i="4"/>
  <c r="M1613" i="4"/>
  <c r="M1661" i="4"/>
  <c r="M1618" i="4"/>
  <c r="M1596" i="4"/>
  <c r="M1628" i="4"/>
  <c r="M1640" i="4"/>
  <c r="M1578" i="4"/>
  <c r="J10" i="1"/>
  <c r="M1256" i="4"/>
  <c r="M1272" i="4"/>
  <c r="M1285" i="4"/>
  <c r="M1301" i="4"/>
  <c r="M1270" i="4"/>
  <c r="M1259" i="4"/>
  <c r="M1260" i="4"/>
  <c r="M1276" i="4"/>
  <c r="M1289" i="4"/>
  <c r="M1305" i="4"/>
  <c r="M1274" i="4"/>
  <c r="M1279" i="4"/>
  <c r="M1264" i="4"/>
  <c r="M1261" i="4"/>
  <c r="M1293" i="4"/>
  <c r="M1287" i="4"/>
  <c r="M1291" i="4"/>
  <c r="M1295" i="4"/>
  <c r="M1268" i="4"/>
  <c r="M1281" i="4"/>
  <c r="M1297" i="4"/>
  <c r="M1266" i="4"/>
  <c r="M1303" i="4"/>
  <c r="M1307" i="4"/>
  <c r="M1299" i="4"/>
  <c r="M1283" i="4"/>
  <c r="J53" i="1"/>
  <c r="M1365" i="4"/>
  <c r="M1436" i="4"/>
  <c r="M1440" i="4"/>
  <c r="M1459" i="4"/>
  <c r="M1428" i="4"/>
  <c r="M1588" i="4"/>
  <c r="M1448" i="4"/>
  <c r="M1445" i="4"/>
  <c r="M1733" i="4"/>
  <c r="M1478" i="4"/>
  <c r="M1728" i="4"/>
  <c r="M1731" i="4"/>
  <c r="M1453" i="4"/>
  <c r="M1709" i="4"/>
  <c r="M1725" i="4"/>
  <c r="M1714" i="4"/>
  <c r="M1736" i="4"/>
  <c r="M1363" i="4"/>
  <c r="M1446" i="4"/>
  <c r="M1722" i="4"/>
  <c r="M1473" i="4"/>
  <c r="M1438" i="4"/>
  <c r="M1442" i="4"/>
  <c r="M1720" i="4"/>
  <c r="J31" i="1"/>
  <c r="M1435" i="4"/>
  <c r="M1367" i="4"/>
  <c r="M1463" i="4"/>
  <c r="M1477" i="4"/>
  <c r="M1794" i="4"/>
  <c r="M1497" i="4"/>
  <c r="M1513" i="4"/>
  <c r="M1751" i="4"/>
  <c r="M1558" i="4"/>
  <c r="M1831" i="4"/>
  <c r="M1756" i="4"/>
  <c r="M1820" i="4"/>
  <c r="M1761" i="4"/>
  <c r="M1734" i="4"/>
  <c r="M1707" i="4"/>
  <c r="M1457" i="4"/>
  <c r="M1759" i="4"/>
  <c r="M1765" i="4"/>
  <c r="M1815" i="4"/>
  <c r="J64" i="1"/>
  <c r="M1320" i="4"/>
  <c r="M1336" i="4"/>
  <c r="M1333" i="4"/>
  <c r="M1334" i="4"/>
  <c r="M1319" i="4"/>
  <c r="M1499" i="4"/>
  <c r="M1468" i="4"/>
  <c r="M1308" i="4"/>
  <c r="M1356" i="4"/>
  <c r="M1321" i="4"/>
  <c r="M1322" i="4"/>
  <c r="M1354" i="4"/>
  <c r="M1552" i="4"/>
  <c r="M1568" i="4"/>
  <c r="M1328" i="4"/>
  <c r="M1325" i="4"/>
  <c r="M1357" i="4"/>
  <c r="M1310" i="4"/>
  <c r="M1326" i="4"/>
  <c r="M1491" i="4"/>
  <c r="M1555" i="4"/>
  <c r="M1571" i="4"/>
  <c r="M1355" i="4"/>
  <c r="M1572" i="4"/>
  <c r="M1332" i="4"/>
  <c r="M1329" i="4"/>
  <c r="M1330" i="4"/>
  <c r="M1559" i="4"/>
  <c r="M1560" i="4"/>
  <c r="M1576" i="4"/>
  <c r="M1461" i="4"/>
  <c r="M1701" i="4"/>
  <c r="M1660" i="4"/>
  <c r="M1703" i="4"/>
  <c r="M1724" i="4"/>
  <c r="M1763" i="4"/>
  <c r="M1764" i="4"/>
  <c r="M1753" i="4"/>
  <c r="M1770" i="4"/>
  <c r="M1562" i="4"/>
  <c r="M1465" i="4"/>
  <c r="M1657" i="4"/>
  <c r="M1689" i="4"/>
  <c r="M1721" i="4"/>
  <c r="M1768" i="4"/>
  <c r="M1652" i="4"/>
  <c r="M1695" i="4"/>
  <c r="M1716" i="4"/>
  <c r="M1821" i="4"/>
  <c r="M1659" i="4"/>
  <c r="M1810" i="4"/>
  <c r="M1466" i="4"/>
  <c r="M1754" i="4"/>
  <c r="M1693" i="4"/>
  <c r="M1650" i="4"/>
  <c r="M1651" i="4"/>
  <c r="M1694" i="4"/>
  <c r="M1510" i="4"/>
  <c r="M1658" i="4"/>
  <c r="M1700" i="4"/>
  <c r="M1777" i="4"/>
  <c r="M1793" i="4"/>
  <c r="M1648" i="4"/>
  <c r="M1654" i="4"/>
  <c r="M1498" i="4"/>
  <c r="M1327" i="4"/>
  <c r="M1569" i="4"/>
  <c r="M1697" i="4"/>
  <c r="M1655" i="4"/>
  <c r="M1719" i="4"/>
  <c r="M1791" i="4"/>
  <c r="M1570" i="4"/>
  <c r="M1656" i="4"/>
  <c r="M1699" i="4"/>
  <c r="M1792" i="4"/>
  <c r="M1706" i="4"/>
  <c r="J24" i="1"/>
  <c r="M1531" i="4"/>
  <c r="M1547" i="4"/>
  <c r="M1532" i="4"/>
  <c r="M1548" i="4"/>
  <c r="M1519" i="4"/>
  <c r="M1535" i="4"/>
  <c r="M1551" i="4"/>
  <c r="M1520" i="4"/>
  <c r="M1536" i="4"/>
  <c r="M1523" i="4"/>
  <c r="M1539" i="4"/>
  <c r="M1524" i="4"/>
  <c r="M1540" i="4"/>
  <c r="M1527" i="4"/>
  <c r="M1543" i="4"/>
  <c r="M1528" i="4"/>
  <c r="M1544" i="4"/>
  <c r="M1525" i="4"/>
  <c r="M1541" i="4"/>
  <c r="M1518" i="4"/>
  <c r="M1522" i="4"/>
  <c r="M1542" i="4"/>
  <c r="M1546" i="4"/>
  <c r="M1529" i="4"/>
  <c r="M1545" i="4"/>
  <c r="M1534" i="4"/>
  <c r="M1538" i="4"/>
  <c r="M1517" i="4"/>
  <c r="M1533" i="4"/>
  <c r="M1549" i="4"/>
  <c r="M1550" i="4"/>
  <c r="M1530" i="4"/>
  <c r="M1521" i="4"/>
  <c r="M1537" i="4"/>
  <c r="M1553" i="4"/>
  <c r="M1526" i="4"/>
  <c r="J29" i="1"/>
  <c r="M1669" i="4"/>
  <c r="M1685" i="4"/>
  <c r="M1682" i="4"/>
  <c r="M1662" i="4"/>
  <c r="M1683" i="4"/>
  <c r="M1668" i="4"/>
  <c r="M1690" i="4"/>
  <c r="M1691" i="4"/>
  <c r="M1673" i="4"/>
  <c r="M1666" i="4"/>
  <c r="M1687" i="4"/>
  <c r="M1667" i="4"/>
  <c r="M1688" i="4"/>
  <c r="M1674" i="4"/>
  <c r="M1664" i="4"/>
  <c r="M1675" i="4"/>
  <c r="M1677" i="4"/>
  <c r="M1671" i="4"/>
  <c r="M1672" i="4"/>
  <c r="M1679" i="4"/>
  <c r="M1680" i="4"/>
  <c r="M1686" i="4"/>
  <c r="M1670" i="4"/>
  <c r="M1665" i="4"/>
  <c r="M1681" i="4"/>
  <c r="M1676" i="4"/>
  <c r="M1678" i="4"/>
  <c r="M1663" i="4"/>
  <c r="M1684" i="4"/>
  <c r="J68" i="1"/>
  <c r="M1565" i="4"/>
  <c r="J49" i="1"/>
  <c r="M1599" i="4"/>
  <c r="M1591" i="4"/>
  <c r="M1639" i="4"/>
  <c r="M1592" i="4"/>
  <c r="M1608" i="4"/>
  <c r="M1612" i="4"/>
  <c r="M1582" i="4"/>
  <c r="M1636" i="4"/>
  <c r="M1586" i="4"/>
  <c r="M1644" i="4"/>
  <c r="M1646" i="4"/>
  <c r="M1617" i="4"/>
  <c r="M1633" i="4"/>
  <c r="M1630" i="4"/>
  <c r="M1590" i="4"/>
  <c r="J32" i="1"/>
  <c r="M1563" i="4"/>
  <c r="M1500" i="4"/>
  <c r="M1516" i="4"/>
  <c r="M1487" i="4"/>
  <c r="M1504" i="4"/>
  <c r="M1507" i="4"/>
  <c r="M1313" i="4"/>
  <c r="M1362" i="4"/>
  <c r="M1495" i="4"/>
  <c r="M1575" i="4"/>
  <c r="M1464" i="4"/>
  <c r="M1512" i="4"/>
  <c r="M1311" i="4"/>
  <c r="M1704" i="4"/>
  <c r="M1747" i="4"/>
  <c r="M1790" i="4"/>
  <c r="M1774" i="4"/>
  <c r="M1482" i="4"/>
  <c r="M1705" i="4"/>
  <c r="M1712" i="4"/>
  <c r="M1485" i="4"/>
  <c r="M1741" i="4"/>
  <c r="M1787" i="4"/>
  <c r="M1426" i="4"/>
  <c r="M1772" i="4"/>
  <c r="M1788" i="4"/>
  <c r="M1514" i="4"/>
  <c r="M1766" i="4"/>
  <c r="M1489" i="4"/>
  <c r="M1505" i="4"/>
  <c r="M1566" i="4"/>
  <c r="J59" i="1"/>
  <c r="M1352" i="4"/>
  <c r="M1353" i="4"/>
  <c r="M1494" i="4"/>
  <c r="M1692" i="4"/>
  <c r="J26" i="1"/>
  <c r="M1577" i="4"/>
  <c r="M1649" i="4"/>
  <c r="J57" i="1"/>
  <c r="M1364" i="4"/>
  <c r="M1696" i="4"/>
  <c r="M1752" i="4"/>
  <c r="M1713" i="4"/>
  <c r="M1698" i="4"/>
  <c r="W8" i="4"/>
  <c r="M1019" i="4"/>
  <c r="M1035" i="4"/>
  <c r="M1051" i="4"/>
  <c r="M1067" i="4"/>
  <c r="M1083" i="4"/>
  <c r="M1131" i="4"/>
  <c r="M1020" i="4"/>
  <c r="M1036" i="4"/>
  <c r="M1052" i="4"/>
  <c r="M1068" i="4"/>
  <c r="M1084" i="4"/>
  <c r="M1132" i="4"/>
  <c r="M1013" i="4"/>
  <c r="M1029" i="4"/>
  <c r="M1045" i="4"/>
  <c r="M1061" i="4"/>
  <c r="M1077" i="4"/>
  <c r="M1093" i="4"/>
  <c r="M1141" i="4"/>
  <c r="M1010" i="4"/>
  <c r="M1074" i="4"/>
  <c r="M1138" i="4"/>
  <c r="M1062" i="4"/>
  <c r="M1066" i="4"/>
  <c r="M1022" i="4"/>
  <c r="M1007" i="4"/>
  <c r="M1023" i="4"/>
  <c r="M1039" i="4"/>
  <c r="M1055" i="4"/>
  <c r="M1071" i="4"/>
  <c r="M1087" i="4"/>
  <c r="M1135" i="4"/>
  <c r="M1008" i="4"/>
  <c r="M1024" i="4"/>
  <c r="M1040" i="4"/>
  <c r="M1056" i="4"/>
  <c r="M1072" i="4"/>
  <c r="M1088" i="4"/>
  <c r="M1136" i="4"/>
  <c r="M1017" i="4"/>
  <c r="M1033" i="4"/>
  <c r="M1049" i="4"/>
  <c r="M1065" i="4"/>
  <c r="M1081" i="4"/>
  <c r="M1097" i="4"/>
  <c r="M1026" i="4"/>
  <c r="M1090" i="4"/>
  <c r="M1014" i="4"/>
  <c r="M1078" i="4"/>
  <c r="M1142" i="4"/>
  <c r="M1082" i="4"/>
  <c r="M1086" i="4"/>
  <c r="M1070" i="4"/>
  <c r="M1031" i="4"/>
  <c r="M1054" i="4"/>
  <c r="M1011" i="4"/>
  <c r="M1027" i="4"/>
  <c r="M1043" i="4"/>
  <c r="M1059" i="4"/>
  <c r="M1075" i="4"/>
  <c r="M1091" i="4"/>
  <c r="M1139" i="4"/>
  <c r="M1012" i="4"/>
  <c r="M1028" i="4"/>
  <c r="M1044" i="4"/>
  <c r="M1060" i="4"/>
  <c r="M1076" i="4"/>
  <c r="M1092" i="4"/>
  <c r="M1140" i="4"/>
  <c r="M1021" i="4"/>
  <c r="M1037" i="4"/>
  <c r="M1053" i="4"/>
  <c r="M1069" i="4"/>
  <c r="M1085" i="4"/>
  <c r="M1133" i="4"/>
  <c r="M1042" i="4"/>
  <c r="M1030" i="4"/>
  <c r="M1094" i="4"/>
  <c r="M1034" i="4"/>
  <c r="M1038" i="4"/>
  <c r="M1134" i="4"/>
  <c r="M1015" i="4"/>
  <c r="M1047" i="4"/>
  <c r="M1063" i="4"/>
  <c r="M1079" i="4"/>
  <c r="M1095" i="4"/>
  <c r="M1143" i="4"/>
  <c r="M1032" i="4"/>
  <c r="M1048" i="4"/>
  <c r="M1064" i="4"/>
  <c r="M1080" i="4"/>
  <c r="M1096" i="4"/>
  <c r="M1009" i="4"/>
  <c r="M1025" i="4"/>
  <c r="M1041" i="4"/>
  <c r="M1057" i="4"/>
  <c r="M1073" i="4"/>
  <c r="M1089" i="4"/>
  <c r="M1121" i="4"/>
  <c r="M1137" i="4"/>
  <c r="M1058" i="4"/>
  <c r="M1046" i="4"/>
  <c r="M1050" i="4"/>
  <c r="J7" i="1"/>
  <c r="M1183" i="4"/>
  <c r="M1187" i="4"/>
  <c r="M1191" i="4"/>
  <c r="M1195" i="4"/>
  <c r="M1185" i="4"/>
  <c r="M1184" i="4"/>
  <c r="M1188" i="4"/>
  <c r="M1192" i="4"/>
  <c r="M1196" i="4"/>
  <c r="M1193" i="4"/>
  <c r="M1182" i="4"/>
  <c r="M1190" i="4"/>
  <c r="M1189" i="4"/>
  <c r="M1186" i="4"/>
  <c r="M1194" i="4"/>
  <c r="T6" i="4"/>
  <c r="X18" i="4"/>
  <c r="X17" i="4"/>
  <c r="A10" i="1"/>
  <c r="I180" i="1"/>
  <c r="I176" i="1"/>
  <c r="I137" i="1"/>
  <c r="I6" i="1"/>
  <c r="M1099" i="4" s="1"/>
  <c r="I121" i="1"/>
  <c r="T6" i="2"/>
  <c r="C6" i="4" s="1"/>
  <c r="D6" i="2" s="1"/>
  <c r="T9" i="2"/>
  <c r="T10" i="2"/>
  <c r="T8" i="2"/>
  <c r="T7" i="2"/>
  <c r="X1008" i="4"/>
  <c r="W1009" i="4"/>
  <c r="T1007" i="4"/>
  <c r="C1007" i="4" s="1"/>
  <c r="J5" i="1"/>
  <c r="M1128" i="4" l="1"/>
  <c r="M1127" i="4"/>
  <c r="M1117" i="4"/>
  <c r="M1124" i="4"/>
  <c r="M1129" i="4"/>
  <c r="M1122" i="4"/>
  <c r="M1105" i="4"/>
  <c r="M1112" i="4"/>
  <c r="M1111" i="4"/>
  <c r="M1098" i="4"/>
  <c r="M1106" i="4"/>
  <c r="M1101" i="4"/>
  <c r="M1108" i="4"/>
  <c r="M1123" i="4"/>
  <c r="M1113" i="4"/>
  <c r="M1120" i="4"/>
  <c r="M1130" i="4"/>
  <c r="M1125" i="4"/>
  <c r="M1107" i="4"/>
  <c r="M1114" i="4"/>
  <c r="M1104" i="4"/>
  <c r="M1119" i="4"/>
  <c r="M1102" i="4"/>
  <c r="M1109" i="4"/>
  <c r="M1116" i="4"/>
  <c r="M1115" i="4"/>
  <c r="M1110" i="4"/>
  <c r="M1103" i="4"/>
  <c r="M1118" i="4"/>
  <c r="M1126" i="4"/>
  <c r="M1100" i="4"/>
  <c r="M1016" i="4"/>
  <c r="AI2" i="7"/>
  <c r="AH2" i="7" s="1"/>
  <c r="J137" i="1"/>
  <c r="AI133" i="7"/>
  <c r="J176" i="1"/>
  <c r="AI172" i="7"/>
  <c r="J121" i="1"/>
  <c r="AI117" i="7"/>
  <c r="J180" i="1"/>
  <c r="AI176" i="7"/>
  <c r="M1006" i="4"/>
  <c r="M1018" i="4"/>
  <c r="O11" i="5"/>
  <c r="C7" i="4"/>
  <c r="C8" i="4" s="1"/>
  <c r="D6" i="4"/>
  <c r="W9" i="4"/>
  <c r="M1147" i="4"/>
  <c r="M1151" i="4"/>
  <c r="M1155" i="4"/>
  <c r="M1159" i="4"/>
  <c r="M1163" i="4"/>
  <c r="M1167" i="4"/>
  <c r="M1171" i="4"/>
  <c r="M1175" i="4"/>
  <c r="M1179" i="4"/>
  <c r="M1145" i="4"/>
  <c r="M1149" i="4"/>
  <c r="M1153" i="4"/>
  <c r="M1157" i="4"/>
  <c r="M1169" i="4"/>
  <c r="M1177" i="4"/>
  <c r="M1144" i="4"/>
  <c r="M1148" i="4"/>
  <c r="M1152" i="4"/>
  <c r="M1156" i="4"/>
  <c r="M1160" i="4"/>
  <c r="M1164" i="4"/>
  <c r="M1168" i="4"/>
  <c r="M1172" i="4"/>
  <c r="M1176" i="4"/>
  <c r="M1180" i="4"/>
  <c r="M1165" i="4"/>
  <c r="M1181" i="4"/>
  <c r="M1150" i="4"/>
  <c r="M1158" i="4"/>
  <c r="M1166" i="4"/>
  <c r="M1174" i="4"/>
  <c r="M1161" i="4"/>
  <c r="M1173" i="4"/>
  <c r="M1146" i="4"/>
  <c r="M1154" i="4"/>
  <c r="M1162" i="4"/>
  <c r="M1170" i="4"/>
  <c r="M1178" i="4"/>
  <c r="J6" i="1"/>
  <c r="T7" i="4"/>
  <c r="D1007" i="4"/>
  <c r="X19" i="4"/>
  <c r="A11" i="1"/>
  <c r="T11" i="2"/>
  <c r="T12" i="2" s="1"/>
  <c r="W1010" i="4"/>
  <c r="X1009" i="4"/>
  <c r="T1008" i="4"/>
  <c r="T1009" i="4" s="1"/>
  <c r="B11" i="5" l="1"/>
  <c r="AH3" i="7"/>
  <c r="AH4" i="7" s="1"/>
  <c r="AH5" i="7" s="1"/>
  <c r="AH6" i="7" s="1"/>
  <c r="AH7" i="7" s="1"/>
  <c r="AH8" i="7" s="1"/>
  <c r="AH9" i="7" s="1"/>
  <c r="AH10" i="7" s="1"/>
  <c r="AH11" i="7" s="1"/>
  <c r="AH12" i="7" s="1"/>
  <c r="AH13" i="7" s="1"/>
  <c r="AH14" i="7" s="1"/>
  <c r="AH15" i="7" s="1"/>
  <c r="AH16" i="7" s="1"/>
  <c r="AH17" i="7" s="1"/>
  <c r="AH18" i="7" s="1"/>
  <c r="AH19" i="7" s="1"/>
  <c r="AH20" i="7" s="1"/>
  <c r="AH21" i="7" s="1"/>
  <c r="AH22" i="7" s="1"/>
  <c r="AH23" i="7" s="1"/>
  <c r="AH24" i="7" s="1"/>
  <c r="AH25" i="7" s="1"/>
  <c r="AH26" i="7" s="1"/>
  <c r="AH27" i="7" s="1"/>
  <c r="AH28" i="7" s="1"/>
  <c r="AH29" i="7" s="1"/>
  <c r="AH30" i="7" s="1"/>
  <c r="AH31" i="7" s="1"/>
  <c r="AH32" i="7" s="1"/>
  <c r="AH33" i="7" s="1"/>
  <c r="AH34" i="7" s="1"/>
  <c r="AH35" i="7" s="1"/>
  <c r="AH36" i="7" s="1"/>
  <c r="AH37" i="7" s="1"/>
  <c r="AH38" i="7" s="1"/>
  <c r="AH39" i="7" s="1"/>
  <c r="AH40" i="7" s="1"/>
  <c r="AH41" i="7" s="1"/>
  <c r="AH42" i="7" s="1"/>
  <c r="AH43" i="7" s="1"/>
  <c r="AH44" i="7" s="1"/>
  <c r="AH45" i="7" s="1"/>
  <c r="AH46" i="7" s="1"/>
  <c r="AH47" i="7" s="1"/>
  <c r="AH48" i="7" s="1"/>
  <c r="AH49" i="7" s="1"/>
  <c r="AH50" i="7" s="1"/>
  <c r="AH51" i="7" s="1"/>
  <c r="AH52" i="7" s="1"/>
  <c r="AH53" i="7" s="1"/>
  <c r="AH54" i="7" s="1"/>
  <c r="AH55" i="7" s="1"/>
  <c r="AH56" i="7" s="1"/>
  <c r="AH57" i="7" s="1"/>
  <c r="AH58" i="7" s="1"/>
  <c r="AH59" i="7" s="1"/>
  <c r="AH60" i="7" s="1"/>
  <c r="AH61" i="7" s="1"/>
  <c r="AH62" i="7" s="1"/>
  <c r="AH63" i="7" s="1"/>
  <c r="AH64" i="7" s="1"/>
  <c r="AH65" i="7" s="1"/>
  <c r="AH66" i="7" s="1"/>
  <c r="AH67" i="7" s="1"/>
  <c r="AH68" i="7" s="1"/>
  <c r="AH69" i="7" s="1"/>
  <c r="AH70" i="7" s="1"/>
  <c r="AH71" i="7" s="1"/>
  <c r="AH72" i="7" s="1"/>
  <c r="AH73" i="7" s="1"/>
  <c r="AH74" i="7" s="1"/>
  <c r="AH75" i="7" s="1"/>
  <c r="AH76" i="7" s="1"/>
  <c r="AH77" i="7" s="1"/>
  <c r="AH78" i="7" s="1"/>
  <c r="AH79" i="7" s="1"/>
  <c r="AH80" i="7" s="1"/>
  <c r="AH81" i="7" s="1"/>
  <c r="AH82" i="7" s="1"/>
  <c r="AH83" i="7" s="1"/>
  <c r="AH84" i="7" s="1"/>
  <c r="AH85" i="7" s="1"/>
  <c r="AH86" i="7" s="1"/>
  <c r="AH87" i="7" s="1"/>
  <c r="AH88" i="7" s="1"/>
  <c r="AH89" i="7" s="1"/>
  <c r="AH90" i="7" s="1"/>
  <c r="AH91" i="7" s="1"/>
  <c r="AH92" i="7" s="1"/>
  <c r="AH93" i="7" s="1"/>
  <c r="AH94" i="7" s="1"/>
  <c r="AH95" i="7" s="1"/>
  <c r="AH96" i="7" s="1"/>
  <c r="AH97" i="7" s="1"/>
  <c r="AH98" i="7" s="1"/>
  <c r="AH99" i="7" s="1"/>
  <c r="AH100" i="7" s="1"/>
  <c r="AH101" i="7" s="1"/>
  <c r="AH102" i="7" s="1"/>
  <c r="AH103" i="7" s="1"/>
  <c r="AH104" i="7" s="1"/>
  <c r="AH105" i="7" s="1"/>
  <c r="AH106" i="7" s="1"/>
  <c r="AH107" i="7" s="1"/>
  <c r="AH108" i="7" s="1"/>
  <c r="AH109" i="7" s="1"/>
  <c r="AH110" i="7" s="1"/>
  <c r="AH111" i="7" s="1"/>
  <c r="AH112" i="7" s="1"/>
  <c r="AH113" i="7" s="1"/>
  <c r="AH114" i="7" s="1"/>
  <c r="AH115" i="7" s="1"/>
  <c r="AH116" i="7" s="1"/>
  <c r="AH117" i="7" s="1"/>
  <c r="AH118" i="7" s="1"/>
  <c r="AH119" i="7" s="1"/>
  <c r="AH120" i="7" s="1"/>
  <c r="AH121" i="7" s="1"/>
  <c r="AH122" i="7" s="1"/>
  <c r="AH123" i="7" s="1"/>
  <c r="AH124" i="7" s="1"/>
  <c r="AH125" i="7" s="1"/>
  <c r="AH126" i="7" s="1"/>
  <c r="AH127" i="7" s="1"/>
  <c r="AH128" i="7" s="1"/>
  <c r="AH129" i="7" s="1"/>
  <c r="AH130" i="7" s="1"/>
  <c r="AH131" i="7" s="1"/>
  <c r="AH132" i="7" s="1"/>
  <c r="AH133" i="7" s="1"/>
  <c r="AH134" i="7" s="1"/>
  <c r="AH135" i="7" s="1"/>
  <c r="AH136" i="7" s="1"/>
  <c r="AH137" i="7" s="1"/>
  <c r="AH138" i="7" s="1"/>
  <c r="AH139" i="7" s="1"/>
  <c r="AH140" i="7" s="1"/>
  <c r="AH141" i="7" s="1"/>
  <c r="AH142" i="7" s="1"/>
  <c r="AH143" i="7" s="1"/>
  <c r="AH144" i="7" s="1"/>
  <c r="AH145" i="7" s="1"/>
  <c r="AH146" i="7" s="1"/>
  <c r="AH147" i="7" s="1"/>
  <c r="AH148" i="7" s="1"/>
  <c r="AH149" i="7" s="1"/>
  <c r="AH150" i="7" s="1"/>
  <c r="AH151" i="7" s="1"/>
  <c r="AH152" i="7" s="1"/>
  <c r="AH153" i="7" s="1"/>
  <c r="AH154" i="7" s="1"/>
  <c r="AH155" i="7" s="1"/>
  <c r="AH156" i="7" s="1"/>
  <c r="AH157" i="7" s="1"/>
  <c r="AH158" i="7" s="1"/>
  <c r="AH159" i="7" s="1"/>
  <c r="AH160" i="7" s="1"/>
  <c r="AH161" i="7" s="1"/>
  <c r="AH162" i="7" s="1"/>
  <c r="AH163" i="7" s="1"/>
  <c r="AH164" i="7" s="1"/>
  <c r="AH165" i="7" s="1"/>
  <c r="AH166" i="7" s="1"/>
  <c r="AH167" i="7" s="1"/>
  <c r="AH168" i="7" s="1"/>
  <c r="AH169" i="7" s="1"/>
  <c r="AH170" i="7" s="1"/>
  <c r="AH171" i="7" s="1"/>
  <c r="AH172" i="7" s="1"/>
  <c r="AH173" i="7" s="1"/>
  <c r="AH174" i="7" s="1"/>
  <c r="AH175" i="7" s="1"/>
  <c r="AH176" i="7" s="1"/>
  <c r="AH177" i="7" s="1"/>
  <c r="AH178" i="7" s="1"/>
  <c r="AH179" i="7" s="1"/>
  <c r="AH180" i="7" s="1"/>
  <c r="AH181" i="7" s="1"/>
  <c r="AH182" i="7" s="1"/>
  <c r="AH183" i="7" s="1"/>
  <c r="AH184" i="7" s="1"/>
  <c r="AH185" i="7" s="1"/>
  <c r="AH186" i="7" s="1"/>
  <c r="AH187" i="7" s="1"/>
  <c r="AH188" i="7" s="1"/>
  <c r="AH189" i="7" s="1"/>
  <c r="AH190" i="7" s="1"/>
  <c r="AH191" i="7" s="1"/>
  <c r="AH192" i="7" s="1"/>
  <c r="AH193" i="7" s="1"/>
  <c r="AH194" i="7" s="1"/>
  <c r="AH195" i="7" s="1"/>
  <c r="AH196" i="7" s="1"/>
  <c r="AH197" i="7" s="1"/>
  <c r="D7" i="2"/>
  <c r="D7" i="4" s="1"/>
  <c r="O12" i="5"/>
  <c r="C9" i="4"/>
  <c r="D9" i="2" s="1"/>
  <c r="D8" i="2"/>
  <c r="D8" i="4" s="1"/>
  <c r="W10" i="4"/>
  <c r="T13" i="2"/>
  <c r="T14" i="2" s="1"/>
  <c r="T15" i="2" s="1"/>
  <c r="C1008" i="4"/>
  <c r="T8" i="4"/>
  <c r="A12" i="1"/>
  <c r="X1010" i="4"/>
  <c r="W1011" i="4"/>
  <c r="T1010" i="4"/>
  <c r="O13" i="5" l="1"/>
  <c r="B13" i="5" s="1"/>
  <c r="AB1" i="7"/>
  <c r="AB2" i="7"/>
  <c r="AB7" i="7"/>
  <c r="AB181" i="7"/>
  <c r="AB167" i="7"/>
  <c r="AB150" i="7"/>
  <c r="AB97" i="7"/>
  <c r="AB53" i="7"/>
  <c r="AB62" i="7"/>
  <c r="AB82" i="7"/>
  <c r="AB144" i="7"/>
  <c r="AB64" i="7"/>
  <c r="AB193" i="7"/>
  <c r="AB33" i="7"/>
  <c r="AB133" i="7"/>
  <c r="AB47" i="7"/>
  <c r="AB185" i="7"/>
  <c r="AB99" i="7"/>
  <c r="AB14" i="7"/>
  <c r="AB119" i="7"/>
  <c r="AB34" i="7"/>
  <c r="AB172" i="7"/>
  <c r="AB108" i="7"/>
  <c r="AB44" i="7"/>
  <c r="AB155" i="7"/>
  <c r="AB31" i="7"/>
  <c r="AB41" i="7"/>
  <c r="AB61" i="7"/>
  <c r="AB112" i="7"/>
  <c r="AB113" i="7"/>
  <c r="AB191" i="7"/>
  <c r="AB106" i="7"/>
  <c r="AB21" i="7"/>
  <c r="AB158" i="7"/>
  <c r="AB73" i="7"/>
  <c r="AB178" i="7"/>
  <c r="AB93" i="7"/>
  <c r="AB3" i="7"/>
  <c r="AB152" i="7"/>
  <c r="AB88" i="7"/>
  <c r="AB24" i="7"/>
  <c r="AB10" i="7"/>
  <c r="AB83" i="7"/>
  <c r="AB118" i="7"/>
  <c r="AB54" i="7"/>
  <c r="AB143" i="7"/>
  <c r="AB58" i="7"/>
  <c r="AB195" i="7"/>
  <c r="AB110" i="7"/>
  <c r="AB25" i="7"/>
  <c r="AB130" i="7"/>
  <c r="AB45" i="7"/>
  <c r="AB180" i="7"/>
  <c r="AB116" i="7"/>
  <c r="AB52" i="7"/>
  <c r="AB13" i="7"/>
  <c r="AB86" i="7"/>
  <c r="AB19" i="7"/>
  <c r="AB39" i="7"/>
  <c r="AB128" i="7"/>
  <c r="AB16" i="7"/>
  <c r="AB134" i="7"/>
  <c r="AB197" i="7"/>
  <c r="AB111" i="7"/>
  <c r="AB26" i="7"/>
  <c r="AB163" i="7"/>
  <c r="AB78" i="7"/>
  <c r="AB183" i="7"/>
  <c r="AB98" i="7"/>
  <c r="AB11" i="7"/>
  <c r="AB156" i="7"/>
  <c r="AB92" i="7"/>
  <c r="AB28" i="7"/>
  <c r="AB43" i="7"/>
  <c r="AB190" i="7"/>
  <c r="AB189" i="7"/>
  <c r="AB18" i="7"/>
  <c r="AB32" i="7"/>
  <c r="AB129" i="7"/>
  <c r="AB170" i="7"/>
  <c r="AB85" i="7"/>
  <c r="AB70" i="7"/>
  <c r="AB137" i="7"/>
  <c r="AB51" i="7"/>
  <c r="AB157" i="7"/>
  <c r="AB71" i="7"/>
  <c r="AB5" i="7"/>
  <c r="AB136" i="7"/>
  <c r="AB72" i="7"/>
  <c r="AB8" i="7"/>
  <c r="AB138" i="7"/>
  <c r="AB48" i="7"/>
  <c r="AB177" i="7"/>
  <c r="AB22" i="7"/>
  <c r="AB122" i="7"/>
  <c r="AB37" i="7"/>
  <c r="AB174" i="7"/>
  <c r="AB89" i="7"/>
  <c r="AB194" i="7"/>
  <c r="AB109" i="7"/>
  <c r="AB23" i="7"/>
  <c r="AB164" i="7"/>
  <c r="AB100" i="7"/>
  <c r="AB36" i="7"/>
  <c r="AB169" i="7"/>
  <c r="AB96" i="7"/>
  <c r="AB145" i="7"/>
  <c r="AB175" i="7"/>
  <c r="AB90" i="7"/>
  <c r="AB81" i="7"/>
  <c r="AB142" i="7"/>
  <c r="AB57" i="7"/>
  <c r="AB162" i="7"/>
  <c r="AB77" i="7"/>
  <c r="AB9" i="7"/>
  <c r="AB140" i="7"/>
  <c r="AB76" i="7"/>
  <c r="AB12" i="7"/>
  <c r="AB159" i="7"/>
  <c r="AB147" i="7"/>
  <c r="AB146" i="7"/>
  <c r="AB192" i="7"/>
  <c r="AB123" i="7"/>
  <c r="AB65" i="7"/>
  <c r="AB149" i="7"/>
  <c r="AB63" i="7"/>
  <c r="AB17" i="7"/>
  <c r="AB115" i="7"/>
  <c r="AB30" i="7"/>
  <c r="AB135" i="7"/>
  <c r="AB50" i="7"/>
  <c r="AB184" i="7"/>
  <c r="AB120" i="7"/>
  <c r="AB56" i="7"/>
  <c r="AB182" i="7"/>
  <c r="AB74" i="7"/>
  <c r="AB187" i="7"/>
  <c r="AB91" i="7"/>
  <c r="AB186" i="7"/>
  <c r="AB101" i="7"/>
  <c r="AB15" i="7"/>
  <c r="AB153" i="7"/>
  <c r="AB67" i="7"/>
  <c r="AB173" i="7"/>
  <c r="AB87" i="7"/>
  <c r="AB148" i="7"/>
  <c r="AB84" i="7"/>
  <c r="AB20" i="7"/>
  <c r="AB117" i="7"/>
  <c r="AB126" i="7"/>
  <c r="AB125" i="7"/>
  <c r="AB176" i="7"/>
  <c r="AB80" i="7"/>
  <c r="AB161" i="7"/>
  <c r="AB75" i="7"/>
  <c r="AB154" i="7"/>
  <c r="AB69" i="7"/>
  <c r="AB38" i="7"/>
  <c r="AB121" i="7"/>
  <c r="AB35" i="7"/>
  <c r="AB141" i="7"/>
  <c r="AB55" i="7"/>
  <c r="AB188" i="7"/>
  <c r="AB124" i="7"/>
  <c r="AB60" i="7"/>
  <c r="AB166" i="7"/>
  <c r="AB95" i="7"/>
  <c r="AB105" i="7"/>
  <c r="AB103" i="7"/>
  <c r="AB160" i="7"/>
  <c r="AB139" i="7"/>
  <c r="AB27" i="7"/>
  <c r="AB127" i="7"/>
  <c r="AB42" i="7"/>
  <c r="AB179" i="7"/>
  <c r="AB94" i="7"/>
  <c r="AB6" i="7"/>
  <c r="AB114" i="7"/>
  <c r="AB29" i="7"/>
  <c r="AB168" i="7"/>
  <c r="AB104" i="7"/>
  <c r="AB40" i="7"/>
  <c r="AB171" i="7"/>
  <c r="AB49" i="7"/>
  <c r="AB102" i="7"/>
  <c r="AB107" i="7"/>
  <c r="AB165" i="7"/>
  <c r="AB79" i="7"/>
  <c r="AB59" i="7"/>
  <c r="AB131" i="7"/>
  <c r="AB46" i="7"/>
  <c r="AB151" i="7"/>
  <c r="AB66" i="7"/>
  <c r="AB196" i="7"/>
  <c r="AB132" i="7"/>
  <c r="AB68" i="7"/>
  <c r="AB4" i="7"/>
  <c r="C10" i="4"/>
  <c r="D10" i="2" s="1"/>
  <c r="B12" i="5"/>
  <c r="W11" i="4"/>
  <c r="T1011" i="4"/>
  <c r="T1012" i="4" s="1"/>
  <c r="C1009" i="4"/>
  <c r="D1009" i="4" s="1"/>
  <c r="D1008" i="4"/>
  <c r="T9" i="4"/>
  <c r="T10" i="4" s="1"/>
  <c r="A13" i="1"/>
  <c r="D9" i="4"/>
  <c r="W1012" i="4"/>
  <c r="X1011" i="4"/>
  <c r="T16" i="2"/>
  <c r="O14" i="5" l="1"/>
  <c r="B14" i="5" s="1"/>
  <c r="Y2" i="7"/>
  <c r="C11" i="4"/>
  <c r="D11" i="2" s="1"/>
  <c r="W12" i="4"/>
  <c r="C1010" i="4"/>
  <c r="D1010" i="4" s="1"/>
  <c r="T11" i="4"/>
  <c r="T12" i="4" s="1"/>
  <c r="A14" i="1"/>
  <c r="D10" i="4"/>
  <c r="X1012" i="4"/>
  <c r="W1013" i="4"/>
  <c r="T1013" i="4"/>
  <c r="T17" i="2"/>
  <c r="O15" i="5" l="1"/>
  <c r="O16" i="5" s="1"/>
  <c r="C12" i="4"/>
  <c r="D12" i="2" s="1"/>
  <c r="W13" i="4"/>
  <c r="C1011" i="4"/>
  <c r="D1011" i="4" s="1"/>
  <c r="T13" i="4"/>
  <c r="A15" i="1"/>
  <c r="D11" i="4"/>
  <c r="X1013" i="4"/>
  <c r="W1014" i="4"/>
  <c r="T1014" i="4"/>
  <c r="T18" i="2"/>
  <c r="T19" i="2" s="1"/>
  <c r="B15" i="5" l="1"/>
  <c r="C13" i="4"/>
  <c r="D13" i="2" s="1"/>
  <c r="W14" i="4"/>
  <c r="C1012" i="4"/>
  <c r="D1012" i="4" s="1"/>
  <c r="T14" i="4"/>
  <c r="A16" i="1"/>
  <c r="W1015" i="4"/>
  <c r="X1014" i="4"/>
  <c r="T1015" i="4"/>
  <c r="T1016" i="4" s="1"/>
  <c r="T20" i="2"/>
  <c r="O17" i="5"/>
  <c r="B16" i="5"/>
  <c r="C14" i="4" l="1"/>
  <c r="D14" i="2" s="1"/>
  <c r="D14" i="4" s="1"/>
  <c r="C1013" i="4"/>
  <c r="D1013" i="4" s="1"/>
  <c r="W15" i="4"/>
  <c r="T15" i="4"/>
  <c r="A17" i="1"/>
  <c r="D12" i="4"/>
  <c r="D13" i="4"/>
  <c r="X1015" i="4"/>
  <c r="W1016" i="4"/>
  <c r="T1017" i="4"/>
  <c r="T21" i="2"/>
  <c r="O18" i="5"/>
  <c r="B17" i="5"/>
  <c r="C15" i="4" l="1"/>
  <c r="D15" i="2" s="1"/>
  <c r="D15" i="4" s="1"/>
  <c r="C1014" i="4"/>
  <c r="D1014" i="4" s="1"/>
  <c r="W16" i="4"/>
  <c r="T16" i="4"/>
  <c r="A18" i="1"/>
  <c r="W1017" i="4"/>
  <c r="X1016" i="4"/>
  <c r="T1018" i="4"/>
  <c r="T22" i="2"/>
  <c r="O19" i="5"/>
  <c r="B18" i="5"/>
  <c r="C16" i="4" l="1"/>
  <c r="D16" i="2" s="1"/>
  <c r="D16" i="4" s="1"/>
  <c r="C1015" i="4"/>
  <c r="D1015" i="4" s="1"/>
  <c r="W17" i="4"/>
  <c r="T17" i="4"/>
  <c r="A19" i="1"/>
  <c r="X1017" i="4"/>
  <c r="W1018" i="4"/>
  <c r="T1019" i="4"/>
  <c r="T1020" i="4" s="1"/>
  <c r="T23" i="2"/>
  <c r="B19" i="5"/>
  <c r="O20" i="5"/>
  <c r="C17" i="4" l="1"/>
  <c r="D17" i="2" s="1"/>
  <c r="D17" i="4" s="1"/>
  <c r="C1016" i="4"/>
  <c r="C1017" i="4" s="1"/>
  <c r="D1017" i="4" s="1"/>
  <c r="W18" i="4"/>
  <c r="T18" i="4"/>
  <c r="A20" i="1"/>
  <c r="W1019" i="4"/>
  <c r="X1018" i="4"/>
  <c r="T1021" i="4"/>
  <c r="T24" i="2"/>
  <c r="B20" i="5"/>
  <c r="O21" i="5"/>
  <c r="C18" i="4" l="1"/>
  <c r="D18" i="2" s="1"/>
  <c r="D18" i="4" s="1"/>
  <c r="D1016" i="4"/>
  <c r="W19" i="4"/>
  <c r="T19" i="4"/>
  <c r="C1018" i="4"/>
  <c r="A21" i="1"/>
  <c r="X1019" i="4"/>
  <c r="W1020" i="4"/>
  <c r="T1022" i="4"/>
  <c r="T1023" i="4" s="1"/>
  <c r="T25" i="2"/>
  <c r="B21" i="5"/>
  <c r="O22" i="5"/>
  <c r="C19" i="4" l="1"/>
  <c r="D19" i="2" s="1"/>
  <c r="D19" i="4" s="1"/>
  <c r="W20" i="4"/>
  <c r="C1019" i="4"/>
  <c r="D1019" i="4" s="1"/>
  <c r="T20" i="4"/>
  <c r="D1018" i="4"/>
  <c r="A22" i="1"/>
  <c r="W1021" i="4"/>
  <c r="X1020" i="4"/>
  <c r="T1024" i="4"/>
  <c r="T26" i="2"/>
  <c r="O23" i="5"/>
  <c r="B22" i="5"/>
  <c r="C20" i="4" l="1"/>
  <c r="D20" i="2" s="1"/>
  <c r="D20" i="4" s="1"/>
  <c r="W21" i="4"/>
  <c r="C1020" i="4"/>
  <c r="D1020" i="4" s="1"/>
  <c r="T21" i="4"/>
  <c r="A23" i="1"/>
  <c r="X1021" i="4"/>
  <c r="W1022" i="4"/>
  <c r="T1025" i="4"/>
  <c r="T27" i="2"/>
  <c r="O24" i="5"/>
  <c r="B23" i="5"/>
  <c r="C21" i="4" l="1"/>
  <c r="W22" i="4"/>
  <c r="T22" i="4"/>
  <c r="T23" i="4" s="1"/>
  <c r="C1021" i="4"/>
  <c r="A24" i="1"/>
  <c r="X1022" i="4"/>
  <c r="W1023" i="4"/>
  <c r="T1026" i="4"/>
  <c r="T28" i="2"/>
  <c r="O25" i="5"/>
  <c r="B24" i="5"/>
  <c r="C22" i="4" l="1"/>
  <c r="D21" i="2"/>
  <c r="D21" i="4" s="1"/>
  <c r="W23" i="4"/>
  <c r="C1022" i="4"/>
  <c r="C1023" i="4" s="1"/>
  <c r="T24" i="4"/>
  <c r="D1021" i="4"/>
  <c r="A25" i="1"/>
  <c r="W1024" i="4"/>
  <c r="X1023" i="4"/>
  <c r="T1027" i="4"/>
  <c r="T29" i="2"/>
  <c r="B25" i="5"/>
  <c r="O26" i="5"/>
  <c r="C23" i="4" l="1"/>
  <c r="D23" i="2" s="1"/>
  <c r="D23" i="4" s="1"/>
  <c r="D22" i="2"/>
  <c r="D22" i="4" s="1"/>
  <c r="C1024" i="4"/>
  <c r="D1024" i="4" s="1"/>
  <c r="W24" i="4"/>
  <c r="T25" i="4"/>
  <c r="D1023" i="4"/>
  <c r="D1022" i="4"/>
  <c r="A26" i="1"/>
  <c r="X1024" i="4"/>
  <c r="W1025" i="4"/>
  <c r="T1028" i="4"/>
  <c r="T30" i="2"/>
  <c r="O27" i="5"/>
  <c r="B26" i="5"/>
  <c r="C24" i="4" l="1"/>
  <c r="D24" i="2" s="1"/>
  <c r="D24" i="4" s="1"/>
  <c r="C1025" i="4"/>
  <c r="D1025" i="4" s="1"/>
  <c r="W25" i="4"/>
  <c r="T26" i="4"/>
  <c r="A27" i="1"/>
  <c r="W1026" i="4"/>
  <c r="X1025" i="4"/>
  <c r="T1029" i="4"/>
  <c r="T1030" i="4" s="1"/>
  <c r="T31" i="2"/>
  <c r="B27" i="5"/>
  <c r="O28" i="5"/>
  <c r="C25" i="4" l="1"/>
  <c r="D25" i="2" s="1"/>
  <c r="D25" i="4" s="1"/>
  <c r="C1026" i="4"/>
  <c r="W26" i="4"/>
  <c r="T27" i="4"/>
  <c r="A28" i="1"/>
  <c r="W1027" i="4"/>
  <c r="X1026" i="4"/>
  <c r="T1031" i="4"/>
  <c r="T32" i="2"/>
  <c r="O29" i="5"/>
  <c r="B28" i="5"/>
  <c r="C26" i="4" l="1"/>
  <c r="D26" i="2" s="1"/>
  <c r="D26" i="4" s="1"/>
  <c r="C1027" i="4"/>
  <c r="D1027" i="4" s="1"/>
  <c r="D1026" i="4"/>
  <c r="W27" i="4"/>
  <c r="T28" i="4"/>
  <c r="T29" i="4" s="1"/>
  <c r="A29" i="1"/>
  <c r="W1028" i="4"/>
  <c r="X1027" i="4"/>
  <c r="T1032" i="4"/>
  <c r="T33" i="2"/>
  <c r="B29" i="5"/>
  <c r="O30" i="5"/>
  <c r="C1028" i="4" l="1"/>
  <c r="D1028" i="4" s="1"/>
  <c r="W28" i="4"/>
  <c r="C27" i="4"/>
  <c r="T30" i="4"/>
  <c r="A30" i="1"/>
  <c r="X1028" i="4"/>
  <c r="W1029" i="4"/>
  <c r="T1033" i="4"/>
  <c r="T34" i="2"/>
  <c r="O31" i="5"/>
  <c r="B30" i="5"/>
  <c r="C1029" i="4" l="1"/>
  <c r="D1029" i="4" s="1"/>
  <c r="D27" i="2"/>
  <c r="D27" i="4" s="1"/>
  <c r="C28" i="4"/>
  <c r="W29" i="4"/>
  <c r="T31" i="4"/>
  <c r="A31" i="1"/>
  <c r="W1030" i="4"/>
  <c r="X1029" i="4"/>
  <c r="T1034" i="4"/>
  <c r="T35" i="2"/>
  <c r="O32" i="5"/>
  <c r="B31" i="5"/>
  <c r="C1030" i="4" l="1"/>
  <c r="D1030" i="4" s="1"/>
  <c r="C29" i="4"/>
  <c r="W30" i="4"/>
  <c r="D28" i="2"/>
  <c r="D28" i="4" s="1"/>
  <c r="T32" i="4"/>
  <c r="T33" i="4" s="1"/>
  <c r="A32" i="1"/>
  <c r="X1030" i="4"/>
  <c r="W1031" i="4"/>
  <c r="T1035" i="4"/>
  <c r="T36" i="2"/>
  <c r="O33" i="5"/>
  <c r="B32" i="5"/>
  <c r="C1031" i="4" l="1"/>
  <c r="D1031" i="4" s="1"/>
  <c r="C30" i="4"/>
  <c r="D30" i="2" s="1"/>
  <c r="D30" i="4" s="1"/>
  <c r="D29" i="2"/>
  <c r="D29" i="4" s="1"/>
  <c r="W31" i="4"/>
  <c r="T34" i="4"/>
  <c r="T35" i="4" s="1"/>
  <c r="A33" i="1"/>
  <c r="W1032" i="4"/>
  <c r="X1031" i="4"/>
  <c r="T1036" i="4"/>
  <c r="T37" i="2"/>
  <c r="O34" i="5"/>
  <c r="B33" i="5"/>
  <c r="C31" i="4" l="1"/>
  <c r="D31" i="2" s="1"/>
  <c r="D31" i="4" s="1"/>
  <c r="C1032" i="4"/>
  <c r="D1032" i="4" s="1"/>
  <c r="W32" i="4"/>
  <c r="T36" i="4"/>
  <c r="A34" i="1"/>
  <c r="X1032" i="4"/>
  <c r="W1033" i="4"/>
  <c r="T1037" i="4"/>
  <c r="T1038" i="4" s="1"/>
  <c r="T38" i="2"/>
  <c r="B34" i="5"/>
  <c r="O35" i="5"/>
  <c r="C32" i="4" l="1"/>
  <c r="D32" i="2" s="1"/>
  <c r="D32" i="4" s="1"/>
  <c r="C1033" i="4"/>
  <c r="D1033" i="4" s="1"/>
  <c r="W33" i="4"/>
  <c r="T37" i="4"/>
  <c r="A35" i="1"/>
  <c r="W1034" i="4"/>
  <c r="X1033" i="4"/>
  <c r="T1039" i="4"/>
  <c r="T39" i="2"/>
  <c r="O36" i="5"/>
  <c r="B35" i="5"/>
  <c r="C33" i="4" l="1"/>
  <c r="D33" i="2" s="1"/>
  <c r="D33" i="4" s="1"/>
  <c r="C1034" i="4"/>
  <c r="W34" i="4"/>
  <c r="T38" i="4"/>
  <c r="A36" i="1"/>
  <c r="W1035" i="4"/>
  <c r="X1034" i="4"/>
  <c r="T1040" i="4"/>
  <c r="T40" i="2"/>
  <c r="O37" i="5"/>
  <c r="B36" i="5"/>
  <c r="D1034" i="4" l="1"/>
  <c r="C1035" i="4"/>
  <c r="D1035" i="4" s="1"/>
  <c r="W35" i="4"/>
  <c r="C34" i="4"/>
  <c r="T39" i="4"/>
  <c r="A37" i="1"/>
  <c r="W1036" i="4"/>
  <c r="X1035" i="4"/>
  <c r="T1041" i="4"/>
  <c r="T41" i="2"/>
  <c r="B37" i="5"/>
  <c r="O38" i="5"/>
  <c r="C35" i="4" l="1"/>
  <c r="D35" i="2" s="1"/>
  <c r="D35" i="4" s="1"/>
  <c r="C1036" i="4"/>
  <c r="D1036" i="4" s="1"/>
  <c r="D34" i="2"/>
  <c r="D34" i="4" s="1"/>
  <c r="W36" i="4"/>
  <c r="T40" i="4"/>
  <c r="A38" i="1"/>
  <c r="X1036" i="4"/>
  <c r="W1037" i="4"/>
  <c r="T1042" i="4"/>
  <c r="T42" i="2"/>
  <c r="O39" i="5"/>
  <c r="B38" i="5"/>
  <c r="C36" i="4" l="1"/>
  <c r="D36" i="2" s="1"/>
  <c r="D36" i="4" s="1"/>
  <c r="C1037" i="4"/>
  <c r="W37" i="4"/>
  <c r="T41" i="4"/>
  <c r="A39" i="1"/>
  <c r="X1037" i="4"/>
  <c r="W1038" i="4"/>
  <c r="T1043" i="4"/>
  <c r="T43" i="2"/>
  <c r="B39" i="5"/>
  <c r="O40" i="5"/>
  <c r="C37" i="4" l="1"/>
  <c r="D37" i="2" s="1"/>
  <c r="D37" i="4" s="1"/>
  <c r="C1038" i="4"/>
  <c r="D1038" i="4" s="1"/>
  <c r="D1037" i="4"/>
  <c r="W38" i="4"/>
  <c r="T42" i="4"/>
  <c r="A40" i="1"/>
  <c r="X1038" i="4"/>
  <c r="W1039" i="4"/>
  <c r="T1044" i="4"/>
  <c r="T44" i="2"/>
  <c r="E41" i="5"/>
  <c r="B40" i="5"/>
  <c r="C38" i="4" l="1"/>
  <c r="D38" i="2" s="1"/>
  <c r="D38" i="4" s="1"/>
  <c r="C1039" i="4"/>
  <c r="D1039" i="4" s="1"/>
  <c r="W39" i="4"/>
  <c r="T43" i="4"/>
  <c r="T44" i="4" s="1"/>
  <c r="A41" i="1"/>
  <c r="W1040" i="4"/>
  <c r="X1039" i="4"/>
  <c r="T1045" i="4"/>
  <c r="T45" i="2"/>
  <c r="C39" i="4" l="1"/>
  <c r="D39" i="2" s="1"/>
  <c r="D39" i="4" s="1"/>
  <c r="C1040" i="4"/>
  <c r="W40" i="4"/>
  <c r="T45" i="4"/>
  <c r="T46" i="4" s="1"/>
  <c r="A42" i="1"/>
  <c r="W1041" i="4"/>
  <c r="X1040" i="4"/>
  <c r="T1046" i="4"/>
  <c r="T46" i="2"/>
  <c r="C40" i="4" l="1"/>
  <c r="D40" i="2" s="1"/>
  <c r="D40" i="4" s="1"/>
  <c r="C1041" i="4"/>
  <c r="D1041" i="4" s="1"/>
  <c r="D1040" i="4"/>
  <c r="W41" i="4"/>
  <c r="T47" i="4"/>
  <c r="A43" i="1"/>
  <c r="W1042" i="4"/>
  <c r="X1041" i="4"/>
  <c r="T1047" i="4"/>
  <c r="T47" i="2"/>
  <c r="C1042" i="4" l="1"/>
  <c r="W42" i="4"/>
  <c r="C41" i="4"/>
  <c r="T48" i="4"/>
  <c r="A44" i="1"/>
  <c r="X1042" i="4"/>
  <c r="W1043" i="4"/>
  <c r="T1048" i="4"/>
  <c r="T48" i="2"/>
  <c r="C42" i="4" l="1"/>
  <c r="D42" i="2" s="1"/>
  <c r="D42" i="4" s="1"/>
  <c r="D1042" i="4"/>
  <c r="C1043" i="4"/>
  <c r="D1043" i="4" s="1"/>
  <c r="D41" i="2"/>
  <c r="D41" i="4" s="1"/>
  <c r="W43" i="4"/>
  <c r="T49" i="4"/>
  <c r="A45" i="1"/>
  <c r="X1043" i="4"/>
  <c r="W1044" i="4"/>
  <c r="T1049" i="4"/>
  <c r="T49" i="2"/>
  <c r="C43" i="4" l="1"/>
  <c r="D43" i="2" s="1"/>
  <c r="D43" i="4" s="1"/>
  <c r="C1044" i="4"/>
  <c r="D1044" i="4" s="1"/>
  <c r="W44" i="4"/>
  <c r="T50" i="4"/>
  <c r="A46" i="1"/>
  <c r="W1045" i="4"/>
  <c r="X1044" i="4"/>
  <c r="T1050" i="4"/>
  <c r="T50" i="2"/>
  <c r="C44" i="4" l="1"/>
  <c r="D44" i="2" s="1"/>
  <c r="D44" i="4" s="1"/>
  <c r="C1045" i="4"/>
  <c r="W45" i="4"/>
  <c r="T51" i="4"/>
  <c r="A47" i="1"/>
  <c r="W1046" i="4"/>
  <c r="X1045" i="4"/>
  <c r="T1051" i="4"/>
  <c r="T51" i="2"/>
  <c r="D1045" i="4" l="1"/>
  <c r="C1046" i="4"/>
  <c r="W46" i="4"/>
  <c r="C45" i="4"/>
  <c r="T52" i="4"/>
  <c r="A48" i="1"/>
  <c r="X1046" i="4"/>
  <c r="W1047" i="4"/>
  <c r="T1052" i="4"/>
  <c r="T52" i="2"/>
  <c r="C1047" i="4" l="1"/>
  <c r="D1047" i="4" s="1"/>
  <c r="D1046" i="4"/>
  <c r="D45" i="2"/>
  <c r="D45" i="4" s="1"/>
  <c r="C46" i="4"/>
  <c r="W47" i="4"/>
  <c r="T53" i="4"/>
  <c r="A49" i="1"/>
  <c r="X1047" i="4"/>
  <c r="W1048" i="4"/>
  <c r="T1053" i="4"/>
  <c r="T53" i="2"/>
  <c r="C47" i="4" l="1"/>
  <c r="D47" i="2" s="1"/>
  <c r="D47" i="4" s="1"/>
  <c r="C1048" i="4"/>
  <c r="D1048" i="4" s="1"/>
  <c r="W48" i="4"/>
  <c r="D46" i="2"/>
  <c r="D46" i="4" s="1"/>
  <c r="T54" i="4"/>
  <c r="A50" i="1"/>
  <c r="W1049" i="4"/>
  <c r="X1048" i="4"/>
  <c r="T1054" i="4"/>
  <c r="T54" i="2"/>
  <c r="C1049" i="4" l="1"/>
  <c r="D1049" i="4" s="1"/>
  <c r="W49" i="4"/>
  <c r="C48" i="4"/>
  <c r="T55" i="4"/>
  <c r="A51" i="1"/>
  <c r="W1050" i="4"/>
  <c r="X1049" i="4"/>
  <c r="T1055" i="4"/>
  <c r="T1056" i="4" s="1"/>
  <c r="T55" i="2"/>
  <c r="C1050" i="4" l="1"/>
  <c r="D1050" i="4" s="1"/>
  <c r="C49" i="4"/>
  <c r="D49" i="2" s="1"/>
  <c r="D49" i="4" s="1"/>
  <c r="D48" i="2"/>
  <c r="D48" i="4" s="1"/>
  <c r="W50" i="4"/>
  <c r="T56" i="4"/>
  <c r="A52" i="1"/>
  <c r="W1051" i="4"/>
  <c r="X1050" i="4"/>
  <c r="T1057" i="4"/>
  <c r="T56" i="2"/>
  <c r="C1051" i="4" l="1"/>
  <c r="D1051" i="4" s="1"/>
  <c r="C50" i="4"/>
  <c r="W51" i="4"/>
  <c r="T57" i="4"/>
  <c r="T58" i="4" s="1"/>
  <c r="T59" i="4" s="1"/>
  <c r="A53" i="1"/>
  <c r="W1052" i="4"/>
  <c r="X1051" i="4"/>
  <c r="T1058" i="4"/>
  <c r="T1059" i="4" s="1"/>
  <c r="T57" i="2"/>
  <c r="C51" i="4" l="1"/>
  <c r="D51" i="2" s="1"/>
  <c r="D51" i="4" s="1"/>
  <c r="D50" i="2"/>
  <c r="D50" i="4" s="1"/>
  <c r="C1052" i="4"/>
  <c r="W52" i="4"/>
  <c r="W53" i="4" s="1"/>
  <c r="T60" i="4"/>
  <c r="A54" i="1"/>
  <c r="X1052" i="4"/>
  <c r="W1053" i="4"/>
  <c r="T1060" i="4"/>
  <c r="T58" i="2"/>
  <c r="C52" i="4" l="1"/>
  <c r="C53" i="4" s="1"/>
  <c r="D53" i="2" s="1"/>
  <c r="D53" i="4" s="1"/>
  <c r="W54" i="4"/>
  <c r="D1052" i="4"/>
  <c r="C1053" i="4"/>
  <c r="T61" i="4"/>
  <c r="A55" i="1"/>
  <c r="W1054" i="4"/>
  <c r="X1053" i="4"/>
  <c r="T1061" i="4"/>
  <c r="T1062" i="4" s="1"/>
  <c r="T59" i="2"/>
  <c r="D52" i="2" l="1"/>
  <c r="D52" i="4" s="1"/>
  <c r="W55" i="4"/>
  <c r="C1054" i="4"/>
  <c r="D1053" i="4"/>
  <c r="C54" i="4"/>
  <c r="D54" i="2" s="1"/>
  <c r="T62" i="4"/>
  <c r="A56" i="1"/>
  <c r="W1055" i="4"/>
  <c r="X1054" i="4"/>
  <c r="T1063" i="4"/>
  <c r="T60" i="2"/>
  <c r="W56" i="4" l="1"/>
  <c r="C1055" i="4"/>
  <c r="D1054" i="4"/>
  <c r="C55" i="4"/>
  <c r="D55" i="2" s="1"/>
  <c r="T63" i="4"/>
  <c r="A57" i="1"/>
  <c r="W1056" i="4"/>
  <c r="X1055" i="4"/>
  <c r="T1064" i="4"/>
  <c r="T61" i="2"/>
  <c r="D54" i="4"/>
  <c r="W57" i="4" l="1"/>
  <c r="C1056" i="4"/>
  <c r="D1056" i="4" s="1"/>
  <c r="D1055" i="4"/>
  <c r="C56" i="4"/>
  <c r="D56" i="2" s="1"/>
  <c r="D56" i="4" s="1"/>
  <c r="T64" i="4"/>
  <c r="A58" i="1"/>
  <c r="X1056" i="4"/>
  <c r="W1057" i="4"/>
  <c r="T1065" i="4"/>
  <c r="D55" i="4"/>
  <c r="T62" i="2"/>
  <c r="W58" i="4" l="1"/>
  <c r="C1057" i="4"/>
  <c r="C57" i="4"/>
  <c r="T65" i="4"/>
  <c r="A59" i="1"/>
  <c r="X1057" i="4"/>
  <c r="W1058" i="4"/>
  <c r="T1066" i="4"/>
  <c r="T63" i="2"/>
  <c r="W59" i="4" l="1"/>
  <c r="D1057" i="4"/>
  <c r="C1058" i="4"/>
  <c r="D1058" i="4" s="1"/>
  <c r="C58" i="4"/>
  <c r="D58" i="2" s="1"/>
  <c r="D57" i="2"/>
  <c r="D57" i="4" s="1"/>
  <c r="T66" i="4"/>
  <c r="A60" i="1"/>
  <c r="X1058" i="4"/>
  <c r="W1059" i="4"/>
  <c r="T1067" i="4"/>
  <c r="T1068" i="4" s="1"/>
  <c r="T64" i="2"/>
  <c r="W60" i="4" l="1"/>
  <c r="C1059" i="4"/>
  <c r="D1059" i="4" s="1"/>
  <c r="C59" i="4"/>
  <c r="D59" i="2" s="1"/>
  <c r="T67" i="4"/>
  <c r="A61" i="1"/>
  <c r="X1059" i="4"/>
  <c r="W1060" i="4"/>
  <c r="T1069" i="4"/>
  <c r="T65" i="2"/>
  <c r="D58" i="4"/>
  <c r="W61" i="4" l="1"/>
  <c r="C1060" i="4"/>
  <c r="D1060" i="4" s="1"/>
  <c r="C60" i="4"/>
  <c r="D60" i="2" s="1"/>
  <c r="D60" i="4" s="1"/>
  <c r="T68" i="4"/>
  <c r="A62" i="1"/>
  <c r="W1061" i="4"/>
  <c r="X1060" i="4"/>
  <c r="T1070" i="4"/>
  <c r="T66" i="2"/>
  <c r="D59" i="4"/>
  <c r="C1061" i="4" l="1"/>
  <c r="D1061" i="4" s="1"/>
  <c r="W62" i="4"/>
  <c r="C61" i="4"/>
  <c r="D61" i="2" s="1"/>
  <c r="D61" i="4" s="1"/>
  <c r="T69" i="4"/>
  <c r="A63" i="1"/>
  <c r="X1061" i="4"/>
  <c r="W1062" i="4"/>
  <c r="T1071" i="4"/>
  <c r="T67" i="2"/>
  <c r="C1062" i="4" l="1"/>
  <c r="D1062" i="4" s="1"/>
  <c r="W63" i="4"/>
  <c r="C62" i="4"/>
  <c r="D62" i="2" s="1"/>
  <c r="T70" i="4"/>
  <c r="A64" i="1"/>
  <c r="W1063" i="4"/>
  <c r="X1062" i="4"/>
  <c r="T1072" i="4"/>
  <c r="T1073" i="4" s="1"/>
  <c r="T68" i="2"/>
  <c r="C1063" i="4" l="1"/>
  <c r="D1063" i="4" s="1"/>
  <c r="W64" i="4"/>
  <c r="C63" i="4"/>
  <c r="D63" i="2" s="1"/>
  <c r="T71" i="4"/>
  <c r="A65" i="1"/>
  <c r="W1064" i="4"/>
  <c r="X1063" i="4"/>
  <c r="T1074" i="4"/>
  <c r="T69" i="2"/>
  <c r="D62" i="4"/>
  <c r="W65" i="4" l="1"/>
  <c r="C1064" i="4"/>
  <c r="D1064" i="4" s="1"/>
  <c r="C64" i="4"/>
  <c r="D64" i="2" s="1"/>
  <c r="D64" i="4" s="1"/>
  <c r="T72" i="4"/>
  <c r="A66" i="1"/>
  <c r="W1065" i="4"/>
  <c r="X1064" i="4"/>
  <c r="T1075" i="4"/>
  <c r="T70" i="2"/>
  <c r="D63" i="4"/>
  <c r="C1065" i="4" l="1"/>
  <c r="D1065" i="4" s="1"/>
  <c r="W66" i="4"/>
  <c r="C65" i="4"/>
  <c r="D65" i="2" s="1"/>
  <c r="T73" i="4"/>
  <c r="A67" i="1"/>
  <c r="X1065" i="4"/>
  <c r="W1066" i="4"/>
  <c r="T1076" i="4"/>
  <c r="T71" i="2"/>
  <c r="C1066" i="4" l="1"/>
  <c r="D1066" i="4" s="1"/>
  <c r="W67" i="4"/>
  <c r="C66" i="4"/>
  <c r="D66" i="2" s="1"/>
  <c r="D66" i="4" s="1"/>
  <c r="T74" i="4"/>
  <c r="A68" i="1"/>
  <c r="W1067" i="4"/>
  <c r="X1066" i="4"/>
  <c r="T1077" i="4"/>
  <c r="T72" i="2"/>
  <c r="D65" i="4"/>
  <c r="C1067" i="4" l="1"/>
  <c r="D1067" i="4" s="1"/>
  <c r="W68" i="4"/>
  <c r="C67" i="4"/>
  <c r="D67" i="2" s="1"/>
  <c r="D67" i="4" s="1"/>
  <c r="T75" i="4"/>
  <c r="A69" i="1"/>
  <c r="W1068" i="4"/>
  <c r="X1067" i="4"/>
  <c r="T1078" i="4"/>
  <c r="T73" i="2"/>
  <c r="C1068" i="4" l="1"/>
  <c r="D1068" i="4" s="1"/>
  <c r="W69" i="4"/>
  <c r="C68" i="4"/>
  <c r="D68" i="2" s="1"/>
  <c r="D68" i="4" s="1"/>
  <c r="T76" i="4"/>
  <c r="A70" i="1"/>
  <c r="X1068" i="4"/>
  <c r="W1069" i="4"/>
  <c r="T1079" i="4"/>
  <c r="T1080" i="4" s="1"/>
  <c r="T74" i="2"/>
  <c r="C1069" i="4" l="1"/>
  <c r="D1069" i="4" s="1"/>
  <c r="W70" i="4"/>
  <c r="C69" i="4"/>
  <c r="D69" i="2" s="1"/>
  <c r="T77" i="4"/>
  <c r="A71" i="1"/>
  <c r="X1069" i="4"/>
  <c r="W1070" i="4"/>
  <c r="T1081" i="4"/>
  <c r="T1082" i="4" s="1"/>
  <c r="T75" i="2"/>
  <c r="W71" i="4" l="1"/>
  <c r="C1070" i="4"/>
  <c r="D1070" i="4" s="1"/>
  <c r="C70" i="4"/>
  <c r="D70" i="2" s="1"/>
  <c r="T78" i="4"/>
  <c r="T79" i="4" s="1"/>
  <c r="A72" i="1"/>
  <c r="W1071" i="4"/>
  <c r="X1070" i="4"/>
  <c r="T1083" i="4"/>
  <c r="T1084" i="4" s="1"/>
  <c r="T76" i="2"/>
  <c r="D69" i="4"/>
  <c r="W72" i="4" l="1"/>
  <c r="C1071" i="4"/>
  <c r="D1071" i="4" s="1"/>
  <c r="C71" i="4"/>
  <c r="D71" i="2" s="1"/>
  <c r="D71" i="4" s="1"/>
  <c r="T80" i="4"/>
  <c r="A73" i="1"/>
  <c r="X1071" i="4"/>
  <c r="W1072" i="4"/>
  <c r="T1085" i="4"/>
  <c r="D70" i="4"/>
  <c r="T77" i="2"/>
  <c r="W73" i="4" l="1"/>
  <c r="C1072" i="4"/>
  <c r="D1072" i="4" s="1"/>
  <c r="C72" i="4"/>
  <c r="D72" i="2" s="1"/>
  <c r="D72" i="4" s="1"/>
  <c r="T81" i="4"/>
  <c r="A74" i="1"/>
  <c r="X1072" i="4"/>
  <c r="W1073" i="4"/>
  <c r="T1086" i="4"/>
  <c r="T78" i="2"/>
  <c r="W74" i="4" l="1"/>
  <c r="C1073" i="4"/>
  <c r="D1073" i="4" s="1"/>
  <c r="C73" i="4"/>
  <c r="T82" i="4"/>
  <c r="A75" i="1"/>
  <c r="X1073" i="4"/>
  <c r="W1074" i="4"/>
  <c r="T1087" i="4"/>
  <c r="T79" i="2"/>
  <c r="C74" i="4" l="1"/>
  <c r="D74" i="2" s="1"/>
  <c r="W75" i="4"/>
  <c r="C1074" i="4"/>
  <c r="D1074" i="4" s="1"/>
  <c r="D73" i="2"/>
  <c r="D73" i="4" s="1"/>
  <c r="T83" i="4"/>
  <c r="A76" i="1"/>
  <c r="W1075" i="4"/>
  <c r="X1074" i="4"/>
  <c r="T1088" i="4"/>
  <c r="T1089" i="4" s="1"/>
  <c r="T80" i="2"/>
  <c r="C1075" i="4" l="1"/>
  <c r="W76" i="4"/>
  <c r="C75" i="4"/>
  <c r="T84" i="4"/>
  <c r="A77" i="1"/>
  <c r="X1075" i="4"/>
  <c r="W1076" i="4"/>
  <c r="T1090" i="4"/>
  <c r="T81" i="2"/>
  <c r="D74" i="4"/>
  <c r="C76" i="4" l="1"/>
  <c r="D76" i="2" s="1"/>
  <c r="D76" i="4" s="1"/>
  <c r="C1076" i="4"/>
  <c r="D1076" i="4" s="1"/>
  <c r="D1075" i="4"/>
  <c r="W77" i="4"/>
  <c r="D75" i="2"/>
  <c r="D75" i="4" s="1"/>
  <c r="T85" i="4"/>
  <c r="T86" i="4" s="1"/>
  <c r="T87" i="4" s="1"/>
  <c r="A78" i="1"/>
  <c r="X1076" i="4"/>
  <c r="W1077" i="4"/>
  <c r="T1091" i="4"/>
  <c r="T82" i="2"/>
  <c r="C1077" i="4" l="1"/>
  <c r="D1077" i="4" s="1"/>
  <c r="C77" i="4"/>
  <c r="D77" i="2" s="1"/>
  <c r="D77" i="4" s="1"/>
  <c r="W78" i="4"/>
  <c r="T88" i="4"/>
  <c r="T89" i="4" s="1"/>
  <c r="A79" i="1"/>
  <c r="X1077" i="4"/>
  <c r="W1078" i="4"/>
  <c r="T1092" i="4"/>
  <c r="T83" i="2"/>
  <c r="C78" i="4" l="1"/>
  <c r="D78" i="2" s="1"/>
  <c r="D78" i="4" s="1"/>
  <c r="W79" i="4"/>
  <c r="C1078" i="4"/>
  <c r="T90" i="4"/>
  <c r="A80" i="1"/>
  <c r="X1078" i="4"/>
  <c r="W1079" i="4"/>
  <c r="T1093" i="4"/>
  <c r="T84" i="2"/>
  <c r="W80" i="4" l="1"/>
  <c r="C79" i="4"/>
  <c r="D1078" i="4"/>
  <c r="C1079" i="4"/>
  <c r="T91" i="4"/>
  <c r="T92" i="4" s="1"/>
  <c r="A81" i="1"/>
  <c r="W1080" i="4"/>
  <c r="X1079" i="4"/>
  <c r="T1094" i="4"/>
  <c r="T85" i="2"/>
  <c r="C80" i="4" l="1"/>
  <c r="D80" i="2" s="1"/>
  <c r="W81" i="4"/>
  <c r="D79" i="2"/>
  <c r="D79" i="4" s="1"/>
  <c r="D1079" i="4"/>
  <c r="C1080" i="4"/>
  <c r="D1080" i="4" s="1"/>
  <c r="T93" i="4"/>
  <c r="A82" i="1"/>
  <c r="X1080" i="4"/>
  <c r="W1081" i="4"/>
  <c r="T1095" i="4"/>
  <c r="T86" i="2"/>
  <c r="W82" i="4" l="1"/>
  <c r="C81" i="4"/>
  <c r="C1081" i="4"/>
  <c r="D1081" i="4" s="1"/>
  <c r="T94" i="4"/>
  <c r="A83" i="1"/>
  <c r="X1081" i="4"/>
  <c r="W1082" i="4"/>
  <c r="T1096" i="4"/>
  <c r="T1097" i="4" s="1"/>
  <c r="D80" i="4"/>
  <c r="T87" i="2"/>
  <c r="C82" i="4" l="1"/>
  <c r="D82" i="2" s="1"/>
  <c r="D82" i="4" s="1"/>
  <c r="C1082" i="4"/>
  <c r="D1082" i="4" s="1"/>
  <c r="W83" i="4"/>
  <c r="D81" i="2"/>
  <c r="D81" i="4" s="1"/>
  <c r="T95" i="4"/>
  <c r="A84" i="1"/>
  <c r="X1082" i="4"/>
  <c r="W1083" i="4"/>
  <c r="T1098" i="4"/>
  <c r="T88" i="2"/>
  <c r="W84" i="4" l="1"/>
  <c r="C83" i="4"/>
  <c r="C1083" i="4"/>
  <c r="D1083" i="4" s="1"/>
  <c r="T96" i="4"/>
  <c r="A85" i="1"/>
  <c r="X1083" i="4"/>
  <c r="W1084" i="4"/>
  <c r="T1099" i="4"/>
  <c r="T1100" i="4" s="1"/>
  <c r="T89" i="2"/>
  <c r="C84" i="4" l="1"/>
  <c r="D84" i="2" s="1"/>
  <c r="D84" i="4" s="1"/>
  <c r="W85" i="4"/>
  <c r="D83" i="2"/>
  <c r="D83" i="4" s="1"/>
  <c r="C1084" i="4"/>
  <c r="D1084" i="4" s="1"/>
  <c r="T97" i="4"/>
  <c r="T98" i="4" s="1"/>
  <c r="A86" i="1"/>
  <c r="X1084" i="4"/>
  <c r="W1085" i="4"/>
  <c r="T1101" i="4"/>
  <c r="T90" i="2"/>
  <c r="W86" i="4" l="1"/>
  <c r="C85" i="4"/>
  <c r="C1085" i="4"/>
  <c r="D1085" i="4" s="1"/>
  <c r="T99" i="4"/>
  <c r="A87" i="1"/>
  <c r="W1086" i="4"/>
  <c r="X1085" i="4"/>
  <c r="T1102" i="4"/>
  <c r="T91" i="2"/>
  <c r="C86" i="4" l="1"/>
  <c r="D86" i="2" s="1"/>
  <c r="W87" i="4"/>
  <c r="D85" i="2"/>
  <c r="D85" i="4" s="1"/>
  <c r="C1086" i="4"/>
  <c r="D1086" i="4" s="1"/>
  <c r="T100" i="4"/>
  <c r="A88" i="1"/>
  <c r="W1087" i="4"/>
  <c r="X1086" i="4"/>
  <c r="T1103" i="4"/>
  <c r="T92" i="2"/>
  <c r="W88" i="4" l="1"/>
  <c r="C87" i="4"/>
  <c r="C88" i="4" s="1"/>
  <c r="X97" i="4"/>
  <c r="C1087" i="4"/>
  <c r="T101" i="4"/>
  <c r="A89" i="1"/>
  <c r="W1088" i="4"/>
  <c r="X1087" i="4"/>
  <c r="T1104" i="4"/>
  <c r="T93" i="2"/>
  <c r="D86" i="4"/>
  <c r="W89" i="4" l="1"/>
  <c r="C89" i="4" s="1"/>
  <c r="D88" i="2"/>
  <c r="D88" i="4" s="1"/>
  <c r="D87" i="2"/>
  <c r="D87" i="4" s="1"/>
  <c r="D1087" i="4"/>
  <c r="C1088" i="4"/>
  <c r="D1088" i="4" s="1"/>
  <c r="T102" i="4"/>
  <c r="T103" i="4" s="1"/>
  <c r="A90" i="1"/>
  <c r="X1088" i="4"/>
  <c r="W1089" i="4"/>
  <c r="T1105" i="4"/>
  <c r="T94" i="2"/>
  <c r="W90" i="4" l="1"/>
  <c r="C90" i="4" s="1"/>
  <c r="D89" i="2"/>
  <c r="D89" i="4" s="1"/>
  <c r="C1089" i="4"/>
  <c r="D1089" i="4" s="1"/>
  <c r="T104" i="4"/>
  <c r="T105" i="4" s="1"/>
  <c r="A91" i="1"/>
  <c r="X1089" i="4"/>
  <c r="W1090" i="4"/>
  <c r="T1106" i="4"/>
  <c r="T95" i="2"/>
  <c r="D90" i="2" l="1"/>
  <c r="W91" i="4"/>
  <c r="C91" i="4" s="1"/>
  <c r="C1090" i="4"/>
  <c r="T106" i="4"/>
  <c r="T107" i="4" s="1"/>
  <c r="A92" i="1"/>
  <c r="W1091" i="4"/>
  <c r="X1090" i="4"/>
  <c r="T1107" i="4"/>
  <c r="T96" i="2"/>
  <c r="W92" i="4" l="1"/>
  <c r="D91" i="2"/>
  <c r="C1091" i="4"/>
  <c r="D1091" i="4" s="1"/>
  <c r="D1090" i="4"/>
  <c r="T108" i="4"/>
  <c r="A93" i="1"/>
  <c r="X1091" i="4"/>
  <c r="W1092" i="4"/>
  <c r="T1108" i="4"/>
  <c r="T97" i="2"/>
  <c r="D90" i="4"/>
  <c r="C1092" i="4" l="1"/>
  <c r="D1092" i="4" s="1"/>
  <c r="W93" i="4"/>
  <c r="C92" i="4"/>
  <c r="T109" i="4"/>
  <c r="A94" i="1"/>
  <c r="X1092" i="4"/>
  <c r="W1093" i="4"/>
  <c r="T1109" i="4"/>
  <c r="D91" i="4"/>
  <c r="T98" i="2"/>
  <c r="D92" i="2" l="1"/>
  <c r="D92" i="4" s="1"/>
  <c r="C93" i="4"/>
  <c r="W94" i="4"/>
  <c r="C1093" i="4"/>
  <c r="T110" i="4"/>
  <c r="A95" i="1"/>
  <c r="W1094" i="4"/>
  <c r="X1093" i="4"/>
  <c r="T1110" i="4"/>
  <c r="T99" i="2"/>
  <c r="C94" i="4" l="1"/>
  <c r="D94" i="2" s="1"/>
  <c r="D94" i="4" s="1"/>
  <c r="W95" i="4"/>
  <c r="D93" i="2"/>
  <c r="D93" i="4" s="1"/>
  <c r="D1093" i="4"/>
  <c r="C1094" i="4"/>
  <c r="T111" i="4"/>
  <c r="T112" i="4" s="1"/>
  <c r="A96" i="1"/>
  <c r="X1094" i="4"/>
  <c r="W1095" i="4"/>
  <c r="T1111" i="4"/>
  <c r="T100" i="2"/>
  <c r="W96" i="4" l="1"/>
  <c r="C95" i="4"/>
  <c r="C1095" i="4"/>
  <c r="D1095" i="4" s="1"/>
  <c r="D1094" i="4"/>
  <c r="T113" i="4"/>
  <c r="A97" i="1"/>
  <c r="W1096" i="4"/>
  <c r="X1095" i="4"/>
  <c r="T1112" i="4"/>
  <c r="T101" i="2"/>
  <c r="C96" i="4" l="1"/>
  <c r="C1096" i="4"/>
  <c r="D1096" i="4" s="1"/>
  <c r="W97" i="4"/>
  <c r="D95" i="2"/>
  <c r="D95" i="4" s="1"/>
  <c r="T114" i="4"/>
  <c r="T115" i="4" s="1"/>
  <c r="A98" i="1"/>
  <c r="W1097" i="4"/>
  <c r="X1096" i="4"/>
  <c r="T1113" i="4"/>
  <c r="T102" i="2"/>
  <c r="C97" i="4" l="1"/>
  <c r="D97" i="2" s="1"/>
  <c r="D97" i="4" s="1"/>
  <c r="D96" i="2"/>
  <c r="D96" i="4" s="1"/>
  <c r="C1097" i="4"/>
  <c r="D1097" i="4" s="1"/>
  <c r="W98" i="4"/>
  <c r="T116" i="4"/>
  <c r="A99" i="1"/>
  <c r="W1098" i="4"/>
  <c r="X1097" i="4"/>
  <c r="T1114" i="4"/>
  <c r="T103" i="2"/>
  <c r="C98" i="4" l="1"/>
  <c r="D98" i="2" s="1"/>
  <c r="D98" i="4" s="1"/>
  <c r="C1098" i="4"/>
  <c r="D1098" i="4" s="1"/>
  <c r="W99" i="4"/>
  <c r="T117" i="4"/>
  <c r="A100" i="1"/>
  <c r="W1099" i="4"/>
  <c r="X1098" i="4"/>
  <c r="T1115" i="4"/>
  <c r="T104" i="2"/>
  <c r="C1099" i="4" l="1"/>
  <c r="D1099" i="4" s="1"/>
  <c r="W100" i="4"/>
  <c r="C99" i="4"/>
  <c r="T118" i="4"/>
  <c r="A101" i="1"/>
  <c r="X1099" i="4"/>
  <c r="W1100" i="4"/>
  <c r="T1116" i="4"/>
  <c r="T105" i="2"/>
  <c r="C100" i="4" l="1"/>
  <c r="D100" i="2" s="1"/>
  <c r="W101" i="4"/>
  <c r="D99" i="2"/>
  <c r="D99" i="4" s="1"/>
  <c r="C1100" i="4"/>
  <c r="D1100" i="4" s="1"/>
  <c r="T119" i="4"/>
  <c r="A102" i="1"/>
  <c r="X1100" i="4"/>
  <c r="W1101" i="4"/>
  <c r="T1117" i="4"/>
  <c r="T1118" i="4" s="1"/>
  <c r="T106" i="2"/>
  <c r="W102" i="4" l="1"/>
  <c r="C101" i="4"/>
  <c r="C102" i="4" s="1"/>
  <c r="C1101" i="4"/>
  <c r="T120" i="4"/>
  <c r="A103" i="1"/>
  <c r="X1101" i="4"/>
  <c r="W1102" i="4"/>
  <c r="T1119" i="4"/>
  <c r="D100" i="4"/>
  <c r="T107" i="2"/>
  <c r="W103" i="4" l="1"/>
  <c r="D102" i="2"/>
  <c r="D102" i="4" s="1"/>
  <c r="D101" i="2"/>
  <c r="D101" i="4" s="1"/>
  <c r="D1101" i="4"/>
  <c r="C1102" i="4"/>
  <c r="D1102" i="4" s="1"/>
  <c r="T121" i="4"/>
  <c r="A104" i="1"/>
  <c r="W1103" i="4"/>
  <c r="X1102" i="4"/>
  <c r="T1120" i="4"/>
  <c r="T108" i="2"/>
  <c r="C1103" i="4" l="1"/>
  <c r="D1103" i="4" s="1"/>
  <c r="W104" i="4"/>
  <c r="C103" i="4"/>
  <c r="C104" i="4" s="1"/>
  <c r="T122" i="4"/>
  <c r="A105" i="1"/>
  <c r="X1103" i="4"/>
  <c r="W1104" i="4"/>
  <c r="T1121" i="4"/>
  <c r="T109" i="2"/>
  <c r="W105" i="4" l="1"/>
  <c r="D104" i="2"/>
  <c r="D104" i="4" s="1"/>
  <c r="D103" i="2"/>
  <c r="D103" i="4" s="1"/>
  <c r="C1104" i="4"/>
  <c r="T123" i="4"/>
  <c r="T124" i="4" s="1"/>
  <c r="A106" i="1"/>
  <c r="X1104" i="4"/>
  <c r="W1105" i="4"/>
  <c r="T1122" i="4"/>
  <c r="T110" i="2"/>
  <c r="W106" i="4" l="1"/>
  <c r="X106" i="4" s="1"/>
  <c r="C105" i="4"/>
  <c r="C106" i="4" s="1"/>
  <c r="D1104" i="4"/>
  <c r="C1105" i="4"/>
  <c r="D1105" i="4" s="1"/>
  <c r="T125" i="4"/>
  <c r="T126" i="4" s="1"/>
  <c r="A107" i="1"/>
  <c r="W1106" i="4"/>
  <c r="X1105" i="4"/>
  <c r="T1123" i="4"/>
  <c r="T111" i="2"/>
  <c r="C1106" i="4" l="1"/>
  <c r="D1106" i="4" s="1"/>
  <c r="D106" i="2"/>
  <c r="D105" i="2"/>
  <c r="D105" i="4" s="1"/>
  <c r="W107" i="4"/>
  <c r="C107" i="4" s="1"/>
  <c r="T127" i="4"/>
  <c r="T128" i="4" s="1"/>
  <c r="A108" i="1"/>
  <c r="X1106" i="4"/>
  <c r="W1107" i="4"/>
  <c r="T1124" i="4"/>
  <c r="T112" i="2"/>
  <c r="W108" i="4" l="1"/>
  <c r="D107" i="2"/>
  <c r="D107" i="4" s="1"/>
  <c r="C1107" i="4"/>
  <c r="T129" i="4"/>
  <c r="T130" i="4" s="1"/>
  <c r="A109" i="1"/>
  <c r="X1107" i="4"/>
  <c r="W1108" i="4"/>
  <c r="T1125" i="4"/>
  <c r="T113" i="2"/>
  <c r="D106" i="4"/>
  <c r="W109" i="4" l="1"/>
  <c r="C108" i="4"/>
  <c r="D1107" i="4"/>
  <c r="C1108" i="4"/>
  <c r="D1108" i="4" s="1"/>
  <c r="T131" i="4"/>
  <c r="A110" i="1"/>
  <c r="W1109" i="4"/>
  <c r="X1108" i="4"/>
  <c r="T1126" i="4"/>
  <c r="T114" i="2"/>
  <c r="C109" i="4" l="1"/>
  <c r="D109" i="2" s="1"/>
  <c r="W110" i="4"/>
  <c r="D108" i="2"/>
  <c r="D108" i="4" s="1"/>
  <c r="C1109" i="4"/>
  <c r="D1109" i="4" s="1"/>
  <c r="T132" i="4"/>
  <c r="A111" i="1"/>
  <c r="X1109" i="4"/>
  <c r="W1110" i="4"/>
  <c r="T1127" i="4"/>
  <c r="T115" i="2"/>
  <c r="C110" i="4" l="1"/>
  <c r="D110" i="2" s="1"/>
  <c r="D110" i="4" s="1"/>
  <c r="W111" i="4"/>
  <c r="C1110" i="4"/>
  <c r="T133" i="4"/>
  <c r="A112" i="1"/>
  <c r="W1111" i="4"/>
  <c r="X1110" i="4"/>
  <c r="T1128" i="4"/>
  <c r="T116" i="2"/>
  <c r="D109" i="4"/>
  <c r="C111" i="4" l="1"/>
  <c r="D111" i="2" s="1"/>
  <c r="D111" i="4" s="1"/>
  <c r="W112" i="4"/>
  <c r="C1111" i="4"/>
  <c r="D1111" i="4" s="1"/>
  <c r="D1110" i="4"/>
  <c r="T134" i="4"/>
  <c r="T135" i="4" s="1"/>
  <c r="A113" i="1"/>
  <c r="X1111" i="4"/>
  <c r="W1112" i="4"/>
  <c r="T1129" i="4"/>
  <c r="T117" i="2"/>
  <c r="C112" i="4" l="1"/>
  <c r="D112" i="2" s="1"/>
  <c r="W113" i="4"/>
  <c r="C1112" i="4"/>
  <c r="D1112" i="4" s="1"/>
  <c r="T136" i="4"/>
  <c r="T137" i="4" s="1"/>
  <c r="A114" i="1"/>
  <c r="W1113" i="4"/>
  <c r="X1112" i="4"/>
  <c r="T1130" i="4"/>
  <c r="T118" i="2"/>
  <c r="C113" i="4" l="1"/>
  <c r="D113" i="2" s="1"/>
  <c r="W114" i="4"/>
  <c r="C1113" i="4"/>
  <c r="T138" i="4"/>
  <c r="T139" i="4" s="1"/>
  <c r="T140" i="4" s="1"/>
  <c r="T141" i="4" s="1"/>
  <c r="A115" i="1"/>
  <c r="X1113" i="4"/>
  <c r="W1114" i="4"/>
  <c r="T1131" i="4"/>
  <c r="D112" i="4"/>
  <c r="T119" i="2"/>
  <c r="C114" i="4" l="1"/>
  <c r="D114" i="2" s="1"/>
  <c r="W115" i="4"/>
  <c r="C1114" i="4"/>
  <c r="D1113" i="4"/>
  <c r="T142" i="4"/>
  <c r="T143" i="4" s="1"/>
  <c r="A116" i="1"/>
  <c r="X1114" i="4"/>
  <c r="W1115" i="4"/>
  <c r="T1132" i="4"/>
  <c r="T120" i="2"/>
  <c r="D113" i="4"/>
  <c r="W116" i="4" l="1"/>
  <c r="C115" i="4"/>
  <c r="D1114" i="4"/>
  <c r="C1115" i="4"/>
  <c r="T144" i="4"/>
  <c r="A117" i="1"/>
  <c r="X1115" i="4"/>
  <c r="W1116" i="4"/>
  <c r="T1133" i="4"/>
  <c r="T121" i="2"/>
  <c r="D114" i="4"/>
  <c r="C116" i="4" l="1"/>
  <c r="D116" i="2" s="1"/>
  <c r="D116" i="4" s="1"/>
  <c r="W117" i="4"/>
  <c r="D115" i="2"/>
  <c r="D115" i="4" s="1"/>
  <c r="C1116" i="4"/>
  <c r="D1115" i="4"/>
  <c r="T145" i="4"/>
  <c r="A118" i="1"/>
  <c r="W1117" i="4"/>
  <c r="X1116" i="4"/>
  <c r="T1134" i="4"/>
  <c r="T122" i="2"/>
  <c r="W118" i="4" l="1"/>
  <c r="C117" i="4"/>
  <c r="C1117" i="4"/>
  <c r="D1116" i="4"/>
  <c r="T146" i="4"/>
  <c r="A119" i="1"/>
  <c r="W1118" i="4"/>
  <c r="X1117" i="4"/>
  <c r="T1135" i="4"/>
  <c r="T123" i="2"/>
  <c r="C1118" i="4" l="1"/>
  <c r="D1118" i="4" s="1"/>
  <c r="C118" i="4"/>
  <c r="D118" i="2" s="1"/>
  <c r="D118" i="4" s="1"/>
  <c r="W119" i="4"/>
  <c r="D117" i="2"/>
  <c r="D117" i="4" s="1"/>
  <c r="D1117" i="4"/>
  <c r="T147" i="4"/>
  <c r="T148" i="4" s="1"/>
  <c r="A120" i="1"/>
  <c r="W1119" i="4"/>
  <c r="X1118" i="4"/>
  <c r="T1136" i="4"/>
  <c r="T124" i="2"/>
  <c r="C119" i="4" l="1"/>
  <c r="W120" i="4"/>
  <c r="C1119" i="4"/>
  <c r="T149" i="4"/>
  <c r="T150" i="4" s="1"/>
  <c r="A121" i="1"/>
  <c r="X1119" i="4"/>
  <c r="W1120" i="4"/>
  <c r="T1137" i="4"/>
  <c r="T125" i="2"/>
  <c r="C120" i="4" l="1"/>
  <c r="D120" i="2" s="1"/>
  <c r="D119" i="2"/>
  <c r="D119" i="4" s="1"/>
  <c r="W121" i="4"/>
  <c r="C1120" i="4"/>
  <c r="D1120" i="4" s="1"/>
  <c r="D1119" i="4"/>
  <c r="T151" i="4"/>
  <c r="T152" i="4" s="1"/>
  <c r="A122" i="1"/>
  <c r="X1120" i="4"/>
  <c r="W1121" i="4"/>
  <c r="T1138" i="4"/>
  <c r="T126" i="2"/>
  <c r="C121" i="4" l="1"/>
  <c r="D121" i="2" s="1"/>
  <c r="D121" i="4" s="1"/>
  <c r="C1121" i="4"/>
  <c r="D1121" i="4" s="1"/>
  <c r="W122" i="4"/>
  <c r="T153" i="4"/>
  <c r="A123" i="1"/>
  <c r="X1121" i="4"/>
  <c r="W1122" i="4"/>
  <c r="T1139" i="4"/>
  <c r="D120" i="4"/>
  <c r="T127" i="2"/>
  <c r="C122" i="4" l="1"/>
  <c r="D122" i="2" s="1"/>
  <c r="D122" i="4" s="1"/>
  <c r="W123" i="4"/>
  <c r="C1122" i="4"/>
  <c r="T154" i="4"/>
  <c r="A124" i="1"/>
  <c r="W1123" i="4"/>
  <c r="X1122" i="4"/>
  <c r="T1140" i="4"/>
  <c r="T128" i="2"/>
  <c r="C1123" i="4" l="1"/>
  <c r="W124" i="4"/>
  <c r="C123" i="4"/>
  <c r="D1122" i="4"/>
  <c r="T155" i="4"/>
  <c r="A125" i="1"/>
  <c r="X1123" i="4"/>
  <c r="W1124" i="4"/>
  <c r="T1141" i="4"/>
  <c r="T129" i="2"/>
  <c r="C1124" i="4" l="1"/>
  <c r="D1124" i="4" s="1"/>
  <c r="C124" i="4"/>
  <c r="D1123" i="4"/>
  <c r="W125" i="4"/>
  <c r="D123" i="2"/>
  <c r="D123" i="4" s="1"/>
  <c r="T156" i="4"/>
  <c r="A126" i="1"/>
  <c r="W1125" i="4"/>
  <c r="X1124" i="4"/>
  <c r="T1142" i="4"/>
  <c r="T130" i="2"/>
  <c r="C125" i="4" l="1"/>
  <c r="D125" i="2" s="1"/>
  <c r="C1125" i="4"/>
  <c r="D1125" i="4" s="1"/>
  <c r="D124" i="2"/>
  <c r="D124" i="4" s="1"/>
  <c r="W126" i="4"/>
  <c r="T157" i="4"/>
  <c r="T158" i="4" s="1"/>
  <c r="A127" i="1"/>
  <c r="X1125" i="4"/>
  <c r="W1126" i="4"/>
  <c r="T1143" i="4"/>
  <c r="T131" i="2"/>
  <c r="D125" i="4"/>
  <c r="C126" i="4" l="1"/>
  <c r="D126" i="2" s="1"/>
  <c r="D126" i="4" s="1"/>
  <c r="W127" i="4"/>
  <c r="C1126" i="4"/>
  <c r="T159" i="4"/>
  <c r="A128" i="1"/>
  <c r="X1126" i="4"/>
  <c r="W1127" i="4"/>
  <c r="T1144" i="4"/>
  <c r="T132" i="2"/>
  <c r="C1127" i="4" l="1"/>
  <c r="W128" i="4"/>
  <c r="C127" i="4"/>
  <c r="D1126" i="4"/>
  <c r="T160" i="4"/>
  <c r="A129" i="1"/>
  <c r="W1128" i="4"/>
  <c r="X1127" i="4"/>
  <c r="T1145" i="4"/>
  <c r="T133" i="2"/>
  <c r="C1128" i="4" l="1"/>
  <c r="D1128" i="4" s="1"/>
  <c r="D1127" i="4"/>
  <c r="C128" i="4"/>
  <c r="D128" i="2" s="1"/>
  <c r="D128" i="4" s="1"/>
  <c r="W129" i="4"/>
  <c r="D127" i="2"/>
  <c r="D127" i="4" s="1"/>
  <c r="T161" i="4"/>
  <c r="A130" i="1"/>
  <c r="X1128" i="4"/>
  <c r="W1129" i="4"/>
  <c r="T1146" i="4"/>
  <c r="T134" i="2"/>
  <c r="C1129" i="4" l="1"/>
  <c r="D1129" i="4" s="1"/>
  <c r="C129" i="4"/>
  <c r="W130" i="4"/>
  <c r="T162" i="4"/>
  <c r="T163" i="4" s="1"/>
  <c r="A131" i="1"/>
  <c r="X1129" i="4"/>
  <c r="W1130" i="4"/>
  <c r="T1147" i="4"/>
  <c r="T135" i="2"/>
  <c r="C130" i="4" l="1"/>
  <c r="D130" i="2" s="1"/>
  <c r="D130" i="4" s="1"/>
  <c r="D129" i="2"/>
  <c r="D129" i="4" s="1"/>
  <c r="W131" i="4"/>
  <c r="C1130" i="4"/>
  <c r="T164" i="4"/>
  <c r="T165" i="4" s="1"/>
  <c r="T166" i="4" s="1"/>
  <c r="A132" i="1"/>
  <c r="X1130" i="4"/>
  <c r="W1131" i="4"/>
  <c r="T1148" i="4"/>
  <c r="T136" i="2"/>
  <c r="C131" i="4" l="1"/>
  <c r="D131" i="2" s="1"/>
  <c r="D131" i="4" s="1"/>
  <c r="W132" i="4"/>
  <c r="C1131" i="4"/>
  <c r="D1130" i="4"/>
  <c r="T167" i="4"/>
  <c r="T168" i="4" s="1"/>
  <c r="A133" i="1"/>
  <c r="X1131" i="4"/>
  <c r="W1132" i="4"/>
  <c r="T1149" i="4"/>
  <c r="T137" i="2"/>
  <c r="C132" i="4" l="1"/>
  <c r="D132" i="2" s="1"/>
  <c r="D132" i="4" s="1"/>
  <c r="C1132" i="4"/>
  <c r="D1132" i="4" s="1"/>
  <c r="W133" i="4"/>
  <c r="D1131" i="4"/>
  <c r="T169" i="4"/>
  <c r="T170" i="4" s="1"/>
  <c r="A134" i="1"/>
  <c r="W1133" i="4"/>
  <c r="X1132" i="4"/>
  <c r="T1150" i="4"/>
  <c r="T138" i="2"/>
  <c r="C133" i="4" l="1"/>
  <c r="D133" i="2" s="1"/>
  <c r="D133" i="4" s="1"/>
  <c r="W134" i="4"/>
  <c r="C1133" i="4"/>
  <c r="T171" i="4"/>
  <c r="T172" i="4" s="1"/>
  <c r="A135" i="1"/>
  <c r="W1134" i="4"/>
  <c r="X1133" i="4"/>
  <c r="T1151" i="4"/>
  <c r="T139" i="2"/>
  <c r="C134" i="4" l="1"/>
  <c r="D134" i="2" s="1"/>
  <c r="C1134" i="4"/>
  <c r="D1134" i="4" s="1"/>
  <c r="W135" i="4"/>
  <c r="D1133" i="4"/>
  <c r="T173" i="4"/>
  <c r="T174" i="4" s="1"/>
  <c r="A136" i="1"/>
  <c r="X1134" i="4"/>
  <c r="W1135" i="4"/>
  <c r="T1152" i="4"/>
  <c r="T140" i="2"/>
  <c r="C1135" i="4" l="1"/>
  <c r="D1135" i="4" s="1"/>
  <c r="C135" i="4"/>
  <c r="D135" i="2" s="1"/>
  <c r="D135" i="4" s="1"/>
  <c r="W136" i="4"/>
  <c r="T175" i="4"/>
  <c r="T176" i="4" s="1"/>
  <c r="A137" i="1"/>
  <c r="W1136" i="4"/>
  <c r="X1135" i="4"/>
  <c r="T1153" i="4"/>
  <c r="T141" i="2"/>
  <c r="D134" i="4"/>
  <c r="C1136" i="4" l="1"/>
  <c r="D1136" i="4" s="1"/>
  <c r="C136" i="4"/>
  <c r="D136" i="2" s="1"/>
  <c r="W137" i="4"/>
  <c r="T177" i="4"/>
  <c r="T178" i="4" s="1"/>
  <c r="A138" i="1"/>
  <c r="X1136" i="4"/>
  <c r="W1137" i="4"/>
  <c r="T1154" i="4"/>
  <c r="T142" i="2"/>
  <c r="C137" i="4" l="1"/>
  <c r="D137" i="2" s="1"/>
  <c r="W138" i="4"/>
  <c r="C1137" i="4"/>
  <c r="T179" i="4"/>
  <c r="A139" i="1"/>
  <c r="W1138" i="4"/>
  <c r="X1137" i="4"/>
  <c r="T1155" i="4"/>
  <c r="T143" i="2"/>
  <c r="D136" i="4"/>
  <c r="C138" i="4" l="1"/>
  <c r="D138" i="2" s="1"/>
  <c r="C1138" i="4"/>
  <c r="D1138" i="4" s="1"/>
  <c r="W139" i="4"/>
  <c r="D1137" i="4"/>
  <c r="T180" i="4"/>
  <c r="T181" i="4" s="1"/>
  <c r="A140" i="1"/>
  <c r="X1138" i="4"/>
  <c r="W1139" i="4"/>
  <c r="T1156" i="4"/>
  <c r="T144" i="2"/>
  <c r="D137" i="4"/>
  <c r="C139" i="4" l="1"/>
  <c r="D139" i="2" s="1"/>
  <c r="D139" i="4" s="1"/>
  <c r="C1139" i="4"/>
  <c r="D1139" i="4" s="1"/>
  <c r="W140" i="4"/>
  <c r="T182" i="4"/>
  <c r="A141" i="1"/>
  <c r="X1139" i="4"/>
  <c r="W1140" i="4"/>
  <c r="T1157" i="4"/>
  <c r="T145" i="2"/>
  <c r="D138" i="4"/>
  <c r="C140" i="4" l="1"/>
  <c r="D140" i="2" s="1"/>
  <c r="W141" i="4"/>
  <c r="C1140" i="4"/>
  <c r="T183" i="4"/>
  <c r="T184" i="4" s="1"/>
  <c r="A142" i="1"/>
  <c r="X1140" i="4"/>
  <c r="W1141" i="4"/>
  <c r="T1158" i="4"/>
  <c r="T146" i="2"/>
  <c r="C141" i="4" l="1"/>
  <c r="D141" i="2" s="1"/>
  <c r="C1141" i="4"/>
  <c r="D1141" i="4" s="1"/>
  <c r="W142" i="4"/>
  <c r="D1140" i="4"/>
  <c r="T185" i="4"/>
  <c r="A143" i="1"/>
  <c r="W1142" i="4"/>
  <c r="X1141" i="4"/>
  <c r="T1159" i="4"/>
  <c r="T147" i="2"/>
  <c r="D140" i="4"/>
  <c r="C142" i="4" l="1"/>
  <c r="D142" i="2" s="1"/>
  <c r="D142" i="4" s="1"/>
  <c r="C1142" i="4"/>
  <c r="D1142" i="4" s="1"/>
  <c r="W143" i="4"/>
  <c r="T186" i="4"/>
  <c r="T187" i="4" s="1"/>
  <c r="A144" i="1"/>
  <c r="W1143" i="4"/>
  <c r="X1142" i="4"/>
  <c r="T1160" i="4"/>
  <c r="D141" i="4"/>
  <c r="T148" i="2"/>
  <c r="C143" i="4" l="1"/>
  <c r="D143" i="2" s="1"/>
  <c r="W144" i="4"/>
  <c r="C1143" i="4"/>
  <c r="T188" i="4"/>
  <c r="A145" i="1"/>
  <c r="X1143" i="4"/>
  <c r="W1144" i="4"/>
  <c r="T1161" i="4"/>
  <c r="T149" i="2"/>
  <c r="C144" i="4" l="1"/>
  <c r="D144" i="2" s="1"/>
  <c r="W145" i="4"/>
  <c r="D1143" i="4"/>
  <c r="C1144" i="4"/>
  <c r="T189" i="4"/>
  <c r="T190" i="4" s="1"/>
  <c r="A146" i="1"/>
  <c r="X1144" i="4"/>
  <c r="W1145" i="4"/>
  <c r="T1162" i="4"/>
  <c r="T150" i="2"/>
  <c r="D143" i="4"/>
  <c r="W146" i="4" l="1"/>
  <c r="C145" i="4"/>
  <c r="D1144" i="4"/>
  <c r="C1145" i="4"/>
  <c r="D1145" i="4" s="1"/>
  <c r="T191" i="4"/>
  <c r="A147" i="1"/>
  <c r="X1145" i="4"/>
  <c r="W1146" i="4"/>
  <c r="T1163" i="4"/>
  <c r="T151" i="2"/>
  <c r="D144" i="4"/>
  <c r="C146" i="4" l="1"/>
  <c r="W147" i="4"/>
  <c r="D145" i="2"/>
  <c r="D145" i="4" s="1"/>
  <c r="C1146" i="4"/>
  <c r="D1146" i="4" s="1"/>
  <c r="T192" i="4"/>
  <c r="T193" i="4" s="1"/>
  <c r="A148" i="1"/>
  <c r="W1147" i="4"/>
  <c r="X1146" i="4"/>
  <c r="T1164" i="4"/>
  <c r="T152" i="2"/>
  <c r="C147" i="4" l="1"/>
  <c r="D147" i="2" s="1"/>
  <c r="D147" i="4" s="1"/>
  <c r="D146" i="2"/>
  <c r="D146" i="4" s="1"/>
  <c r="W148" i="4"/>
  <c r="C1147" i="4"/>
  <c r="T194" i="4"/>
  <c r="A149" i="1"/>
  <c r="X1147" i="4"/>
  <c r="W1148" i="4"/>
  <c r="T1165" i="4"/>
  <c r="T153" i="2"/>
  <c r="W149" i="4" l="1"/>
  <c r="C148" i="4"/>
  <c r="C1148" i="4"/>
  <c r="D1148" i="4" s="1"/>
  <c r="D1147" i="4"/>
  <c r="T195" i="4"/>
  <c r="T196" i="4" s="1"/>
  <c r="A150" i="1"/>
  <c r="X1148" i="4"/>
  <c r="W1149" i="4"/>
  <c r="T1166" i="4"/>
  <c r="T1167" i="4" s="1"/>
  <c r="T154" i="2"/>
  <c r="C1149" i="4" l="1"/>
  <c r="D1149" i="4" s="1"/>
  <c r="C149" i="4"/>
  <c r="D149" i="2" s="1"/>
  <c r="W150" i="4"/>
  <c r="D148" i="2"/>
  <c r="D148" i="4" s="1"/>
  <c r="T197" i="4"/>
  <c r="T198" i="4" s="1"/>
  <c r="T199" i="4" s="1"/>
  <c r="A151" i="1"/>
  <c r="X1149" i="4"/>
  <c r="W1150" i="4"/>
  <c r="T1168" i="4"/>
  <c r="T155" i="2"/>
  <c r="C1150" i="4" l="1"/>
  <c r="D1150" i="4" s="1"/>
  <c r="W151" i="4"/>
  <c r="C150" i="4"/>
  <c r="T200" i="4"/>
  <c r="A152" i="1"/>
  <c r="X1150" i="4"/>
  <c r="W1151" i="4"/>
  <c r="T1169" i="4"/>
  <c r="T156" i="2"/>
  <c r="D149" i="4"/>
  <c r="C151" i="4" l="1"/>
  <c r="D151" i="2" s="1"/>
  <c r="D151" i="4" s="1"/>
  <c r="W152" i="4"/>
  <c r="D150" i="2"/>
  <c r="D150" i="4" s="1"/>
  <c r="C1151" i="4"/>
  <c r="A153" i="1"/>
  <c r="X1151" i="4"/>
  <c r="W1152" i="4"/>
  <c r="T1170" i="4"/>
  <c r="T157" i="2"/>
  <c r="C1152" i="4" l="1"/>
  <c r="D1152" i="4" s="1"/>
  <c r="W153" i="4"/>
  <c r="C152" i="4"/>
  <c r="D1151" i="4"/>
  <c r="A154" i="1"/>
  <c r="W1153" i="4"/>
  <c r="X1152" i="4"/>
  <c r="T1171" i="4"/>
  <c r="T158" i="2"/>
  <c r="C153" i="4" l="1"/>
  <c r="W154" i="4"/>
  <c r="D152" i="2"/>
  <c r="D152" i="4" s="1"/>
  <c r="C1153" i="4"/>
  <c r="A155" i="1"/>
  <c r="X1153" i="4"/>
  <c r="W1154" i="4"/>
  <c r="T1172" i="4"/>
  <c r="T159" i="2"/>
  <c r="C154" i="4" l="1"/>
  <c r="D154" i="2" s="1"/>
  <c r="D153" i="2"/>
  <c r="D153" i="4" s="1"/>
  <c r="C1154" i="4"/>
  <c r="D1154" i="4" s="1"/>
  <c r="W155" i="4"/>
  <c r="D1153" i="4"/>
  <c r="A156" i="1"/>
  <c r="W1155" i="4"/>
  <c r="X1154" i="4"/>
  <c r="T1173" i="4"/>
  <c r="T160" i="2"/>
  <c r="W156" i="4" l="1"/>
  <c r="C155" i="4"/>
  <c r="C1155" i="4"/>
  <c r="T1174" i="4"/>
  <c r="A157" i="1"/>
  <c r="X1155" i="4"/>
  <c r="W1156" i="4"/>
  <c r="T161" i="2"/>
  <c r="D154" i="4"/>
  <c r="C156" i="4" l="1"/>
  <c r="D156" i="2" s="1"/>
  <c r="C1156" i="4"/>
  <c r="D1156" i="4" s="1"/>
  <c r="W157" i="4"/>
  <c r="D155" i="2"/>
  <c r="D155" i="4" s="1"/>
  <c r="D1155" i="4"/>
  <c r="T1175" i="4"/>
  <c r="A158" i="1"/>
  <c r="X1156" i="4"/>
  <c r="W1157" i="4"/>
  <c r="T162" i="2"/>
  <c r="C157" i="4" l="1"/>
  <c r="D157" i="2" s="1"/>
  <c r="W158" i="4"/>
  <c r="C1157" i="4"/>
  <c r="T1176" i="4"/>
  <c r="A159" i="1"/>
  <c r="X1157" i="4"/>
  <c r="W1158" i="4"/>
  <c r="T163" i="2"/>
  <c r="D156" i="4"/>
  <c r="C158" i="4" l="1"/>
  <c r="D158" i="2" s="1"/>
  <c r="W159" i="4"/>
  <c r="D1157" i="4"/>
  <c r="C1158" i="4"/>
  <c r="T1177" i="4"/>
  <c r="T1178" i="4" s="1"/>
  <c r="A160" i="1"/>
  <c r="W1159" i="4"/>
  <c r="X1158" i="4"/>
  <c r="T164" i="2"/>
  <c r="D157" i="4"/>
  <c r="C1159" i="4" l="1"/>
  <c r="D1159" i="4" s="1"/>
  <c r="W160" i="4"/>
  <c r="C159" i="4"/>
  <c r="D1158" i="4"/>
  <c r="T1179" i="4"/>
  <c r="T1180" i="4" s="1"/>
  <c r="A161" i="1"/>
  <c r="X1159" i="4"/>
  <c r="W1160" i="4"/>
  <c r="D158" i="4"/>
  <c r="T165" i="2"/>
  <c r="C1160" i="4" l="1"/>
  <c r="D1160" i="4" s="1"/>
  <c r="C160" i="4"/>
  <c r="D160" i="2" s="1"/>
  <c r="D160" i="4" s="1"/>
  <c r="W161" i="4"/>
  <c r="D159" i="2"/>
  <c r="D159" i="4" s="1"/>
  <c r="A162" i="1"/>
  <c r="X1160" i="4"/>
  <c r="W1161" i="4"/>
  <c r="T1181" i="4"/>
  <c r="T1182" i="4" s="1"/>
  <c r="T166" i="2"/>
  <c r="C1161" i="4" l="1"/>
  <c r="D1161" i="4" s="1"/>
  <c r="C161" i="4"/>
  <c r="D161" i="2" s="1"/>
  <c r="D161" i="4" s="1"/>
  <c r="W162" i="4"/>
  <c r="A163" i="1"/>
  <c r="X1161" i="4"/>
  <c r="W1162" i="4"/>
  <c r="T1183" i="4"/>
  <c r="T167" i="2"/>
  <c r="C1162" i="4" l="1"/>
  <c r="D1162" i="4" s="1"/>
  <c r="C162" i="4"/>
  <c r="D162" i="2" s="1"/>
  <c r="D162" i="4" s="1"/>
  <c r="W163" i="4"/>
  <c r="A164" i="1"/>
  <c r="X1162" i="4"/>
  <c r="W1163" i="4"/>
  <c r="T1184" i="4"/>
  <c r="T168" i="2"/>
  <c r="C1163" i="4" l="1"/>
  <c r="D1163" i="4" s="1"/>
  <c r="C163" i="4"/>
  <c r="D163" i="2" s="1"/>
  <c r="D163" i="4" s="1"/>
  <c r="W164" i="4"/>
  <c r="A165" i="1"/>
  <c r="W1164" i="4"/>
  <c r="X1163" i="4"/>
  <c r="T1185" i="4"/>
  <c r="T169" i="2"/>
  <c r="C1164" i="4" l="1"/>
  <c r="D1164" i="4" s="1"/>
  <c r="W165" i="4"/>
  <c r="C164" i="4"/>
  <c r="A166" i="1"/>
  <c r="W1165" i="4"/>
  <c r="X1164" i="4"/>
  <c r="T1186" i="4"/>
  <c r="T170" i="2"/>
  <c r="C165" i="4" l="1"/>
  <c r="D165" i="2" s="1"/>
  <c r="D165" i="4" s="1"/>
  <c r="W166" i="4"/>
  <c r="D164" i="2"/>
  <c r="D164" i="4" s="1"/>
  <c r="C1165" i="4"/>
  <c r="A167" i="1"/>
  <c r="W1166" i="4"/>
  <c r="X1165" i="4"/>
  <c r="T1187" i="4"/>
  <c r="T171" i="2"/>
  <c r="W167" i="4" l="1"/>
  <c r="C166" i="4"/>
  <c r="D1165" i="4"/>
  <c r="C1166" i="4"/>
  <c r="D1166" i="4" s="1"/>
  <c r="A168" i="1"/>
  <c r="X1166" i="4"/>
  <c r="W1167" i="4"/>
  <c r="T1188" i="4"/>
  <c r="T172" i="2"/>
  <c r="C167" i="4" l="1"/>
  <c r="D167" i="2" s="1"/>
  <c r="W168" i="4"/>
  <c r="D166" i="2"/>
  <c r="D166" i="4" s="1"/>
  <c r="C1167" i="4"/>
  <c r="D1167" i="4" s="1"/>
  <c r="A169" i="1"/>
  <c r="W1168" i="4"/>
  <c r="X1167" i="4"/>
  <c r="T1189" i="4"/>
  <c r="T173" i="2"/>
  <c r="C1168" i="4" l="1"/>
  <c r="D1168" i="4" s="1"/>
  <c r="W169" i="4"/>
  <c r="C168" i="4"/>
  <c r="A170" i="1"/>
  <c r="W1169" i="4"/>
  <c r="X1168" i="4"/>
  <c r="T1190" i="4"/>
  <c r="T174" i="2"/>
  <c r="D167" i="4"/>
  <c r="C1169" i="4" l="1"/>
  <c r="D1169" i="4" s="1"/>
  <c r="C169" i="4"/>
  <c r="W170" i="4"/>
  <c r="D168" i="2"/>
  <c r="D168" i="4" s="1"/>
  <c r="A171" i="1"/>
  <c r="W1170" i="4"/>
  <c r="X1169" i="4"/>
  <c r="T1191" i="4"/>
  <c r="T175" i="2"/>
  <c r="C170" i="4" l="1"/>
  <c r="D170" i="2" s="1"/>
  <c r="D169" i="2"/>
  <c r="D169" i="4" s="1"/>
  <c r="W171" i="4"/>
  <c r="C1170" i="4"/>
  <c r="A172" i="1"/>
  <c r="X1170" i="4"/>
  <c r="W1171" i="4"/>
  <c r="T1192" i="4"/>
  <c r="T176" i="2"/>
  <c r="W172" i="4" l="1"/>
  <c r="C171" i="4"/>
  <c r="C172" i="4" s="1"/>
  <c r="D1170" i="4"/>
  <c r="C1171" i="4"/>
  <c r="D1171" i="4" s="1"/>
  <c r="A173" i="1"/>
  <c r="W1172" i="4"/>
  <c r="X1171" i="4"/>
  <c r="T1193" i="4"/>
  <c r="D170" i="4"/>
  <c r="T177" i="2"/>
  <c r="C1172" i="4" l="1"/>
  <c r="D1172" i="4" s="1"/>
  <c r="W173" i="4"/>
  <c r="C173" i="4"/>
  <c r="D172" i="2"/>
  <c r="D172" i="4" s="1"/>
  <c r="D171" i="2"/>
  <c r="D171" i="4" s="1"/>
  <c r="A174" i="1"/>
  <c r="W1173" i="4"/>
  <c r="X1172" i="4"/>
  <c r="T1194" i="4"/>
  <c r="T178" i="2"/>
  <c r="W174" i="4" l="1"/>
  <c r="C174" i="4" s="1"/>
  <c r="D173" i="2"/>
  <c r="D173" i="4" s="1"/>
  <c r="C1173" i="4"/>
  <c r="A175" i="1"/>
  <c r="X1173" i="4"/>
  <c r="W1174" i="4"/>
  <c r="T1195" i="4"/>
  <c r="T179" i="2"/>
  <c r="W175" i="4" l="1"/>
  <c r="D174" i="2"/>
  <c r="D174" i="4" s="1"/>
  <c r="D1173" i="4"/>
  <c r="C1174" i="4"/>
  <c r="D1174" i="4" s="1"/>
  <c r="A176" i="1"/>
  <c r="X1174" i="4"/>
  <c r="W1175" i="4"/>
  <c r="T1196" i="4"/>
  <c r="T180" i="2"/>
  <c r="W176" i="4" l="1"/>
  <c r="C175" i="4"/>
  <c r="C176" i="4" s="1"/>
  <c r="C1175" i="4"/>
  <c r="D1175" i="4" s="1"/>
  <c r="A177" i="1"/>
  <c r="W1176" i="4"/>
  <c r="X1175" i="4"/>
  <c r="T1197" i="4"/>
  <c r="T181" i="2"/>
  <c r="W177" i="4" l="1"/>
  <c r="C177" i="4" s="1"/>
  <c r="D176" i="2"/>
  <c r="D175" i="2"/>
  <c r="D175" i="4" s="1"/>
  <c r="C1176" i="4"/>
  <c r="A178" i="1"/>
  <c r="X1176" i="4"/>
  <c r="W1177" i="4"/>
  <c r="T1198" i="4"/>
  <c r="T182" i="2"/>
  <c r="W178" i="4" l="1"/>
  <c r="C178" i="4" s="1"/>
  <c r="D177" i="2"/>
  <c r="D177" i="4" s="1"/>
  <c r="D1176" i="4"/>
  <c r="C1177" i="4"/>
  <c r="D1177" i="4" s="1"/>
  <c r="A179" i="1"/>
  <c r="W1178" i="4"/>
  <c r="X1177" i="4"/>
  <c r="T1199" i="4"/>
  <c r="D176" i="4"/>
  <c r="T183" i="2"/>
  <c r="W179" i="4" l="1"/>
  <c r="C179" i="4" s="1"/>
  <c r="D178" i="2"/>
  <c r="C1178" i="4"/>
  <c r="A180" i="1"/>
  <c r="X1178" i="4"/>
  <c r="W1179" i="4"/>
  <c r="T1200" i="4"/>
  <c r="T184" i="2"/>
  <c r="W180" i="4" l="1"/>
  <c r="D179" i="2"/>
  <c r="D1178" i="4"/>
  <c r="C1179" i="4"/>
  <c r="A181" i="1"/>
  <c r="X1179" i="4"/>
  <c r="W1180" i="4"/>
  <c r="T1201" i="4"/>
  <c r="T185" i="2"/>
  <c r="D178" i="4"/>
  <c r="W181" i="4" l="1"/>
  <c r="C180" i="4"/>
  <c r="C1180" i="4"/>
  <c r="D1180" i="4" s="1"/>
  <c r="D1179" i="4"/>
  <c r="A182" i="1"/>
  <c r="W1181" i="4"/>
  <c r="X1180" i="4"/>
  <c r="T1202" i="4"/>
  <c r="T186" i="2"/>
  <c r="D179" i="4"/>
  <c r="W182" i="4" l="1"/>
  <c r="C181" i="4"/>
  <c r="D181" i="2" s="1"/>
  <c r="D181" i="4" s="1"/>
  <c r="D180" i="2"/>
  <c r="D180" i="4" s="1"/>
  <c r="C1181" i="4"/>
  <c r="A183" i="1"/>
  <c r="X1181" i="4"/>
  <c r="W1182" i="4"/>
  <c r="T1203" i="4"/>
  <c r="T187" i="2"/>
  <c r="C182" i="4" l="1"/>
  <c r="D182" i="2" s="1"/>
  <c r="D182" i="4" s="1"/>
  <c r="W183" i="4"/>
  <c r="C1182" i="4"/>
  <c r="D1182" i="4" s="1"/>
  <c r="D1181" i="4"/>
  <c r="A184" i="1"/>
  <c r="X1182" i="4"/>
  <c r="W1183" i="4"/>
  <c r="T1204" i="4"/>
  <c r="T188" i="2"/>
  <c r="C183" i="4" l="1"/>
  <c r="D183" i="2" s="1"/>
  <c r="W184" i="4"/>
  <c r="C1183" i="4"/>
  <c r="A185" i="1"/>
  <c r="W1184" i="4"/>
  <c r="X1183" i="4"/>
  <c r="T1205" i="4"/>
  <c r="T189" i="2"/>
  <c r="W185" i="4" l="1"/>
  <c r="C184" i="4"/>
  <c r="C185" i="4" s="1"/>
  <c r="D1183" i="4"/>
  <c r="C1184" i="4"/>
  <c r="D1184" i="4" s="1"/>
  <c r="A186" i="1"/>
  <c r="X1184" i="4"/>
  <c r="W1185" i="4"/>
  <c r="T1206" i="4"/>
  <c r="D183" i="4"/>
  <c r="T190" i="2"/>
  <c r="W186" i="4" l="1"/>
  <c r="C186" i="4" s="1"/>
  <c r="D185" i="2"/>
  <c r="D185" i="4" s="1"/>
  <c r="D184" i="2"/>
  <c r="D184" i="4" s="1"/>
  <c r="C1185" i="4"/>
  <c r="A187" i="1"/>
  <c r="W1186" i="4"/>
  <c r="X1185" i="4"/>
  <c r="T1207" i="4"/>
  <c r="T191" i="2"/>
  <c r="W187" i="4" l="1"/>
  <c r="C187" i="4" s="1"/>
  <c r="D186" i="2"/>
  <c r="D186" i="4" s="1"/>
  <c r="D1185" i="4"/>
  <c r="C1186" i="4"/>
  <c r="A188" i="1"/>
  <c r="X1186" i="4"/>
  <c r="W1187" i="4"/>
  <c r="T1208" i="4"/>
  <c r="T192" i="2"/>
  <c r="D187" i="2" l="1"/>
  <c r="W188" i="4"/>
  <c r="C188" i="4" s="1"/>
  <c r="C1187" i="4"/>
  <c r="D1186" i="4"/>
  <c r="A189" i="1"/>
  <c r="W1188" i="4"/>
  <c r="X1187" i="4"/>
  <c r="T1209" i="4"/>
  <c r="T193" i="2"/>
  <c r="W189" i="4" l="1"/>
  <c r="D188" i="2"/>
  <c r="C1188" i="4"/>
  <c r="D1188" i="4" s="1"/>
  <c r="D1187" i="4"/>
  <c r="A190" i="1"/>
  <c r="X1188" i="4"/>
  <c r="W1189" i="4"/>
  <c r="T1210" i="4"/>
  <c r="T194" i="2"/>
  <c r="D187" i="4"/>
  <c r="W190" i="4" l="1"/>
  <c r="C189" i="4"/>
  <c r="C1189" i="4"/>
  <c r="D1189" i="4" s="1"/>
  <c r="S57" i="1"/>
  <c r="A191" i="1"/>
  <c r="W1190" i="4"/>
  <c r="X1189" i="4"/>
  <c r="T1211" i="4"/>
  <c r="T195" i="2"/>
  <c r="D188" i="4"/>
  <c r="C190" i="4" l="1"/>
  <c r="W191" i="4"/>
  <c r="D189" i="2"/>
  <c r="D189" i="4" s="1"/>
  <c r="C1190" i="4"/>
  <c r="D1190" i="4" s="1"/>
  <c r="A192" i="1"/>
  <c r="X1190" i="4"/>
  <c r="W1191" i="4"/>
  <c r="T1212" i="4"/>
  <c r="T196" i="2"/>
  <c r="C191" i="4" l="1"/>
  <c r="D191" i="2" s="1"/>
  <c r="D191" i="4" s="1"/>
  <c r="D190" i="2"/>
  <c r="D190" i="4" s="1"/>
  <c r="W192" i="4"/>
  <c r="C1191" i="4"/>
  <c r="D1191" i="4" s="1"/>
  <c r="A193" i="1"/>
  <c r="W1192" i="4"/>
  <c r="X1191" i="4"/>
  <c r="T1213" i="4"/>
  <c r="T197" i="2"/>
  <c r="C192" i="4" l="1"/>
  <c r="D192" i="2" s="1"/>
  <c r="D192" i="4" s="1"/>
  <c r="W193" i="4"/>
  <c r="C1192" i="4"/>
  <c r="A194" i="1"/>
  <c r="X1192" i="4"/>
  <c r="W1193" i="4"/>
  <c r="T1214" i="4"/>
  <c r="T198" i="2"/>
  <c r="C193" i="4" l="1"/>
  <c r="D193" i="2" s="1"/>
  <c r="D193" i="4" s="1"/>
  <c r="W194" i="4"/>
  <c r="D1192" i="4"/>
  <c r="C1193" i="4"/>
  <c r="A195" i="1"/>
  <c r="X1193" i="4"/>
  <c r="W1194" i="4"/>
  <c r="T1215" i="4"/>
  <c r="T199" i="2"/>
  <c r="C194" i="4" l="1"/>
  <c r="D194" i="2" s="1"/>
  <c r="W195" i="4"/>
  <c r="D1193" i="4"/>
  <c r="C1194" i="4"/>
  <c r="A196" i="1"/>
  <c r="W1195" i="4"/>
  <c r="X1194" i="4"/>
  <c r="T1216" i="4"/>
  <c r="T200" i="2"/>
  <c r="W196" i="4" l="1"/>
  <c r="C195" i="4"/>
  <c r="D1194" i="4"/>
  <c r="C1195" i="4"/>
  <c r="A197" i="1"/>
  <c r="X1195" i="4"/>
  <c r="W1196" i="4"/>
  <c r="T1217" i="4"/>
  <c r="D194" i="4"/>
  <c r="T201" i="2"/>
  <c r="C196" i="4" l="1"/>
  <c r="D196" i="2" s="1"/>
  <c r="W197" i="4"/>
  <c r="D195" i="2"/>
  <c r="D195" i="4" s="1"/>
  <c r="D1195" i="4"/>
  <c r="C1196" i="4"/>
  <c r="A198" i="1"/>
  <c r="X1196" i="4"/>
  <c r="W1197" i="4"/>
  <c r="T1218" i="4"/>
  <c r="T202" i="2"/>
  <c r="C197" i="4" l="1"/>
  <c r="D197" i="2" s="1"/>
  <c r="W198" i="4"/>
  <c r="D1196" i="4"/>
  <c r="C1197" i="4"/>
  <c r="A199" i="1"/>
  <c r="X1197" i="4"/>
  <c r="W1198" i="4"/>
  <c r="T1219" i="4"/>
  <c r="T203" i="2"/>
  <c r="D196" i="4"/>
  <c r="C198" i="4" l="1"/>
  <c r="D198" i="2" s="1"/>
  <c r="W199" i="4"/>
  <c r="D1197" i="4"/>
  <c r="C1198" i="4"/>
  <c r="A200" i="1"/>
  <c r="W1199" i="4"/>
  <c r="X1198" i="4"/>
  <c r="T1220" i="4"/>
  <c r="D197" i="4"/>
  <c r="T204" i="2"/>
  <c r="W200" i="4" l="1"/>
  <c r="C199" i="4"/>
  <c r="D1198" i="4"/>
  <c r="C1199" i="4"/>
  <c r="A201" i="1"/>
  <c r="X1199" i="4"/>
  <c r="W1200" i="4"/>
  <c r="T1221" i="4"/>
  <c r="T205" i="2"/>
  <c r="D198" i="4"/>
  <c r="Z83" i="7" l="1"/>
  <c r="Z1" i="7"/>
  <c r="C200" i="4"/>
  <c r="D201" i="2" s="1"/>
  <c r="D199" i="2"/>
  <c r="D199" i="4" s="1"/>
  <c r="D1199" i="4"/>
  <c r="C1200" i="4"/>
  <c r="Z37" i="7"/>
  <c r="Z192" i="7"/>
  <c r="Z109" i="7"/>
  <c r="Z117" i="7"/>
  <c r="Z133" i="7"/>
  <c r="Z197" i="7"/>
  <c r="Z51" i="7"/>
  <c r="Z25" i="7"/>
  <c r="Z182" i="7"/>
  <c r="Z70" i="7"/>
  <c r="Z104" i="7"/>
  <c r="Z136" i="7"/>
  <c r="Z142" i="7"/>
  <c r="Z4" i="7"/>
  <c r="Z29" i="7"/>
  <c r="Z36" i="7"/>
  <c r="Z95" i="7"/>
  <c r="Z45" i="7"/>
  <c r="Z101" i="7"/>
  <c r="Z175" i="7"/>
  <c r="Z167" i="7"/>
  <c r="Z50" i="7"/>
  <c r="Z48" i="7"/>
  <c r="Z7" i="7"/>
  <c r="Z54" i="7"/>
  <c r="Z122" i="7"/>
  <c r="Z120" i="7"/>
  <c r="Z171" i="7"/>
  <c r="Z114" i="7"/>
  <c r="Z179" i="7"/>
  <c r="Z132" i="7"/>
  <c r="Z85" i="7"/>
  <c r="Z183" i="7"/>
  <c r="Z112" i="7"/>
  <c r="Z67" i="7"/>
  <c r="Z62" i="7"/>
  <c r="Z184" i="7"/>
  <c r="Z129" i="7"/>
  <c r="Z88" i="7"/>
  <c r="Z154" i="7"/>
  <c r="Z107" i="7"/>
  <c r="Z60" i="7"/>
  <c r="Z13" i="7"/>
  <c r="Z151" i="7"/>
  <c r="Z140" i="7"/>
  <c r="Z77" i="7"/>
  <c r="Z194" i="7"/>
  <c r="Z128" i="7"/>
  <c r="Z57" i="7"/>
  <c r="Z16" i="7"/>
  <c r="Z82" i="7"/>
  <c r="Z35" i="7"/>
  <c r="Z173" i="7"/>
  <c r="Z126" i="7"/>
  <c r="Z79" i="7"/>
  <c r="Z181" i="7"/>
  <c r="Z105" i="7"/>
  <c r="Z64" i="7"/>
  <c r="Z23" i="7"/>
  <c r="Z161" i="7"/>
  <c r="Z42" i="7"/>
  <c r="Z174" i="7"/>
  <c r="Z127" i="7"/>
  <c r="Z68" i="7"/>
  <c r="Z149" i="7"/>
  <c r="Z44" i="7"/>
  <c r="Z110" i="7"/>
  <c r="Z33" i="7"/>
  <c r="Z190" i="7"/>
  <c r="Z130" i="7"/>
  <c r="Z89" i="7"/>
  <c r="Z155" i="7"/>
  <c r="Z102" i="7"/>
  <c r="Z55" i="7"/>
  <c r="Z193" i="7"/>
  <c r="Z147" i="7"/>
  <c r="Z103" i="7"/>
  <c r="Z38" i="7"/>
  <c r="Z176" i="7"/>
  <c r="Z99" i="7"/>
  <c r="Z58" i="7"/>
  <c r="Z17" i="7"/>
  <c r="Z61" i="7"/>
  <c r="Z186" i="7"/>
  <c r="Z63" i="7"/>
  <c r="Z59" i="7"/>
  <c r="Z43" i="7"/>
  <c r="Z113" i="7"/>
  <c r="Z153" i="7"/>
  <c r="Z141" i="7"/>
  <c r="Z100" i="7"/>
  <c r="Z90" i="7"/>
  <c r="Z32" i="7"/>
  <c r="Z116" i="7"/>
  <c r="Z10" i="7"/>
  <c r="Z30" i="7"/>
  <c r="Z170" i="7"/>
  <c r="Z56" i="7"/>
  <c r="Z22" i="7"/>
  <c r="Z12" i="7"/>
  <c r="Z145" i="7"/>
  <c r="Z3" i="7"/>
  <c r="Z134" i="7"/>
  <c r="Z137" i="7"/>
  <c r="Z121" i="7"/>
  <c r="Z139" i="7"/>
  <c r="Z123" i="7"/>
  <c r="Z47" i="7"/>
  <c r="Z185" i="7"/>
  <c r="Z168" i="7"/>
  <c r="Z40" i="7"/>
  <c r="Z189" i="7"/>
  <c r="Z160" i="7"/>
  <c r="Z78" i="7"/>
  <c r="Z98" i="7"/>
  <c r="Z27" i="7"/>
  <c r="Z195" i="7"/>
  <c r="Z124" i="7"/>
  <c r="Z11" i="7"/>
  <c r="Z143" i="7"/>
  <c r="Z96" i="7"/>
  <c r="Z49" i="7"/>
  <c r="Z187" i="7"/>
  <c r="Z111" i="7"/>
  <c r="Z72" i="7"/>
  <c r="Z26" i="7"/>
  <c r="Z164" i="7"/>
  <c r="Z93" i="7"/>
  <c r="Z52" i="7"/>
  <c r="Z118" i="7"/>
  <c r="Z71" i="7"/>
  <c r="Z24" i="7"/>
  <c r="Z162" i="7"/>
  <c r="Z115" i="7"/>
  <c r="Z165" i="7"/>
  <c r="Z76" i="7"/>
  <c r="Z31" i="7"/>
  <c r="Z92" i="7"/>
  <c r="Z21" i="7"/>
  <c r="Z177" i="7"/>
  <c r="Z46" i="7"/>
  <c r="Z5" i="7"/>
  <c r="Z20" i="7"/>
  <c r="Z158" i="7"/>
  <c r="Z87" i="7"/>
  <c r="Z159" i="7"/>
  <c r="Z106" i="7"/>
  <c r="Z65" i="7"/>
  <c r="Z18" i="7"/>
  <c r="Z156" i="7"/>
  <c r="Z73" i="7"/>
  <c r="Z169" i="7"/>
  <c r="Z39" i="7"/>
  <c r="Z180" i="7"/>
  <c r="Z86" i="7"/>
  <c r="Z15" i="7"/>
  <c r="Z81" i="7"/>
  <c r="Z34" i="7"/>
  <c r="Z178" i="7"/>
  <c r="Z131" i="7"/>
  <c r="Z84" i="7"/>
  <c r="Z150" i="7"/>
  <c r="Z97" i="7"/>
  <c r="Z196" i="7"/>
  <c r="Z41" i="7"/>
  <c r="Z14" i="7"/>
  <c r="Z152" i="7"/>
  <c r="Z9" i="7"/>
  <c r="Z163" i="7"/>
  <c r="Z75" i="7"/>
  <c r="Z144" i="7"/>
  <c r="Z80" i="7"/>
  <c r="Z146" i="7"/>
  <c r="Z69" i="7"/>
  <c r="Z28" i="7"/>
  <c r="Z166" i="7"/>
  <c r="Z125" i="7"/>
  <c r="Z6" i="7"/>
  <c r="Z138" i="7"/>
  <c r="Z91" i="7"/>
  <c r="Z172" i="7"/>
  <c r="Z148" i="7"/>
  <c r="Z8" i="7"/>
  <c r="Z74" i="7"/>
  <c r="Z191" i="7"/>
  <c r="Z135" i="7"/>
  <c r="Z94" i="7"/>
  <c r="Z53" i="7"/>
  <c r="Z119" i="7"/>
  <c r="Z66" i="7"/>
  <c r="Z19" i="7"/>
  <c r="Z157" i="7"/>
  <c r="Z188" i="7"/>
  <c r="Z108" i="7"/>
  <c r="Z2" i="7"/>
  <c r="W1201" i="4"/>
  <c r="X1200" i="4"/>
  <c r="T1222" i="4"/>
  <c r="Y1" i="7" l="1"/>
  <c r="D200" i="2"/>
  <c r="D200" i="4" s="1"/>
  <c r="D1200" i="4"/>
  <c r="C1201" i="4"/>
  <c r="X1201" i="4"/>
  <c r="W1202" i="4"/>
  <c r="T1223" i="4"/>
  <c r="D1201" i="4" l="1"/>
  <c r="C1202" i="4"/>
  <c r="W1203" i="4"/>
  <c r="X1202" i="4"/>
  <c r="T1224" i="4"/>
  <c r="D1202" i="4" l="1"/>
  <c r="C1203" i="4"/>
  <c r="X1203" i="4"/>
  <c r="W1204" i="4"/>
  <c r="T1225" i="4"/>
  <c r="D1203" i="4" l="1"/>
  <c r="C1204" i="4"/>
  <c r="W1205" i="4"/>
  <c r="X1204" i="4"/>
  <c r="T1226" i="4"/>
  <c r="D1204" i="4" l="1"/>
  <c r="C1205" i="4"/>
  <c r="X1205" i="4"/>
  <c r="W1206" i="4"/>
  <c r="T1227" i="4"/>
  <c r="D1205" i="4" l="1"/>
  <c r="C1206" i="4"/>
  <c r="W1207" i="4"/>
  <c r="X1206" i="4"/>
  <c r="T1228" i="4"/>
  <c r="D1206" i="4" l="1"/>
  <c r="C1207" i="4"/>
  <c r="W1208" i="4"/>
  <c r="X1207" i="4"/>
  <c r="T1229" i="4"/>
  <c r="D1207" i="4" l="1"/>
  <c r="C1208" i="4"/>
  <c r="X1208" i="4"/>
  <c r="W1209" i="4"/>
  <c r="T1230" i="4"/>
  <c r="D1208" i="4" l="1"/>
  <c r="C1209" i="4"/>
  <c r="X1209" i="4"/>
  <c r="W1210" i="4"/>
  <c r="T1231" i="4"/>
  <c r="D1209" i="4" l="1"/>
  <c r="C1210" i="4"/>
  <c r="X1210" i="4"/>
  <c r="W1211" i="4"/>
  <c r="T1232" i="4"/>
  <c r="D1210" i="4" l="1"/>
  <c r="C1211" i="4"/>
  <c r="W1212" i="4"/>
  <c r="X1211" i="4"/>
  <c r="T1233" i="4"/>
  <c r="D1211" i="4" l="1"/>
  <c r="C1212" i="4"/>
  <c r="W1213" i="4"/>
  <c r="X1212" i="4"/>
  <c r="T1234" i="4"/>
  <c r="D1212" i="4" l="1"/>
  <c r="C1213" i="4"/>
  <c r="X1213" i="4"/>
  <c r="W1214" i="4"/>
  <c r="T1235" i="4"/>
  <c r="D1213" i="4" l="1"/>
  <c r="C1214" i="4"/>
  <c r="W1215" i="4"/>
  <c r="X1214" i="4"/>
  <c r="T1236" i="4"/>
  <c r="D1214" i="4" l="1"/>
  <c r="C1215" i="4"/>
  <c r="X1215" i="4"/>
  <c r="W1216" i="4"/>
  <c r="T1237" i="4"/>
  <c r="D1215" i="4" l="1"/>
  <c r="C1216" i="4"/>
  <c r="X1216" i="4"/>
  <c r="W1217" i="4"/>
  <c r="T1238" i="4"/>
  <c r="D1216" i="4" l="1"/>
  <c r="C1217" i="4"/>
  <c r="W1218" i="4"/>
  <c r="X1217" i="4"/>
  <c r="T1239" i="4"/>
  <c r="D1217" i="4" l="1"/>
  <c r="C1218" i="4"/>
  <c r="X1218" i="4"/>
  <c r="W1219" i="4"/>
  <c r="T1240" i="4"/>
  <c r="D1218" i="4" l="1"/>
  <c r="C1219" i="4"/>
  <c r="X1219" i="4"/>
  <c r="W1220" i="4"/>
  <c r="T1241" i="4"/>
  <c r="D1219" i="4" l="1"/>
  <c r="C1220" i="4"/>
  <c r="W1221" i="4"/>
  <c r="X1220" i="4"/>
  <c r="T1242" i="4"/>
  <c r="D1220" i="4" l="1"/>
  <c r="C1221" i="4"/>
  <c r="X1221" i="4"/>
  <c r="W1222" i="4"/>
  <c r="T1243" i="4"/>
  <c r="D1221" i="4" l="1"/>
  <c r="C1222" i="4"/>
  <c r="X1222" i="4"/>
  <c r="W1223" i="4"/>
  <c r="T1244" i="4"/>
  <c r="D1222" i="4" l="1"/>
  <c r="C1223" i="4"/>
  <c r="X1223" i="4"/>
  <c r="W1224" i="4"/>
  <c r="T1245" i="4"/>
  <c r="D1223" i="4" l="1"/>
  <c r="C1224" i="4"/>
  <c r="W1225" i="4"/>
  <c r="X1224" i="4"/>
  <c r="T1246" i="4"/>
  <c r="D1224" i="4" l="1"/>
  <c r="C1225" i="4"/>
  <c r="X1225" i="4"/>
  <c r="W1226" i="4"/>
  <c r="T1247" i="4"/>
  <c r="D1225" i="4" l="1"/>
  <c r="C1226" i="4"/>
  <c r="W1227" i="4"/>
  <c r="X1226" i="4"/>
  <c r="T1248" i="4"/>
  <c r="D1226" i="4" l="1"/>
  <c r="C1227" i="4"/>
  <c r="X1227" i="4"/>
  <c r="W1228" i="4"/>
  <c r="T1249" i="4"/>
  <c r="D1227" i="4" l="1"/>
  <c r="C1228" i="4"/>
  <c r="X1228" i="4"/>
  <c r="W1229" i="4"/>
  <c r="T1250" i="4"/>
  <c r="D1228" i="4" l="1"/>
  <c r="C1229" i="4"/>
  <c r="W1230" i="4"/>
  <c r="X1229" i="4"/>
  <c r="T1251" i="4"/>
  <c r="D1229" i="4" l="1"/>
  <c r="C1230" i="4"/>
  <c r="X1230" i="4"/>
  <c r="W1231" i="4"/>
  <c r="T1252" i="4"/>
  <c r="T1253" i="4" s="1"/>
  <c r="D1230" i="4" l="1"/>
  <c r="C1231" i="4"/>
  <c r="X1231" i="4"/>
  <c r="W1232" i="4"/>
  <c r="T1254" i="4"/>
  <c r="D1231" i="4" l="1"/>
  <c r="C1232" i="4"/>
  <c r="X1232" i="4"/>
  <c r="W1233" i="4"/>
  <c r="T1255" i="4"/>
  <c r="D1232" i="4" l="1"/>
  <c r="C1233" i="4"/>
  <c r="X1233" i="4"/>
  <c r="W1234" i="4"/>
  <c r="T1256" i="4"/>
  <c r="D1233" i="4" l="1"/>
  <c r="C1234" i="4"/>
  <c r="X1234" i="4"/>
  <c r="W1235" i="4"/>
  <c r="T1257" i="4"/>
  <c r="D1234" i="4" l="1"/>
  <c r="C1235" i="4"/>
  <c r="X1235" i="4"/>
  <c r="W1236" i="4"/>
  <c r="T1258" i="4"/>
  <c r="D1235" i="4" l="1"/>
  <c r="C1236" i="4"/>
  <c r="W1237" i="4"/>
  <c r="X1236" i="4"/>
  <c r="T1259" i="4"/>
  <c r="D1236" i="4" l="1"/>
  <c r="C1237" i="4"/>
  <c r="W1238" i="4"/>
  <c r="X1237" i="4"/>
  <c r="T1260" i="4"/>
  <c r="D1237" i="4" l="1"/>
  <c r="C1238" i="4"/>
  <c r="X1238" i="4"/>
  <c r="W1239" i="4"/>
  <c r="T1261" i="4"/>
  <c r="D1238" i="4" l="1"/>
  <c r="C1239" i="4"/>
  <c r="W1240" i="4"/>
  <c r="X1239" i="4"/>
  <c r="T1262" i="4"/>
  <c r="D1239" i="4" l="1"/>
  <c r="C1240" i="4"/>
  <c r="X1240" i="4"/>
  <c r="W1241" i="4"/>
  <c r="T1263" i="4"/>
  <c r="D1240" i="4" l="1"/>
  <c r="C1241" i="4"/>
  <c r="X1241" i="4"/>
  <c r="W1242" i="4"/>
  <c r="T1264" i="4"/>
  <c r="D1241" i="4" l="1"/>
  <c r="C1242" i="4"/>
  <c r="X1242" i="4"/>
  <c r="W1243" i="4"/>
  <c r="T1265" i="4"/>
  <c r="D1242" i="4" l="1"/>
  <c r="C1243" i="4"/>
  <c r="W1244" i="4"/>
  <c r="X1243" i="4"/>
  <c r="T1266" i="4"/>
  <c r="D1243" i="4" l="1"/>
  <c r="C1244" i="4"/>
  <c r="X1244" i="4"/>
  <c r="W1245" i="4"/>
  <c r="T1267" i="4"/>
  <c r="D1244" i="4" l="1"/>
  <c r="C1245" i="4"/>
  <c r="W1246" i="4"/>
  <c r="X1245" i="4"/>
  <c r="T1268" i="4"/>
  <c r="D1245" i="4" l="1"/>
  <c r="C1246" i="4"/>
  <c r="W1247" i="4"/>
  <c r="X1246" i="4"/>
  <c r="T1269" i="4"/>
  <c r="D1246" i="4" l="1"/>
  <c r="C1247" i="4"/>
  <c r="W1248" i="4"/>
  <c r="X1247" i="4"/>
  <c r="T1270" i="4"/>
  <c r="D1247" i="4" l="1"/>
  <c r="C1248" i="4"/>
  <c r="W1249" i="4"/>
  <c r="X1248" i="4"/>
  <c r="T1271" i="4"/>
  <c r="D1248" i="4" l="1"/>
  <c r="C1249" i="4"/>
  <c r="X1249" i="4"/>
  <c r="W1250" i="4"/>
  <c r="T1272" i="4"/>
  <c r="D1249" i="4" l="1"/>
  <c r="C1250" i="4"/>
  <c r="X1250" i="4"/>
  <c r="W1251" i="4"/>
  <c r="T1273" i="4"/>
  <c r="D1250" i="4" l="1"/>
  <c r="C1251" i="4"/>
  <c r="X1251" i="4"/>
  <c r="W1252" i="4"/>
  <c r="T1274" i="4"/>
  <c r="D1251" i="4" l="1"/>
  <c r="C1252" i="4"/>
  <c r="W1253" i="4"/>
  <c r="X1252" i="4"/>
  <c r="T1275" i="4"/>
  <c r="D1252" i="4" l="1"/>
  <c r="C1253" i="4"/>
  <c r="X1253" i="4"/>
  <c r="W1254" i="4"/>
  <c r="T1276" i="4"/>
  <c r="D1253" i="4" l="1"/>
  <c r="C1254" i="4"/>
  <c r="W1255" i="4"/>
  <c r="X1254" i="4"/>
  <c r="T1277" i="4"/>
  <c r="D1254" i="4" l="1"/>
  <c r="C1255" i="4"/>
  <c r="X1255" i="4"/>
  <c r="W1256" i="4"/>
  <c r="T1278" i="4"/>
  <c r="D1255" i="4" l="1"/>
  <c r="C1256" i="4"/>
  <c r="W1257" i="4"/>
  <c r="X1256" i="4"/>
  <c r="T1279" i="4"/>
  <c r="D1256" i="4" l="1"/>
  <c r="C1257" i="4"/>
  <c r="X1257" i="4"/>
  <c r="W1258" i="4"/>
  <c r="T1280" i="4"/>
  <c r="D1257" i="4" l="1"/>
  <c r="C1258" i="4"/>
  <c r="W1259" i="4"/>
  <c r="X1258" i="4"/>
  <c r="T1281" i="4"/>
  <c r="D1258" i="4" l="1"/>
  <c r="C1259" i="4"/>
  <c r="X1259" i="4"/>
  <c r="W1260" i="4"/>
  <c r="T1282" i="4"/>
  <c r="D1259" i="4" l="1"/>
  <c r="C1260" i="4"/>
  <c r="X1260" i="4"/>
  <c r="W1261" i="4"/>
  <c r="T1283" i="4"/>
  <c r="D1260" i="4" l="1"/>
  <c r="C1261" i="4"/>
  <c r="W1262" i="4"/>
  <c r="X1261" i="4"/>
  <c r="T1284" i="4"/>
  <c r="D1261" i="4" l="1"/>
  <c r="C1262" i="4"/>
  <c r="X1262" i="4"/>
  <c r="W1263" i="4"/>
  <c r="T1285" i="4"/>
  <c r="D1262" i="4" l="1"/>
  <c r="C1263" i="4"/>
  <c r="W1264" i="4"/>
  <c r="X1263" i="4"/>
  <c r="T1286" i="4"/>
  <c r="D1263" i="4" l="1"/>
  <c r="C1264" i="4"/>
  <c r="X1264" i="4"/>
  <c r="W1265" i="4"/>
  <c r="T1287" i="4"/>
  <c r="D1264" i="4" l="1"/>
  <c r="C1265" i="4"/>
  <c r="W1266" i="4"/>
  <c r="X1265" i="4"/>
  <c r="T1288" i="4"/>
  <c r="D1265" i="4" l="1"/>
  <c r="C1266" i="4"/>
  <c r="W1267" i="4"/>
  <c r="X1266" i="4"/>
  <c r="T1289" i="4"/>
  <c r="T1290" i="4" s="1"/>
  <c r="D1266" i="4" l="1"/>
  <c r="C1267" i="4"/>
  <c r="X1267" i="4"/>
  <c r="W1268" i="4"/>
  <c r="T1291" i="4"/>
  <c r="D1267" i="4" l="1"/>
  <c r="C1268" i="4"/>
  <c r="X1268" i="4"/>
  <c r="W1269" i="4"/>
  <c r="T1292" i="4"/>
  <c r="T1293" i="4" s="1"/>
  <c r="D1268" i="4" l="1"/>
  <c r="C1269" i="4"/>
  <c r="X1269" i="4"/>
  <c r="W1270" i="4"/>
  <c r="T1294" i="4"/>
  <c r="D1269" i="4" l="1"/>
  <c r="C1270" i="4"/>
  <c r="W1271" i="4"/>
  <c r="X1270" i="4"/>
  <c r="T1295" i="4"/>
  <c r="T1296" i="4" s="1"/>
  <c r="D1270" i="4" l="1"/>
  <c r="C1271" i="4"/>
  <c r="W1272" i="4"/>
  <c r="X1271" i="4"/>
  <c r="T1297" i="4"/>
  <c r="D1271" i="4" l="1"/>
  <c r="C1272" i="4"/>
  <c r="X1272" i="4"/>
  <c r="W1273" i="4"/>
  <c r="T1298" i="4"/>
  <c r="D1272" i="4" l="1"/>
  <c r="C1273" i="4"/>
  <c r="W1274" i="4"/>
  <c r="X1273" i="4"/>
  <c r="T1299" i="4"/>
  <c r="D1273" i="4" l="1"/>
  <c r="C1274" i="4"/>
  <c r="W1275" i="4"/>
  <c r="X1274" i="4"/>
  <c r="T1300" i="4"/>
  <c r="D1274" i="4" l="1"/>
  <c r="C1275" i="4"/>
  <c r="X1275" i="4"/>
  <c r="W1276" i="4"/>
  <c r="T1301" i="4"/>
  <c r="D1275" i="4" l="1"/>
  <c r="C1276" i="4"/>
  <c r="W1277" i="4"/>
  <c r="X1276" i="4"/>
  <c r="T1302" i="4"/>
  <c r="D1276" i="4" l="1"/>
  <c r="C1277" i="4"/>
  <c r="W1278" i="4"/>
  <c r="X1277" i="4"/>
  <c r="T1303" i="4"/>
  <c r="D1277" i="4" l="1"/>
  <c r="C1278" i="4"/>
  <c r="X1278" i="4"/>
  <c r="W1279" i="4"/>
  <c r="T1304" i="4"/>
  <c r="D1278" i="4" l="1"/>
  <c r="C1279" i="4"/>
  <c r="X1279" i="4"/>
  <c r="W1280" i="4"/>
  <c r="T1305" i="4"/>
  <c r="C1280" i="4" l="1"/>
  <c r="D1279" i="4"/>
  <c r="W1281" i="4"/>
  <c r="X1280" i="4"/>
  <c r="T1306" i="4"/>
  <c r="D1280" i="4" l="1"/>
  <c r="C1281" i="4"/>
  <c r="X1281" i="4"/>
  <c r="W1282" i="4"/>
  <c r="T1307" i="4"/>
  <c r="D1281" i="4" l="1"/>
  <c r="C1282" i="4"/>
  <c r="W1283" i="4"/>
  <c r="X1282" i="4"/>
  <c r="T1308" i="4"/>
  <c r="D1282" i="4" l="1"/>
  <c r="C1283" i="4"/>
  <c r="X1283" i="4"/>
  <c r="W1284" i="4"/>
  <c r="T1309" i="4"/>
  <c r="D1283" i="4" l="1"/>
  <c r="C1284" i="4"/>
  <c r="X1284" i="4"/>
  <c r="W1285" i="4"/>
  <c r="T1310" i="4"/>
  <c r="D1284" i="4" l="1"/>
  <c r="C1285" i="4"/>
  <c r="X1285" i="4"/>
  <c r="W1286" i="4"/>
  <c r="T1311" i="4"/>
  <c r="D1285" i="4" l="1"/>
  <c r="C1286" i="4"/>
  <c r="X1286" i="4"/>
  <c r="W1287" i="4"/>
  <c r="T1312" i="4"/>
  <c r="D1286" i="4" l="1"/>
  <c r="C1287" i="4"/>
  <c r="X1287" i="4"/>
  <c r="W1288" i="4"/>
  <c r="T1313" i="4"/>
  <c r="D1287" i="4" l="1"/>
  <c r="C1288" i="4"/>
  <c r="W1289" i="4"/>
  <c r="X1288" i="4"/>
  <c r="T1314" i="4"/>
  <c r="C1289" i="4" l="1"/>
  <c r="D1288" i="4"/>
  <c r="X1289" i="4"/>
  <c r="W1290" i="4"/>
  <c r="T1315" i="4"/>
  <c r="D1289" i="4" l="1"/>
  <c r="C1290" i="4"/>
  <c r="W1291" i="4"/>
  <c r="X1290" i="4"/>
  <c r="T1316" i="4"/>
  <c r="D1290" i="4" l="1"/>
  <c r="C1291" i="4"/>
  <c r="W1292" i="4"/>
  <c r="X1291" i="4"/>
  <c r="T1317" i="4"/>
  <c r="D1291" i="4" l="1"/>
  <c r="C1292" i="4"/>
  <c r="W1293" i="4"/>
  <c r="X1292" i="4"/>
  <c r="T1318" i="4"/>
  <c r="D1292" i="4" l="1"/>
  <c r="C1293" i="4"/>
  <c r="X1293" i="4"/>
  <c r="W1294" i="4"/>
  <c r="T1319" i="4"/>
  <c r="T1320" i="4" s="1"/>
  <c r="D1293" i="4" l="1"/>
  <c r="C1294" i="4"/>
  <c r="X1294" i="4"/>
  <c r="W1295" i="4"/>
  <c r="T1321" i="4"/>
  <c r="D1294" i="4" l="1"/>
  <c r="C1295" i="4"/>
  <c r="X1295" i="4"/>
  <c r="W1296" i="4"/>
  <c r="T1322" i="4"/>
  <c r="D1295" i="4" l="1"/>
  <c r="C1296" i="4"/>
  <c r="X1296" i="4"/>
  <c r="W1297" i="4"/>
  <c r="T1323" i="4"/>
  <c r="D1296" i="4" l="1"/>
  <c r="C1297" i="4"/>
  <c r="W1298" i="4"/>
  <c r="X1297" i="4"/>
  <c r="T1324" i="4"/>
  <c r="D1297" i="4" l="1"/>
  <c r="C1298" i="4"/>
  <c r="X1298" i="4"/>
  <c r="W1299" i="4"/>
  <c r="T1325" i="4"/>
  <c r="D1298" i="4" l="1"/>
  <c r="C1299" i="4"/>
  <c r="W1300" i="4"/>
  <c r="X1299" i="4"/>
  <c r="T1326" i="4"/>
  <c r="D1299" i="4" l="1"/>
  <c r="C1300" i="4"/>
  <c r="W1301" i="4"/>
  <c r="X1300" i="4"/>
  <c r="T1327" i="4"/>
  <c r="D1300" i="4" l="1"/>
  <c r="C1301" i="4"/>
  <c r="X1301" i="4"/>
  <c r="W1302" i="4"/>
  <c r="T1328" i="4"/>
  <c r="T1329" i="4" s="1"/>
  <c r="D1301" i="4" l="1"/>
  <c r="C1302" i="4"/>
  <c r="X1302" i="4"/>
  <c r="W1303" i="4"/>
  <c r="T1330" i="4"/>
  <c r="D1302" i="4" l="1"/>
  <c r="C1303" i="4"/>
  <c r="W1304" i="4"/>
  <c r="X1303" i="4"/>
  <c r="T1331" i="4"/>
  <c r="T1332" i="4" s="1"/>
  <c r="D1303" i="4" l="1"/>
  <c r="C1304" i="4"/>
  <c r="X1304" i="4"/>
  <c r="W1305" i="4"/>
  <c r="T1333" i="4"/>
  <c r="D1304" i="4" l="1"/>
  <c r="C1305" i="4"/>
  <c r="X1305" i="4"/>
  <c r="W1306" i="4"/>
  <c r="T1334" i="4"/>
  <c r="D1305" i="4" l="1"/>
  <c r="C1306" i="4"/>
  <c r="W1307" i="4"/>
  <c r="X1306" i="4"/>
  <c r="T1335" i="4"/>
  <c r="D1306" i="4" l="1"/>
  <c r="C1307" i="4"/>
  <c r="W1308" i="4"/>
  <c r="X1307" i="4"/>
  <c r="T1336" i="4"/>
  <c r="D1307" i="4" l="1"/>
  <c r="C1308" i="4"/>
  <c r="W1309" i="4"/>
  <c r="X1308" i="4"/>
  <c r="T1337" i="4"/>
  <c r="D1308" i="4" l="1"/>
  <c r="C1309" i="4"/>
  <c r="W1310" i="4"/>
  <c r="X1309" i="4"/>
  <c r="T1338" i="4"/>
  <c r="D1309" i="4" l="1"/>
  <c r="C1310" i="4"/>
  <c r="X1310" i="4"/>
  <c r="W1311" i="4"/>
  <c r="T1339" i="4"/>
  <c r="T1340" i="4" s="1"/>
  <c r="D1310" i="4" l="1"/>
  <c r="C1311" i="4"/>
  <c r="W1312" i="4"/>
  <c r="X1311" i="4"/>
  <c r="T1341" i="4"/>
  <c r="D1311" i="4" l="1"/>
  <c r="C1312" i="4"/>
  <c r="X1312" i="4"/>
  <c r="W1313" i="4"/>
  <c r="T1342" i="4"/>
  <c r="D1312" i="4" l="1"/>
  <c r="C1313" i="4"/>
  <c r="W1314" i="4"/>
  <c r="X1313" i="4"/>
  <c r="T1343" i="4"/>
  <c r="D1313" i="4" l="1"/>
  <c r="C1314" i="4"/>
  <c r="X1314" i="4"/>
  <c r="W1315" i="4"/>
  <c r="T1344" i="4"/>
  <c r="T1345" i="4" s="1"/>
  <c r="D1314" i="4" l="1"/>
  <c r="C1315" i="4"/>
  <c r="X1315" i="4"/>
  <c r="W1316" i="4"/>
  <c r="T1346" i="4"/>
  <c r="D1315" i="4" l="1"/>
  <c r="C1316" i="4"/>
  <c r="W1317" i="4"/>
  <c r="X1316" i="4"/>
  <c r="T1347" i="4"/>
  <c r="D1316" i="4" l="1"/>
  <c r="C1317" i="4"/>
  <c r="X1317" i="4"/>
  <c r="W1318" i="4"/>
  <c r="T1348" i="4"/>
  <c r="D1317" i="4" l="1"/>
  <c r="C1318" i="4"/>
  <c r="X1318" i="4"/>
  <c r="W1319" i="4"/>
  <c r="T1349" i="4"/>
  <c r="D1318" i="4" l="1"/>
  <c r="C1319" i="4"/>
  <c r="W1320" i="4"/>
  <c r="X1319" i="4"/>
  <c r="T1350" i="4"/>
  <c r="T1351" i="4" s="1"/>
  <c r="D1319" i="4" l="1"/>
  <c r="C1320" i="4"/>
  <c r="X1320" i="4"/>
  <c r="W1321" i="4"/>
  <c r="T1352" i="4"/>
  <c r="D1320" i="4" l="1"/>
  <c r="C1321" i="4"/>
  <c r="X1321" i="4"/>
  <c r="W1322" i="4"/>
  <c r="T1353" i="4"/>
  <c r="D1321" i="4" l="1"/>
  <c r="C1322" i="4"/>
  <c r="W1323" i="4"/>
  <c r="X1322" i="4"/>
  <c r="T1354" i="4"/>
  <c r="D1322" i="4" l="1"/>
  <c r="C1323" i="4"/>
  <c r="X1323" i="4"/>
  <c r="W1324" i="4"/>
  <c r="T1355" i="4"/>
  <c r="D1323" i="4" l="1"/>
  <c r="C1324" i="4"/>
  <c r="X1324" i="4"/>
  <c r="W1325" i="4"/>
  <c r="T1356" i="4"/>
  <c r="D1324" i="4" l="1"/>
  <c r="C1325" i="4"/>
  <c r="X1325" i="4"/>
  <c r="W1326" i="4"/>
  <c r="T1357" i="4"/>
  <c r="D1325" i="4" l="1"/>
  <c r="C1326" i="4"/>
  <c r="W1327" i="4"/>
  <c r="X1326" i="4"/>
  <c r="T1358" i="4"/>
  <c r="D1326" i="4" l="1"/>
  <c r="C1327" i="4"/>
  <c r="X1327" i="4"/>
  <c r="W1328" i="4"/>
  <c r="T1359" i="4"/>
  <c r="C1328" i="4" l="1"/>
  <c r="D1327" i="4"/>
  <c r="W1329" i="4"/>
  <c r="X1328" i="4"/>
  <c r="T1360" i="4"/>
  <c r="D1328" i="4" l="1"/>
  <c r="C1329" i="4"/>
  <c r="X1329" i="4"/>
  <c r="W1330" i="4"/>
  <c r="T1361" i="4"/>
  <c r="D1329" i="4" l="1"/>
  <c r="C1330" i="4"/>
  <c r="W1331" i="4"/>
  <c r="X1330" i="4"/>
  <c r="T1362" i="4"/>
  <c r="D1330" i="4" l="1"/>
  <c r="C1331" i="4"/>
  <c r="W1332" i="4"/>
  <c r="X1331" i="4"/>
  <c r="T1363" i="4"/>
  <c r="D1331" i="4" l="1"/>
  <c r="C1332" i="4"/>
  <c r="X1332" i="4"/>
  <c r="W1333" i="4"/>
  <c r="T1364" i="4"/>
  <c r="D1332" i="4" l="1"/>
  <c r="C1333" i="4"/>
  <c r="W1334" i="4"/>
  <c r="X1333" i="4"/>
  <c r="T1365" i="4"/>
  <c r="D1333" i="4" l="1"/>
  <c r="C1334" i="4"/>
  <c r="X1334" i="4"/>
  <c r="W1335" i="4"/>
  <c r="T1366" i="4"/>
  <c r="D1334" i="4" l="1"/>
  <c r="C1335" i="4"/>
  <c r="X1335" i="4"/>
  <c r="W1336" i="4"/>
  <c r="T1367" i="4"/>
  <c r="D1335" i="4" l="1"/>
  <c r="C1336" i="4"/>
  <c r="X1336" i="4"/>
  <c r="W1337" i="4"/>
  <c r="T1368" i="4"/>
  <c r="D1336" i="4" l="1"/>
  <c r="C1337" i="4"/>
  <c r="W1338" i="4"/>
  <c r="X1337" i="4"/>
  <c r="T1369" i="4"/>
  <c r="D1337" i="4" l="1"/>
  <c r="C1338" i="4"/>
  <c r="X1338" i="4"/>
  <c r="W1339" i="4"/>
  <c r="T1370" i="4"/>
  <c r="D1338" i="4" l="1"/>
  <c r="C1339" i="4"/>
  <c r="X1339" i="4"/>
  <c r="W1340" i="4"/>
  <c r="T1371" i="4"/>
  <c r="D1339" i="4" l="1"/>
  <c r="C1340" i="4"/>
  <c r="X1340" i="4"/>
  <c r="W1341" i="4"/>
  <c r="T1372" i="4"/>
  <c r="D1340" i="4" l="1"/>
  <c r="C1341" i="4"/>
  <c r="X1341" i="4"/>
  <c r="W1342" i="4"/>
  <c r="T1373" i="4"/>
  <c r="D1341" i="4" l="1"/>
  <c r="C1342" i="4"/>
  <c r="W1343" i="4"/>
  <c r="X1342" i="4"/>
  <c r="T1374" i="4"/>
  <c r="D1342" i="4" l="1"/>
  <c r="C1343" i="4"/>
  <c r="X1343" i="4"/>
  <c r="W1344" i="4"/>
  <c r="T1375" i="4"/>
  <c r="T1376" i="4" s="1"/>
  <c r="C1344" i="4" l="1"/>
  <c r="D1343" i="4"/>
  <c r="X1344" i="4"/>
  <c r="W1345" i="4"/>
  <c r="T1377" i="4"/>
  <c r="C1345" i="4" l="1"/>
  <c r="D1344" i="4"/>
  <c r="W1346" i="4"/>
  <c r="X1345" i="4"/>
  <c r="T1378" i="4"/>
  <c r="D1345" i="4" l="1"/>
  <c r="C1346" i="4"/>
  <c r="X1346" i="4"/>
  <c r="W1347" i="4"/>
  <c r="T1379" i="4"/>
  <c r="D1346" i="4" l="1"/>
  <c r="C1347" i="4"/>
  <c r="X1347" i="4"/>
  <c r="W1348" i="4"/>
  <c r="T1380" i="4"/>
  <c r="T1381" i="4" s="1"/>
  <c r="D1347" i="4" l="1"/>
  <c r="C1348" i="4"/>
  <c r="X1348" i="4"/>
  <c r="W1349" i="4"/>
  <c r="T1382" i="4"/>
  <c r="D1348" i="4" l="1"/>
  <c r="C1349" i="4"/>
  <c r="W1350" i="4"/>
  <c r="X1349" i="4"/>
  <c r="T1383" i="4"/>
  <c r="T1384" i="4" s="1"/>
  <c r="D1349" i="4" l="1"/>
  <c r="C1350" i="4"/>
  <c r="X1350" i="4"/>
  <c r="W1351" i="4"/>
  <c r="T1385" i="4"/>
  <c r="D1350" i="4" l="1"/>
  <c r="C1351" i="4"/>
  <c r="W1352" i="4"/>
  <c r="X1351" i="4"/>
  <c r="T1386" i="4"/>
  <c r="T1387" i="4" s="1"/>
  <c r="T1388" i="4" s="1"/>
  <c r="D1351" i="4" l="1"/>
  <c r="C1352" i="4"/>
  <c r="X1352" i="4"/>
  <c r="W1353" i="4"/>
  <c r="T1389" i="4"/>
  <c r="D1352" i="4" l="1"/>
  <c r="C1353" i="4"/>
  <c r="X1353" i="4"/>
  <c r="W1354" i="4"/>
  <c r="T1390" i="4"/>
  <c r="D1353" i="4" l="1"/>
  <c r="C1354" i="4"/>
  <c r="W1355" i="4"/>
  <c r="X1354" i="4"/>
  <c r="T1391" i="4"/>
  <c r="D1354" i="4" l="1"/>
  <c r="C1355" i="4"/>
  <c r="W1356" i="4"/>
  <c r="X1355" i="4"/>
  <c r="T1392" i="4"/>
  <c r="D1355" i="4" l="1"/>
  <c r="C1356" i="4"/>
  <c r="X1356" i="4"/>
  <c r="W1357" i="4"/>
  <c r="T1393" i="4"/>
  <c r="T1394" i="4" s="1"/>
  <c r="D1356" i="4" l="1"/>
  <c r="C1357" i="4"/>
  <c r="W1358" i="4"/>
  <c r="X1357" i="4"/>
  <c r="T1395" i="4"/>
  <c r="D1357" i="4" l="1"/>
  <c r="C1358" i="4"/>
  <c r="X1358" i="4"/>
  <c r="W1359" i="4"/>
  <c r="T1396" i="4"/>
  <c r="D1358" i="4" l="1"/>
  <c r="C1359" i="4"/>
  <c r="W1360" i="4"/>
  <c r="X1359" i="4"/>
  <c r="T1397" i="4"/>
  <c r="D1359" i="4" l="1"/>
  <c r="C1360" i="4"/>
  <c r="X1360" i="4"/>
  <c r="W1361" i="4"/>
  <c r="T1398" i="4"/>
  <c r="T1399" i="4" s="1"/>
  <c r="D1360" i="4" l="1"/>
  <c r="C1361" i="4"/>
  <c r="W1362" i="4"/>
  <c r="X1361" i="4"/>
  <c r="T1400" i="4"/>
  <c r="D1361" i="4" l="1"/>
  <c r="C1362" i="4"/>
  <c r="W1363" i="4"/>
  <c r="X1362" i="4"/>
  <c r="T1401" i="4"/>
  <c r="D1362" i="4" l="1"/>
  <c r="C1363" i="4"/>
  <c r="X1363" i="4"/>
  <c r="W1364" i="4"/>
  <c r="T1402" i="4"/>
  <c r="D1363" i="4" l="1"/>
  <c r="C1364" i="4"/>
  <c r="X1364" i="4"/>
  <c r="W1365" i="4"/>
  <c r="T1403" i="4"/>
  <c r="D1364" i="4" l="1"/>
  <c r="C1365" i="4"/>
  <c r="X1365" i="4"/>
  <c r="W1366" i="4"/>
  <c r="T1404" i="4"/>
  <c r="D1365" i="4" l="1"/>
  <c r="C1366" i="4"/>
  <c r="X1366" i="4"/>
  <c r="W1367" i="4"/>
  <c r="T1405" i="4"/>
  <c r="T1406" i="4" s="1"/>
  <c r="D1366" i="4" l="1"/>
  <c r="C1367" i="4"/>
  <c r="W1368" i="4"/>
  <c r="X1367" i="4"/>
  <c r="T1407" i="4"/>
  <c r="D1367" i="4" l="1"/>
  <c r="C1368" i="4"/>
  <c r="W1369" i="4"/>
  <c r="X1368" i="4"/>
  <c r="T1408" i="4"/>
  <c r="T1409" i="4" s="1"/>
  <c r="D1368" i="4" l="1"/>
  <c r="C1369" i="4"/>
  <c r="X1369" i="4"/>
  <c r="W1370" i="4"/>
  <c r="T1410" i="4"/>
  <c r="T1411" i="4" s="1"/>
  <c r="T1412" i="4" s="1"/>
  <c r="D1369" i="4" l="1"/>
  <c r="C1370" i="4"/>
  <c r="X1370" i="4"/>
  <c r="W1371" i="4"/>
  <c r="T1413" i="4"/>
  <c r="D1370" i="4" l="1"/>
  <c r="C1371" i="4"/>
  <c r="W1372" i="4"/>
  <c r="X1371" i="4"/>
  <c r="T1414" i="4"/>
  <c r="D1371" i="4" l="1"/>
  <c r="C1372" i="4"/>
  <c r="X1372" i="4"/>
  <c r="W1373" i="4"/>
  <c r="T1415" i="4"/>
  <c r="D1372" i="4" l="1"/>
  <c r="C1373" i="4"/>
  <c r="W1374" i="4"/>
  <c r="X1373" i="4"/>
  <c r="T1416" i="4"/>
  <c r="D1373" i="4" l="1"/>
  <c r="C1374" i="4"/>
  <c r="X1374" i="4"/>
  <c r="W1375" i="4"/>
  <c r="T1417" i="4"/>
  <c r="D1374" i="4" l="1"/>
  <c r="C1375" i="4"/>
  <c r="X1375" i="4"/>
  <c r="W1376" i="4"/>
  <c r="T1418" i="4"/>
  <c r="D1375" i="4" l="1"/>
  <c r="C1376" i="4"/>
  <c r="W1377" i="4"/>
  <c r="X1376" i="4"/>
  <c r="T1419" i="4"/>
  <c r="D1376" i="4" l="1"/>
  <c r="C1377" i="4"/>
  <c r="X1377" i="4"/>
  <c r="W1378" i="4"/>
  <c r="T1420" i="4"/>
  <c r="D1377" i="4" l="1"/>
  <c r="C1378" i="4"/>
  <c r="X1378" i="4"/>
  <c r="W1379" i="4"/>
  <c r="T1421" i="4"/>
  <c r="D1378" i="4" l="1"/>
  <c r="C1379" i="4"/>
  <c r="X1379" i="4"/>
  <c r="W1380" i="4"/>
  <c r="T1422" i="4"/>
  <c r="C1380" i="4" l="1"/>
  <c r="D1379" i="4"/>
  <c r="X1380" i="4"/>
  <c r="W1381" i="4"/>
  <c r="T1423" i="4"/>
  <c r="D1380" i="4" l="1"/>
  <c r="C1381" i="4"/>
  <c r="X1381" i="4"/>
  <c r="W1382" i="4"/>
  <c r="T1424" i="4"/>
  <c r="T1425" i="4" s="1"/>
  <c r="D1381" i="4" l="1"/>
  <c r="C1382" i="4"/>
  <c r="W1383" i="4"/>
  <c r="X1382" i="4"/>
  <c r="T1426" i="4"/>
  <c r="D1382" i="4" l="1"/>
  <c r="C1383" i="4"/>
  <c r="X1383" i="4"/>
  <c r="W1384" i="4"/>
  <c r="T1427" i="4"/>
  <c r="D1383" i="4" l="1"/>
  <c r="C1384" i="4"/>
  <c r="W1385" i="4"/>
  <c r="X1384" i="4"/>
  <c r="T1428" i="4"/>
  <c r="D1384" i="4" l="1"/>
  <c r="C1385" i="4"/>
  <c r="W1386" i="4"/>
  <c r="X1385" i="4"/>
  <c r="T1429" i="4"/>
  <c r="D1385" i="4" l="1"/>
  <c r="C1386" i="4"/>
  <c r="X1386" i="4"/>
  <c r="W1387" i="4"/>
  <c r="T1430" i="4"/>
  <c r="D1386" i="4" l="1"/>
  <c r="C1387" i="4"/>
  <c r="W1388" i="4"/>
  <c r="X1387" i="4"/>
  <c r="T1431" i="4"/>
  <c r="D1387" i="4" l="1"/>
  <c r="C1388" i="4"/>
  <c r="X1388" i="4"/>
  <c r="W1389" i="4"/>
  <c r="T1432" i="4"/>
  <c r="T1433" i="4" s="1"/>
  <c r="D1388" i="4" l="1"/>
  <c r="C1389" i="4"/>
  <c r="W1390" i="4"/>
  <c r="X1389" i="4"/>
  <c r="T1434" i="4"/>
  <c r="D1389" i="4" l="1"/>
  <c r="C1390" i="4"/>
  <c r="X1390" i="4"/>
  <c r="W1391" i="4"/>
  <c r="T1435" i="4"/>
  <c r="D1390" i="4" l="1"/>
  <c r="C1391" i="4"/>
  <c r="X1391" i="4"/>
  <c r="W1392" i="4"/>
  <c r="T1436" i="4"/>
  <c r="D1391" i="4" l="1"/>
  <c r="C1392" i="4"/>
  <c r="X1392" i="4"/>
  <c r="W1393" i="4"/>
  <c r="T1437" i="4"/>
  <c r="D1392" i="4" l="1"/>
  <c r="C1393" i="4"/>
  <c r="W1394" i="4"/>
  <c r="X1393" i="4"/>
  <c r="T1438" i="4"/>
  <c r="D1393" i="4" l="1"/>
  <c r="C1394" i="4"/>
  <c r="X1394" i="4"/>
  <c r="W1395" i="4"/>
  <c r="T1439" i="4"/>
  <c r="D1394" i="4" l="1"/>
  <c r="C1395" i="4"/>
  <c r="X1395" i="4"/>
  <c r="W1396" i="4"/>
  <c r="T1440" i="4"/>
  <c r="D1395" i="4" l="1"/>
  <c r="C1396" i="4"/>
  <c r="X1396" i="4"/>
  <c r="W1397" i="4"/>
  <c r="T1441" i="4"/>
  <c r="D1396" i="4" l="1"/>
  <c r="C1397" i="4"/>
  <c r="W1398" i="4"/>
  <c r="X1397" i="4"/>
  <c r="T1442" i="4"/>
  <c r="D1397" i="4" l="1"/>
  <c r="C1398" i="4"/>
  <c r="X1398" i="4"/>
  <c r="W1399" i="4"/>
  <c r="T1443" i="4"/>
  <c r="T1444" i="4" s="1"/>
  <c r="D1398" i="4" l="1"/>
  <c r="C1399" i="4"/>
  <c r="W1400" i="4"/>
  <c r="X1399" i="4"/>
  <c r="T1445" i="4"/>
  <c r="D1399" i="4" l="1"/>
  <c r="C1400" i="4"/>
  <c r="W1401" i="4"/>
  <c r="X1400" i="4"/>
  <c r="T1446" i="4"/>
  <c r="D1400" i="4" l="1"/>
  <c r="C1401" i="4"/>
  <c r="W1402" i="4"/>
  <c r="X1401" i="4"/>
  <c r="T1447" i="4"/>
  <c r="D1401" i="4" l="1"/>
  <c r="C1402" i="4"/>
  <c r="X1402" i="4"/>
  <c r="W1403" i="4"/>
  <c r="T1448" i="4"/>
  <c r="D1402" i="4" l="1"/>
  <c r="C1403" i="4"/>
  <c r="X1403" i="4"/>
  <c r="W1404" i="4"/>
  <c r="T1449" i="4"/>
  <c r="D1403" i="4" l="1"/>
  <c r="C1404" i="4"/>
  <c r="X1404" i="4"/>
  <c r="W1405" i="4"/>
  <c r="T1450" i="4"/>
  <c r="D1404" i="4" l="1"/>
  <c r="C1405" i="4"/>
  <c r="X1405" i="4"/>
  <c r="W1406" i="4"/>
  <c r="T1451" i="4"/>
  <c r="D1405" i="4" l="1"/>
  <c r="C1406" i="4"/>
  <c r="W1407" i="4"/>
  <c r="X1406" i="4"/>
  <c r="T1452" i="4"/>
  <c r="D1406" i="4" l="1"/>
  <c r="C1407" i="4"/>
  <c r="X1407" i="4"/>
  <c r="W1408" i="4"/>
  <c r="T1453" i="4"/>
  <c r="D1407" i="4" l="1"/>
  <c r="C1408" i="4"/>
  <c r="X1408" i="4"/>
  <c r="W1409" i="4"/>
  <c r="T1454" i="4"/>
  <c r="D1408" i="4" l="1"/>
  <c r="C1409" i="4"/>
  <c r="X1409" i="4"/>
  <c r="W1410" i="4"/>
  <c r="T1455" i="4"/>
  <c r="D1409" i="4" l="1"/>
  <c r="C1410" i="4"/>
  <c r="W1411" i="4"/>
  <c r="X1410" i="4"/>
  <c r="T1456" i="4"/>
  <c r="C1411" i="4" l="1"/>
  <c r="D1410" i="4"/>
  <c r="X1411" i="4"/>
  <c r="W1412" i="4"/>
  <c r="T1457" i="4"/>
  <c r="D1411" i="4" l="1"/>
  <c r="C1412" i="4"/>
  <c r="X1412" i="4"/>
  <c r="W1413" i="4"/>
  <c r="T1458" i="4"/>
  <c r="D1412" i="4" l="1"/>
  <c r="C1413" i="4"/>
  <c r="X1413" i="4"/>
  <c r="W1414" i="4"/>
  <c r="T1459" i="4"/>
  <c r="D1413" i="4" l="1"/>
  <c r="C1414" i="4"/>
  <c r="W1415" i="4"/>
  <c r="X1414" i="4"/>
  <c r="T1460" i="4"/>
  <c r="D1414" i="4" l="1"/>
  <c r="C1415" i="4"/>
  <c r="W1416" i="4"/>
  <c r="X1415" i="4"/>
  <c r="T1461" i="4"/>
  <c r="C1416" i="4" l="1"/>
  <c r="D1415" i="4"/>
  <c r="X1416" i="4"/>
  <c r="W1417" i="4"/>
  <c r="T1462" i="4"/>
  <c r="D1416" i="4" l="1"/>
  <c r="C1417" i="4"/>
  <c r="W1418" i="4"/>
  <c r="X1417" i="4"/>
  <c r="T1463" i="4"/>
  <c r="D1417" i="4" l="1"/>
  <c r="C1418" i="4"/>
  <c r="X1418" i="4"/>
  <c r="W1419" i="4"/>
  <c r="T1464" i="4"/>
  <c r="D1418" i="4" l="1"/>
  <c r="C1419" i="4"/>
  <c r="W1420" i="4"/>
  <c r="X1419" i="4"/>
  <c r="T1465" i="4"/>
  <c r="T1466" i="4" s="1"/>
  <c r="D1419" i="4" l="1"/>
  <c r="C1420" i="4"/>
  <c r="X1420" i="4"/>
  <c r="W1421" i="4"/>
  <c r="T1467" i="4"/>
  <c r="T1468" i="4" s="1"/>
  <c r="D1420" i="4" l="1"/>
  <c r="C1421" i="4"/>
  <c r="X1421" i="4"/>
  <c r="W1422" i="4"/>
  <c r="T1469" i="4"/>
  <c r="D1421" i="4" l="1"/>
  <c r="C1422" i="4"/>
  <c r="W1423" i="4"/>
  <c r="X1422" i="4"/>
  <c r="T1470" i="4"/>
  <c r="T1471" i="4" s="1"/>
  <c r="D1422" i="4" l="1"/>
  <c r="C1423" i="4"/>
  <c r="X1423" i="4"/>
  <c r="W1424" i="4"/>
  <c r="T1472" i="4"/>
  <c r="D1423" i="4" l="1"/>
  <c r="C1424" i="4"/>
  <c r="W1425" i="4"/>
  <c r="X1424" i="4"/>
  <c r="T1473" i="4"/>
  <c r="D1424" i="4" l="1"/>
  <c r="C1425" i="4"/>
  <c r="X1425" i="4"/>
  <c r="W1426" i="4"/>
  <c r="T1474" i="4"/>
  <c r="D1425" i="4" l="1"/>
  <c r="C1426" i="4"/>
  <c r="X1426" i="4"/>
  <c r="W1427" i="4"/>
  <c r="T1475" i="4"/>
  <c r="T1476" i="4" s="1"/>
  <c r="D1426" i="4" l="1"/>
  <c r="C1427" i="4"/>
  <c r="X1427" i="4"/>
  <c r="W1428" i="4"/>
  <c r="T1477" i="4"/>
  <c r="T1478" i="4" s="1"/>
  <c r="D1427" i="4" l="1"/>
  <c r="C1428" i="4"/>
  <c r="W1429" i="4"/>
  <c r="X1428" i="4"/>
  <c r="T1479" i="4"/>
  <c r="D1428" i="4" l="1"/>
  <c r="C1429" i="4"/>
  <c r="X1429" i="4"/>
  <c r="W1430" i="4"/>
  <c r="T1480" i="4"/>
  <c r="D1429" i="4" l="1"/>
  <c r="C1430" i="4"/>
  <c r="X1430" i="4"/>
  <c r="W1431" i="4"/>
  <c r="T1481" i="4"/>
  <c r="D1430" i="4" l="1"/>
  <c r="C1431" i="4"/>
  <c r="X1431" i="4"/>
  <c r="W1432" i="4"/>
  <c r="T1482" i="4"/>
  <c r="D1431" i="4" l="1"/>
  <c r="C1432" i="4"/>
  <c r="X1432" i="4"/>
  <c r="W1433" i="4"/>
  <c r="T1483" i="4"/>
  <c r="D1432" i="4" l="1"/>
  <c r="C1433" i="4"/>
  <c r="W1434" i="4"/>
  <c r="X1433" i="4"/>
  <c r="T1484" i="4"/>
  <c r="D1433" i="4" l="1"/>
  <c r="C1434" i="4"/>
  <c r="X1434" i="4"/>
  <c r="W1435" i="4"/>
  <c r="T1485" i="4"/>
  <c r="D1434" i="4" l="1"/>
  <c r="C1435" i="4"/>
  <c r="X1435" i="4"/>
  <c r="W1436" i="4"/>
  <c r="T1486" i="4"/>
  <c r="D1435" i="4" l="1"/>
  <c r="C1436" i="4"/>
  <c r="W1437" i="4"/>
  <c r="X1436" i="4"/>
  <c r="T1487" i="4"/>
  <c r="C1437" i="4" l="1"/>
  <c r="D1436" i="4"/>
  <c r="X1437" i="4"/>
  <c r="W1438" i="4"/>
  <c r="T1488" i="4"/>
  <c r="D1437" i="4" l="1"/>
  <c r="C1438" i="4"/>
  <c r="W1439" i="4"/>
  <c r="X1438" i="4"/>
  <c r="T1489" i="4"/>
  <c r="D1438" i="4" l="1"/>
  <c r="C1439" i="4"/>
  <c r="X1439" i="4"/>
  <c r="W1440" i="4"/>
  <c r="T1490" i="4"/>
  <c r="D1439" i="4" l="1"/>
  <c r="C1440" i="4"/>
  <c r="W1441" i="4"/>
  <c r="X1440" i="4"/>
  <c r="T1491" i="4"/>
  <c r="D1440" i="4" l="1"/>
  <c r="C1441" i="4"/>
  <c r="X1441" i="4"/>
  <c r="W1442" i="4"/>
  <c r="T1492" i="4"/>
  <c r="D1441" i="4" l="1"/>
  <c r="C1442" i="4"/>
  <c r="X1442" i="4"/>
  <c r="W1443" i="4"/>
  <c r="T1493" i="4"/>
  <c r="D1442" i="4" l="1"/>
  <c r="C1443" i="4"/>
  <c r="W1444" i="4"/>
  <c r="X1443" i="4"/>
  <c r="T1494" i="4"/>
  <c r="D1443" i="4" l="1"/>
  <c r="C1444" i="4"/>
  <c r="W1445" i="4"/>
  <c r="X1444" i="4"/>
  <c r="T1495" i="4"/>
  <c r="D1444" i="4" l="1"/>
  <c r="C1445" i="4"/>
  <c r="X1445" i="4"/>
  <c r="W1446" i="4"/>
  <c r="T1496" i="4"/>
  <c r="D1445" i="4" l="1"/>
  <c r="C1446" i="4"/>
  <c r="X1446" i="4"/>
  <c r="W1447" i="4"/>
  <c r="T1497" i="4"/>
  <c r="D1446" i="4" l="1"/>
  <c r="C1447" i="4"/>
  <c r="W1448" i="4"/>
  <c r="X1447" i="4"/>
  <c r="T1498" i="4"/>
  <c r="D1447" i="4" l="1"/>
  <c r="C1448" i="4"/>
  <c r="X1448" i="4"/>
  <c r="W1449" i="4"/>
  <c r="T1499" i="4"/>
  <c r="D1448" i="4" l="1"/>
  <c r="C1449" i="4"/>
  <c r="X1449" i="4"/>
  <c r="W1450" i="4"/>
  <c r="T1500" i="4"/>
  <c r="D1449" i="4" l="1"/>
  <c r="C1450" i="4"/>
  <c r="W1451" i="4"/>
  <c r="X1450" i="4"/>
  <c r="T1501" i="4"/>
  <c r="T1502" i="4" s="1"/>
  <c r="D1450" i="4" l="1"/>
  <c r="C1451" i="4"/>
  <c r="X1451" i="4"/>
  <c r="W1452" i="4"/>
  <c r="T1503" i="4"/>
  <c r="D1451" i="4" l="1"/>
  <c r="C1452" i="4"/>
  <c r="W1453" i="4"/>
  <c r="X1452" i="4"/>
  <c r="T1504" i="4"/>
  <c r="D1452" i="4" l="1"/>
  <c r="C1453" i="4"/>
  <c r="X1453" i="4"/>
  <c r="W1454" i="4"/>
  <c r="T1505" i="4"/>
  <c r="D1453" i="4" l="1"/>
  <c r="C1454" i="4"/>
  <c r="X1454" i="4"/>
  <c r="W1455" i="4"/>
  <c r="T1506" i="4"/>
  <c r="D1454" i="4" l="1"/>
  <c r="C1455" i="4"/>
  <c r="W1456" i="4"/>
  <c r="X1455" i="4"/>
  <c r="T1507" i="4"/>
  <c r="D1455" i="4" l="1"/>
  <c r="C1456" i="4"/>
  <c r="X1456" i="4"/>
  <c r="W1457" i="4"/>
  <c r="T1508" i="4"/>
  <c r="D1456" i="4" l="1"/>
  <c r="C1457" i="4"/>
  <c r="W1458" i="4"/>
  <c r="X1457" i="4"/>
  <c r="T1509" i="4"/>
  <c r="C1458" i="4" l="1"/>
  <c r="D1457" i="4"/>
  <c r="X1458" i="4"/>
  <c r="W1459" i="4"/>
  <c r="T1510" i="4"/>
  <c r="D1458" i="4" l="1"/>
  <c r="C1459" i="4"/>
  <c r="W1460" i="4"/>
  <c r="X1459" i="4"/>
  <c r="T1511" i="4"/>
  <c r="D1459" i="4" l="1"/>
  <c r="C1460" i="4"/>
  <c r="X1460" i="4"/>
  <c r="W1461" i="4"/>
  <c r="T1512" i="4"/>
  <c r="D1460" i="4" l="1"/>
  <c r="C1461" i="4"/>
  <c r="X1461" i="4"/>
  <c r="W1462" i="4"/>
  <c r="T1513" i="4"/>
  <c r="D1461" i="4" l="1"/>
  <c r="C1462" i="4"/>
  <c r="X1462" i="4"/>
  <c r="W1463" i="4"/>
  <c r="T1514" i="4"/>
  <c r="C1463" i="4" l="1"/>
  <c r="D1462" i="4"/>
  <c r="X1463" i="4"/>
  <c r="W1464" i="4"/>
  <c r="T1515" i="4"/>
  <c r="D1463" i="4" l="1"/>
  <c r="C1464" i="4"/>
  <c r="X1464" i="4"/>
  <c r="W1465" i="4"/>
  <c r="T1516" i="4"/>
  <c r="D1464" i="4" l="1"/>
  <c r="C1465" i="4"/>
  <c r="W1466" i="4"/>
  <c r="X1465" i="4"/>
  <c r="T1517" i="4"/>
  <c r="D1465" i="4" l="1"/>
  <c r="C1466" i="4"/>
  <c r="X1466" i="4"/>
  <c r="W1467" i="4"/>
  <c r="T1518" i="4"/>
  <c r="D1466" i="4" l="1"/>
  <c r="C1467" i="4"/>
  <c r="W1468" i="4"/>
  <c r="X1467" i="4"/>
  <c r="T1519" i="4"/>
  <c r="D1467" i="4" l="1"/>
  <c r="C1468" i="4"/>
  <c r="X1468" i="4"/>
  <c r="W1469" i="4"/>
  <c r="T1520" i="4"/>
  <c r="D1468" i="4" l="1"/>
  <c r="C1469" i="4"/>
  <c r="W1470" i="4"/>
  <c r="X1469" i="4"/>
  <c r="T1521" i="4"/>
  <c r="D1469" i="4" l="1"/>
  <c r="C1470" i="4"/>
  <c r="X1470" i="4"/>
  <c r="W1471" i="4"/>
  <c r="T1522" i="4"/>
  <c r="D1470" i="4" l="1"/>
  <c r="C1471" i="4"/>
  <c r="W1472" i="4"/>
  <c r="X1471" i="4"/>
  <c r="T1523" i="4"/>
  <c r="D1471" i="4" l="1"/>
  <c r="C1472" i="4"/>
  <c r="X1472" i="4"/>
  <c r="W1473" i="4"/>
  <c r="T1524" i="4"/>
  <c r="D1472" i="4" l="1"/>
  <c r="C1473" i="4"/>
  <c r="W1474" i="4"/>
  <c r="X1473" i="4"/>
  <c r="T1525" i="4"/>
  <c r="T1526" i="4" s="1"/>
  <c r="D1473" i="4" l="1"/>
  <c r="C1474" i="4"/>
  <c r="X1474" i="4"/>
  <c r="W1475" i="4"/>
  <c r="T1527" i="4"/>
  <c r="C1475" i="4" l="1"/>
  <c r="D1474" i="4"/>
  <c r="X1475" i="4"/>
  <c r="W1476" i="4"/>
  <c r="T1528" i="4"/>
  <c r="D1475" i="4" l="1"/>
  <c r="C1476" i="4"/>
  <c r="X1476" i="4"/>
  <c r="W1477" i="4"/>
  <c r="T1529" i="4"/>
  <c r="D1476" i="4" l="1"/>
  <c r="C1477" i="4"/>
  <c r="X1477" i="4"/>
  <c r="W1478" i="4"/>
  <c r="T1530" i="4"/>
  <c r="D1477" i="4" l="1"/>
  <c r="C1478" i="4"/>
  <c r="W1479" i="4"/>
  <c r="X1478" i="4"/>
  <c r="T1531" i="4"/>
  <c r="D1478" i="4" l="1"/>
  <c r="C1479" i="4"/>
  <c r="X1479" i="4"/>
  <c r="W1480" i="4"/>
  <c r="T1532" i="4"/>
  <c r="D1479" i="4" l="1"/>
  <c r="C1480" i="4"/>
  <c r="X1480" i="4"/>
  <c r="W1481" i="4"/>
  <c r="T1533" i="4"/>
  <c r="D1480" i="4" l="1"/>
  <c r="C1481" i="4"/>
  <c r="W1482" i="4"/>
  <c r="X1481" i="4"/>
  <c r="T1534" i="4"/>
  <c r="D1481" i="4" l="1"/>
  <c r="C1482" i="4"/>
  <c r="X1482" i="4"/>
  <c r="W1483" i="4"/>
  <c r="T1535" i="4"/>
  <c r="D1482" i="4" l="1"/>
  <c r="C1483" i="4"/>
  <c r="X1483" i="4"/>
  <c r="W1484" i="4"/>
  <c r="T1536" i="4"/>
  <c r="D1483" i="4" l="1"/>
  <c r="C1484" i="4"/>
  <c r="X1484" i="4"/>
  <c r="W1485" i="4"/>
  <c r="T1537" i="4"/>
  <c r="D1484" i="4" l="1"/>
  <c r="C1485" i="4"/>
  <c r="X1485" i="4"/>
  <c r="W1486" i="4"/>
  <c r="T1538" i="4"/>
  <c r="D1485" i="4" l="1"/>
  <c r="C1486" i="4"/>
  <c r="X1486" i="4"/>
  <c r="W1487" i="4"/>
  <c r="T1539" i="4"/>
  <c r="D1486" i="4" l="1"/>
  <c r="C1487" i="4"/>
  <c r="X1487" i="4"/>
  <c r="W1488" i="4"/>
  <c r="T1540" i="4"/>
  <c r="D1487" i="4" l="1"/>
  <c r="C1488" i="4"/>
  <c r="X1488" i="4"/>
  <c r="W1489" i="4"/>
  <c r="T1541" i="4"/>
  <c r="D1488" i="4" l="1"/>
  <c r="C1489" i="4"/>
  <c r="X1489" i="4"/>
  <c r="W1490" i="4"/>
  <c r="T1542" i="4"/>
  <c r="D1489" i="4" l="1"/>
  <c r="C1490" i="4"/>
  <c r="X1490" i="4"/>
  <c r="W1491" i="4"/>
  <c r="T1543" i="4"/>
  <c r="D1490" i="4" l="1"/>
  <c r="C1491" i="4"/>
  <c r="X1491" i="4"/>
  <c r="W1492" i="4"/>
  <c r="T1544" i="4"/>
  <c r="D1491" i="4" l="1"/>
  <c r="C1492" i="4"/>
  <c r="X1492" i="4"/>
  <c r="W1493" i="4"/>
  <c r="T1545" i="4"/>
  <c r="T1546" i="4" s="1"/>
  <c r="D1492" i="4" l="1"/>
  <c r="C1493" i="4"/>
  <c r="X1493" i="4"/>
  <c r="W1494" i="4"/>
  <c r="T1547" i="4"/>
  <c r="D1493" i="4" l="1"/>
  <c r="C1494" i="4"/>
  <c r="X1494" i="4"/>
  <c r="W1495" i="4"/>
  <c r="T1548" i="4"/>
  <c r="D1494" i="4" l="1"/>
  <c r="C1495" i="4"/>
  <c r="W1496" i="4"/>
  <c r="X1495" i="4"/>
  <c r="T1549" i="4"/>
  <c r="T1550" i="4" s="1"/>
  <c r="D1495" i="4" l="1"/>
  <c r="C1496" i="4"/>
  <c r="W1497" i="4"/>
  <c r="X1496" i="4"/>
  <c r="T1551" i="4"/>
  <c r="T1552" i="4" s="1"/>
  <c r="D1496" i="4" l="1"/>
  <c r="C1497" i="4"/>
  <c r="X1497" i="4"/>
  <c r="W1498" i="4"/>
  <c r="T1553" i="4"/>
  <c r="D1497" i="4" l="1"/>
  <c r="C1498" i="4"/>
  <c r="W1499" i="4"/>
  <c r="X1498" i="4"/>
  <c r="T1554" i="4"/>
  <c r="D1498" i="4" l="1"/>
  <c r="C1499" i="4"/>
  <c r="X1499" i="4"/>
  <c r="W1500" i="4"/>
  <c r="T1555" i="4"/>
  <c r="D1499" i="4" l="1"/>
  <c r="C1500" i="4"/>
  <c r="W1501" i="4"/>
  <c r="X1500" i="4"/>
  <c r="T1556" i="4"/>
  <c r="D1500" i="4" l="1"/>
  <c r="C1501" i="4"/>
  <c r="W1502" i="4"/>
  <c r="X1501" i="4"/>
  <c r="T1557" i="4"/>
  <c r="D1501" i="4" l="1"/>
  <c r="C1502" i="4"/>
  <c r="X1502" i="4"/>
  <c r="W1503" i="4"/>
  <c r="T1558" i="4"/>
  <c r="D1502" i="4" l="1"/>
  <c r="C1503" i="4"/>
  <c r="W1504" i="4"/>
  <c r="X1503" i="4"/>
  <c r="T1559" i="4"/>
  <c r="D1503" i="4" l="1"/>
  <c r="C1504" i="4"/>
  <c r="X1504" i="4"/>
  <c r="W1505" i="4"/>
  <c r="T1560" i="4"/>
  <c r="D1504" i="4" l="1"/>
  <c r="C1505" i="4"/>
  <c r="W1506" i="4"/>
  <c r="X1505" i="4"/>
  <c r="T1561" i="4"/>
  <c r="D1505" i="4" l="1"/>
  <c r="C1506" i="4"/>
  <c r="X1506" i="4"/>
  <c r="W1507" i="4"/>
  <c r="T1562" i="4"/>
  <c r="D1506" i="4" l="1"/>
  <c r="C1507" i="4"/>
  <c r="X1507" i="4"/>
  <c r="W1508" i="4"/>
  <c r="T1563" i="4"/>
  <c r="D1507" i="4" l="1"/>
  <c r="C1508" i="4"/>
  <c r="W1509" i="4"/>
  <c r="X1508" i="4"/>
  <c r="T1564" i="4"/>
  <c r="D1508" i="4" l="1"/>
  <c r="C1509" i="4"/>
  <c r="X1509" i="4"/>
  <c r="W1510" i="4"/>
  <c r="T1565" i="4"/>
  <c r="D1509" i="4" l="1"/>
  <c r="C1510" i="4"/>
  <c r="W1511" i="4"/>
  <c r="X1510" i="4"/>
  <c r="T1566" i="4"/>
  <c r="D1510" i="4" l="1"/>
  <c r="C1511" i="4"/>
  <c r="X1511" i="4"/>
  <c r="W1512" i="4"/>
  <c r="T1567" i="4"/>
  <c r="D1511" i="4" l="1"/>
  <c r="C1512" i="4"/>
  <c r="W1513" i="4"/>
  <c r="X1512" i="4"/>
  <c r="T1568" i="4"/>
  <c r="D1512" i="4" l="1"/>
  <c r="C1513" i="4"/>
  <c r="X1513" i="4"/>
  <c r="W1514" i="4"/>
  <c r="T1569" i="4"/>
  <c r="D1513" i="4" l="1"/>
  <c r="C1514" i="4"/>
  <c r="W1515" i="4"/>
  <c r="X1514" i="4"/>
  <c r="T1570" i="4"/>
  <c r="D1514" i="4" l="1"/>
  <c r="C1515" i="4"/>
  <c r="X1515" i="4"/>
  <c r="W1516" i="4"/>
  <c r="T1571" i="4"/>
  <c r="D1515" i="4" l="1"/>
  <c r="C1516" i="4"/>
  <c r="X1516" i="4"/>
  <c r="W1517" i="4"/>
  <c r="T1572" i="4"/>
  <c r="T1573" i="4" s="1"/>
  <c r="D1516" i="4" l="1"/>
  <c r="C1517" i="4"/>
  <c r="W1518" i="4"/>
  <c r="X1517" i="4"/>
  <c r="T1574" i="4"/>
  <c r="D1517" i="4" l="1"/>
  <c r="C1518" i="4"/>
  <c r="W1519" i="4"/>
  <c r="X1518" i="4"/>
  <c r="T1575" i="4"/>
  <c r="D1518" i="4" l="1"/>
  <c r="C1519" i="4"/>
  <c r="W1520" i="4"/>
  <c r="X1519" i="4"/>
  <c r="T1576" i="4"/>
  <c r="D1519" i="4" l="1"/>
  <c r="C1520" i="4"/>
  <c r="W1521" i="4"/>
  <c r="X1520" i="4"/>
  <c r="T1577" i="4"/>
  <c r="D1520" i="4" l="1"/>
  <c r="C1521" i="4"/>
  <c r="X1521" i="4"/>
  <c r="W1522" i="4"/>
  <c r="T1578" i="4"/>
  <c r="D1521" i="4" l="1"/>
  <c r="C1522" i="4"/>
  <c r="X1522" i="4"/>
  <c r="W1523" i="4"/>
  <c r="T1579" i="4"/>
  <c r="D1522" i="4" l="1"/>
  <c r="C1523" i="4"/>
  <c r="X1523" i="4"/>
  <c r="W1524" i="4"/>
  <c r="T1580" i="4"/>
  <c r="D1523" i="4" l="1"/>
  <c r="C1524" i="4"/>
  <c r="W1525" i="4"/>
  <c r="X1524" i="4"/>
  <c r="T1581" i="4"/>
  <c r="D1524" i="4" l="1"/>
  <c r="C1525" i="4"/>
  <c r="X1525" i="4"/>
  <c r="W1526" i="4"/>
  <c r="T1582" i="4"/>
  <c r="D1525" i="4" l="1"/>
  <c r="C1526" i="4"/>
  <c r="X1526" i="4"/>
  <c r="W1527" i="4"/>
  <c r="T1583" i="4"/>
  <c r="D1526" i="4" l="1"/>
  <c r="C1527" i="4"/>
  <c r="X1527" i="4"/>
  <c r="W1528" i="4"/>
  <c r="T1584" i="4"/>
  <c r="D1527" i="4" l="1"/>
  <c r="C1528" i="4"/>
  <c r="X1528" i="4"/>
  <c r="W1529" i="4"/>
  <c r="T1585" i="4"/>
  <c r="D1528" i="4" l="1"/>
  <c r="C1529" i="4"/>
  <c r="W1530" i="4"/>
  <c r="X1529" i="4"/>
  <c r="T1586" i="4"/>
  <c r="D1529" i="4" l="1"/>
  <c r="C1530" i="4"/>
  <c r="X1530" i="4"/>
  <c r="W1531" i="4"/>
  <c r="T1587" i="4"/>
  <c r="T1588" i="4" s="1"/>
  <c r="D1530" i="4" l="1"/>
  <c r="C1531" i="4"/>
  <c r="X1531" i="4"/>
  <c r="W1532" i="4"/>
  <c r="T1589" i="4"/>
  <c r="D1531" i="4" l="1"/>
  <c r="C1532" i="4"/>
  <c r="W1533" i="4"/>
  <c r="X1532" i="4"/>
  <c r="T1590" i="4"/>
  <c r="D1532" i="4" l="1"/>
  <c r="C1533" i="4"/>
  <c r="X1533" i="4"/>
  <c r="W1534" i="4"/>
  <c r="T1591" i="4"/>
  <c r="D1533" i="4" l="1"/>
  <c r="C1534" i="4"/>
  <c r="X1534" i="4"/>
  <c r="W1535" i="4"/>
  <c r="T1592" i="4"/>
  <c r="D1534" i="4" l="1"/>
  <c r="C1535" i="4"/>
  <c r="X1535" i="4"/>
  <c r="W1536" i="4"/>
  <c r="T1593" i="4"/>
  <c r="T1594" i="4" s="1"/>
  <c r="D1535" i="4" l="1"/>
  <c r="C1536" i="4"/>
  <c r="X1536" i="4"/>
  <c r="W1537" i="4"/>
  <c r="T1595" i="4"/>
  <c r="D1536" i="4" l="1"/>
  <c r="C1537" i="4"/>
  <c r="W1538" i="4"/>
  <c r="X1537" i="4"/>
  <c r="T1596" i="4"/>
  <c r="D1537" i="4" l="1"/>
  <c r="C1538" i="4"/>
  <c r="W1539" i="4"/>
  <c r="X1538" i="4"/>
  <c r="T1597" i="4"/>
  <c r="D1538" i="4" l="1"/>
  <c r="C1539" i="4"/>
  <c r="X1539" i="4"/>
  <c r="W1540" i="4"/>
  <c r="T1598" i="4"/>
  <c r="D1539" i="4" l="1"/>
  <c r="C1540" i="4"/>
  <c r="W1541" i="4"/>
  <c r="X1540" i="4"/>
  <c r="T1599" i="4"/>
  <c r="D1540" i="4" l="1"/>
  <c r="C1541" i="4"/>
  <c r="X1541" i="4"/>
  <c r="W1542" i="4"/>
  <c r="T1600" i="4"/>
  <c r="D1541" i="4" l="1"/>
  <c r="C1542" i="4"/>
  <c r="W1543" i="4"/>
  <c r="X1542" i="4"/>
  <c r="T1601" i="4"/>
  <c r="D1542" i="4" l="1"/>
  <c r="C1543" i="4"/>
  <c r="X1543" i="4"/>
  <c r="W1544" i="4"/>
  <c r="T1602" i="4"/>
  <c r="D1543" i="4" l="1"/>
  <c r="C1544" i="4"/>
  <c r="X1544" i="4"/>
  <c r="W1545" i="4"/>
  <c r="T1603" i="4"/>
  <c r="D1544" i="4" l="1"/>
  <c r="C1545" i="4"/>
  <c r="X1545" i="4"/>
  <c r="W1546" i="4"/>
  <c r="T1604" i="4"/>
  <c r="D1545" i="4" l="1"/>
  <c r="C1546" i="4"/>
  <c r="W1547" i="4"/>
  <c r="X1546" i="4"/>
  <c r="T1605" i="4"/>
  <c r="D1546" i="4" l="1"/>
  <c r="C1547" i="4"/>
  <c r="X1547" i="4"/>
  <c r="W1548" i="4"/>
  <c r="T1606" i="4"/>
  <c r="D1547" i="4" l="1"/>
  <c r="C1548" i="4"/>
  <c r="W1549" i="4"/>
  <c r="X1548" i="4"/>
  <c r="T1607" i="4"/>
  <c r="D1548" i="4" l="1"/>
  <c r="C1549" i="4"/>
  <c r="X1549" i="4"/>
  <c r="W1550" i="4"/>
  <c r="T1608" i="4"/>
  <c r="D1549" i="4" l="1"/>
  <c r="C1550" i="4"/>
  <c r="W1551" i="4"/>
  <c r="X1550" i="4"/>
  <c r="T1609" i="4"/>
  <c r="D1550" i="4" l="1"/>
  <c r="C1551" i="4"/>
  <c r="X1551" i="4"/>
  <c r="W1552" i="4"/>
  <c r="T1610" i="4"/>
  <c r="D1551" i="4" l="1"/>
  <c r="C1552" i="4"/>
  <c r="W1553" i="4"/>
  <c r="X1552" i="4"/>
  <c r="T1611" i="4"/>
  <c r="D1552" i="4" l="1"/>
  <c r="C1553" i="4"/>
  <c r="X1553" i="4"/>
  <c r="W1554" i="4"/>
  <c r="T1612" i="4"/>
  <c r="D1553" i="4" l="1"/>
  <c r="C1554" i="4"/>
  <c r="W1555" i="4"/>
  <c r="X1554" i="4"/>
  <c r="T1613" i="4"/>
  <c r="D1554" i="4" l="1"/>
  <c r="C1555" i="4"/>
  <c r="X1555" i="4"/>
  <c r="W1556" i="4"/>
  <c r="T1614" i="4"/>
  <c r="D1555" i="4" l="1"/>
  <c r="C1556" i="4"/>
  <c r="W1557" i="4"/>
  <c r="X1556" i="4"/>
  <c r="T1615" i="4"/>
  <c r="D1556" i="4" l="1"/>
  <c r="C1557" i="4"/>
  <c r="W1558" i="4"/>
  <c r="X1557" i="4"/>
  <c r="T1616" i="4"/>
  <c r="D1557" i="4" l="1"/>
  <c r="C1558" i="4"/>
  <c r="W1559" i="4"/>
  <c r="X1558" i="4"/>
  <c r="T1617" i="4"/>
  <c r="D1558" i="4" l="1"/>
  <c r="C1559" i="4"/>
  <c r="X1559" i="4"/>
  <c r="W1560" i="4"/>
  <c r="T1618" i="4"/>
  <c r="D1559" i="4" l="1"/>
  <c r="C1560" i="4"/>
  <c r="X1560" i="4"/>
  <c r="W1561" i="4"/>
  <c r="T1619" i="4"/>
  <c r="C1561" i="4" l="1"/>
  <c r="D1560" i="4"/>
  <c r="W1562" i="4"/>
  <c r="X1561" i="4"/>
  <c r="T1620" i="4"/>
  <c r="D1561" i="4" l="1"/>
  <c r="C1562" i="4"/>
  <c r="X1562" i="4"/>
  <c r="W1563" i="4"/>
  <c r="T1621" i="4"/>
  <c r="D1562" i="4" l="1"/>
  <c r="C1563" i="4"/>
  <c r="X1563" i="4"/>
  <c r="W1564" i="4"/>
  <c r="T1622" i="4"/>
  <c r="D1563" i="4" l="1"/>
  <c r="C1564" i="4"/>
  <c r="X1564" i="4"/>
  <c r="W1565" i="4"/>
  <c r="T1623" i="4"/>
  <c r="D1564" i="4" l="1"/>
  <c r="C1565" i="4"/>
  <c r="X1565" i="4"/>
  <c r="W1566" i="4"/>
  <c r="T1624" i="4"/>
  <c r="D1565" i="4" l="1"/>
  <c r="C1566" i="4"/>
  <c r="X1566" i="4"/>
  <c r="W1567" i="4"/>
  <c r="T1625" i="4"/>
  <c r="D1566" i="4" l="1"/>
  <c r="C1567" i="4"/>
  <c r="W1568" i="4"/>
  <c r="X1567" i="4"/>
  <c r="T1626" i="4"/>
  <c r="D1567" i="4" l="1"/>
  <c r="C1568" i="4"/>
  <c r="X1568" i="4"/>
  <c r="W1569" i="4"/>
  <c r="T1627" i="4"/>
  <c r="D1568" i="4" l="1"/>
  <c r="C1569" i="4"/>
  <c r="W1570" i="4"/>
  <c r="X1569" i="4"/>
  <c r="T1628" i="4"/>
  <c r="D1569" i="4" l="1"/>
  <c r="C1570" i="4"/>
  <c r="X1570" i="4"/>
  <c r="W1571" i="4"/>
  <c r="T1629" i="4"/>
  <c r="D1570" i="4" l="1"/>
  <c r="C1571" i="4"/>
  <c r="W1572" i="4"/>
  <c r="X1571" i="4"/>
  <c r="T1630" i="4"/>
  <c r="D1571" i="4" l="1"/>
  <c r="C1572" i="4"/>
  <c r="X1572" i="4"/>
  <c r="W1573" i="4"/>
  <c r="T1631" i="4"/>
  <c r="D1572" i="4" l="1"/>
  <c r="C1573" i="4"/>
  <c r="W1574" i="4"/>
  <c r="X1573" i="4"/>
  <c r="T1632" i="4"/>
  <c r="D1573" i="4" l="1"/>
  <c r="C1574" i="4"/>
  <c r="X1574" i="4"/>
  <c r="W1575" i="4"/>
  <c r="T1633" i="4"/>
  <c r="D1574" i="4" l="1"/>
  <c r="C1575" i="4"/>
  <c r="X1575" i="4"/>
  <c r="W1576" i="4"/>
  <c r="T1634" i="4"/>
  <c r="D1575" i="4" l="1"/>
  <c r="C1576" i="4"/>
  <c r="X1576" i="4"/>
  <c r="W1577" i="4"/>
  <c r="T1635" i="4"/>
  <c r="C1577" i="4" l="1"/>
  <c r="D1576" i="4"/>
  <c r="X1577" i="4"/>
  <c r="W1578" i="4"/>
  <c r="T1636" i="4"/>
  <c r="D1577" i="4" l="1"/>
  <c r="C1578" i="4"/>
  <c r="X1578" i="4"/>
  <c r="W1579" i="4"/>
  <c r="T1637" i="4"/>
  <c r="D1578" i="4" l="1"/>
  <c r="C1579" i="4"/>
  <c r="X1579" i="4"/>
  <c r="W1580" i="4"/>
  <c r="T1638" i="4"/>
  <c r="D1579" i="4" l="1"/>
  <c r="C1580" i="4"/>
  <c r="W1581" i="4"/>
  <c r="X1580" i="4"/>
  <c r="T1639" i="4"/>
  <c r="D1580" i="4" l="1"/>
  <c r="C1581" i="4"/>
  <c r="W1582" i="4"/>
  <c r="X1581" i="4"/>
  <c r="T1640" i="4"/>
  <c r="D1581" i="4" l="1"/>
  <c r="C1582" i="4"/>
  <c r="X1582" i="4"/>
  <c r="W1583" i="4"/>
  <c r="T1641" i="4"/>
  <c r="D1582" i="4" l="1"/>
  <c r="C1583" i="4"/>
  <c r="W1584" i="4"/>
  <c r="X1583" i="4"/>
  <c r="T1642" i="4"/>
  <c r="D1583" i="4" l="1"/>
  <c r="C1584" i="4"/>
  <c r="X1584" i="4"/>
  <c r="W1585" i="4"/>
  <c r="T1643" i="4"/>
  <c r="T1644" i="4" s="1"/>
  <c r="D1584" i="4" l="1"/>
  <c r="C1585" i="4"/>
  <c r="X1585" i="4"/>
  <c r="W1586" i="4"/>
  <c r="T1645" i="4"/>
  <c r="T1646" i="4" s="1"/>
  <c r="D1585" i="4" l="1"/>
  <c r="C1586" i="4"/>
  <c r="W1587" i="4"/>
  <c r="X1586" i="4"/>
  <c r="T1647" i="4"/>
  <c r="T1648" i="4" s="1"/>
  <c r="D1586" i="4" l="1"/>
  <c r="C1587" i="4"/>
  <c r="X1587" i="4"/>
  <c r="W1588" i="4"/>
  <c r="T1649" i="4"/>
  <c r="D1587" i="4" l="1"/>
  <c r="C1588" i="4"/>
  <c r="X1588" i="4"/>
  <c r="W1589" i="4"/>
  <c r="T1650" i="4"/>
  <c r="D1588" i="4" l="1"/>
  <c r="C1589" i="4"/>
  <c r="W1590" i="4"/>
  <c r="X1589" i="4"/>
  <c r="T1651" i="4"/>
  <c r="T1652" i="4" s="1"/>
  <c r="T1653" i="4" s="1"/>
  <c r="D1589" i="4" l="1"/>
  <c r="C1590" i="4"/>
  <c r="X1590" i="4"/>
  <c r="W1591" i="4"/>
  <c r="T1654" i="4"/>
  <c r="D1590" i="4" l="1"/>
  <c r="C1591" i="4"/>
  <c r="X1591" i="4"/>
  <c r="W1592" i="4"/>
  <c r="T1655" i="4"/>
  <c r="T1656" i="4" s="1"/>
  <c r="D1591" i="4" l="1"/>
  <c r="C1592" i="4"/>
  <c r="W1593" i="4"/>
  <c r="X1592" i="4"/>
  <c r="T1657" i="4"/>
  <c r="T1658" i="4" s="1"/>
  <c r="T1659" i="4" s="1"/>
  <c r="D1592" i="4" l="1"/>
  <c r="C1593" i="4"/>
  <c r="W1594" i="4"/>
  <c r="X1593" i="4"/>
  <c r="T1660" i="4"/>
  <c r="D1593" i="4" l="1"/>
  <c r="C1594" i="4"/>
  <c r="X1594" i="4"/>
  <c r="W1595" i="4"/>
  <c r="T1661" i="4"/>
  <c r="D1594" i="4" l="1"/>
  <c r="C1595" i="4"/>
  <c r="W1596" i="4"/>
  <c r="X1595" i="4"/>
  <c r="T1662" i="4"/>
  <c r="D1595" i="4" l="1"/>
  <c r="C1596" i="4"/>
  <c r="X1596" i="4"/>
  <c r="W1597" i="4"/>
  <c r="T1663" i="4"/>
  <c r="D1596" i="4" l="1"/>
  <c r="C1597" i="4"/>
  <c r="W1598" i="4"/>
  <c r="X1597" i="4"/>
  <c r="T1664" i="4"/>
  <c r="D1597" i="4" l="1"/>
  <c r="C1598" i="4"/>
  <c r="W1599" i="4"/>
  <c r="X1598" i="4"/>
  <c r="T1665" i="4"/>
  <c r="D1598" i="4" l="1"/>
  <c r="C1599" i="4"/>
  <c r="W1600" i="4"/>
  <c r="X1599" i="4"/>
  <c r="T1666" i="4"/>
  <c r="D1599" i="4" l="1"/>
  <c r="C1600" i="4"/>
  <c r="X1600" i="4"/>
  <c r="W1601" i="4"/>
  <c r="T1667" i="4"/>
  <c r="D1600" i="4" l="1"/>
  <c r="C1601" i="4"/>
  <c r="X1601" i="4"/>
  <c r="W1602" i="4"/>
  <c r="T1668" i="4"/>
  <c r="D1601" i="4" l="1"/>
  <c r="C1602" i="4"/>
  <c r="X1602" i="4"/>
  <c r="W1603" i="4"/>
  <c r="T1669" i="4"/>
  <c r="D1602" i="4" l="1"/>
  <c r="C1603" i="4"/>
  <c r="X1603" i="4"/>
  <c r="W1604" i="4"/>
  <c r="T1670" i="4"/>
  <c r="D1603" i="4" l="1"/>
  <c r="C1604" i="4"/>
  <c r="W1605" i="4"/>
  <c r="X1604" i="4"/>
  <c r="T1671" i="4"/>
  <c r="D1604" i="4" l="1"/>
  <c r="C1605" i="4"/>
  <c r="W1606" i="4"/>
  <c r="X1605" i="4"/>
  <c r="T1672" i="4"/>
  <c r="D1605" i="4" l="1"/>
  <c r="C1606" i="4"/>
  <c r="X1606" i="4"/>
  <c r="W1607" i="4"/>
  <c r="T1673" i="4"/>
  <c r="D1606" i="4" l="1"/>
  <c r="C1607" i="4"/>
  <c r="X1607" i="4"/>
  <c r="W1608" i="4"/>
  <c r="T1674" i="4"/>
  <c r="D1607" i="4" l="1"/>
  <c r="C1608" i="4"/>
  <c r="W1609" i="4"/>
  <c r="X1608" i="4"/>
  <c r="T1675" i="4"/>
  <c r="D1608" i="4" l="1"/>
  <c r="C1609" i="4"/>
  <c r="X1609" i="4"/>
  <c r="W1610" i="4"/>
  <c r="T1676" i="4"/>
  <c r="D1609" i="4" l="1"/>
  <c r="C1610" i="4"/>
  <c r="W1611" i="4"/>
  <c r="X1610" i="4"/>
  <c r="T1677" i="4"/>
  <c r="D1610" i="4" l="1"/>
  <c r="C1611" i="4"/>
  <c r="X1611" i="4"/>
  <c r="W1612" i="4"/>
  <c r="T1678" i="4"/>
  <c r="D1611" i="4" l="1"/>
  <c r="C1612" i="4"/>
  <c r="X1612" i="4"/>
  <c r="W1613" i="4"/>
  <c r="T1679" i="4"/>
  <c r="D1612" i="4" l="1"/>
  <c r="C1613" i="4"/>
  <c r="X1613" i="4"/>
  <c r="W1614" i="4"/>
  <c r="T1680" i="4"/>
  <c r="D1613" i="4" l="1"/>
  <c r="C1614" i="4"/>
  <c r="W1615" i="4"/>
  <c r="X1614" i="4"/>
  <c r="T1681" i="4"/>
  <c r="D1614" i="4" l="1"/>
  <c r="C1615" i="4"/>
  <c r="X1615" i="4"/>
  <c r="W1616" i="4"/>
  <c r="T1682" i="4"/>
  <c r="D1615" i="4" l="1"/>
  <c r="C1616" i="4"/>
  <c r="X1616" i="4"/>
  <c r="W1617" i="4"/>
  <c r="T1683" i="4"/>
  <c r="D1616" i="4" l="1"/>
  <c r="C1617" i="4"/>
  <c r="X1617" i="4"/>
  <c r="W1618" i="4"/>
  <c r="T1684" i="4"/>
  <c r="D1617" i="4" l="1"/>
  <c r="C1618" i="4"/>
  <c r="W1619" i="4"/>
  <c r="X1618" i="4"/>
  <c r="T1685" i="4"/>
  <c r="D1618" i="4" l="1"/>
  <c r="C1619" i="4"/>
  <c r="X1619" i="4"/>
  <c r="W1620" i="4"/>
  <c r="T1686" i="4"/>
  <c r="D1619" i="4" l="1"/>
  <c r="C1620" i="4"/>
  <c r="X1620" i="4"/>
  <c r="W1621" i="4"/>
  <c r="T1687" i="4"/>
  <c r="D1620" i="4" l="1"/>
  <c r="C1621" i="4"/>
  <c r="X1621" i="4"/>
  <c r="W1622" i="4"/>
  <c r="T1688" i="4"/>
  <c r="D1621" i="4" l="1"/>
  <c r="C1622" i="4"/>
  <c r="X1622" i="4"/>
  <c r="W1623" i="4"/>
  <c r="T1689" i="4"/>
  <c r="D1622" i="4" l="1"/>
  <c r="C1623" i="4"/>
  <c r="X1623" i="4"/>
  <c r="W1624" i="4"/>
  <c r="T1690" i="4"/>
  <c r="D1623" i="4" l="1"/>
  <c r="C1624" i="4"/>
  <c r="X1624" i="4"/>
  <c r="W1625" i="4"/>
  <c r="T1691" i="4"/>
  <c r="D1624" i="4" l="1"/>
  <c r="C1625" i="4"/>
  <c r="X1625" i="4"/>
  <c r="W1626" i="4"/>
  <c r="T1692" i="4"/>
  <c r="D1625" i="4" l="1"/>
  <c r="C1626" i="4"/>
  <c r="W1627" i="4"/>
  <c r="X1626" i="4"/>
  <c r="T1693" i="4"/>
  <c r="D1626" i="4" l="1"/>
  <c r="C1627" i="4"/>
  <c r="X1627" i="4"/>
  <c r="W1628" i="4"/>
  <c r="T1694" i="4"/>
  <c r="D1627" i="4" l="1"/>
  <c r="C1628" i="4"/>
  <c r="X1628" i="4"/>
  <c r="W1629" i="4"/>
  <c r="T1695" i="4"/>
  <c r="D1628" i="4" l="1"/>
  <c r="C1629" i="4"/>
  <c r="X1629" i="4"/>
  <c r="W1630" i="4"/>
  <c r="T1696" i="4"/>
  <c r="D1629" i="4" l="1"/>
  <c r="C1630" i="4"/>
  <c r="W1631" i="4"/>
  <c r="X1630" i="4"/>
  <c r="T1697" i="4"/>
  <c r="D1630" i="4" l="1"/>
  <c r="C1631" i="4"/>
  <c r="X1631" i="4"/>
  <c r="W1632" i="4"/>
  <c r="T1698" i="4"/>
  <c r="D1631" i="4" l="1"/>
  <c r="C1632" i="4"/>
  <c r="X1632" i="4"/>
  <c r="W1633" i="4"/>
  <c r="T1699" i="4"/>
  <c r="D1632" i="4" l="1"/>
  <c r="C1633" i="4"/>
  <c r="X1633" i="4"/>
  <c r="W1634" i="4"/>
  <c r="T1700" i="4"/>
  <c r="D1633" i="4" l="1"/>
  <c r="C1634" i="4"/>
  <c r="X1634" i="4"/>
  <c r="W1635" i="4"/>
  <c r="T1701" i="4"/>
  <c r="T1702" i="4" s="1"/>
  <c r="D1634" i="4" l="1"/>
  <c r="C1635" i="4"/>
  <c r="X1635" i="4"/>
  <c r="W1636" i="4"/>
  <c r="T1703" i="4"/>
  <c r="D1635" i="4" l="1"/>
  <c r="C1636" i="4"/>
  <c r="X1636" i="4"/>
  <c r="W1637" i="4"/>
  <c r="T1704" i="4"/>
  <c r="D1636" i="4" l="1"/>
  <c r="C1637" i="4"/>
  <c r="W1638" i="4"/>
  <c r="X1637" i="4"/>
  <c r="T1705" i="4"/>
  <c r="D1637" i="4" l="1"/>
  <c r="C1638" i="4"/>
  <c r="X1638" i="4"/>
  <c r="W1639" i="4"/>
  <c r="T1706" i="4"/>
  <c r="D1638" i="4" l="1"/>
  <c r="C1639" i="4"/>
  <c r="X1639" i="4"/>
  <c r="W1640" i="4"/>
  <c r="T1707" i="4"/>
  <c r="D1639" i="4" l="1"/>
  <c r="C1640" i="4"/>
  <c r="W1641" i="4"/>
  <c r="X1640" i="4"/>
  <c r="T1708" i="4"/>
  <c r="D1640" i="4" l="1"/>
  <c r="C1641" i="4"/>
  <c r="X1641" i="4"/>
  <c r="W1642" i="4"/>
  <c r="T1709" i="4"/>
  <c r="D1641" i="4" l="1"/>
  <c r="C1642" i="4"/>
  <c r="W1643" i="4"/>
  <c r="X1642" i="4"/>
  <c r="T1710" i="4"/>
  <c r="D1642" i="4" l="1"/>
  <c r="C1643" i="4"/>
  <c r="W1644" i="4"/>
  <c r="X1643" i="4"/>
  <c r="T1711" i="4"/>
  <c r="D1643" i="4" l="1"/>
  <c r="C1644" i="4"/>
  <c r="W1645" i="4"/>
  <c r="X1644" i="4"/>
  <c r="T1712" i="4"/>
  <c r="D1644" i="4" l="1"/>
  <c r="C1645" i="4"/>
  <c r="X1645" i="4"/>
  <c r="W1646" i="4"/>
  <c r="T1713" i="4"/>
  <c r="D1645" i="4" l="1"/>
  <c r="C1646" i="4"/>
  <c r="X1646" i="4"/>
  <c r="W1647" i="4"/>
  <c r="T1714" i="4"/>
  <c r="D1646" i="4" l="1"/>
  <c r="C1647" i="4"/>
  <c r="X1647" i="4"/>
  <c r="W1648" i="4"/>
  <c r="T1715" i="4"/>
  <c r="D1647" i="4" l="1"/>
  <c r="C1648" i="4"/>
  <c r="W1649" i="4"/>
  <c r="X1648" i="4"/>
  <c r="T1716" i="4"/>
  <c r="C1649" i="4" l="1"/>
  <c r="D1648" i="4"/>
  <c r="X1649" i="4"/>
  <c r="W1650" i="4"/>
  <c r="T1717" i="4"/>
  <c r="D1649" i="4" l="1"/>
  <c r="C1650" i="4"/>
  <c r="W1651" i="4"/>
  <c r="X1650" i="4"/>
  <c r="T1718" i="4"/>
  <c r="C1651" i="4" l="1"/>
  <c r="D1651" i="4" s="1"/>
  <c r="D1650" i="4"/>
  <c r="X1651" i="4"/>
  <c r="W1652" i="4"/>
  <c r="T1719" i="4"/>
  <c r="C1652" i="4" l="1"/>
  <c r="D1652" i="4" s="1"/>
  <c r="W1653" i="4"/>
  <c r="X1652" i="4"/>
  <c r="T1720" i="4"/>
  <c r="C1653" i="4" l="1"/>
  <c r="X1653" i="4"/>
  <c r="W1654" i="4"/>
  <c r="T1721" i="4"/>
  <c r="D1653" i="4" l="1"/>
  <c r="C1654" i="4"/>
  <c r="W1655" i="4"/>
  <c r="X1654" i="4"/>
  <c r="T1722" i="4"/>
  <c r="D1654" i="4" l="1"/>
  <c r="C1655" i="4"/>
  <c r="X1655" i="4"/>
  <c r="W1656" i="4"/>
  <c r="T1723" i="4"/>
  <c r="D1655" i="4" l="1"/>
  <c r="C1656" i="4"/>
  <c r="X1656" i="4"/>
  <c r="W1657" i="4"/>
  <c r="T1724" i="4"/>
  <c r="D1656" i="4" l="1"/>
  <c r="C1657" i="4"/>
  <c r="X1657" i="4"/>
  <c r="W1658" i="4"/>
  <c r="T1725" i="4"/>
  <c r="D1657" i="4" l="1"/>
  <c r="C1658" i="4"/>
  <c r="X1658" i="4"/>
  <c r="W1659" i="4"/>
  <c r="T1726" i="4"/>
  <c r="D1658" i="4" l="1"/>
  <c r="C1659" i="4"/>
  <c r="W1660" i="4"/>
  <c r="X1659" i="4"/>
  <c r="T1727" i="4"/>
  <c r="T1728" i="4" s="1"/>
  <c r="D1659" i="4" l="1"/>
  <c r="C1660" i="4"/>
  <c r="X1660" i="4"/>
  <c r="W1661" i="4"/>
  <c r="T1729" i="4"/>
  <c r="T1730" i="4" s="1"/>
  <c r="D1660" i="4" l="1"/>
  <c r="C1661" i="4"/>
  <c r="X1661" i="4"/>
  <c r="W1662" i="4"/>
  <c r="T1731" i="4"/>
  <c r="D1661" i="4" l="1"/>
  <c r="C1662" i="4"/>
  <c r="X1662" i="4"/>
  <c r="W1663" i="4"/>
  <c r="T1732" i="4"/>
  <c r="D1662" i="4" l="1"/>
  <c r="C1663" i="4"/>
  <c r="X1663" i="4"/>
  <c r="W1664" i="4"/>
  <c r="T1733" i="4"/>
  <c r="T1734" i="4" s="1"/>
  <c r="T1735" i="4" s="1"/>
  <c r="D1663" i="4" l="1"/>
  <c r="C1664" i="4"/>
  <c r="W1665" i="4"/>
  <c r="X1664" i="4"/>
  <c r="T1736" i="4"/>
  <c r="D1664" i="4" l="1"/>
  <c r="C1665" i="4"/>
  <c r="X1665" i="4"/>
  <c r="W1666" i="4"/>
  <c r="T1737" i="4"/>
  <c r="D1665" i="4" l="1"/>
  <c r="C1666" i="4"/>
  <c r="X1666" i="4"/>
  <c r="W1667" i="4"/>
  <c r="T1738" i="4"/>
  <c r="D1666" i="4" l="1"/>
  <c r="C1667" i="4"/>
  <c r="X1667" i="4"/>
  <c r="W1668" i="4"/>
  <c r="T1739" i="4"/>
  <c r="D1667" i="4" l="1"/>
  <c r="C1668" i="4"/>
  <c r="X1668" i="4"/>
  <c r="W1669" i="4"/>
  <c r="T1740" i="4"/>
  <c r="D1668" i="4" l="1"/>
  <c r="C1669" i="4"/>
  <c r="W1670" i="4"/>
  <c r="X1669" i="4"/>
  <c r="T1741" i="4"/>
  <c r="D1669" i="4" l="1"/>
  <c r="C1670" i="4"/>
  <c r="X1670" i="4"/>
  <c r="W1671" i="4"/>
  <c r="T1742" i="4"/>
  <c r="D1670" i="4" l="1"/>
  <c r="C1671" i="4"/>
  <c r="W1672" i="4"/>
  <c r="X1671" i="4"/>
  <c r="T1743" i="4"/>
  <c r="D1671" i="4" l="1"/>
  <c r="C1672" i="4"/>
  <c r="X1672" i="4"/>
  <c r="W1673" i="4"/>
  <c r="T1744" i="4"/>
  <c r="D1672" i="4" l="1"/>
  <c r="C1673" i="4"/>
  <c r="W1674" i="4"/>
  <c r="X1673" i="4"/>
  <c r="T1745" i="4"/>
  <c r="D1673" i="4" l="1"/>
  <c r="C1674" i="4"/>
  <c r="X1674" i="4"/>
  <c r="W1675" i="4"/>
  <c r="T1746" i="4"/>
  <c r="D1674" i="4" l="1"/>
  <c r="C1675" i="4"/>
  <c r="W1676" i="4"/>
  <c r="X1675" i="4"/>
  <c r="T1747" i="4"/>
  <c r="D1675" i="4" l="1"/>
  <c r="C1676" i="4"/>
  <c r="W1677" i="4"/>
  <c r="X1676" i="4"/>
  <c r="T1748" i="4"/>
  <c r="D1676" i="4" l="1"/>
  <c r="C1677" i="4"/>
  <c r="X1677" i="4"/>
  <c r="W1678" i="4"/>
  <c r="T1749" i="4"/>
  <c r="D1677" i="4" l="1"/>
  <c r="C1678" i="4"/>
  <c r="X1678" i="4"/>
  <c r="W1679" i="4"/>
  <c r="T1750" i="4"/>
  <c r="D1678" i="4" l="1"/>
  <c r="C1679" i="4"/>
  <c r="X1679" i="4"/>
  <c r="W1680" i="4"/>
  <c r="T1751" i="4"/>
  <c r="D1679" i="4" l="1"/>
  <c r="C1680" i="4"/>
  <c r="W1681" i="4"/>
  <c r="X1680" i="4"/>
  <c r="T1752" i="4"/>
  <c r="D1680" i="4" l="1"/>
  <c r="C1681" i="4"/>
  <c r="X1681" i="4"/>
  <c r="W1682" i="4"/>
  <c r="T1753" i="4"/>
  <c r="D1681" i="4" l="1"/>
  <c r="C1682" i="4"/>
  <c r="X1682" i="4"/>
  <c r="W1683" i="4"/>
  <c r="T1754" i="4"/>
  <c r="D1682" i="4" l="1"/>
  <c r="C1683" i="4"/>
  <c r="X1683" i="4"/>
  <c r="W1684" i="4"/>
  <c r="T1755" i="4"/>
  <c r="D1683" i="4" l="1"/>
  <c r="C1684" i="4"/>
  <c r="W1685" i="4"/>
  <c r="X1684" i="4"/>
  <c r="T1756" i="4"/>
  <c r="T1757" i="4" s="1"/>
  <c r="D1684" i="4" l="1"/>
  <c r="C1685" i="4"/>
  <c r="X1685" i="4"/>
  <c r="W1686" i="4"/>
  <c r="T1758" i="4"/>
  <c r="D1685" i="4" l="1"/>
  <c r="C1686" i="4"/>
  <c r="W1687" i="4"/>
  <c r="X1686" i="4"/>
  <c r="T1759" i="4"/>
  <c r="D1686" i="4" l="1"/>
  <c r="C1687" i="4"/>
  <c r="X1687" i="4"/>
  <c r="W1688" i="4"/>
  <c r="T1760" i="4"/>
  <c r="T1761" i="4" s="1"/>
  <c r="D1687" i="4" l="1"/>
  <c r="C1688" i="4"/>
  <c r="X1688" i="4"/>
  <c r="W1689" i="4"/>
  <c r="T1762" i="4"/>
  <c r="D1688" i="4" l="1"/>
  <c r="C1689" i="4"/>
  <c r="X1689" i="4"/>
  <c r="W1690" i="4"/>
  <c r="T1763" i="4"/>
  <c r="D1689" i="4" l="1"/>
  <c r="C1690" i="4"/>
  <c r="X1690" i="4"/>
  <c r="W1691" i="4"/>
  <c r="T1764" i="4"/>
  <c r="T1765" i="4" s="1"/>
  <c r="D1690" i="4" l="1"/>
  <c r="C1691" i="4"/>
  <c r="X1691" i="4"/>
  <c r="W1692" i="4"/>
  <c r="T1766" i="4"/>
  <c r="T1767" i="4" s="1"/>
  <c r="D1691" i="4" l="1"/>
  <c r="C1692" i="4"/>
  <c r="X1692" i="4"/>
  <c r="W1693" i="4"/>
  <c r="T1768" i="4"/>
  <c r="D1692" i="4" l="1"/>
  <c r="C1693" i="4"/>
  <c r="X1693" i="4"/>
  <c r="W1694" i="4"/>
  <c r="T1769" i="4"/>
  <c r="D1693" i="4" l="1"/>
  <c r="C1694" i="4"/>
  <c r="W1695" i="4"/>
  <c r="X1694" i="4"/>
  <c r="T1770" i="4"/>
  <c r="D1694" i="4" l="1"/>
  <c r="C1695" i="4"/>
  <c r="W1696" i="4"/>
  <c r="X1695" i="4"/>
  <c r="T1771" i="4"/>
  <c r="D1695" i="4" l="1"/>
  <c r="C1696" i="4"/>
  <c r="X1696" i="4"/>
  <c r="W1697" i="4"/>
  <c r="T1772" i="4"/>
  <c r="D1696" i="4" l="1"/>
  <c r="C1697" i="4"/>
  <c r="W1698" i="4"/>
  <c r="X1697" i="4"/>
  <c r="T1773" i="4"/>
  <c r="D1697" i="4" l="1"/>
  <c r="C1698" i="4"/>
  <c r="X1698" i="4"/>
  <c r="W1699" i="4"/>
  <c r="T1774" i="4"/>
  <c r="T1775" i="4" s="1"/>
  <c r="D1698" i="4" l="1"/>
  <c r="C1699" i="4"/>
  <c r="X1699" i="4"/>
  <c r="W1700" i="4"/>
  <c r="T1776" i="4"/>
  <c r="D1699" i="4" l="1"/>
  <c r="C1700" i="4"/>
  <c r="X1700" i="4"/>
  <c r="W1701" i="4"/>
  <c r="T1777" i="4"/>
  <c r="D1700" i="4" l="1"/>
  <c r="C1701" i="4"/>
  <c r="W1702" i="4"/>
  <c r="X1701" i="4"/>
  <c r="T1778" i="4"/>
  <c r="D1701" i="4" l="1"/>
  <c r="C1702" i="4"/>
  <c r="X1702" i="4"/>
  <c r="W1703" i="4"/>
  <c r="T1779" i="4"/>
  <c r="D1702" i="4" l="1"/>
  <c r="C1703" i="4"/>
  <c r="X1703" i="4"/>
  <c r="W1704" i="4"/>
  <c r="T1780" i="4"/>
  <c r="D1703" i="4" l="1"/>
  <c r="C1704" i="4"/>
  <c r="W1705" i="4"/>
  <c r="X1704" i="4"/>
  <c r="T1781" i="4"/>
  <c r="D1704" i="4" l="1"/>
  <c r="C1705" i="4"/>
  <c r="X1705" i="4"/>
  <c r="W1706" i="4"/>
  <c r="T1782" i="4"/>
  <c r="C1706" i="4" l="1"/>
  <c r="D1705" i="4"/>
  <c r="W1707" i="4"/>
  <c r="X1706" i="4"/>
  <c r="T1783" i="4"/>
  <c r="D1706" i="4" l="1"/>
  <c r="C1707" i="4"/>
  <c r="X1707" i="4"/>
  <c r="W1708" i="4"/>
  <c r="T1784" i="4"/>
  <c r="D1707" i="4" l="1"/>
  <c r="C1708" i="4"/>
  <c r="W1709" i="4"/>
  <c r="X1708" i="4"/>
  <c r="T1785" i="4"/>
  <c r="D1708" i="4" l="1"/>
  <c r="C1709" i="4"/>
  <c r="W1710" i="4"/>
  <c r="X1709" i="4"/>
  <c r="T1786" i="4"/>
  <c r="T60" i="1" l="1"/>
  <c r="D1709" i="4"/>
  <c r="C1710" i="4"/>
  <c r="X1710" i="4"/>
  <c r="W1711" i="4"/>
  <c r="T1787" i="4"/>
  <c r="D1710" i="4" l="1"/>
  <c r="C1711" i="4"/>
  <c r="X1711" i="4"/>
  <c r="W1712" i="4"/>
  <c r="T1788" i="4"/>
  <c r="D1711" i="4" l="1"/>
  <c r="C1712" i="4"/>
  <c r="W1713" i="4"/>
  <c r="X1712" i="4"/>
  <c r="T1789" i="4"/>
  <c r="D1712" i="4" l="1"/>
  <c r="C1713" i="4"/>
  <c r="X1713" i="4"/>
  <c r="W1714" i="4"/>
  <c r="T1790" i="4"/>
  <c r="C1714" i="4" l="1"/>
  <c r="D1713" i="4"/>
  <c r="W1715" i="4"/>
  <c r="X1714" i="4"/>
  <c r="T1791" i="4"/>
  <c r="D1714" i="4" l="1"/>
  <c r="C1715" i="4"/>
  <c r="X1715" i="4"/>
  <c r="W1716" i="4"/>
  <c r="T1792" i="4"/>
  <c r="D1715" i="4" l="1"/>
  <c r="C1716" i="4"/>
  <c r="W1717" i="4"/>
  <c r="X1716" i="4"/>
  <c r="T1793" i="4"/>
  <c r="D1716" i="4" l="1"/>
  <c r="C1717" i="4"/>
  <c r="X1717" i="4"/>
  <c r="W1718" i="4"/>
  <c r="T1794" i="4"/>
  <c r="D1717" i="4" l="1"/>
  <c r="C1718" i="4"/>
  <c r="X1718" i="4"/>
  <c r="W1719" i="4"/>
  <c r="T1795" i="4"/>
  <c r="D1718" i="4" l="1"/>
  <c r="C1719" i="4"/>
  <c r="W1720" i="4"/>
  <c r="X1719" i="4"/>
  <c r="T1796" i="4"/>
  <c r="D1719" i="4" l="1"/>
  <c r="C1720" i="4"/>
  <c r="X1720" i="4"/>
  <c r="W1721" i="4"/>
  <c r="T1797" i="4"/>
  <c r="D1720" i="4" l="1"/>
  <c r="C1721" i="4"/>
  <c r="W1722" i="4"/>
  <c r="X1721" i="4"/>
  <c r="T1798" i="4"/>
  <c r="D1721" i="4" l="1"/>
  <c r="C1722" i="4"/>
  <c r="X1722" i="4"/>
  <c r="W1723" i="4"/>
  <c r="T1799" i="4"/>
  <c r="D1722" i="4" l="1"/>
  <c r="C1723" i="4"/>
  <c r="W1724" i="4"/>
  <c r="X1723" i="4"/>
  <c r="T1800" i="4"/>
  <c r="D1723" i="4" l="1"/>
  <c r="C1724" i="4"/>
  <c r="X1724" i="4"/>
  <c r="W1725" i="4"/>
  <c r="T1801" i="4"/>
  <c r="T1802" i="4" s="1"/>
  <c r="D1724" i="4" l="1"/>
  <c r="C1725" i="4"/>
  <c r="X1725" i="4"/>
  <c r="W1726" i="4"/>
  <c r="T1803" i="4"/>
  <c r="D1725" i="4" l="1"/>
  <c r="C1726" i="4"/>
  <c r="W1727" i="4"/>
  <c r="X1726" i="4"/>
  <c r="T1804" i="4"/>
  <c r="D1726" i="4" l="1"/>
  <c r="C1727" i="4"/>
  <c r="X1727" i="4"/>
  <c r="W1728" i="4"/>
  <c r="T1805" i="4"/>
  <c r="D1727" i="4" l="1"/>
  <c r="C1728" i="4"/>
  <c r="W1729" i="4"/>
  <c r="X1728" i="4"/>
  <c r="T1806" i="4"/>
  <c r="C1729" i="4" l="1"/>
  <c r="D1728" i="4"/>
  <c r="X1729" i="4"/>
  <c r="W1730" i="4"/>
  <c r="T1807" i="4"/>
  <c r="D1729" i="4" l="1"/>
  <c r="C1730" i="4"/>
  <c r="W1731" i="4"/>
  <c r="X1730" i="4"/>
  <c r="T1808" i="4"/>
  <c r="D1730" i="4" l="1"/>
  <c r="C1731" i="4"/>
  <c r="X1731" i="4"/>
  <c r="W1732" i="4"/>
  <c r="T1809" i="4"/>
  <c r="D1731" i="4" l="1"/>
  <c r="C1732" i="4"/>
  <c r="X1732" i="4"/>
  <c r="W1733" i="4"/>
  <c r="T1810" i="4"/>
  <c r="D1732" i="4" l="1"/>
  <c r="C1733" i="4"/>
  <c r="W1734" i="4"/>
  <c r="X1733" i="4"/>
  <c r="T1811" i="4"/>
  <c r="C1734" i="4" l="1"/>
  <c r="D1733" i="4"/>
  <c r="X1734" i="4"/>
  <c r="W1735" i="4"/>
  <c r="T1812" i="4"/>
  <c r="D1734" i="4" l="1"/>
  <c r="C1735" i="4"/>
  <c r="W1736" i="4"/>
  <c r="X1735" i="4"/>
  <c r="T1813" i="4"/>
  <c r="D1735" i="4" l="1"/>
  <c r="C1736" i="4"/>
  <c r="W1737" i="4"/>
  <c r="X1736" i="4"/>
  <c r="T1814" i="4"/>
  <c r="D1736" i="4" l="1"/>
  <c r="C1737" i="4"/>
  <c r="X1737" i="4"/>
  <c r="W1738" i="4"/>
  <c r="T1815" i="4"/>
  <c r="D1737" i="4" l="1"/>
  <c r="C1738" i="4"/>
  <c r="W1739" i="4"/>
  <c r="X1738" i="4"/>
  <c r="T1816" i="4"/>
  <c r="D1738" i="4" l="1"/>
  <c r="C1739" i="4"/>
  <c r="X1739" i="4"/>
  <c r="W1740" i="4"/>
  <c r="T1817" i="4"/>
  <c r="D1739" i="4" l="1"/>
  <c r="C1740" i="4"/>
  <c r="X1740" i="4"/>
  <c r="W1741" i="4"/>
  <c r="T1818" i="4"/>
  <c r="D1740" i="4" l="1"/>
  <c r="C1741" i="4"/>
  <c r="W1742" i="4"/>
  <c r="X1741" i="4"/>
  <c r="T1819" i="4"/>
  <c r="D1741" i="4" l="1"/>
  <c r="C1742" i="4"/>
  <c r="X1742" i="4"/>
  <c r="W1743" i="4"/>
  <c r="T1820" i="4"/>
  <c r="D1742" i="4" l="1"/>
  <c r="C1743" i="4"/>
  <c r="X1743" i="4"/>
  <c r="W1744" i="4"/>
  <c r="T1821" i="4"/>
  <c r="D1743" i="4" l="1"/>
  <c r="C1744" i="4"/>
  <c r="W1745" i="4"/>
  <c r="X1744" i="4"/>
  <c r="T1822" i="4"/>
  <c r="D1744" i="4" l="1"/>
  <c r="C1745" i="4"/>
  <c r="X1745" i="4"/>
  <c r="W1746" i="4"/>
  <c r="T1823" i="4"/>
  <c r="D1745" i="4" l="1"/>
  <c r="C1746" i="4"/>
  <c r="W1747" i="4"/>
  <c r="X1746" i="4"/>
  <c r="T1824" i="4"/>
  <c r="D1746" i="4" l="1"/>
  <c r="C1747" i="4"/>
  <c r="W1748" i="4"/>
  <c r="X1747" i="4"/>
  <c r="T1825" i="4"/>
  <c r="D1747" i="4" l="1"/>
  <c r="C1748" i="4"/>
  <c r="X1748" i="4"/>
  <c r="W1749" i="4"/>
  <c r="T1826" i="4"/>
  <c r="T1827" i="4" s="1"/>
  <c r="D1748" i="4" l="1"/>
  <c r="C1749" i="4"/>
  <c r="X1749" i="4"/>
  <c r="W1750" i="4"/>
  <c r="T1828" i="4"/>
  <c r="D1749" i="4" l="1"/>
  <c r="C1750" i="4"/>
  <c r="W1751" i="4"/>
  <c r="X1750" i="4"/>
  <c r="T1829" i="4"/>
  <c r="D1750" i="4" l="1"/>
  <c r="C1751" i="4"/>
  <c r="X1751" i="4"/>
  <c r="W1752" i="4"/>
  <c r="T1830" i="4"/>
  <c r="D1751" i="4" l="1"/>
  <c r="C1752" i="4"/>
  <c r="W1753" i="4"/>
  <c r="X1752" i="4"/>
  <c r="T1831" i="4"/>
  <c r="D1752" i="4" l="1"/>
  <c r="C1753" i="4"/>
  <c r="X1753" i="4"/>
  <c r="W1754" i="4"/>
  <c r="T1832" i="4"/>
  <c r="C1754" i="4" l="1"/>
  <c r="D1753" i="4"/>
  <c r="X1754" i="4"/>
  <c r="W1755" i="4"/>
  <c r="T1833" i="4"/>
  <c r="D1754" i="4" l="1"/>
  <c r="C1755" i="4"/>
  <c r="X1755" i="4"/>
  <c r="W1756" i="4"/>
  <c r="T1834" i="4"/>
  <c r="C1756" i="4" l="1"/>
  <c r="D1755" i="4"/>
  <c r="X1756" i="4"/>
  <c r="W1757" i="4"/>
  <c r="T1835" i="4"/>
  <c r="D1756" i="4" l="1"/>
  <c r="C1757" i="4"/>
  <c r="X1757" i="4"/>
  <c r="W1758" i="4"/>
  <c r="T1836" i="4"/>
  <c r="D1757" i="4" l="1"/>
  <c r="C1758" i="4"/>
  <c r="W1759" i="4"/>
  <c r="X1758" i="4"/>
  <c r="T1837" i="4"/>
  <c r="D1758" i="4" l="1"/>
  <c r="C1759" i="4"/>
  <c r="X1759" i="4"/>
  <c r="W1760" i="4"/>
  <c r="T1838" i="4"/>
  <c r="D1759" i="4" l="1"/>
  <c r="C1760" i="4"/>
  <c r="X1760" i="4"/>
  <c r="W1761" i="4"/>
  <c r="T1839" i="4"/>
  <c r="D1760" i="4" l="1"/>
  <c r="C1761" i="4"/>
  <c r="W1762" i="4"/>
  <c r="X1761" i="4"/>
  <c r="T1840" i="4"/>
  <c r="D1761" i="4" l="1"/>
  <c r="C1762" i="4"/>
  <c r="X1762" i="4"/>
  <c r="W1763" i="4"/>
  <c r="T1841" i="4"/>
  <c r="D1762" i="4" l="1"/>
  <c r="C1763" i="4"/>
  <c r="X1763" i="4"/>
  <c r="W1764" i="4"/>
  <c r="T1842" i="4"/>
  <c r="D1763" i="4" l="1"/>
  <c r="C1764" i="4"/>
  <c r="W1765" i="4"/>
  <c r="X1764" i="4"/>
  <c r="T1843" i="4"/>
  <c r="D1764" i="4" l="1"/>
  <c r="C1765" i="4"/>
  <c r="X1765" i="4"/>
  <c r="W1766" i="4"/>
  <c r="T1844" i="4"/>
  <c r="D1765" i="4" l="1"/>
  <c r="C1766" i="4"/>
  <c r="X1766" i="4"/>
  <c r="W1767" i="4"/>
  <c r="T1845" i="4"/>
  <c r="D1766" i="4" l="1"/>
  <c r="C1767" i="4"/>
  <c r="W1768" i="4"/>
  <c r="X1767" i="4"/>
  <c r="T1846" i="4"/>
  <c r="D1767" i="4" l="1"/>
  <c r="C1768" i="4"/>
  <c r="X1768" i="4"/>
  <c r="W1769" i="4"/>
  <c r="T1847" i="4"/>
  <c r="D1768" i="4" l="1"/>
  <c r="C1769" i="4"/>
  <c r="X1769" i="4"/>
  <c r="W1770" i="4"/>
  <c r="T1848" i="4"/>
  <c r="D1769" i="4" l="1"/>
  <c r="C1770" i="4"/>
  <c r="X1770" i="4"/>
  <c r="W1771" i="4"/>
  <c r="T1849" i="4"/>
  <c r="D1770" i="4" l="1"/>
  <c r="C1771" i="4"/>
  <c r="W1772" i="4"/>
  <c r="X1771" i="4"/>
  <c r="T1850" i="4"/>
  <c r="D1771" i="4" l="1"/>
  <c r="C1772" i="4"/>
  <c r="W1773" i="4"/>
  <c r="X1772" i="4"/>
  <c r="T1851" i="4"/>
  <c r="D1772" i="4" l="1"/>
  <c r="C1773" i="4"/>
  <c r="W1774" i="4"/>
  <c r="X1773" i="4"/>
  <c r="T1852" i="4"/>
  <c r="D1773" i="4" l="1"/>
  <c r="C1774" i="4"/>
  <c r="X1774" i="4"/>
  <c r="W1775" i="4"/>
  <c r="T1853" i="4"/>
  <c r="D1774" i="4" l="1"/>
  <c r="C1775" i="4"/>
  <c r="W1776" i="4"/>
  <c r="X1775" i="4"/>
  <c r="T1854" i="4"/>
  <c r="D1775" i="4" l="1"/>
  <c r="C1776" i="4"/>
  <c r="X1776" i="4"/>
  <c r="W1777" i="4"/>
  <c r="T1855" i="4"/>
  <c r="D1776" i="4" l="1"/>
  <c r="C1777" i="4"/>
  <c r="X1777" i="4"/>
  <c r="W1778" i="4"/>
  <c r="T1856" i="4"/>
  <c r="D1777" i="4" l="1"/>
  <c r="C1778" i="4"/>
  <c r="W1779" i="4"/>
  <c r="X1778" i="4"/>
  <c r="T1857" i="4"/>
  <c r="D1778" i="4" l="1"/>
  <c r="C1779" i="4"/>
  <c r="X1779" i="4"/>
  <c r="W1780" i="4"/>
  <c r="T1858" i="4"/>
  <c r="D1779" i="4" l="1"/>
  <c r="C1780" i="4"/>
  <c r="W1781" i="4"/>
  <c r="X1780" i="4"/>
  <c r="T1859" i="4"/>
  <c r="D1780" i="4" l="1"/>
  <c r="C1781" i="4"/>
  <c r="X1781" i="4"/>
  <c r="W1782" i="4"/>
  <c r="T1860" i="4"/>
  <c r="D1781" i="4" l="1"/>
  <c r="C1782" i="4"/>
  <c r="X1782" i="4"/>
  <c r="W1783" i="4"/>
  <c r="T1861" i="4"/>
  <c r="D1782" i="4" l="1"/>
  <c r="C1783" i="4"/>
  <c r="W1784" i="4"/>
  <c r="X1783" i="4"/>
  <c r="T1862" i="4"/>
  <c r="D1783" i="4" l="1"/>
  <c r="C1784" i="4"/>
  <c r="X1784" i="4"/>
  <c r="W1785" i="4"/>
  <c r="T1863" i="4"/>
  <c r="D1784" i="4" l="1"/>
  <c r="C1785" i="4"/>
  <c r="W1786" i="4"/>
  <c r="X1785" i="4"/>
  <c r="T1864" i="4"/>
  <c r="D1785" i="4" l="1"/>
  <c r="C1786" i="4"/>
  <c r="X1786" i="4"/>
  <c r="W1787" i="4"/>
  <c r="T1865" i="4"/>
  <c r="D1786" i="4" l="1"/>
  <c r="C1787" i="4"/>
  <c r="X1787" i="4"/>
  <c r="W1788" i="4"/>
  <c r="T1866" i="4"/>
  <c r="T1867" i="4" s="1"/>
  <c r="D1787" i="4" l="1"/>
  <c r="C1788" i="4"/>
  <c r="W1789" i="4"/>
  <c r="X1788" i="4"/>
  <c r="T1868" i="4"/>
  <c r="T1869" i="4" s="1"/>
  <c r="D1788" i="4" l="1"/>
  <c r="C1789" i="4"/>
  <c r="X1789" i="4"/>
  <c r="W1790" i="4"/>
  <c r="T1870" i="4"/>
  <c r="D1789" i="4" l="1"/>
  <c r="C1790" i="4"/>
  <c r="X1790" i="4"/>
  <c r="W1791" i="4"/>
  <c r="T1871" i="4"/>
  <c r="T1872" i="4" s="1"/>
  <c r="T1873" i="4" s="1"/>
  <c r="D1790" i="4" l="1"/>
  <c r="C1791" i="4"/>
  <c r="X1791" i="4"/>
  <c r="W1792" i="4"/>
  <c r="T1874" i="4"/>
  <c r="D1791" i="4" l="1"/>
  <c r="C1792" i="4"/>
  <c r="X1792" i="4"/>
  <c r="W1793" i="4"/>
  <c r="T1875" i="4"/>
  <c r="T1876" i="4" s="1"/>
  <c r="D1792" i="4" l="1"/>
  <c r="C1793" i="4"/>
  <c r="X1793" i="4"/>
  <c r="W1794" i="4"/>
  <c r="T1877" i="4"/>
  <c r="D1793" i="4" l="1"/>
  <c r="C1794" i="4"/>
  <c r="W1795" i="4"/>
  <c r="X1794" i="4"/>
  <c r="T1878" i="4"/>
  <c r="D1794" i="4" l="1"/>
  <c r="C1795" i="4"/>
  <c r="X1795" i="4"/>
  <c r="W1796" i="4"/>
  <c r="T1879" i="4"/>
  <c r="T1880" i="4" s="1"/>
  <c r="D1795" i="4" l="1"/>
  <c r="C1796" i="4"/>
  <c r="W1797" i="4"/>
  <c r="X1796" i="4"/>
  <c r="T1881" i="4"/>
  <c r="T1882" i="4" s="1"/>
  <c r="T1883" i="4" s="1"/>
  <c r="D1796" i="4" l="1"/>
  <c r="C1797" i="4"/>
  <c r="X1797" i="4"/>
  <c r="W1798" i="4"/>
  <c r="T1884" i="4"/>
  <c r="C1798" i="4" l="1"/>
  <c r="D1798" i="4" s="1"/>
  <c r="D1797" i="4"/>
  <c r="X1798" i="4"/>
  <c r="W1799" i="4"/>
  <c r="T1885" i="4"/>
  <c r="C1799" i="4" l="1"/>
  <c r="X1799" i="4"/>
  <c r="W1800" i="4"/>
  <c r="T1886" i="4"/>
  <c r="D1799" i="4" l="1"/>
  <c r="C1800" i="4"/>
  <c r="W1801" i="4"/>
  <c r="X1800" i="4"/>
  <c r="T1887" i="4"/>
  <c r="D1800" i="4" l="1"/>
  <c r="C1801" i="4"/>
  <c r="X1801" i="4"/>
  <c r="W1802" i="4"/>
  <c r="T1888" i="4"/>
  <c r="D1801" i="4" l="1"/>
  <c r="C1802" i="4"/>
  <c r="W1803" i="4"/>
  <c r="X1802" i="4"/>
  <c r="T1889" i="4"/>
  <c r="D1802" i="4" l="1"/>
  <c r="C1803" i="4"/>
  <c r="W1804" i="4"/>
  <c r="X1803" i="4"/>
  <c r="T1890" i="4"/>
  <c r="D1803" i="4" l="1"/>
  <c r="C1804" i="4"/>
  <c r="X1804" i="4"/>
  <c r="W1805" i="4"/>
  <c r="T1891" i="4"/>
  <c r="D1804" i="4" l="1"/>
  <c r="C1805" i="4"/>
  <c r="X1805" i="4"/>
  <c r="W1806" i="4"/>
  <c r="T1892" i="4"/>
  <c r="D1805" i="4" l="1"/>
  <c r="C1806" i="4"/>
  <c r="W1807" i="4"/>
  <c r="X1806" i="4"/>
  <c r="T1893" i="4"/>
  <c r="D1806" i="4" l="1"/>
  <c r="C1807" i="4"/>
  <c r="X1807" i="4"/>
  <c r="W1808" i="4"/>
  <c r="T1894" i="4"/>
  <c r="D1807" i="4" l="1"/>
  <c r="C1808" i="4"/>
  <c r="W1809" i="4"/>
  <c r="X1808" i="4"/>
  <c r="T1895" i="4"/>
  <c r="C1809" i="4" l="1"/>
  <c r="D1808" i="4"/>
  <c r="X1809" i="4"/>
  <c r="W1810" i="4"/>
  <c r="T1896" i="4"/>
  <c r="D1809" i="4" l="1"/>
  <c r="C1810" i="4"/>
  <c r="X1810" i="4"/>
  <c r="W1811" i="4"/>
  <c r="T1897" i="4"/>
  <c r="D1810" i="4" l="1"/>
  <c r="C1811" i="4"/>
  <c r="X1811" i="4"/>
  <c r="W1812" i="4"/>
  <c r="T1898" i="4"/>
  <c r="D1811" i="4" l="1"/>
  <c r="C1812" i="4"/>
  <c r="X1812" i="4"/>
  <c r="W1813" i="4"/>
  <c r="T1899" i="4"/>
  <c r="D1812" i="4" l="1"/>
  <c r="C1813" i="4"/>
  <c r="X1813" i="4"/>
  <c r="W1814" i="4"/>
  <c r="T1900" i="4"/>
  <c r="C1814" i="4" l="1"/>
  <c r="D1814" i="4" s="1"/>
  <c r="D1813" i="4"/>
  <c r="X1814" i="4"/>
  <c r="W1815" i="4"/>
  <c r="T1901" i="4"/>
  <c r="C1815" i="4" l="1"/>
  <c r="W1816" i="4"/>
  <c r="X1815" i="4"/>
  <c r="T1902" i="4"/>
  <c r="D1815" i="4" l="1"/>
  <c r="C1816" i="4"/>
  <c r="X1816" i="4"/>
  <c r="W1817" i="4"/>
  <c r="T1903" i="4"/>
  <c r="D1816" i="4" l="1"/>
  <c r="C1817" i="4"/>
  <c r="X1817" i="4"/>
  <c r="W1818" i="4"/>
  <c r="T1904" i="4"/>
  <c r="D1817" i="4" l="1"/>
  <c r="C1818" i="4"/>
  <c r="X1818" i="4"/>
  <c r="W1819" i="4"/>
  <c r="T1905" i="4"/>
  <c r="D1818" i="4" l="1"/>
  <c r="C1819" i="4"/>
  <c r="W1820" i="4"/>
  <c r="X1819" i="4"/>
  <c r="T1906" i="4"/>
  <c r="D1819" i="4" l="1"/>
  <c r="C1820" i="4"/>
  <c r="X1820" i="4"/>
  <c r="W1821" i="4"/>
  <c r="T1907" i="4"/>
  <c r="D1820" i="4" l="1"/>
  <c r="C1821" i="4"/>
  <c r="X1821" i="4"/>
  <c r="W1822" i="4"/>
  <c r="T1908" i="4"/>
  <c r="D1821" i="4" l="1"/>
  <c r="C1822" i="4"/>
  <c r="W1823" i="4"/>
  <c r="X1822" i="4"/>
  <c r="T1909" i="4"/>
  <c r="T1910" i="4" s="1"/>
  <c r="D1822" i="4" l="1"/>
  <c r="C1823" i="4"/>
  <c r="X1823" i="4"/>
  <c r="W1824" i="4"/>
  <c r="T1911" i="4"/>
  <c r="C1824" i="4" l="1"/>
  <c r="D1824" i="4" s="1"/>
  <c r="D1823" i="4"/>
  <c r="X1824" i="4"/>
  <c r="W1825" i="4"/>
  <c r="T1912" i="4"/>
  <c r="C1825" i="4" l="1"/>
  <c r="W1826" i="4"/>
  <c r="X1825" i="4"/>
  <c r="T1913" i="4"/>
  <c r="D1825" i="4" l="1"/>
  <c r="C1826" i="4"/>
  <c r="X1826" i="4"/>
  <c r="W1827" i="4"/>
  <c r="T1914" i="4"/>
  <c r="D1826" i="4" l="1"/>
  <c r="C1827" i="4"/>
  <c r="W1828" i="4"/>
  <c r="X1827" i="4"/>
  <c r="T1915" i="4"/>
  <c r="D1827" i="4" l="1"/>
  <c r="C1828" i="4"/>
  <c r="X1828" i="4"/>
  <c r="W1829" i="4"/>
  <c r="T1916" i="4"/>
  <c r="D1828" i="4" l="1"/>
  <c r="C1829" i="4"/>
  <c r="X1829" i="4"/>
  <c r="W1830" i="4"/>
  <c r="T1917" i="4"/>
  <c r="D1829" i="4" l="1"/>
  <c r="C1830" i="4"/>
  <c r="W1831" i="4"/>
  <c r="X1830" i="4"/>
  <c r="T1918" i="4"/>
  <c r="D1830" i="4" l="1"/>
  <c r="C1831" i="4"/>
  <c r="W1832" i="4"/>
  <c r="X1831" i="4"/>
  <c r="T1919" i="4"/>
  <c r="D1831" i="4" l="1"/>
  <c r="C1832" i="4"/>
  <c r="W1833" i="4"/>
  <c r="X1832" i="4"/>
  <c r="T1920" i="4"/>
  <c r="T1921" i="4" s="1"/>
  <c r="D1832" i="4" l="1"/>
  <c r="C1833" i="4"/>
  <c r="X1833" i="4"/>
  <c r="W1834" i="4"/>
  <c r="T1922" i="4"/>
  <c r="D1833" i="4" l="1"/>
  <c r="C1834" i="4"/>
  <c r="W1835" i="4"/>
  <c r="X1834" i="4"/>
  <c r="T1923" i="4"/>
  <c r="D1834" i="4" l="1"/>
  <c r="C1835" i="4"/>
  <c r="X1835" i="4"/>
  <c r="W1836" i="4"/>
  <c r="T1924" i="4"/>
  <c r="D1835" i="4" l="1"/>
  <c r="C1836" i="4"/>
  <c r="W1837" i="4"/>
  <c r="X1836" i="4"/>
  <c r="T1925" i="4"/>
  <c r="T1926" i="4" s="1"/>
  <c r="D1836" i="4" l="1"/>
  <c r="C1837" i="4"/>
  <c r="W1838" i="4"/>
  <c r="X1837" i="4"/>
  <c r="T1927" i="4"/>
  <c r="D1837" i="4" l="1"/>
  <c r="C1838" i="4"/>
  <c r="W1839" i="4"/>
  <c r="X1838" i="4"/>
  <c r="T1928" i="4"/>
  <c r="D1838" i="4" l="1"/>
  <c r="C1839" i="4"/>
  <c r="X1839" i="4"/>
  <c r="W1840" i="4"/>
  <c r="T1929" i="4"/>
  <c r="D1839" i="4" l="1"/>
  <c r="C1840" i="4"/>
  <c r="W1841" i="4"/>
  <c r="X1840" i="4"/>
  <c r="T1930" i="4"/>
  <c r="D1840" i="4" l="1"/>
  <c r="C1841" i="4"/>
  <c r="X1841" i="4"/>
  <c r="W1842" i="4"/>
  <c r="T1931" i="4"/>
  <c r="D1841" i="4" l="1"/>
  <c r="C1842" i="4"/>
  <c r="X1842" i="4"/>
  <c r="W1843" i="4"/>
  <c r="T1932" i="4"/>
  <c r="D1842" i="4" l="1"/>
  <c r="C1843" i="4"/>
  <c r="X1843" i="4"/>
  <c r="W1844" i="4"/>
  <c r="T1933" i="4"/>
  <c r="D1843" i="4" l="1"/>
  <c r="C1844" i="4"/>
  <c r="X1844" i="4"/>
  <c r="W1845" i="4"/>
  <c r="T1934" i="4"/>
  <c r="D1844" i="4" l="1"/>
  <c r="C1845" i="4"/>
  <c r="X1845" i="4"/>
  <c r="W1846" i="4"/>
  <c r="T1935" i="4"/>
  <c r="D1845" i="4" l="1"/>
  <c r="C1846" i="4"/>
  <c r="W1847" i="4"/>
  <c r="X1846" i="4"/>
  <c r="T1936" i="4"/>
  <c r="D1846" i="4" l="1"/>
  <c r="C1847" i="4"/>
  <c r="X1847" i="4"/>
  <c r="W1848" i="4"/>
  <c r="T1937" i="4"/>
  <c r="D1847" i="4" l="1"/>
  <c r="C1848" i="4"/>
  <c r="X1848" i="4"/>
  <c r="W1849" i="4"/>
  <c r="T1938" i="4"/>
  <c r="D1848" i="4" l="1"/>
  <c r="C1849" i="4"/>
  <c r="X1849" i="4"/>
  <c r="W1850" i="4"/>
  <c r="T1939" i="4"/>
  <c r="D1849" i="4" l="1"/>
  <c r="C1850" i="4"/>
  <c r="X1850" i="4"/>
  <c r="W1851" i="4"/>
  <c r="T1940" i="4"/>
  <c r="D1850" i="4" l="1"/>
  <c r="C1851" i="4"/>
  <c r="W1852" i="4"/>
  <c r="X1851" i="4"/>
  <c r="T1941" i="4"/>
  <c r="D1851" i="4" l="1"/>
  <c r="C1852" i="4"/>
  <c r="X1852" i="4"/>
  <c r="W1853" i="4"/>
  <c r="T1942" i="4"/>
  <c r="D1852" i="4" l="1"/>
  <c r="C1853" i="4"/>
  <c r="X1853" i="4"/>
  <c r="W1854" i="4"/>
  <c r="T1943" i="4"/>
  <c r="D1853" i="4" l="1"/>
  <c r="C1854" i="4"/>
  <c r="X1854" i="4"/>
  <c r="W1855" i="4"/>
  <c r="T1944" i="4"/>
  <c r="D1854" i="4" l="1"/>
  <c r="C1855" i="4"/>
  <c r="X1855" i="4"/>
  <c r="W1856" i="4"/>
  <c r="T1945" i="4"/>
  <c r="D1855" i="4" l="1"/>
  <c r="C1856" i="4"/>
  <c r="X1856" i="4"/>
  <c r="W1857" i="4"/>
  <c r="T1946" i="4"/>
  <c r="D1856" i="4" l="1"/>
  <c r="C1857" i="4"/>
  <c r="X1857" i="4"/>
  <c r="W1858" i="4"/>
  <c r="T1947" i="4"/>
  <c r="D1857" i="4" l="1"/>
  <c r="C1858" i="4"/>
  <c r="W1859" i="4"/>
  <c r="X1858" i="4"/>
  <c r="T1948" i="4"/>
  <c r="D1858" i="4" l="1"/>
  <c r="C1859" i="4"/>
  <c r="W1860" i="4"/>
  <c r="X1859" i="4"/>
  <c r="T1949" i="4"/>
  <c r="D1859" i="4" l="1"/>
  <c r="C1860" i="4"/>
  <c r="X1860" i="4"/>
  <c r="W1861" i="4"/>
  <c r="T1950" i="4"/>
  <c r="D1860" i="4" l="1"/>
  <c r="C1861" i="4"/>
  <c r="W1862" i="4"/>
  <c r="X1861" i="4"/>
  <c r="T1951" i="4"/>
  <c r="D1861" i="4" l="1"/>
  <c r="C1862" i="4"/>
  <c r="W1863" i="4"/>
  <c r="X1862" i="4"/>
  <c r="T1952" i="4"/>
  <c r="D1862" i="4" l="1"/>
  <c r="C1863" i="4"/>
  <c r="X1863" i="4"/>
  <c r="W1864" i="4"/>
  <c r="T1953" i="4"/>
  <c r="D1863" i="4" l="1"/>
  <c r="C1864" i="4"/>
  <c r="X1864" i="4"/>
  <c r="W1865" i="4"/>
  <c r="T1954" i="4"/>
  <c r="C1865" i="4" l="1"/>
  <c r="D1864" i="4"/>
  <c r="X1865" i="4"/>
  <c r="W1866" i="4"/>
  <c r="T1955" i="4"/>
  <c r="C1866" i="4" l="1"/>
  <c r="D1865" i="4"/>
  <c r="X1866" i="4"/>
  <c r="W1867" i="4"/>
  <c r="T1956" i="4"/>
  <c r="D1866" i="4" l="1"/>
  <c r="C1867" i="4"/>
  <c r="X1867" i="4"/>
  <c r="W1868" i="4"/>
  <c r="T1957" i="4"/>
  <c r="C1868" i="4" l="1"/>
  <c r="D1867" i="4"/>
  <c r="X1868" i="4"/>
  <c r="W1869" i="4"/>
  <c r="T1958" i="4"/>
  <c r="D1868" i="4" l="1"/>
  <c r="C1869" i="4"/>
  <c r="X1869" i="4"/>
  <c r="W1870" i="4"/>
  <c r="T1959" i="4"/>
  <c r="D1869" i="4" l="1"/>
  <c r="C1870" i="4"/>
  <c r="W1871" i="4"/>
  <c r="X1870" i="4"/>
  <c r="T1960" i="4"/>
  <c r="D1870" i="4" l="1"/>
  <c r="C1871" i="4"/>
  <c r="X1871" i="4"/>
  <c r="W1872" i="4"/>
  <c r="T1961" i="4"/>
  <c r="C1872" i="4" l="1"/>
  <c r="D1871" i="4"/>
  <c r="W1873" i="4"/>
  <c r="X1872" i="4"/>
  <c r="T1962" i="4"/>
  <c r="D1872" i="4" l="1"/>
  <c r="C1873" i="4"/>
  <c r="X1873" i="4"/>
  <c r="W1874" i="4"/>
  <c r="T1963" i="4"/>
  <c r="T1964" i="4" s="1"/>
  <c r="D1873" i="4" l="1"/>
  <c r="C1874" i="4"/>
  <c r="X1874" i="4"/>
  <c r="W1875" i="4"/>
  <c r="T1965" i="4"/>
  <c r="D1874" i="4" l="1"/>
  <c r="C1875" i="4"/>
  <c r="X1875" i="4"/>
  <c r="W1876" i="4"/>
  <c r="T1966" i="4"/>
  <c r="D1875" i="4" l="1"/>
  <c r="C1876" i="4"/>
  <c r="X1876" i="4"/>
  <c r="W1877" i="4"/>
  <c r="T1967" i="4"/>
  <c r="D1876" i="4" l="1"/>
  <c r="C1877" i="4"/>
  <c r="W1878" i="4"/>
  <c r="X1877" i="4"/>
  <c r="T1968" i="4"/>
  <c r="D1877" i="4" l="1"/>
  <c r="C1878" i="4"/>
  <c r="X1878" i="4"/>
  <c r="W1879" i="4"/>
  <c r="T1969" i="4"/>
  <c r="C1879" i="4" l="1"/>
  <c r="D1878" i="4"/>
  <c r="W1880" i="4"/>
  <c r="X1879" i="4"/>
  <c r="T1970" i="4"/>
  <c r="D1879" i="4" l="1"/>
  <c r="C1880" i="4"/>
  <c r="X1880" i="4"/>
  <c r="W1881" i="4"/>
  <c r="T1971" i="4"/>
  <c r="C1881" i="4" l="1"/>
  <c r="D1880" i="4"/>
  <c r="W1882" i="4"/>
  <c r="X1881" i="4"/>
  <c r="T1972" i="4"/>
  <c r="C1882" i="4" l="1"/>
  <c r="D1881" i="4"/>
  <c r="X1882" i="4"/>
  <c r="W1883" i="4"/>
  <c r="T1973" i="4"/>
  <c r="D1882" i="4" l="1"/>
  <c r="C1883" i="4"/>
  <c r="X1883" i="4"/>
  <c r="W1884" i="4"/>
  <c r="T1974" i="4"/>
  <c r="D1883" i="4" l="1"/>
  <c r="C1884" i="4"/>
  <c r="W1885" i="4"/>
  <c r="X1884" i="4"/>
  <c r="T1975" i="4"/>
  <c r="D1884" i="4" l="1"/>
  <c r="C1885" i="4"/>
  <c r="X1885" i="4"/>
  <c r="W1886" i="4"/>
  <c r="T1976" i="4"/>
  <c r="D1885" i="4" l="1"/>
  <c r="C1886" i="4"/>
  <c r="X1886" i="4"/>
  <c r="W1887" i="4"/>
  <c r="T1977" i="4"/>
  <c r="D1886" i="4" l="1"/>
  <c r="C1887" i="4"/>
  <c r="X1887" i="4"/>
  <c r="W1888" i="4"/>
  <c r="T1978" i="4"/>
  <c r="D1887" i="4" l="1"/>
  <c r="C1888" i="4"/>
  <c r="X1888" i="4"/>
  <c r="W1889" i="4"/>
  <c r="T1979" i="4"/>
  <c r="D1888" i="4" l="1"/>
  <c r="C1889" i="4"/>
  <c r="X1889" i="4"/>
  <c r="W1890" i="4"/>
  <c r="T1980" i="4"/>
  <c r="D1889" i="4" l="1"/>
  <c r="C1890" i="4"/>
  <c r="W1891" i="4"/>
  <c r="X1890" i="4"/>
  <c r="T1981" i="4"/>
  <c r="D1890" i="4" l="1"/>
  <c r="C1891" i="4"/>
  <c r="X1891" i="4"/>
  <c r="W1892" i="4"/>
  <c r="T1982" i="4"/>
  <c r="D1891" i="4" l="1"/>
  <c r="C1892" i="4"/>
  <c r="X1892" i="4"/>
  <c r="W1893" i="4"/>
  <c r="T1983" i="4"/>
  <c r="D1892" i="4" l="1"/>
  <c r="C1893" i="4"/>
  <c r="X1893" i="4"/>
  <c r="W1894" i="4"/>
  <c r="T1984" i="4"/>
  <c r="D1893" i="4" l="1"/>
  <c r="C1894" i="4"/>
  <c r="X1894" i="4"/>
  <c r="W1895" i="4"/>
  <c r="T1985" i="4"/>
  <c r="T1986" i="4" s="1"/>
  <c r="D1894" i="4" l="1"/>
  <c r="C1895" i="4"/>
  <c r="X1895" i="4"/>
  <c r="W1896" i="4"/>
  <c r="T1987" i="4"/>
  <c r="D1895" i="4" l="1"/>
  <c r="C1896" i="4"/>
  <c r="X1896" i="4"/>
  <c r="W1897" i="4"/>
  <c r="T1988" i="4"/>
  <c r="D1896" i="4" l="1"/>
  <c r="C1897" i="4"/>
  <c r="W1898" i="4"/>
  <c r="X1897" i="4"/>
  <c r="T1989" i="4"/>
  <c r="C1898" i="4" l="1"/>
  <c r="D1897" i="4"/>
  <c r="X1898" i="4"/>
  <c r="W1899" i="4"/>
  <c r="T1990" i="4"/>
  <c r="D1898" i="4" l="1"/>
  <c r="C1899" i="4"/>
  <c r="W1900" i="4"/>
  <c r="X1899" i="4"/>
  <c r="T1991" i="4"/>
  <c r="D1899" i="4" l="1"/>
  <c r="C1900" i="4"/>
  <c r="X1900" i="4"/>
  <c r="W1901" i="4"/>
  <c r="T1992" i="4"/>
  <c r="T1993" i="4" s="1"/>
  <c r="T1994" i="4" s="1"/>
  <c r="T1995" i="4" s="1"/>
  <c r="T1996" i="4" s="1"/>
  <c r="T1997" i="4" s="1"/>
  <c r="D1900" i="4" l="1"/>
  <c r="C1901" i="4"/>
  <c r="W1902" i="4"/>
  <c r="X1901" i="4"/>
  <c r="T1998" i="4"/>
  <c r="T1999" i="4" s="1"/>
  <c r="D1901" i="4" l="1"/>
  <c r="C1902" i="4"/>
  <c r="X1902" i="4"/>
  <c r="W1903" i="4"/>
  <c r="T2000" i="4"/>
  <c r="D1902" i="4" l="1"/>
  <c r="C1903" i="4"/>
  <c r="X1903" i="4"/>
  <c r="W1904" i="4"/>
  <c r="D1903" i="4" l="1"/>
  <c r="C1904" i="4"/>
  <c r="X1904" i="4"/>
  <c r="W1905" i="4"/>
  <c r="D1904" i="4" l="1"/>
  <c r="C1905" i="4"/>
  <c r="X1905" i="4"/>
  <c r="W1906" i="4"/>
  <c r="C1906" i="4" l="1"/>
  <c r="D1905" i="4"/>
  <c r="W1907" i="4"/>
  <c r="X1906" i="4"/>
  <c r="D1906" i="4" l="1"/>
  <c r="C1907" i="4"/>
  <c r="W1908" i="4"/>
  <c r="X1907" i="4"/>
  <c r="D1907" i="4" l="1"/>
  <c r="C1908" i="4"/>
  <c r="W1909" i="4"/>
  <c r="X1908" i="4"/>
  <c r="D1908" i="4" l="1"/>
  <c r="C1909" i="4"/>
  <c r="W1910" i="4"/>
  <c r="X1909" i="4"/>
  <c r="D1909" i="4" l="1"/>
  <c r="C1910" i="4"/>
  <c r="W1911" i="4"/>
  <c r="X1910" i="4"/>
  <c r="D1910" i="4" l="1"/>
  <c r="C1911" i="4"/>
  <c r="W1912" i="4"/>
  <c r="X1911" i="4"/>
  <c r="D1911" i="4" l="1"/>
  <c r="C1912" i="4"/>
  <c r="X1912" i="4"/>
  <c r="W1913" i="4"/>
  <c r="D1912" i="4" l="1"/>
  <c r="C1913" i="4"/>
  <c r="X1913" i="4"/>
  <c r="W1914" i="4"/>
  <c r="D1913" i="4" l="1"/>
  <c r="C1914" i="4"/>
  <c r="X1914" i="4"/>
  <c r="W1915" i="4"/>
  <c r="D1914" i="4" l="1"/>
  <c r="C1915" i="4"/>
  <c r="W1916" i="4"/>
  <c r="X1915" i="4"/>
  <c r="D1915" i="4" l="1"/>
  <c r="C1916" i="4"/>
  <c r="W1917" i="4"/>
  <c r="X1916" i="4"/>
  <c r="D1916" i="4" l="1"/>
  <c r="C1917" i="4"/>
  <c r="W1918" i="4"/>
  <c r="X1917" i="4"/>
  <c r="D1917" i="4" l="1"/>
  <c r="C1918" i="4"/>
  <c r="W1919" i="4"/>
  <c r="X1918" i="4"/>
  <c r="D1918" i="4" l="1"/>
  <c r="C1919" i="4"/>
  <c r="W1920" i="4"/>
  <c r="X1919" i="4"/>
  <c r="C1920" i="4" l="1"/>
  <c r="D1919" i="4"/>
  <c r="W1921" i="4"/>
  <c r="X1920" i="4"/>
  <c r="D1920" i="4" l="1"/>
  <c r="C1921" i="4"/>
  <c r="X1921" i="4"/>
  <c r="W1922" i="4"/>
  <c r="D1921" i="4" l="1"/>
  <c r="C1922" i="4"/>
  <c r="W1923" i="4"/>
  <c r="X1922" i="4"/>
  <c r="D1922" i="4" l="1"/>
  <c r="C1923" i="4"/>
  <c r="X1923" i="4"/>
  <c r="W1924" i="4"/>
  <c r="D1923" i="4" l="1"/>
  <c r="C1924" i="4"/>
  <c r="W1925" i="4"/>
  <c r="X1924" i="4"/>
  <c r="D1924" i="4" l="1"/>
  <c r="C1925" i="4"/>
  <c r="W1926" i="4"/>
  <c r="X1925" i="4"/>
  <c r="C1926" i="4" l="1"/>
  <c r="D1925" i="4"/>
  <c r="X1926" i="4"/>
  <c r="W1927" i="4"/>
  <c r="C1927" i="4" l="1"/>
  <c r="D1927" i="4" s="1"/>
  <c r="D1926" i="4"/>
  <c r="X1927" i="4"/>
  <c r="W1928" i="4"/>
  <c r="C1928" i="4" l="1"/>
  <c r="W1929" i="4"/>
  <c r="X1928" i="4"/>
  <c r="D1928" i="4" l="1"/>
  <c r="C1929" i="4"/>
  <c r="W1930" i="4"/>
  <c r="X1929" i="4"/>
  <c r="D1929" i="4" l="1"/>
  <c r="C1930" i="4"/>
  <c r="W1931" i="4"/>
  <c r="X1930" i="4"/>
  <c r="D1930" i="4" l="1"/>
  <c r="C1931" i="4"/>
  <c r="W1932" i="4"/>
  <c r="X1931" i="4"/>
  <c r="D1931" i="4" l="1"/>
  <c r="C1932" i="4"/>
  <c r="W1933" i="4"/>
  <c r="X1932" i="4"/>
  <c r="D1932" i="4" l="1"/>
  <c r="C1933" i="4"/>
  <c r="W1934" i="4"/>
  <c r="X1933" i="4"/>
  <c r="D1933" i="4" l="1"/>
  <c r="C1934" i="4"/>
  <c r="W1935" i="4"/>
  <c r="X1934" i="4"/>
  <c r="D1934" i="4" l="1"/>
  <c r="C1935" i="4"/>
  <c r="W1936" i="4"/>
  <c r="X1935" i="4"/>
  <c r="D1935" i="4" l="1"/>
  <c r="C1936" i="4"/>
  <c r="W1937" i="4"/>
  <c r="X1936" i="4"/>
  <c r="D1936" i="4" l="1"/>
  <c r="C1937" i="4"/>
  <c r="W1938" i="4"/>
  <c r="X1937" i="4"/>
  <c r="D1937" i="4" l="1"/>
  <c r="C1938" i="4"/>
  <c r="X1938" i="4"/>
  <c r="W1939" i="4"/>
  <c r="D1938" i="4" l="1"/>
  <c r="C1939" i="4"/>
  <c r="W1940" i="4"/>
  <c r="X1939" i="4"/>
  <c r="D1939" i="4" l="1"/>
  <c r="C1940" i="4"/>
  <c r="W1941" i="4"/>
  <c r="X1940" i="4"/>
  <c r="D1940" i="4" l="1"/>
  <c r="C1941" i="4"/>
  <c r="X1941" i="4"/>
  <c r="W1942" i="4"/>
  <c r="D1941" i="4" l="1"/>
  <c r="C1942" i="4"/>
  <c r="W1943" i="4"/>
  <c r="X1942" i="4"/>
  <c r="C1943" i="4" l="1"/>
  <c r="D1942" i="4"/>
  <c r="X1943" i="4"/>
  <c r="W1944" i="4"/>
  <c r="C1944" i="4" l="1"/>
  <c r="D1944" i="4" s="1"/>
  <c r="D1943" i="4"/>
  <c r="W1945" i="4"/>
  <c r="X1944" i="4"/>
  <c r="C1945" i="4" l="1"/>
  <c r="D1945" i="4" s="1"/>
  <c r="W1946" i="4"/>
  <c r="X1945" i="4"/>
  <c r="C1946" i="4" l="1"/>
  <c r="D1946" i="4" s="1"/>
  <c r="W1947" i="4"/>
  <c r="X1946" i="4"/>
  <c r="C1947" i="4" l="1"/>
  <c r="W1948" i="4"/>
  <c r="X1947" i="4"/>
  <c r="D1947" i="4" l="1"/>
  <c r="C1948" i="4"/>
  <c r="W1949" i="4"/>
  <c r="X1948" i="4"/>
  <c r="C1949" i="4" l="1"/>
  <c r="D1948" i="4"/>
  <c r="X1949" i="4"/>
  <c r="W1950" i="4"/>
  <c r="C1950" i="4" l="1"/>
  <c r="D1949" i="4"/>
  <c r="X1950" i="4"/>
  <c r="W1951" i="4"/>
  <c r="C1951" i="4" l="1"/>
  <c r="D1951" i="4" s="1"/>
  <c r="D1950" i="4"/>
  <c r="W1952" i="4"/>
  <c r="X1951" i="4"/>
  <c r="C1952" i="4" l="1"/>
  <c r="D1952" i="4" s="1"/>
  <c r="W1953" i="4"/>
  <c r="X1952" i="4"/>
  <c r="C1953" i="4" l="1"/>
  <c r="D1953" i="4" s="1"/>
  <c r="W1954" i="4"/>
  <c r="X1953" i="4"/>
  <c r="C1954" i="4" l="1"/>
  <c r="W1955" i="4"/>
  <c r="X1954" i="4"/>
  <c r="D1954" i="4" l="1"/>
  <c r="C1955" i="4"/>
  <c r="X1955" i="4"/>
  <c r="W1956" i="4"/>
  <c r="D1955" i="4" l="1"/>
  <c r="C1956" i="4"/>
  <c r="W1957" i="4"/>
  <c r="X1956" i="4"/>
  <c r="D1956" i="4" l="1"/>
  <c r="C1957" i="4"/>
  <c r="W1958" i="4"/>
  <c r="X1957" i="4"/>
  <c r="D1957" i="4" l="1"/>
  <c r="C1958" i="4"/>
  <c r="W1959" i="4"/>
  <c r="X1958" i="4"/>
  <c r="D1958" i="4" l="1"/>
  <c r="C1959" i="4"/>
  <c r="X1959" i="4"/>
  <c r="W1960" i="4"/>
  <c r="D1959" i="4" l="1"/>
  <c r="C1960" i="4"/>
  <c r="W1961" i="4"/>
  <c r="X1960" i="4"/>
  <c r="D1960" i="4" l="1"/>
  <c r="C1961" i="4"/>
  <c r="X1961" i="4"/>
  <c r="W1962" i="4"/>
  <c r="D1961" i="4" l="1"/>
  <c r="C1962" i="4"/>
  <c r="W1963" i="4"/>
  <c r="X1962" i="4"/>
  <c r="D1962" i="4" l="1"/>
  <c r="C1963" i="4"/>
  <c r="W1964" i="4"/>
  <c r="X1963" i="4"/>
  <c r="D1963" i="4" l="1"/>
  <c r="C1964" i="4"/>
  <c r="W1965" i="4"/>
  <c r="X1964" i="4"/>
  <c r="D1964" i="4" l="1"/>
  <c r="C1965" i="4"/>
  <c r="W1966" i="4"/>
  <c r="X1965" i="4"/>
  <c r="D1965" i="4" l="1"/>
  <c r="C1966" i="4"/>
  <c r="W1967" i="4"/>
  <c r="X1966" i="4"/>
  <c r="D1966" i="4" l="1"/>
  <c r="C1967" i="4"/>
  <c r="X1967" i="4"/>
  <c r="W1968" i="4"/>
  <c r="D1967" i="4" l="1"/>
  <c r="C1968" i="4"/>
  <c r="W1969" i="4"/>
  <c r="X1968" i="4"/>
  <c r="D1968" i="4" l="1"/>
  <c r="C1969" i="4"/>
  <c r="X1969" i="4"/>
  <c r="W1970" i="4"/>
  <c r="C1970" i="4" l="1"/>
  <c r="D1969" i="4"/>
  <c r="X1970" i="4"/>
  <c r="W1971" i="4"/>
  <c r="C1971" i="4" l="1"/>
  <c r="D1970" i="4"/>
  <c r="W1972" i="4"/>
  <c r="X1971" i="4"/>
  <c r="C1972" i="4" l="1"/>
  <c r="D1971" i="4"/>
  <c r="X1972" i="4"/>
  <c r="W1973" i="4"/>
  <c r="C1973" i="4" l="1"/>
  <c r="D1973" i="4" s="1"/>
  <c r="D1972" i="4"/>
  <c r="X1973" i="4"/>
  <c r="W1974" i="4"/>
  <c r="C1974" i="4" l="1"/>
  <c r="D1974" i="4" s="1"/>
  <c r="W1975" i="4"/>
  <c r="X1974" i="4"/>
  <c r="C1975" i="4" l="1"/>
  <c r="D1975" i="4" s="1"/>
  <c r="X1975" i="4"/>
  <c r="W1976" i="4"/>
  <c r="C1976" i="4" l="1"/>
  <c r="W1977" i="4"/>
  <c r="X1976" i="4"/>
  <c r="D1976" i="4" l="1"/>
  <c r="C1977" i="4"/>
  <c r="W1978" i="4"/>
  <c r="X1977" i="4"/>
  <c r="D1977" i="4" l="1"/>
  <c r="C1978" i="4"/>
  <c r="W1979" i="4"/>
  <c r="X1978" i="4"/>
  <c r="D1978" i="4" l="1"/>
  <c r="C1979" i="4"/>
  <c r="W1980" i="4"/>
  <c r="X1979" i="4"/>
  <c r="D1979" i="4" l="1"/>
  <c r="C1980" i="4"/>
  <c r="W1981" i="4"/>
  <c r="X1980" i="4"/>
  <c r="D1980" i="4" l="1"/>
  <c r="C1981" i="4"/>
  <c r="W1982" i="4"/>
  <c r="X1981" i="4"/>
  <c r="D1981" i="4" l="1"/>
  <c r="C1982" i="4"/>
  <c r="W1983" i="4"/>
  <c r="X1982" i="4"/>
  <c r="D1982" i="4" l="1"/>
  <c r="C1983" i="4"/>
  <c r="X1983" i="4"/>
  <c r="W1984" i="4"/>
  <c r="D1983" i="4" l="1"/>
  <c r="C1984" i="4"/>
  <c r="W1985" i="4"/>
  <c r="X1984" i="4"/>
  <c r="C1985" i="4" l="1"/>
  <c r="D1984" i="4"/>
  <c r="W1986" i="4"/>
  <c r="X1985" i="4"/>
  <c r="D1985" i="4" l="1"/>
  <c r="C1986" i="4"/>
  <c r="X1986" i="4"/>
  <c r="W1987" i="4"/>
  <c r="D1986" i="4" l="1"/>
  <c r="C1987" i="4"/>
  <c r="X1987" i="4"/>
  <c r="W1988" i="4"/>
  <c r="D1987" i="4" l="1"/>
  <c r="C1988" i="4"/>
  <c r="W1989" i="4"/>
  <c r="X1988" i="4"/>
  <c r="D1988" i="4" l="1"/>
  <c r="C1989" i="4"/>
  <c r="X1989" i="4"/>
  <c r="W1990" i="4"/>
  <c r="D1989" i="4" l="1"/>
  <c r="C1990" i="4"/>
  <c r="W1991" i="4"/>
  <c r="X1990" i="4"/>
  <c r="D1990" i="4" l="1"/>
  <c r="C1991" i="4"/>
  <c r="X1991" i="4"/>
  <c r="W1992" i="4"/>
  <c r="C1992" i="4" l="1"/>
  <c r="D1991" i="4"/>
  <c r="W1993" i="4"/>
  <c r="X1992" i="4"/>
  <c r="D1992" i="4" l="1"/>
  <c r="C1993" i="4"/>
  <c r="W1994" i="4"/>
  <c r="X1993" i="4"/>
  <c r="C1994" i="4" l="1"/>
  <c r="D1994" i="4" s="1"/>
  <c r="D1993" i="4"/>
  <c r="W1995" i="4"/>
  <c r="X1994" i="4"/>
  <c r="C1995" i="4" l="1"/>
  <c r="D1995" i="4" s="1"/>
  <c r="W1996" i="4"/>
  <c r="X1995" i="4"/>
  <c r="C1996" i="4" l="1"/>
  <c r="D1996" i="4" s="1"/>
  <c r="X1996" i="4"/>
  <c r="W1997" i="4"/>
  <c r="C1997" i="4" l="1"/>
  <c r="X1997" i="4"/>
  <c r="W1998" i="4"/>
  <c r="D1997" i="4" l="1"/>
  <c r="C1998" i="4"/>
  <c r="W1999" i="4"/>
  <c r="X1998" i="4"/>
  <c r="C1999" i="4" l="1"/>
  <c r="D1998" i="4"/>
  <c r="W2000" i="4"/>
  <c r="X1999" i="4"/>
  <c r="W1" i="6" l="1"/>
  <c r="Y1" i="6" s="1"/>
  <c r="D1999" i="4"/>
  <c r="X2000" i="4"/>
  <c r="Y1196" i="4" s="1"/>
  <c r="O1" i="3"/>
  <c r="N1" i="3" s="1"/>
  <c r="B4" i="4" s="1"/>
  <c r="C2000" i="4"/>
  <c r="D2000" i="4" s="1"/>
  <c r="Y1641" i="4"/>
  <c r="Y1859" i="4"/>
  <c r="Y1820" i="4"/>
  <c r="BA9" i="2" l="1"/>
  <c r="BA13" i="2"/>
  <c r="BA17" i="2"/>
  <c r="BA21" i="2"/>
  <c r="BA25" i="2"/>
  <c r="BA29" i="2"/>
  <c r="BA33" i="2"/>
  <c r="BA37" i="2"/>
  <c r="BA41" i="2"/>
  <c r="BA45" i="2"/>
  <c r="BA49" i="2"/>
  <c r="BA53" i="2"/>
  <c r="BA57" i="2"/>
  <c r="BA61" i="2"/>
  <c r="BA65" i="2"/>
  <c r="BA69" i="2"/>
  <c r="BA73" i="2"/>
  <c r="BA77" i="2"/>
  <c r="BA81" i="2"/>
  <c r="BA85" i="2"/>
  <c r="BA89" i="2"/>
  <c r="BA93" i="2"/>
  <c r="BA97" i="2"/>
  <c r="BA101" i="2"/>
  <c r="BA105" i="2"/>
  <c r="BA109" i="2"/>
  <c r="BA113" i="2"/>
  <c r="BA117" i="2"/>
  <c r="BA121" i="2"/>
  <c r="BA125" i="2"/>
  <c r="BA129" i="2"/>
  <c r="BA133" i="2"/>
  <c r="BA137" i="2"/>
  <c r="BA141" i="2"/>
  <c r="BA145" i="2"/>
  <c r="BA149" i="2"/>
  <c r="BA153" i="2"/>
  <c r="BA157" i="2"/>
  <c r="BA161" i="2"/>
  <c r="BA165" i="2"/>
  <c r="BA169" i="2"/>
  <c r="BA173" i="2"/>
  <c r="BA177" i="2"/>
  <c r="BA181" i="2"/>
  <c r="BA185" i="2"/>
  <c r="BA189" i="2"/>
  <c r="BA193" i="2"/>
  <c r="BA197" i="2"/>
  <c r="BA6" i="2"/>
  <c r="BA10" i="2"/>
  <c r="BA14" i="2"/>
  <c r="BA18" i="2"/>
  <c r="BA22" i="2"/>
  <c r="BA26" i="2"/>
  <c r="BA30" i="2"/>
  <c r="BA38" i="2"/>
  <c r="BA42" i="2"/>
  <c r="BA46" i="2"/>
  <c r="BA50" i="2"/>
  <c r="BA54" i="2"/>
  <c r="BA58" i="2"/>
  <c r="BA62" i="2"/>
  <c r="BA66" i="2"/>
  <c r="BA70" i="2"/>
  <c r="BA74" i="2"/>
  <c r="BA78" i="2"/>
  <c r="BA82" i="2"/>
  <c r="BA86" i="2"/>
  <c r="BA90" i="2"/>
  <c r="BA94" i="2"/>
  <c r="BA98" i="2"/>
  <c r="BA102" i="2"/>
  <c r="BA106" i="2"/>
  <c r="BA114" i="2"/>
  <c r="BA118" i="2"/>
  <c r="BA122" i="2"/>
  <c r="BA126" i="2"/>
  <c r="BA130" i="2"/>
  <c r="BA134" i="2"/>
  <c r="BA142" i="2"/>
  <c r="BA146" i="2"/>
  <c r="BA150" i="2"/>
  <c r="BA158" i="2"/>
  <c r="BA166" i="2"/>
  <c r="BA174" i="2"/>
  <c r="BA34" i="2"/>
  <c r="BA110" i="2"/>
  <c r="BA138" i="2"/>
  <c r="BA154" i="2"/>
  <c r="BA162" i="2"/>
  <c r="BA170" i="2"/>
  <c r="BA12" i="2"/>
  <c r="BA20" i="2"/>
  <c r="BA28" i="2"/>
  <c r="BA36" i="2"/>
  <c r="BA44" i="2"/>
  <c r="BA52" i="2"/>
  <c r="BA60" i="2"/>
  <c r="BA68" i="2"/>
  <c r="BA76" i="2"/>
  <c r="BA84" i="2"/>
  <c r="BA92" i="2"/>
  <c r="BA100" i="2"/>
  <c r="BA108" i="2"/>
  <c r="BA116" i="2"/>
  <c r="BA124" i="2"/>
  <c r="BA132" i="2"/>
  <c r="BA140" i="2"/>
  <c r="BA148" i="2"/>
  <c r="BA156" i="2"/>
  <c r="BA164" i="2"/>
  <c r="BA172" i="2"/>
  <c r="BA179" i="2"/>
  <c r="BA184" i="2"/>
  <c r="BA190" i="2"/>
  <c r="BA195" i="2"/>
  <c r="BA200" i="2"/>
  <c r="BA7" i="2"/>
  <c r="BA15" i="2"/>
  <c r="BA31" i="2"/>
  <c r="BA39" i="2"/>
  <c r="BA47" i="2"/>
  <c r="BA55" i="2"/>
  <c r="BA63" i="2"/>
  <c r="BA71" i="2"/>
  <c r="BA79" i="2"/>
  <c r="BA87" i="2"/>
  <c r="BA95" i="2"/>
  <c r="BA103" i="2"/>
  <c r="BA111" i="2"/>
  <c r="BA119" i="2"/>
  <c r="BA127" i="2"/>
  <c r="BA135" i="2"/>
  <c r="BA143" i="2"/>
  <c r="BA159" i="2"/>
  <c r="BA167" i="2"/>
  <c r="BA175" i="2"/>
  <c r="BA180" i="2"/>
  <c r="BA186" i="2"/>
  <c r="BA196" i="2"/>
  <c r="BA16" i="2"/>
  <c r="BA32" i="2"/>
  <c r="BA48" i="2"/>
  <c r="BA72" i="2"/>
  <c r="BA88" i="2"/>
  <c r="BA104" i="2"/>
  <c r="BA120" i="2"/>
  <c r="BA136" i="2"/>
  <c r="BA152" i="2"/>
  <c r="BA168" i="2"/>
  <c r="BA182" i="2"/>
  <c r="BA192" i="2"/>
  <c r="BA19" i="2"/>
  <c r="BA35" i="2"/>
  <c r="BA51" i="2"/>
  <c r="BA59" i="2"/>
  <c r="BA75" i="2"/>
  <c r="BA91" i="2"/>
  <c r="BA107" i="2"/>
  <c r="BA123" i="2"/>
  <c r="BA139" i="2"/>
  <c r="BA155" i="2"/>
  <c r="BA171" i="2"/>
  <c r="BA183" i="2"/>
  <c r="BA194" i="2"/>
  <c r="BA23" i="2"/>
  <c r="BA151" i="2"/>
  <c r="BA191" i="2"/>
  <c r="BA8" i="2"/>
  <c r="BA24" i="2"/>
  <c r="BA40" i="2"/>
  <c r="BA56" i="2"/>
  <c r="BA64" i="2"/>
  <c r="BA80" i="2"/>
  <c r="BA96" i="2"/>
  <c r="BA112" i="2"/>
  <c r="BA128" i="2"/>
  <c r="BA144" i="2"/>
  <c r="BA160" i="2"/>
  <c r="BA176" i="2"/>
  <c r="BA187" i="2"/>
  <c r="BA198" i="2"/>
  <c r="BA11" i="2"/>
  <c r="BA27" i="2"/>
  <c r="BA43" i="2"/>
  <c r="BA67" i="2"/>
  <c r="BA83" i="2"/>
  <c r="BA99" i="2"/>
  <c r="BA115" i="2"/>
  <c r="BA131" i="2"/>
  <c r="BA147" i="2"/>
  <c r="BA163" i="2"/>
  <c r="BA178" i="2"/>
  <c r="BA188" i="2"/>
  <c r="BA199" i="2"/>
  <c r="AA1" i="6"/>
  <c r="AA2" i="6" s="1"/>
  <c r="Z1" i="6"/>
  <c r="Z2" i="6" s="1"/>
  <c r="Q1" i="7"/>
  <c r="Y2" i="6"/>
  <c r="BA1006" i="4"/>
  <c r="BA6" i="4"/>
  <c r="BA1007" i="4"/>
  <c r="BA1008" i="4"/>
  <c r="T8" i="1" s="1"/>
  <c r="BA7" i="4"/>
  <c r="BA1009" i="4"/>
  <c r="BA8" i="4"/>
  <c r="S13" i="1" s="1"/>
  <c r="R13" i="1" s="1"/>
  <c r="U13" i="1" s="1"/>
  <c r="BA1010" i="4"/>
  <c r="BA9" i="4"/>
  <c r="S14" i="1" s="1"/>
  <c r="BA1011" i="4"/>
  <c r="BA10" i="4"/>
  <c r="S15" i="1" s="1"/>
  <c r="R15" i="1" s="1"/>
  <c r="U15" i="1" s="1"/>
  <c r="BA1012" i="4"/>
  <c r="BA11" i="4"/>
  <c r="S16" i="1" s="1"/>
  <c r="R16" i="1" s="1"/>
  <c r="U16" i="1" s="1"/>
  <c r="BA1013" i="4"/>
  <c r="BA12" i="4"/>
  <c r="S17" i="1" s="1"/>
  <c r="R17" i="1" s="1"/>
  <c r="U17" i="1" s="1"/>
  <c r="BA1014" i="4"/>
  <c r="BA13" i="4"/>
  <c r="BA1015" i="4"/>
  <c r="BA14" i="4"/>
  <c r="S21" i="1" s="1"/>
  <c r="R21" i="1" s="1"/>
  <c r="U21" i="1" s="1"/>
  <c r="BA1016" i="4"/>
  <c r="BA15" i="4"/>
  <c r="S27" i="1" s="1"/>
  <c r="R27" i="1" s="1"/>
  <c r="U27" i="1" s="1"/>
  <c r="BA1017" i="4"/>
  <c r="BA16" i="4"/>
  <c r="S30" i="1" s="1"/>
  <c r="R30" i="1" s="1"/>
  <c r="U30" i="1" s="1"/>
  <c r="BA1018" i="4"/>
  <c r="BA17" i="4"/>
  <c r="BA1019" i="4"/>
  <c r="BA18" i="4"/>
  <c r="BA1020" i="4"/>
  <c r="BA19" i="4"/>
  <c r="S33" i="1" s="1"/>
  <c r="R33" i="1" s="1"/>
  <c r="U33" i="1" s="1"/>
  <c r="BA1021" i="4"/>
  <c r="BA20" i="4"/>
  <c r="S34" i="1" s="1"/>
  <c r="R34" i="1" s="1"/>
  <c r="U34" i="1" s="1"/>
  <c r="BA1022" i="4"/>
  <c r="BA21" i="4"/>
  <c r="BA1023" i="4"/>
  <c r="BA22" i="4"/>
  <c r="BA1024" i="4"/>
  <c r="BA23" i="4"/>
  <c r="BA1025" i="4"/>
  <c r="BA24" i="4"/>
  <c r="S42" i="1" s="1"/>
  <c r="R42" i="1" s="1"/>
  <c r="U42" i="1" s="1"/>
  <c r="BA1026" i="4"/>
  <c r="BA25" i="4"/>
  <c r="S46" i="1" s="1"/>
  <c r="R46" i="1" s="1"/>
  <c r="U46" i="1" s="1"/>
  <c r="BA1027" i="4"/>
  <c r="BA26" i="4"/>
  <c r="BA27" i="4"/>
  <c r="BA1028" i="4"/>
  <c r="BA1029" i="4"/>
  <c r="BA28" i="4"/>
  <c r="BA29" i="4"/>
  <c r="S54" i="1" s="1"/>
  <c r="R54" i="1" s="1"/>
  <c r="U54" i="1" s="1"/>
  <c r="BA1030" i="4"/>
  <c r="BA1031" i="4"/>
  <c r="BA30" i="4"/>
  <c r="BA1032" i="4"/>
  <c r="BA31" i="4"/>
  <c r="BA1033" i="4"/>
  <c r="BA32" i="4"/>
  <c r="S58" i="1" s="1"/>
  <c r="R58" i="1" s="1"/>
  <c r="U58" i="1" s="1"/>
  <c r="BA1034" i="4"/>
  <c r="T50" i="1" s="1"/>
  <c r="BA33" i="4"/>
  <c r="BA1035" i="4"/>
  <c r="BA34" i="4"/>
  <c r="S61" i="1" s="1"/>
  <c r="BA35" i="4"/>
  <c r="BA1036" i="4"/>
  <c r="BA1037" i="4"/>
  <c r="BA36" i="4"/>
  <c r="S65" i="1" s="1"/>
  <c r="R65" i="1" s="1"/>
  <c r="U65" i="1" s="1"/>
  <c r="BA37" i="4"/>
  <c r="BA1038" i="4"/>
  <c r="BA1039" i="4"/>
  <c r="T41" i="1" s="1"/>
  <c r="BA38" i="4"/>
  <c r="S69" i="1" s="1"/>
  <c r="R69" i="1" s="1"/>
  <c r="U69" i="1" s="1"/>
  <c r="BA1040" i="4"/>
  <c r="BA39" i="4"/>
  <c r="BA1041" i="4"/>
  <c r="BA40" i="4"/>
  <c r="S72" i="1" s="1"/>
  <c r="R72" i="1" s="1"/>
  <c r="U72" i="1" s="1"/>
  <c r="BA1042" i="4"/>
  <c r="BA41" i="4"/>
  <c r="BA1043" i="4"/>
  <c r="BA42" i="4"/>
  <c r="S28" i="1" s="1"/>
  <c r="R28" i="1" s="1"/>
  <c r="U28" i="1" s="1"/>
  <c r="BA1044" i="4"/>
  <c r="BA43" i="4"/>
  <c r="S52" i="1" s="1"/>
  <c r="R52" i="1" s="1"/>
  <c r="U52" i="1" s="1"/>
  <c r="BA1045" i="4"/>
  <c r="BA44" i="4"/>
  <c r="BA1046" i="4"/>
  <c r="BA45" i="4"/>
  <c r="S35" i="1" s="1"/>
  <c r="BA1047" i="4"/>
  <c r="BA46" i="4"/>
  <c r="S22" i="1" s="1"/>
  <c r="R22" i="1" s="1"/>
  <c r="U22" i="1" s="1"/>
  <c r="BA47" i="4"/>
  <c r="S47" i="1" s="1"/>
  <c r="R47" i="1" s="1"/>
  <c r="U47" i="1" s="1"/>
  <c r="BA1048" i="4"/>
  <c r="BA48" i="4"/>
  <c r="S43" i="1" s="1"/>
  <c r="R43" i="1" s="1"/>
  <c r="U43" i="1" s="1"/>
  <c r="BA1049" i="4"/>
  <c r="BA49" i="4"/>
  <c r="S9" i="1" s="1"/>
  <c r="R9" i="1" s="1"/>
  <c r="U9" i="1" s="1"/>
  <c r="BA1050" i="4"/>
  <c r="BA1051" i="4"/>
  <c r="BA50" i="4"/>
  <c r="BA51" i="4"/>
  <c r="BA1052" i="4"/>
  <c r="BA53" i="4"/>
  <c r="BA1053" i="4"/>
  <c r="BA52" i="4"/>
  <c r="BA54" i="4"/>
  <c r="BA1054" i="4"/>
  <c r="BA55" i="4"/>
  <c r="BA1055" i="4"/>
  <c r="BA56" i="4"/>
  <c r="BA1056" i="4"/>
  <c r="BA57" i="4"/>
  <c r="BA1057" i="4"/>
  <c r="BA58" i="4"/>
  <c r="BA1058" i="4"/>
  <c r="BA59" i="4"/>
  <c r="BA1059" i="4"/>
  <c r="BA60" i="4"/>
  <c r="BA1060" i="4"/>
  <c r="BA1061" i="4"/>
  <c r="BA61" i="4"/>
  <c r="BA1062" i="4"/>
  <c r="BA62" i="4"/>
  <c r="BA1063" i="4"/>
  <c r="BA63" i="4"/>
  <c r="BA64" i="4"/>
  <c r="BA1064" i="4"/>
  <c r="BA1065" i="4"/>
  <c r="BA65" i="4"/>
  <c r="S23" i="1" s="1"/>
  <c r="BA1066" i="4"/>
  <c r="BA66" i="4"/>
  <c r="BA1067" i="4"/>
  <c r="BA67" i="4"/>
  <c r="BA1068" i="4"/>
  <c r="BA68" i="4"/>
  <c r="BA1069" i="4"/>
  <c r="BA69" i="4"/>
  <c r="BA70" i="4"/>
  <c r="BA1070" i="4"/>
  <c r="BA71" i="4"/>
  <c r="S36" i="1" s="1"/>
  <c r="BA1071" i="4"/>
  <c r="BA72" i="4"/>
  <c r="S44" i="1" s="1"/>
  <c r="BA1072" i="4"/>
  <c r="BA73" i="4"/>
  <c r="BA1073" i="4"/>
  <c r="BA74" i="4"/>
  <c r="S48" i="1" s="1"/>
  <c r="BA1074" i="4"/>
  <c r="BA1075" i="4"/>
  <c r="BA75" i="4"/>
  <c r="BA76" i="4"/>
  <c r="S59" i="1" s="1"/>
  <c r="BA1076" i="4"/>
  <c r="BA77" i="4"/>
  <c r="S62" i="1" s="1"/>
  <c r="BA1077" i="4"/>
  <c r="BA78" i="4"/>
  <c r="S63" i="1" s="1"/>
  <c r="BA1078" i="4"/>
  <c r="BA79" i="4"/>
  <c r="S39" i="1" s="1"/>
  <c r="BA1079" i="4"/>
  <c r="BA80" i="4"/>
  <c r="S68" i="1" s="1"/>
  <c r="BA1080" i="4"/>
  <c r="BA81" i="4"/>
  <c r="BA1081" i="4"/>
  <c r="BA1082" i="4"/>
  <c r="BA82" i="4"/>
  <c r="BA83" i="4"/>
  <c r="BA1083" i="4"/>
  <c r="BA1084" i="4"/>
  <c r="BA84" i="4"/>
  <c r="BA85" i="4"/>
  <c r="BA1085" i="4"/>
  <c r="BA1086" i="4"/>
  <c r="BA86" i="4"/>
  <c r="BA87" i="4"/>
  <c r="BA1087" i="4"/>
  <c r="BA88" i="4"/>
  <c r="BA1088" i="4"/>
  <c r="BA89" i="4"/>
  <c r="BA1089" i="4"/>
  <c r="BA90" i="4"/>
  <c r="BA1090" i="4"/>
  <c r="BA91" i="4"/>
  <c r="S24" i="1" s="1"/>
  <c r="BA1091" i="4"/>
  <c r="BA1092" i="4"/>
  <c r="T61" i="1" s="1"/>
  <c r="BA92" i="4"/>
  <c r="S26" i="1" s="1"/>
  <c r="BA1093" i="4"/>
  <c r="BA93" i="4"/>
  <c r="BA94" i="4"/>
  <c r="S11" i="1" s="1"/>
  <c r="BA1094" i="4"/>
  <c r="BA95" i="4"/>
  <c r="S49" i="1" s="1"/>
  <c r="BA1095" i="4"/>
  <c r="BA96" i="4"/>
  <c r="S45" i="1" s="1"/>
  <c r="BA1096" i="4"/>
  <c r="BA97" i="4"/>
  <c r="S29" i="1" s="1"/>
  <c r="BA1097" i="4"/>
  <c r="BA98" i="4"/>
  <c r="BA1098" i="4"/>
  <c r="BA99" i="4"/>
  <c r="BA1099" i="4"/>
  <c r="BA100" i="4"/>
  <c r="S56" i="1" s="1"/>
  <c r="BA1100" i="4"/>
  <c r="BA101" i="4"/>
  <c r="BA1101" i="4"/>
  <c r="BA102" i="4"/>
  <c r="BA1102" i="4"/>
  <c r="BA1103" i="4"/>
  <c r="BA103" i="4"/>
  <c r="BA104" i="4"/>
  <c r="BA1104" i="4"/>
  <c r="BA105" i="4"/>
  <c r="S12" i="1" s="1"/>
  <c r="R12" i="1" s="1"/>
  <c r="U12" i="1" s="1"/>
  <c r="BA1105" i="4"/>
  <c r="BA1106" i="4"/>
  <c r="BA106" i="4"/>
  <c r="S25" i="1" s="1"/>
  <c r="BA107" i="4"/>
  <c r="BA1107" i="4"/>
  <c r="BA108" i="4"/>
  <c r="BA1108" i="4"/>
  <c r="BA109" i="4"/>
  <c r="BA1109" i="4"/>
  <c r="BA110" i="4"/>
  <c r="BA1110" i="4"/>
  <c r="BA111" i="4"/>
  <c r="BA1111" i="4"/>
  <c r="BA112" i="4"/>
  <c r="BA1112" i="4"/>
  <c r="BA113" i="4"/>
  <c r="S67" i="1" s="1"/>
  <c r="BA1113" i="4"/>
  <c r="BA114" i="4"/>
  <c r="S31" i="1" s="1"/>
  <c r="BA1114" i="4"/>
  <c r="BA115" i="4"/>
  <c r="S50" i="1" s="1"/>
  <c r="BA1115" i="4"/>
  <c r="BA1116" i="4"/>
  <c r="BA116" i="4"/>
  <c r="BA117" i="4"/>
  <c r="BA1117" i="4"/>
  <c r="BA118" i="4"/>
  <c r="BA1118" i="4"/>
  <c r="BA119" i="4"/>
  <c r="BA1119" i="4"/>
  <c r="BA1120" i="4"/>
  <c r="BA120" i="4"/>
  <c r="BA1121" i="4"/>
  <c r="BA121" i="4"/>
  <c r="BA1122" i="4"/>
  <c r="BA122" i="4"/>
  <c r="BA123" i="4"/>
  <c r="BA1123" i="4"/>
  <c r="BA1124" i="4"/>
  <c r="BA124" i="4"/>
  <c r="BA125" i="4"/>
  <c r="BA1125" i="4"/>
  <c r="T40" i="1" s="1"/>
  <c r="BA126" i="4"/>
  <c r="BA1126" i="4"/>
  <c r="BA127" i="4"/>
  <c r="BA1127" i="4"/>
  <c r="BA1128" i="4"/>
  <c r="BA128" i="4"/>
  <c r="BA1129" i="4"/>
  <c r="BA129" i="4"/>
  <c r="BA1130" i="4"/>
  <c r="BA130" i="4"/>
  <c r="BA1131" i="4"/>
  <c r="BA131" i="4"/>
  <c r="BA1132" i="4"/>
  <c r="BA132" i="4"/>
  <c r="BA133" i="4"/>
  <c r="BA1133" i="4"/>
  <c r="BA134" i="4"/>
  <c r="BA1134" i="4"/>
  <c r="BA135" i="4"/>
  <c r="BA1135" i="4"/>
  <c r="BA136" i="4"/>
  <c r="BA1136" i="4"/>
  <c r="BA137" i="4"/>
  <c r="BA1137" i="4"/>
  <c r="BA138" i="4"/>
  <c r="BA1138" i="4"/>
  <c r="BA139" i="4"/>
  <c r="BA1139" i="4"/>
  <c r="BA140" i="4"/>
  <c r="BA1140" i="4"/>
  <c r="BA1141" i="4"/>
  <c r="BA141" i="4"/>
  <c r="BA142" i="4"/>
  <c r="BA1142" i="4"/>
  <c r="BA1143" i="4"/>
  <c r="BA143" i="4"/>
  <c r="BA144" i="4"/>
  <c r="BA1144" i="4"/>
  <c r="BA145" i="4"/>
  <c r="BA1145" i="4"/>
  <c r="BA1146" i="4"/>
  <c r="BA146" i="4"/>
  <c r="BA1147" i="4"/>
  <c r="BA147" i="4"/>
  <c r="BA148" i="4"/>
  <c r="BA1148" i="4"/>
  <c r="BA1149" i="4"/>
  <c r="BA149" i="4"/>
  <c r="BA1150" i="4"/>
  <c r="BA150" i="4"/>
  <c r="BA1151" i="4"/>
  <c r="BA151" i="4"/>
  <c r="BA152" i="4"/>
  <c r="BA1152" i="4"/>
  <c r="BA1153" i="4"/>
  <c r="BA153" i="4"/>
  <c r="BA1154" i="4"/>
  <c r="BA154" i="4"/>
  <c r="BA155" i="4"/>
  <c r="BA1155" i="4"/>
  <c r="BA156" i="4"/>
  <c r="BA1156" i="4"/>
  <c r="BA157" i="4"/>
  <c r="BA1157" i="4"/>
  <c r="BA158" i="4"/>
  <c r="BA1158" i="4"/>
  <c r="BA1159" i="4"/>
  <c r="BA159" i="4"/>
  <c r="BA160" i="4"/>
  <c r="BA1160" i="4"/>
  <c r="BA161" i="4"/>
  <c r="BA1161" i="4"/>
  <c r="BA162" i="4"/>
  <c r="BA1162" i="4"/>
  <c r="BA163" i="4"/>
  <c r="BA1163" i="4"/>
  <c r="BA164" i="4"/>
  <c r="BA1164" i="4"/>
  <c r="BA165" i="4"/>
  <c r="BA1165" i="4"/>
  <c r="BA166" i="4"/>
  <c r="BA1166" i="4"/>
  <c r="BA167" i="4"/>
  <c r="BA1167" i="4"/>
  <c r="BA1168" i="4"/>
  <c r="BA168" i="4"/>
  <c r="BA1169" i="4"/>
  <c r="BA169" i="4"/>
  <c r="BA1170" i="4"/>
  <c r="BA170" i="4"/>
  <c r="BA171" i="4"/>
  <c r="BA1171" i="4"/>
  <c r="BA172" i="4"/>
  <c r="BA1172" i="4"/>
  <c r="BA173" i="4"/>
  <c r="BA1173" i="4"/>
  <c r="BA174" i="4"/>
  <c r="BA1174" i="4"/>
  <c r="BA175" i="4"/>
  <c r="BA1175" i="4"/>
  <c r="BA176" i="4"/>
  <c r="BA1176" i="4"/>
  <c r="BA177" i="4"/>
  <c r="BA1177" i="4"/>
  <c r="BA178" i="4"/>
  <c r="BA1178" i="4"/>
  <c r="BA1179" i="4"/>
  <c r="BA179" i="4"/>
  <c r="BA1180" i="4"/>
  <c r="BA180" i="4"/>
  <c r="BA181" i="4"/>
  <c r="BA1181" i="4"/>
  <c r="BA182" i="4"/>
  <c r="BA1182" i="4"/>
  <c r="BA1183" i="4"/>
  <c r="BA183" i="4"/>
  <c r="BA1184" i="4"/>
  <c r="BA184" i="4"/>
  <c r="BA1185" i="4"/>
  <c r="BA185" i="4"/>
  <c r="BA1186" i="4"/>
  <c r="BA186" i="4"/>
  <c r="BA1187" i="4"/>
  <c r="BA187" i="4"/>
  <c r="BA1188" i="4"/>
  <c r="BA188" i="4"/>
  <c r="BA189" i="4"/>
  <c r="BA1189" i="4"/>
  <c r="BA190" i="4"/>
  <c r="BA1190" i="4"/>
  <c r="BA1191" i="4"/>
  <c r="BA191" i="4"/>
  <c r="BA192" i="4"/>
  <c r="BA1192" i="4"/>
  <c r="BA193" i="4"/>
  <c r="BA1193" i="4"/>
  <c r="BA1194" i="4"/>
  <c r="BA194" i="4"/>
  <c r="BA1195" i="4"/>
  <c r="BA195" i="4"/>
  <c r="BA196" i="4"/>
  <c r="BA1196" i="4"/>
  <c r="BA197" i="4"/>
  <c r="BA1197" i="4"/>
  <c r="BA1198" i="4"/>
  <c r="BA198" i="4"/>
  <c r="BA1199" i="4"/>
  <c r="BA199" i="4"/>
  <c r="BA1200" i="4"/>
  <c r="BA1201" i="4"/>
  <c r="BA1202" i="4"/>
  <c r="BA1203" i="4"/>
  <c r="BA1204" i="4"/>
  <c r="BA1205" i="4"/>
  <c r="BA1206" i="4"/>
  <c r="BA1207" i="4"/>
  <c r="BA1208" i="4"/>
  <c r="BA1209" i="4"/>
  <c r="BA1210" i="4"/>
  <c r="BA1211" i="4"/>
  <c r="BA1212" i="4"/>
  <c r="BA1213" i="4"/>
  <c r="BA1214" i="4"/>
  <c r="BA1215" i="4"/>
  <c r="BA1216" i="4"/>
  <c r="BA1217" i="4"/>
  <c r="BA1218" i="4"/>
  <c r="BA1219" i="4"/>
  <c r="BA1220" i="4"/>
  <c r="BA1221" i="4"/>
  <c r="BA1222" i="4"/>
  <c r="BA1223" i="4"/>
  <c r="BA1224" i="4"/>
  <c r="BA1225" i="4"/>
  <c r="BA1226" i="4"/>
  <c r="BA1227" i="4"/>
  <c r="BA1228" i="4"/>
  <c r="BA1229" i="4"/>
  <c r="BA1230" i="4"/>
  <c r="BA1231" i="4"/>
  <c r="BA1232" i="4"/>
  <c r="BA1233" i="4"/>
  <c r="BA1234" i="4"/>
  <c r="BA1235" i="4"/>
  <c r="BA1236" i="4"/>
  <c r="BA1237" i="4"/>
  <c r="BA1238" i="4"/>
  <c r="BA1239" i="4"/>
  <c r="BA1240" i="4"/>
  <c r="BA1241" i="4"/>
  <c r="BA1242" i="4"/>
  <c r="BA1243" i="4"/>
  <c r="BA1244" i="4"/>
  <c r="BA1245" i="4"/>
  <c r="BA1246" i="4"/>
  <c r="BA1247" i="4"/>
  <c r="BA1248" i="4"/>
  <c r="BA1249" i="4"/>
  <c r="BA1250" i="4"/>
  <c r="BA1251" i="4"/>
  <c r="BA1252" i="4"/>
  <c r="BA1253" i="4"/>
  <c r="BA1254" i="4"/>
  <c r="BA1255" i="4"/>
  <c r="BA1256" i="4"/>
  <c r="BA1257" i="4"/>
  <c r="BA1258" i="4"/>
  <c r="BA1259" i="4"/>
  <c r="BA1260" i="4"/>
  <c r="BA1261" i="4"/>
  <c r="BA1262" i="4"/>
  <c r="BA1263" i="4"/>
  <c r="BA1264" i="4"/>
  <c r="BA1265" i="4"/>
  <c r="BA1266" i="4"/>
  <c r="BA1267" i="4"/>
  <c r="BA1268" i="4"/>
  <c r="BA1269" i="4"/>
  <c r="BA1270" i="4"/>
  <c r="BA1271" i="4"/>
  <c r="BA1272" i="4"/>
  <c r="BA1273" i="4"/>
  <c r="BA1274" i="4"/>
  <c r="BA1275" i="4"/>
  <c r="BA1276" i="4"/>
  <c r="BA1277" i="4"/>
  <c r="BA1278" i="4"/>
  <c r="BA1279" i="4"/>
  <c r="BA1280" i="4"/>
  <c r="BA1281" i="4"/>
  <c r="BA1282" i="4"/>
  <c r="BA1283" i="4"/>
  <c r="BA1284" i="4"/>
  <c r="BA1285" i="4"/>
  <c r="BA1286" i="4"/>
  <c r="BA1287" i="4"/>
  <c r="BA1288" i="4"/>
  <c r="BA1289" i="4"/>
  <c r="BA1290" i="4"/>
  <c r="BA1291" i="4"/>
  <c r="BA1292" i="4"/>
  <c r="BA1293" i="4"/>
  <c r="BA1294" i="4"/>
  <c r="BA1295" i="4"/>
  <c r="BA1296" i="4"/>
  <c r="BA1297" i="4"/>
  <c r="BA1298" i="4"/>
  <c r="BA1299" i="4"/>
  <c r="BA1300" i="4"/>
  <c r="BA1301" i="4"/>
  <c r="BA1302" i="4"/>
  <c r="BA1303" i="4"/>
  <c r="BA1304" i="4"/>
  <c r="BA1305" i="4"/>
  <c r="BA1306" i="4"/>
  <c r="BA1307" i="4"/>
  <c r="BA1308" i="4"/>
  <c r="BA1309" i="4"/>
  <c r="BA1310" i="4"/>
  <c r="BA1311" i="4"/>
  <c r="BA1312" i="4"/>
  <c r="BA1313" i="4"/>
  <c r="BA1314" i="4"/>
  <c r="BA1315" i="4"/>
  <c r="BA1316" i="4"/>
  <c r="BA1317" i="4"/>
  <c r="BA1318" i="4"/>
  <c r="BA1319" i="4"/>
  <c r="BA1320" i="4"/>
  <c r="BA1321" i="4"/>
  <c r="BA1322" i="4"/>
  <c r="BA1323" i="4"/>
  <c r="BA1324" i="4"/>
  <c r="BA1325" i="4"/>
  <c r="BA1326" i="4"/>
  <c r="BA1327" i="4"/>
  <c r="BA1328" i="4"/>
  <c r="BA1329" i="4"/>
  <c r="BA1330" i="4"/>
  <c r="BA1331" i="4"/>
  <c r="BA1332" i="4"/>
  <c r="BA1333" i="4"/>
  <c r="BA1334" i="4"/>
  <c r="BA1335" i="4"/>
  <c r="BA1336" i="4"/>
  <c r="BA1337" i="4"/>
  <c r="BA1338" i="4"/>
  <c r="BA1339" i="4"/>
  <c r="BA1340" i="4"/>
  <c r="BA1341" i="4"/>
  <c r="BA1342" i="4"/>
  <c r="BA1343" i="4"/>
  <c r="BA1344" i="4"/>
  <c r="BA1345" i="4"/>
  <c r="BA1346" i="4"/>
  <c r="BA1347" i="4"/>
  <c r="BA1348" i="4"/>
  <c r="BA1349" i="4"/>
  <c r="BA1350" i="4"/>
  <c r="BA1351" i="4"/>
  <c r="BA1352" i="4"/>
  <c r="BA1353" i="4"/>
  <c r="BA1354" i="4"/>
  <c r="BA1355" i="4"/>
  <c r="BA1356" i="4"/>
  <c r="BA1357" i="4"/>
  <c r="BA1358" i="4"/>
  <c r="BA1359" i="4"/>
  <c r="BA1360" i="4"/>
  <c r="BA1361" i="4"/>
  <c r="BA1362" i="4"/>
  <c r="BA1363" i="4"/>
  <c r="BA1364" i="4"/>
  <c r="BA1365" i="4"/>
  <c r="BA1366" i="4"/>
  <c r="BA1367" i="4"/>
  <c r="BA1368" i="4"/>
  <c r="BA1369" i="4"/>
  <c r="BA1370" i="4"/>
  <c r="BA1371" i="4"/>
  <c r="BA1372" i="4"/>
  <c r="BA1373" i="4"/>
  <c r="BA1374" i="4"/>
  <c r="BA1375" i="4"/>
  <c r="BA1376" i="4"/>
  <c r="BA1377" i="4"/>
  <c r="BA1378" i="4"/>
  <c r="BA1379" i="4"/>
  <c r="BA1380" i="4"/>
  <c r="BA1381" i="4"/>
  <c r="BA1382" i="4"/>
  <c r="BA1383" i="4"/>
  <c r="BA1384" i="4"/>
  <c r="BA1385" i="4"/>
  <c r="BA1386" i="4"/>
  <c r="BA1387" i="4"/>
  <c r="BA1388" i="4"/>
  <c r="BA1389" i="4"/>
  <c r="BA1390" i="4"/>
  <c r="BA1391" i="4"/>
  <c r="BA1392" i="4"/>
  <c r="BA1393" i="4"/>
  <c r="BA1394" i="4"/>
  <c r="BA1395" i="4"/>
  <c r="BA1396" i="4"/>
  <c r="BA1397" i="4"/>
  <c r="BA1398" i="4"/>
  <c r="BA1399" i="4"/>
  <c r="BA1400" i="4"/>
  <c r="BA1401" i="4"/>
  <c r="BA1402" i="4"/>
  <c r="BA1403" i="4"/>
  <c r="BA1404" i="4"/>
  <c r="BA1405" i="4"/>
  <c r="BA1406" i="4"/>
  <c r="BA1407" i="4"/>
  <c r="BA1408" i="4"/>
  <c r="BA1409" i="4"/>
  <c r="BA1410" i="4"/>
  <c r="BA1411" i="4"/>
  <c r="BA1412" i="4"/>
  <c r="BA1413" i="4"/>
  <c r="BA1414" i="4"/>
  <c r="BA1415" i="4"/>
  <c r="BA1416" i="4"/>
  <c r="BA1417" i="4"/>
  <c r="BA1418" i="4"/>
  <c r="BA1419" i="4"/>
  <c r="BA1420" i="4"/>
  <c r="BA1421" i="4"/>
  <c r="BA1422" i="4"/>
  <c r="BA1423" i="4"/>
  <c r="BA1424" i="4"/>
  <c r="BA1425" i="4"/>
  <c r="BA1426" i="4"/>
  <c r="BA1427" i="4"/>
  <c r="BA1428" i="4"/>
  <c r="BA1429" i="4"/>
  <c r="BA1430" i="4"/>
  <c r="BA1431" i="4"/>
  <c r="BA1432" i="4"/>
  <c r="BA1433" i="4"/>
  <c r="BA1434" i="4"/>
  <c r="BA1435" i="4"/>
  <c r="BA1436" i="4"/>
  <c r="BA1437" i="4"/>
  <c r="BA1438" i="4"/>
  <c r="BA1439" i="4"/>
  <c r="BA1440" i="4"/>
  <c r="BA1441" i="4"/>
  <c r="BA1442" i="4"/>
  <c r="BA1443" i="4"/>
  <c r="BA1444" i="4"/>
  <c r="BA1445" i="4"/>
  <c r="BA1446" i="4"/>
  <c r="BA1447" i="4"/>
  <c r="BA1448" i="4"/>
  <c r="BA1449" i="4"/>
  <c r="BA1450" i="4"/>
  <c r="BA1451" i="4"/>
  <c r="BA1452" i="4"/>
  <c r="BA1453" i="4"/>
  <c r="BA1454" i="4"/>
  <c r="BA1455" i="4"/>
  <c r="BA1456" i="4"/>
  <c r="BA1457" i="4"/>
  <c r="BA1458" i="4"/>
  <c r="BA1459" i="4"/>
  <c r="BA1460" i="4"/>
  <c r="BA1461" i="4"/>
  <c r="BA1462" i="4"/>
  <c r="BA1463" i="4"/>
  <c r="BA1464" i="4"/>
  <c r="BA1465" i="4"/>
  <c r="BA1466" i="4"/>
  <c r="BA1467" i="4"/>
  <c r="BA1468" i="4"/>
  <c r="BA1469" i="4"/>
  <c r="BA1470" i="4"/>
  <c r="BA1471" i="4"/>
  <c r="BA1472" i="4"/>
  <c r="BA1473" i="4"/>
  <c r="BA1474" i="4"/>
  <c r="BA1475" i="4"/>
  <c r="BA1476" i="4"/>
  <c r="BA1477" i="4"/>
  <c r="BA1478" i="4"/>
  <c r="BA1479" i="4"/>
  <c r="BA1480" i="4"/>
  <c r="BA1481" i="4"/>
  <c r="BA1482" i="4"/>
  <c r="BA1483" i="4"/>
  <c r="BA1484" i="4"/>
  <c r="BA1485" i="4"/>
  <c r="BA1486" i="4"/>
  <c r="BA1487" i="4"/>
  <c r="BA1488" i="4"/>
  <c r="BA1489" i="4"/>
  <c r="BA1490" i="4"/>
  <c r="BA1491" i="4"/>
  <c r="BA1492" i="4"/>
  <c r="BA1493" i="4"/>
  <c r="BA1494" i="4"/>
  <c r="BA1495" i="4"/>
  <c r="BA1496" i="4"/>
  <c r="BA1497" i="4"/>
  <c r="BA1498" i="4"/>
  <c r="BA1499" i="4"/>
  <c r="BA1500" i="4"/>
  <c r="BA1501" i="4"/>
  <c r="BA1502" i="4"/>
  <c r="BA1503" i="4"/>
  <c r="BA1504" i="4"/>
  <c r="BA1505" i="4"/>
  <c r="BA1506" i="4"/>
  <c r="T20" i="1" s="1"/>
  <c r="BA1507" i="4"/>
  <c r="BA1508" i="4"/>
  <c r="BA1509" i="4"/>
  <c r="BA1510" i="4"/>
  <c r="BA1511" i="4"/>
  <c r="BA1512" i="4"/>
  <c r="BA1513" i="4"/>
  <c r="BA1514" i="4"/>
  <c r="BA1515" i="4"/>
  <c r="BA1516" i="4"/>
  <c r="BA1517" i="4"/>
  <c r="BA1518" i="4"/>
  <c r="BA1519" i="4"/>
  <c r="BA1520" i="4"/>
  <c r="BA1521" i="4"/>
  <c r="BA1522" i="4"/>
  <c r="BA1523" i="4"/>
  <c r="BA1524" i="4"/>
  <c r="BA1525" i="4"/>
  <c r="BA1526" i="4"/>
  <c r="BA1527" i="4"/>
  <c r="BA1528" i="4"/>
  <c r="BA1529" i="4"/>
  <c r="BA1530" i="4"/>
  <c r="BA1531" i="4"/>
  <c r="BA1532" i="4"/>
  <c r="BA1533" i="4"/>
  <c r="BA1534" i="4"/>
  <c r="BA1535" i="4"/>
  <c r="BA1536" i="4"/>
  <c r="BA1537" i="4"/>
  <c r="BA1538" i="4"/>
  <c r="BA1539" i="4"/>
  <c r="BA1540" i="4"/>
  <c r="BA1541" i="4"/>
  <c r="BA1542" i="4"/>
  <c r="BA1543" i="4"/>
  <c r="BA1544" i="4"/>
  <c r="BA1545" i="4"/>
  <c r="BA1546" i="4"/>
  <c r="BA1547" i="4"/>
  <c r="BA1548" i="4"/>
  <c r="BA1549" i="4"/>
  <c r="BA1550" i="4"/>
  <c r="BA1551" i="4"/>
  <c r="BA1552" i="4"/>
  <c r="BA1553" i="4"/>
  <c r="BA1554" i="4"/>
  <c r="BA1555" i="4"/>
  <c r="BA1556" i="4"/>
  <c r="BA1557" i="4"/>
  <c r="BA1558" i="4"/>
  <c r="BA1559" i="4"/>
  <c r="BA1560" i="4"/>
  <c r="BA1561" i="4"/>
  <c r="BA1562" i="4"/>
  <c r="BA1563" i="4"/>
  <c r="BA1564" i="4"/>
  <c r="BA1565" i="4"/>
  <c r="T68" i="1" s="1"/>
  <c r="BA1566" i="4"/>
  <c r="BA1567" i="4"/>
  <c r="T39" i="1" s="1"/>
  <c r="BA1568" i="4"/>
  <c r="BA1569" i="4"/>
  <c r="BA1570" i="4"/>
  <c r="BA1571" i="4"/>
  <c r="BA1572" i="4"/>
  <c r="BA1573" i="4"/>
  <c r="BA1574" i="4"/>
  <c r="BA1575" i="4"/>
  <c r="BA1576" i="4"/>
  <c r="BA1577" i="4"/>
  <c r="BA1578" i="4"/>
  <c r="BA1579" i="4"/>
  <c r="BA1580" i="4"/>
  <c r="BA1581" i="4"/>
  <c r="BA1582" i="4"/>
  <c r="BA1583" i="4"/>
  <c r="BA1584" i="4"/>
  <c r="BA1585" i="4"/>
  <c r="BA1586" i="4"/>
  <c r="BA1587" i="4"/>
  <c r="BA1588" i="4"/>
  <c r="BA1589" i="4"/>
  <c r="BA1590" i="4"/>
  <c r="BA1591" i="4"/>
  <c r="BA1592" i="4"/>
  <c r="BA1593" i="4"/>
  <c r="BA1594" i="4"/>
  <c r="BA1595" i="4"/>
  <c r="BA1596" i="4"/>
  <c r="BA1597" i="4"/>
  <c r="BA1598" i="4"/>
  <c r="BA1599" i="4"/>
  <c r="BA1600" i="4"/>
  <c r="BA1601" i="4"/>
  <c r="BA1602" i="4"/>
  <c r="BA1603" i="4"/>
  <c r="BA1604" i="4"/>
  <c r="BA1605" i="4"/>
  <c r="BA1606" i="4"/>
  <c r="BA1607" i="4"/>
  <c r="BA1608" i="4"/>
  <c r="BA1609" i="4"/>
  <c r="BA1610" i="4"/>
  <c r="BA1611" i="4"/>
  <c r="BA1612" i="4"/>
  <c r="BA1613" i="4"/>
  <c r="BA1614" i="4"/>
  <c r="BA1615" i="4"/>
  <c r="BA1616" i="4"/>
  <c r="BA1617" i="4"/>
  <c r="BA1618" i="4"/>
  <c r="BA1619" i="4"/>
  <c r="BA1620" i="4"/>
  <c r="BA1621" i="4"/>
  <c r="BA1622" i="4"/>
  <c r="BA1623" i="4"/>
  <c r="BA1624" i="4"/>
  <c r="BA1625" i="4"/>
  <c r="BA1626" i="4"/>
  <c r="BA1627" i="4"/>
  <c r="BA1628" i="4"/>
  <c r="BA1629" i="4"/>
  <c r="BA1630" i="4"/>
  <c r="BA1631" i="4"/>
  <c r="BA1632" i="4"/>
  <c r="BA1633" i="4"/>
  <c r="BA1634" i="4"/>
  <c r="BA1635" i="4"/>
  <c r="BA1636" i="4"/>
  <c r="BA1637" i="4"/>
  <c r="BA1638" i="4"/>
  <c r="BA1639" i="4"/>
  <c r="BA1640" i="4"/>
  <c r="BA1641" i="4"/>
  <c r="BA1642" i="4"/>
  <c r="BA1643" i="4"/>
  <c r="BA1644" i="4"/>
  <c r="BA1645" i="4"/>
  <c r="BA1646" i="4"/>
  <c r="BA1647" i="4"/>
  <c r="BA1648" i="4"/>
  <c r="BA1649" i="4"/>
  <c r="T26" i="1" s="1"/>
  <c r="R26" i="1" s="1"/>
  <c r="U26" i="1" s="1"/>
  <c r="BA1650" i="4"/>
  <c r="BA1651" i="4"/>
  <c r="BA1652" i="4"/>
  <c r="BA1653" i="4"/>
  <c r="BA1654" i="4"/>
  <c r="BA1655" i="4"/>
  <c r="BA1656" i="4"/>
  <c r="BA1657" i="4"/>
  <c r="BA1658" i="4"/>
  <c r="BA1659" i="4"/>
  <c r="BA1660" i="4"/>
  <c r="BA1661" i="4"/>
  <c r="BA1662" i="4"/>
  <c r="BA1663" i="4"/>
  <c r="BA1664" i="4"/>
  <c r="BA1665" i="4"/>
  <c r="BA1666" i="4"/>
  <c r="BA1667" i="4"/>
  <c r="BA1668" i="4"/>
  <c r="BA1669" i="4"/>
  <c r="BA1670" i="4"/>
  <c r="BA1671" i="4"/>
  <c r="BA1672" i="4"/>
  <c r="BA1673" i="4"/>
  <c r="BA1674" i="4"/>
  <c r="BA1675" i="4"/>
  <c r="BA1676" i="4"/>
  <c r="BA1677" i="4"/>
  <c r="BA1678" i="4"/>
  <c r="BA1679" i="4"/>
  <c r="BA1680" i="4"/>
  <c r="BA1681" i="4"/>
  <c r="BA1682" i="4"/>
  <c r="BA1683" i="4"/>
  <c r="BA1684" i="4"/>
  <c r="BA1685" i="4"/>
  <c r="BA1686" i="4"/>
  <c r="BA1687" i="4"/>
  <c r="BA1688" i="4"/>
  <c r="BA1689" i="4"/>
  <c r="BA1690" i="4"/>
  <c r="BA1691" i="4"/>
  <c r="BA1692" i="4"/>
  <c r="T59" i="1" s="1"/>
  <c r="R59" i="1" s="1"/>
  <c r="U59" i="1" s="1"/>
  <c r="BA1693" i="4"/>
  <c r="BA1694" i="4"/>
  <c r="BA1695" i="4"/>
  <c r="BA1696" i="4"/>
  <c r="BA1697" i="4"/>
  <c r="BA1698" i="4"/>
  <c r="BA1699" i="4"/>
  <c r="BA1700" i="4"/>
  <c r="BA1701" i="4"/>
  <c r="BA1702" i="4"/>
  <c r="BA1703" i="4"/>
  <c r="BA1704" i="4"/>
  <c r="BA1705" i="4"/>
  <c r="BA1706" i="4"/>
  <c r="BA1707" i="4"/>
  <c r="BA1708" i="4"/>
  <c r="BA1709" i="4"/>
  <c r="BA1710" i="4"/>
  <c r="BA1711" i="4"/>
  <c r="BA1712" i="4"/>
  <c r="BA1713" i="4"/>
  <c r="BA1714" i="4"/>
  <c r="BA1715" i="4"/>
  <c r="BA1716" i="4"/>
  <c r="BA1717" i="4"/>
  <c r="BA1718" i="4"/>
  <c r="BA1719" i="4"/>
  <c r="BA1720" i="4"/>
  <c r="BA1721" i="4"/>
  <c r="BA1722" i="4"/>
  <c r="BA1723" i="4"/>
  <c r="BA1724" i="4"/>
  <c r="BA1725" i="4"/>
  <c r="BA1726" i="4"/>
  <c r="BA1727" i="4"/>
  <c r="BA1728" i="4"/>
  <c r="BA1729" i="4"/>
  <c r="BA1730" i="4"/>
  <c r="BA1731" i="4"/>
  <c r="BA1732" i="4"/>
  <c r="BA1733" i="4"/>
  <c r="BA1734" i="4"/>
  <c r="BA1735" i="4"/>
  <c r="BA1736" i="4"/>
  <c r="BA1737" i="4"/>
  <c r="BA1738" i="4"/>
  <c r="BA1739" i="4"/>
  <c r="BA1740" i="4"/>
  <c r="BA1741" i="4"/>
  <c r="BA1742" i="4"/>
  <c r="BA1743" i="4"/>
  <c r="BA1744" i="4"/>
  <c r="BA1745" i="4"/>
  <c r="BA1746" i="4"/>
  <c r="BA1747" i="4"/>
  <c r="BA1748" i="4"/>
  <c r="BA1749" i="4"/>
  <c r="BA1750" i="4"/>
  <c r="BA1751" i="4"/>
  <c r="BA1752" i="4"/>
  <c r="BA1753" i="4"/>
  <c r="BA1754" i="4"/>
  <c r="BA1755" i="4"/>
  <c r="BA1756" i="4"/>
  <c r="BA1757" i="4"/>
  <c r="BA1758" i="4"/>
  <c r="BA1759" i="4"/>
  <c r="BA1760" i="4"/>
  <c r="BA1761" i="4"/>
  <c r="BA1762" i="4"/>
  <c r="BA1763" i="4"/>
  <c r="BA1764" i="4"/>
  <c r="BA1765" i="4"/>
  <c r="BA1766" i="4"/>
  <c r="BA1767" i="4"/>
  <c r="BA1768" i="4"/>
  <c r="BA1769" i="4"/>
  <c r="BA1770" i="4"/>
  <c r="BA1771" i="4"/>
  <c r="BA1772" i="4"/>
  <c r="BA1773" i="4"/>
  <c r="BA1774" i="4"/>
  <c r="BA1775" i="4"/>
  <c r="BA1776" i="4"/>
  <c r="BA1777" i="4"/>
  <c r="BA1778" i="4"/>
  <c r="BA1779" i="4"/>
  <c r="BA1780" i="4"/>
  <c r="BA1781" i="4"/>
  <c r="BA1782" i="4"/>
  <c r="BA1783" i="4"/>
  <c r="BA1784" i="4"/>
  <c r="BA1785" i="4"/>
  <c r="BA1786" i="4"/>
  <c r="BA1787" i="4"/>
  <c r="BA1788" i="4"/>
  <c r="BA1789" i="4"/>
  <c r="BA1790" i="4"/>
  <c r="BA1791" i="4"/>
  <c r="BA1792" i="4"/>
  <c r="BA1793" i="4"/>
  <c r="BA1794" i="4"/>
  <c r="BA1795" i="4"/>
  <c r="BA1796" i="4"/>
  <c r="BA1797" i="4"/>
  <c r="BA1798" i="4"/>
  <c r="BA1799" i="4"/>
  <c r="BA1800" i="4"/>
  <c r="BA1801" i="4"/>
  <c r="BA1802" i="4"/>
  <c r="BA1803" i="4"/>
  <c r="BA1804" i="4"/>
  <c r="BA1805" i="4"/>
  <c r="BA1806" i="4"/>
  <c r="BA1807" i="4"/>
  <c r="BA1808" i="4"/>
  <c r="T67" i="1" s="1"/>
  <c r="BA1809" i="4"/>
  <c r="BA1810" i="4"/>
  <c r="BA1811" i="4"/>
  <c r="BA1812" i="4"/>
  <c r="BA1813" i="4"/>
  <c r="BA1814" i="4"/>
  <c r="BA1815" i="4"/>
  <c r="BA1816" i="4"/>
  <c r="BA1817" i="4"/>
  <c r="BA1818" i="4"/>
  <c r="BA1819" i="4"/>
  <c r="BA1820" i="4"/>
  <c r="T31" i="1" s="1"/>
  <c r="BA1821" i="4"/>
  <c r="BA1822" i="4"/>
  <c r="BA1823" i="4"/>
  <c r="BA1824" i="4"/>
  <c r="BA1825" i="4"/>
  <c r="BA1826" i="4"/>
  <c r="BA1827" i="4"/>
  <c r="BA1828" i="4"/>
  <c r="BA1829" i="4"/>
  <c r="BA1830" i="4"/>
  <c r="BA1831" i="4"/>
  <c r="BA1832" i="4"/>
  <c r="BA1833" i="4"/>
  <c r="BA1834" i="4"/>
  <c r="BA1835" i="4"/>
  <c r="BA1836" i="4"/>
  <c r="BA1837" i="4"/>
  <c r="BA1838" i="4"/>
  <c r="BA1839" i="4"/>
  <c r="BA1840" i="4"/>
  <c r="BA1841" i="4"/>
  <c r="BA1842" i="4"/>
  <c r="BA1843" i="4"/>
  <c r="BA1844" i="4"/>
  <c r="BA1845" i="4"/>
  <c r="BA1846" i="4"/>
  <c r="BA1847" i="4"/>
  <c r="BA1848" i="4"/>
  <c r="BA1849" i="4"/>
  <c r="BA1850" i="4"/>
  <c r="BA1851" i="4"/>
  <c r="BA1852" i="4"/>
  <c r="BA1853" i="4"/>
  <c r="BA1854" i="4"/>
  <c r="BA1855" i="4"/>
  <c r="BA1856" i="4"/>
  <c r="BA1857" i="4"/>
  <c r="BA1858" i="4"/>
  <c r="BA1859" i="4"/>
  <c r="BA1860" i="4"/>
  <c r="BA1861" i="4"/>
  <c r="BA1862" i="4"/>
  <c r="BA1863" i="4"/>
  <c r="BA1864" i="4"/>
  <c r="BA1865" i="4"/>
  <c r="BA1866" i="4"/>
  <c r="BA1867" i="4"/>
  <c r="BA1868" i="4"/>
  <c r="BA1869" i="4"/>
  <c r="BA1870" i="4"/>
  <c r="BA1871" i="4"/>
  <c r="BA1872" i="4"/>
  <c r="BA1873" i="4"/>
  <c r="BA1874" i="4"/>
  <c r="BA1875" i="4"/>
  <c r="BA1876" i="4"/>
  <c r="BA1877" i="4"/>
  <c r="BA1878" i="4"/>
  <c r="BA1879" i="4"/>
  <c r="BA1880" i="4"/>
  <c r="BA1881" i="4"/>
  <c r="BA1882" i="4"/>
  <c r="BA1883" i="4"/>
  <c r="BA1884" i="4"/>
  <c r="BA1885" i="4"/>
  <c r="BA1886" i="4"/>
  <c r="BA1887" i="4"/>
  <c r="BA1888" i="4"/>
  <c r="BA1889" i="4"/>
  <c r="BA1890" i="4"/>
  <c r="BA1891" i="4"/>
  <c r="BA1892" i="4"/>
  <c r="BA1893" i="4"/>
  <c r="BA1894" i="4"/>
  <c r="BA1895" i="4"/>
  <c r="BA1896" i="4"/>
  <c r="BA1897" i="4"/>
  <c r="BA1898" i="4"/>
  <c r="BA1899" i="4"/>
  <c r="BA1900" i="4"/>
  <c r="BA1901" i="4"/>
  <c r="BA1902" i="4"/>
  <c r="BA1903" i="4"/>
  <c r="BA1904" i="4"/>
  <c r="BA1905" i="4"/>
  <c r="BA1906" i="4"/>
  <c r="BA1907" i="4"/>
  <c r="BA1908" i="4"/>
  <c r="BA1909" i="4"/>
  <c r="BA1910" i="4"/>
  <c r="BA1911" i="4"/>
  <c r="BA1912" i="4"/>
  <c r="BA1913" i="4"/>
  <c r="BA1914" i="4"/>
  <c r="BA1915" i="4"/>
  <c r="BA1916" i="4"/>
  <c r="BA1917" i="4"/>
  <c r="BA1918" i="4"/>
  <c r="BA1919" i="4"/>
  <c r="BA1920" i="4"/>
  <c r="BA1921" i="4"/>
  <c r="BA1922" i="4"/>
  <c r="BA1923" i="4"/>
  <c r="BA1924" i="4"/>
  <c r="BA1925" i="4"/>
  <c r="BA1926" i="4"/>
  <c r="BA1927" i="4"/>
  <c r="BA1928" i="4"/>
  <c r="BA1929" i="4"/>
  <c r="BA1930" i="4"/>
  <c r="BA1931" i="4"/>
  <c r="BA1932" i="4"/>
  <c r="BA1933" i="4"/>
  <c r="BA1934" i="4"/>
  <c r="BA1935" i="4"/>
  <c r="BA1936" i="4"/>
  <c r="BA1937" i="4"/>
  <c r="BA1938" i="4"/>
  <c r="BA1939" i="4"/>
  <c r="BA1940" i="4"/>
  <c r="BA1941" i="4"/>
  <c r="BA1942" i="4"/>
  <c r="BA1943" i="4"/>
  <c r="BA1944" i="4"/>
  <c r="BA1945" i="4"/>
  <c r="BA1946" i="4"/>
  <c r="BA1947" i="4"/>
  <c r="BA1948" i="4"/>
  <c r="BA1949" i="4"/>
  <c r="BA1950" i="4"/>
  <c r="BA1951" i="4"/>
  <c r="BA1952" i="4"/>
  <c r="BA1953" i="4"/>
  <c r="BA1954" i="4"/>
  <c r="BA1955" i="4"/>
  <c r="BA1956" i="4"/>
  <c r="BA1957" i="4"/>
  <c r="BA1958" i="4"/>
  <c r="BA1959" i="4"/>
  <c r="BA1960" i="4"/>
  <c r="BA1961" i="4"/>
  <c r="BA1962" i="4"/>
  <c r="BA1963" i="4"/>
  <c r="BA1964" i="4"/>
  <c r="BA1965" i="4"/>
  <c r="BA1966" i="4"/>
  <c r="BA1967" i="4"/>
  <c r="BA1968" i="4"/>
  <c r="BA1969" i="4"/>
  <c r="BA1970" i="4"/>
  <c r="BA1971" i="4"/>
  <c r="BA1972" i="4"/>
  <c r="BA1973" i="4"/>
  <c r="BA1974" i="4"/>
  <c r="BA1975" i="4"/>
  <c r="BA1976" i="4"/>
  <c r="BA1977" i="4"/>
  <c r="BA1978" i="4"/>
  <c r="BA1979" i="4"/>
  <c r="BA1980" i="4"/>
  <c r="BA1981" i="4"/>
  <c r="BA1982" i="4"/>
  <c r="BA1983" i="4"/>
  <c r="BA1984" i="4"/>
  <c r="BA1985" i="4"/>
  <c r="BA1986" i="4"/>
  <c r="BA1987" i="4"/>
  <c r="BA1988" i="4"/>
  <c r="BA1989" i="4"/>
  <c r="BA1990" i="4"/>
  <c r="BA1991" i="4"/>
  <c r="BA1992" i="4"/>
  <c r="BA1993" i="4"/>
  <c r="BA1994" i="4"/>
  <c r="BA1995" i="4"/>
  <c r="BA1996" i="4"/>
  <c r="BA1997" i="4"/>
  <c r="BA1998" i="4"/>
  <c r="BA1999" i="4"/>
  <c r="BA2000" i="4"/>
  <c r="T56" i="1" s="1"/>
  <c r="R56" i="1" s="1"/>
  <c r="U56" i="1" s="1"/>
  <c r="Y83" i="4"/>
  <c r="T19" i="1"/>
  <c r="T53" i="1"/>
  <c r="T71" i="1"/>
  <c r="T55" i="1"/>
  <c r="T51" i="1"/>
  <c r="T32" i="1"/>
  <c r="T38" i="1"/>
  <c r="T23" i="1"/>
  <c r="T35" i="1"/>
  <c r="T10" i="1"/>
  <c r="T44" i="1"/>
  <c r="T48" i="1"/>
  <c r="T57" i="1"/>
  <c r="R57" i="1" s="1"/>
  <c r="U57" i="1" s="1"/>
  <c r="T62" i="1"/>
  <c r="T63" i="1"/>
  <c r="T24" i="1"/>
  <c r="T11" i="1"/>
  <c r="T45" i="1"/>
  <c r="T49" i="1"/>
  <c r="T29" i="1"/>
  <c r="Y1030" i="4"/>
  <c r="Y1515" i="4"/>
  <c r="Y1780" i="4"/>
  <c r="Y1875" i="4"/>
  <c r="Y1929" i="4"/>
  <c r="Y1656" i="4"/>
  <c r="Y1348" i="4"/>
  <c r="Y1134" i="4"/>
  <c r="Y1927" i="4"/>
  <c r="Y1649" i="4"/>
  <c r="Y1867" i="4"/>
  <c r="Y1900" i="4"/>
  <c r="Y1336" i="4"/>
  <c r="Y1015" i="4"/>
  <c r="Y1874" i="4"/>
  <c r="Y1808" i="4"/>
  <c r="Y1697" i="4"/>
  <c r="Y1773" i="4"/>
  <c r="Y1338" i="4"/>
  <c r="Y125" i="4"/>
  <c r="Y1679" i="4"/>
  <c r="Y1571" i="4"/>
  <c r="Y1734" i="4"/>
  <c r="Y1951" i="4"/>
  <c r="Y1942" i="4"/>
  <c r="Y1614" i="4"/>
  <c r="Y1603" i="4"/>
  <c r="Y1733" i="4"/>
  <c r="Y1416" i="4"/>
  <c r="Y1087" i="4"/>
  <c r="Y1050" i="4"/>
  <c r="Y1434" i="4"/>
  <c r="Y1084" i="4"/>
  <c r="Y1215" i="4"/>
  <c r="Y142" i="4"/>
  <c r="Y1101" i="4"/>
  <c r="Y1510" i="4"/>
  <c r="Y1741" i="4"/>
  <c r="Y1909" i="4"/>
  <c r="Y1903" i="4"/>
  <c r="Y1731" i="4"/>
  <c r="Y1553" i="4"/>
  <c r="Y1846" i="4"/>
  <c r="Y1953" i="4"/>
  <c r="Y1616" i="4"/>
  <c r="Y1771" i="4"/>
  <c r="Y1607" i="4"/>
  <c r="Y1991" i="4"/>
  <c r="Y1785" i="4"/>
  <c r="Y1769" i="4"/>
  <c r="Y1717" i="4"/>
  <c r="Y1823" i="4"/>
  <c r="Y1163" i="4"/>
  <c r="Y177" i="4"/>
  <c r="Y1518" i="4"/>
  <c r="Y1176" i="4"/>
  <c r="Y74" i="4"/>
  <c r="Y1381" i="4"/>
  <c r="Y1370" i="4"/>
  <c r="Y1521" i="4"/>
  <c r="Y1916" i="4"/>
  <c r="Y1950" i="4"/>
  <c r="Y1777" i="4"/>
  <c r="Y1605" i="4"/>
  <c r="Y1770" i="4"/>
  <c r="Y1813" i="4"/>
  <c r="Y1816" i="4"/>
  <c r="Y1483" i="4"/>
  <c r="Y1645" i="4"/>
  <c r="Y1978" i="4"/>
  <c r="Y1865" i="4"/>
  <c r="Y1609" i="4"/>
  <c r="Y1593" i="4"/>
  <c r="Y1558" i="4"/>
  <c r="Y1566" i="4"/>
  <c r="Y1244" i="4"/>
  <c r="Y93" i="4"/>
  <c r="Y1266" i="4"/>
  <c r="Y1269" i="4"/>
  <c r="Y80" i="4"/>
  <c r="Y1214" i="4"/>
  <c r="AD1007" i="4"/>
  <c r="AD1011" i="4"/>
  <c r="AD1015" i="4"/>
  <c r="AD1019" i="4"/>
  <c r="AD1023" i="4"/>
  <c r="AD1027" i="4"/>
  <c r="AD1031" i="4"/>
  <c r="AD1035" i="4"/>
  <c r="AD1039" i="4"/>
  <c r="AD1043" i="4"/>
  <c r="AD1047" i="4"/>
  <c r="AD1051" i="4"/>
  <c r="AD1055" i="4"/>
  <c r="AD1059" i="4"/>
  <c r="AD1063" i="4"/>
  <c r="AD1067" i="4"/>
  <c r="AD1071" i="4"/>
  <c r="AD1075" i="4"/>
  <c r="AD1079" i="4"/>
  <c r="AD1083" i="4"/>
  <c r="AD1087" i="4"/>
  <c r="AD1091" i="4"/>
  <c r="AD1095" i="4"/>
  <c r="AD1099" i="4"/>
  <c r="AD1103" i="4"/>
  <c r="AD1107" i="4"/>
  <c r="AD1111" i="4"/>
  <c r="AD1115" i="4"/>
  <c r="AD1119" i="4"/>
  <c r="AD1123" i="4"/>
  <c r="AD1127" i="4"/>
  <c r="AD1131" i="4"/>
  <c r="AD1135" i="4"/>
  <c r="AD1139" i="4"/>
  <c r="AD1143" i="4"/>
  <c r="AD1147" i="4"/>
  <c r="AD1151" i="4"/>
  <c r="AD1155" i="4"/>
  <c r="AD1159" i="4"/>
  <c r="AD1163" i="4"/>
  <c r="AD1167" i="4"/>
  <c r="AD1171" i="4"/>
  <c r="AD1175" i="4"/>
  <c r="AD1179" i="4"/>
  <c r="AD1183" i="4"/>
  <c r="AD1187" i="4"/>
  <c r="AD1191" i="4"/>
  <c r="AD1008" i="4"/>
  <c r="AD1012" i="4"/>
  <c r="AD1016" i="4"/>
  <c r="AD1020" i="4"/>
  <c r="AD1024" i="4"/>
  <c r="AD1028" i="4"/>
  <c r="AD1032" i="4"/>
  <c r="AD1036" i="4"/>
  <c r="AD1040" i="4"/>
  <c r="AD1044" i="4"/>
  <c r="AD1048" i="4"/>
  <c r="AD1052" i="4"/>
  <c r="AD1056" i="4"/>
  <c r="AD1060" i="4"/>
  <c r="AD1064" i="4"/>
  <c r="AD1068" i="4"/>
  <c r="AD1072" i="4"/>
  <c r="AD1076" i="4"/>
  <c r="AD1080" i="4"/>
  <c r="AD1084" i="4"/>
  <c r="AD1088" i="4"/>
  <c r="AD1092" i="4"/>
  <c r="AD1096" i="4"/>
  <c r="AD1100" i="4"/>
  <c r="AD1104" i="4"/>
  <c r="AD1108" i="4"/>
  <c r="AD1112" i="4"/>
  <c r="AD1116" i="4"/>
  <c r="AD1120" i="4"/>
  <c r="AD1124" i="4"/>
  <c r="AD1128" i="4"/>
  <c r="AD1132" i="4"/>
  <c r="AD1136" i="4"/>
  <c r="AD1140" i="4"/>
  <c r="AD1144" i="4"/>
  <c r="AD1148" i="4"/>
  <c r="AD1152" i="4"/>
  <c r="AD1156" i="4"/>
  <c r="AD1160" i="4"/>
  <c r="AD1164" i="4"/>
  <c r="AD1168" i="4"/>
  <c r="AD1172" i="4"/>
  <c r="AD1176" i="4"/>
  <c r="AD1180" i="4"/>
  <c r="AD1184" i="4"/>
  <c r="AD1188" i="4"/>
  <c r="AD1192" i="4"/>
  <c r="AD1009" i="4"/>
  <c r="AD1017" i="4"/>
  <c r="AD1025" i="4"/>
  <c r="AD1033" i="4"/>
  <c r="AD1041" i="4"/>
  <c r="AD1049" i="4"/>
  <c r="AD1057" i="4"/>
  <c r="AD1065" i="4"/>
  <c r="AD1073" i="4"/>
  <c r="AD1081" i="4"/>
  <c r="AD1089" i="4"/>
  <c r="AD1097" i="4"/>
  <c r="AD1105" i="4"/>
  <c r="AD1113" i="4"/>
  <c r="AD1121" i="4"/>
  <c r="AD1129" i="4"/>
  <c r="AD1137" i="4"/>
  <c r="AD1145" i="4"/>
  <c r="AD1153" i="4"/>
  <c r="AD1161" i="4"/>
  <c r="AD1169" i="4"/>
  <c r="AD1177" i="4"/>
  <c r="AD1185" i="4"/>
  <c r="AD1193" i="4"/>
  <c r="AD1010" i="4"/>
  <c r="AD1021" i="4"/>
  <c r="AD1030" i="4"/>
  <c r="AD1042" i="4"/>
  <c r="AD1053" i="4"/>
  <c r="AD1062" i="4"/>
  <c r="AD1074" i="4"/>
  <c r="AD1085" i="4"/>
  <c r="AD1094" i="4"/>
  <c r="AD1106" i="4"/>
  <c r="AD1117" i="4"/>
  <c r="AD1126" i="4"/>
  <c r="AD1138" i="4"/>
  <c r="AD1149" i="4"/>
  <c r="AD1158" i="4"/>
  <c r="AD1170" i="4"/>
  <c r="AD1181" i="4"/>
  <c r="AD1190" i="4"/>
  <c r="AD1013" i="4"/>
  <c r="AD1022" i="4"/>
  <c r="AD1034" i="4"/>
  <c r="AD1045" i="4"/>
  <c r="AD1054" i="4"/>
  <c r="AD1066" i="4"/>
  <c r="AD1077" i="4"/>
  <c r="AD1086" i="4"/>
  <c r="AD1098" i="4"/>
  <c r="AD1109" i="4"/>
  <c r="AD1118" i="4"/>
  <c r="AD1130" i="4"/>
  <c r="AD1141" i="4"/>
  <c r="AD1150" i="4"/>
  <c r="AD1162" i="4"/>
  <c r="AD1173" i="4"/>
  <c r="AD1182" i="4"/>
  <c r="AD1014" i="4"/>
  <c r="AD1026" i="4"/>
  <c r="AD1037" i="4"/>
  <c r="AD1046" i="4"/>
  <c r="AD1058" i="4"/>
  <c r="AD1069" i="4"/>
  <c r="AD1078" i="4"/>
  <c r="AD1090" i="4"/>
  <c r="AD1101" i="4"/>
  <c r="AD1110" i="4"/>
  <c r="AD1122" i="4"/>
  <c r="AD1133" i="4"/>
  <c r="AD1142" i="4"/>
  <c r="AD1018" i="4"/>
  <c r="AD1061" i="4"/>
  <c r="AD1102" i="4"/>
  <c r="AD1146" i="4"/>
  <c r="AD1166" i="4"/>
  <c r="AD1189" i="4"/>
  <c r="AD1029" i="4"/>
  <c r="AD1070" i="4"/>
  <c r="AD1114" i="4"/>
  <c r="AD1154" i="4"/>
  <c r="AD1174" i="4"/>
  <c r="AD1006" i="4"/>
  <c r="AD1038" i="4"/>
  <c r="AD1082" i="4"/>
  <c r="AD1125" i="4"/>
  <c r="AD1157" i="4"/>
  <c r="AD1178" i="4"/>
  <c r="AD1050" i="4"/>
  <c r="AD1093" i="4"/>
  <c r="AD1134" i="4"/>
  <c r="AD1165" i="4"/>
  <c r="AD1186" i="4"/>
  <c r="AD1194" i="4"/>
  <c r="AD1195" i="4"/>
  <c r="AD1196" i="4"/>
  <c r="AD1197" i="4"/>
  <c r="AD1198" i="4"/>
  <c r="AD1199" i="4"/>
  <c r="AD1200" i="4"/>
  <c r="AD1201" i="4"/>
  <c r="AD1202" i="4"/>
  <c r="AD1203" i="4"/>
  <c r="AD1204" i="4"/>
  <c r="AD1205" i="4"/>
  <c r="AD1206" i="4"/>
  <c r="AD1207" i="4"/>
  <c r="AD1208" i="4"/>
  <c r="AD1209" i="4"/>
  <c r="AD1210" i="4"/>
  <c r="AD1211" i="4"/>
  <c r="AD1212" i="4"/>
  <c r="AD1213" i="4"/>
  <c r="AD1214" i="4"/>
  <c r="AD1215" i="4"/>
  <c r="AD1216" i="4"/>
  <c r="AD1217" i="4"/>
  <c r="AD1218" i="4"/>
  <c r="AD1219" i="4"/>
  <c r="AD1220" i="4"/>
  <c r="AD1221" i="4"/>
  <c r="AD1222" i="4"/>
  <c r="AD1223" i="4"/>
  <c r="AD1224" i="4"/>
  <c r="AD1225" i="4"/>
  <c r="AD1226" i="4"/>
  <c r="AD1227" i="4"/>
  <c r="AD1228" i="4"/>
  <c r="AD1229" i="4"/>
  <c r="AD1230" i="4"/>
  <c r="AD1231" i="4"/>
  <c r="AD1232" i="4"/>
  <c r="AD1233" i="4"/>
  <c r="AD1234" i="4"/>
  <c r="AD1235" i="4"/>
  <c r="AD1236" i="4"/>
  <c r="AD1237" i="4"/>
  <c r="AD1238" i="4"/>
  <c r="AD1239" i="4"/>
  <c r="AD1240" i="4"/>
  <c r="AD1241" i="4"/>
  <c r="AD1242" i="4"/>
  <c r="AD1243" i="4"/>
  <c r="AD1244" i="4"/>
  <c r="AD1245" i="4"/>
  <c r="AD1246" i="4"/>
  <c r="AD1247" i="4"/>
  <c r="AD1248" i="4"/>
  <c r="AD1249" i="4"/>
  <c r="AD1250" i="4"/>
  <c r="AD1251" i="4"/>
  <c r="AD1252" i="4"/>
  <c r="AD1253" i="4"/>
  <c r="AD1254" i="4"/>
  <c r="AD1255" i="4"/>
  <c r="AD1256" i="4"/>
  <c r="AD1257" i="4"/>
  <c r="AD1258" i="4"/>
  <c r="AD1259" i="4"/>
  <c r="AD1260" i="4"/>
  <c r="AD1261" i="4"/>
  <c r="AD1262" i="4"/>
  <c r="AD1263" i="4"/>
  <c r="AD1264" i="4"/>
  <c r="AD1265" i="4"/>
  <c r="AD1266" i="4"/>
  <c r="AD1267" i="4"/>
  <c r="AD1268" i="4"/>
  <c r="AD1269" i="4"/>
  <c r="AD1270" i="4"/>
  <c r="AD1271" i="4"/>
  <c r="AD1272" i="4"/>
  <c r="AD1273" i="4"/>
  <c r="AD1274" i="4"/>
  <c r="AD1275" i="4"/>
  <c r="AD1276" i="4"/>
  <c r="AD1277" i="4"/>
  <c r="AD1278" i="4"/>
  <c r="AD1279" i="4"/>
  <c r="AD1280" i="4"/>
  <c r="AD1281" i="4"/>
  <c r="AD1282" i="4"/>
  <c r="AD1283" i="4"/>
  <c r="AD1284" i="4"/>
  <c r="AD1285" i="4"/>
  <c r="AD1286" i="4"/>
  <c r="AD1287" i="4"/>
  <c r="AD1288" i="4"/>
  <c r="AD1289" i="4"/>
  <c r="AD1290" i="4"/>
  <c r="AD1291" i="4"/>
  <c r="AD1292" i="4"/>
  <c r="AD1293" i="4"/>
  <c r="AD1294" i="4"/>
  <c r="AD1295" i="4"/>
  <c r="AD1296" i="4"/>
  <c r="AD1297" i="4"/>
  <c r="AD1298" i="4"/>
  <c r="AD1299" i="4"/>
  <c r="AD1300" i="4"/>
  <c r="AD1301" i="4"/>
  <c r="AD1302" i="4"/>
  <c r="AD1303" i="4"/>
  <c r="AD1304" i="4"/>
  <c r="AD1305" i="4"/>
  <c r="AD1306" i="4"/>
  <c r="AD1307" i="4"/>
  <c r="AD1308" i="4"/>
  <c r="AD1309" i="4"/>
  <c r="AD1310" i="4"/>
  <c r="AD1311" i="4"/>
  <c r="AD1312" i="4"/>
  <c r="AD1313" i="4"/>
  <c r="AD1314" i="4"/>
  <c r="AD1315" i="4"/>
  <c r="AD1316" i="4"/>
  <c r="AD1317" i="4"/>
  <c r="AD1318" i="4"/>
  <c r="AD1319" i="4"/>
  <c r="AD1320" i="4"/>
  <c r="AD1321" i="4"/>
  <c r="AD1322" i="4"/>
  <c r="AD1323" i="4"/>
  <c r="AD1324" i="4"/>
  <c r="AD1325" i="4"/>
  <c r="AD1326" i="4"/>
  <c r="AD1327" i="4"/>
  <c r="AD1328" i="4"/>
  <c r="AD1329" i="4"/>
  <c r="AD1330" i="4"/>
  <c r="AD1331" i="4"/>
  <c r="AD1332" i="4"/>
  <c r="AD1333" i="4"/>
  <c r="AD1334" i="4"/>
  <c r="AD1335" i="4"/>
  <c r="AD1336" i="4"/>
  <c r="AD1337" i="4"/>
  <c r="AD1338" i="4"/>
  <c r="AD1339" i="4"/>
  <c r="AD1340" i="4"/>
  <c r="AD1341" i="4"/>
  <c r="AD1342" i="4"/>
  <c r="AD1343" i="4"/>
  <c r="AD1344" i="4"/>
  <c r="AD1345" i="4"/>
  <c r="AD1346" i="4"/>
  <c r="AD1347" i="4"/>
  <c r="AD1348" i="4"/>
  <c r="AD1349" i="4"/>
  <c r="AD1350" i="4"/>
  <c r="AD1351" i="4"/>
  <c r="AD1352" i="4"/>
  <c r="AD1353" i="4"/>
  <c r="AD1354" i="4"/>
  <c r="AD1355" i="4"/>
  <c r="AD1356" i="4"/>
  <c r="AD1357" i="4"/>
  <c r="AD1358" i="4"/>
  <c r="AD1359" i="4"/>
  <c r="AD1360" i="4"/>
  <c r="AD1361" i="4"/>
  <c r="AD1362" i="4"/>
  <c r="AD1363" i="4"/>
  <c r="AD1364" i="4"/>
  <c r="AD1365" i="4"/>
  <c r="AD1366" i="4"/>
  <c r="AD1367" i="4"/>
  <c r="AD1368" i="4"/>
  <c r="AD1369" i="4"/>
  <c r="AD1370" i="4"/>
  <c r="AD1371" i="4"/>
  <c r="AD1372" i="4"/>
  <c r="AD1373" i="4"/>
  <c r="AD1374" i="4"/>
  <c r="AD1375" i="4"/>
  <c r="AD1376" i="4"/>
  <c r="AD1377" i="4"/>
  <c r="AD1378" i="4"/>
  <c r="AD1379" i="4"/>
  <c r="AD1380" i="4"/>
  <c r="AD1381" i="4"/>
  <c r="AD1382" i="4"/>
  <c r="AD1383" i="4"/>
  <c r="AD1384" i="4"/>
  <c r="AD1385" i="4"/>
  <c r="AD1386" i="4"/>
  <c r="AD1387" i="4"/>
  <c r="AD1388" i="4"/>
  <c r="AD1389" i="4"/>
  <c r="AD1390" i="4"/>
  <c r="AD1391" i="4"/>
  <c r="AD1392" i="4"/>
  <c r="AD1393" i="4"/>
  <c r="AD1394" i="4"/>
  <c r="AD1395" i="4"/>
  <c r="AD1396" i="4"/>
  <c r="AD1397" i="4"/>
  <c r="AD1398" i="4"/>
  <c r="AD1399" i="4"/>
  <c r="AD1400" i="4"/>
  <c r="AD1401" i="4"/>
  <c r="AD1402" i="4"/>
  <c r="AD1403" i="4"/>
  <c r="AD1404" i="4"/>
  <c r="AD1405" i="4"/>
  <c r="AD1406" i="4"/>
  <c r="AD1407" i="4"/>
  <c r="AD1408" i="4"/>
  <c r="AD1409" i="4"/>
  <c r="AD1410" i="4"/>
  <c r="AD1411" i="4"/>
  <c r="AD1412" i="4"/>
  <c r="AD1413" i="4"/>
  <c r="AD1414" i="4"/>
  <c r="AD1415" i="4"/>
  <c r="AD1416" i="4"/>
  <c r="AD1417" i="4"/>
  <c r="AD1418" i="4"/>
  <c r="AD1419" i="4"/>
  <c r="AD1420" i="4"/>
  <c r="AD1421" i="4"/>
  <c r="AD1422" i="4"/>
  <c r="AD1423" i="4"/>
  <c r="AD1424" i="4"/>
  <c r="AD1425" i="4"/>
  <c r="AD1426" i="4"/>
  <c r="AD1427" i="4"/>
  <c r="AD1428" i="4"/>
  <c r="AD1429" i="4"/>
  <c r="AD1430" i="4"/>
  <c r="AD1431" i="4"/>
  <c r="AD1432" i="4"/>
  <c r="AD1433" i="4"/>
  <c r="AD1434" i="4"/>
  <c r="AD1435" i="4"/>
  <c r="AD1437" i="4"/>
  <c r="AD1436" i="4"/>
  <c r="AD1438" i="4"/>
  <c r="AD1439" i="4"/>
  <c r="AD1440" i="4"/>
  <c r="AD1441" i="4"/>
  <c r="AD1442" i="4"/>
  <c r="AD1443" i="4"/>
  <c r="AD1444" i="4"/>
  <c r="AD1445" i="4"/>
  <c r="AD1446" i="4"/>
  <c r="AD1447" i="4"/>
  <c r="AD1448" i="4"/>
  <c r="AD1449" i="4"/>
  <c r="AD1450" i="4"/>
  <c r="AD1451" i="4"/>
  <c r="AD1452" i="4"/>
  <c r="AD1453" i="4"/>
  <c r="AD1454" i="4"/>
  <c r="AD1455" i="4"/>
  <c r="AD1456" i="4"/>
  <c r="AD1457" i="4"/>
  <c r="AD1459" i="4"/>
  <c r="AD1458" i="4"/>
  <c r="AD1460" i="4"/>
  <c r="AD1461" i="4"/>
  <c r="AD1462" i="4"/>
  <c r="AD1463" i="4"/>
  <c r="AD1464" i="4"/>
  <c r="AD1465" i="4"/>
  <c r="AD1466" i="4"/>
  <c r="AD1467" i="4"/>
  <c r="AD1468" i="4"/>
  <c r="AD1469" i="4"/>
  <c r="AD1470" i="4"/>
  <c r="AD1471" i="4"/>
  <c r="AD1472" i="4"/>
  <c r="AD1473" i="4"/>
  <c r="AD1474" i="4"/>
  <c r="AD1475" i="4"/>
  <c r="AD1476" i="4"/>
  <c r="AD1477" i="4"/>
  <c r="AD1478" i="4"/>
  <c r="AD1479" i="4"/>
  <c r="AD1480" i="4"/>
  <c r="AD1481" i="4"/>
  <c r="AD1482" i="4"/>
  <c r="AD1483" i="4"/>
  <c r="AD1484" i="4"/>
  <c r="AD1485" i="4"/>
  <c r="AD1486" i="4"/>
  <c r="AD1487" i="4"/>
  <c r="AD1488" i="4"/>
  <c r="AD1489" i="4"/>
  <c r="AD1490" i="4"/>
  <c r="AD1491" i="4"/>
  <c r="AD1492" i="4"/>
  <c r="AD1493" i="4"/>
  <c r="AD1494" i="4"/>
  <c r="AD1495" i="4"/>
  <c r="AD1496" i="4"/>
  <c r="AD1497" i="4"/>
  <c r="AD1498" i="4"/>
  <c r="AD1499" i="4"/>
  <c r="AD1500" i="4"/>
  <c r="AD1501" i="4"/>
  <c r="AD1502" i="4"/>
  <c r="AD1503" i="4"/>
  <c r="AD1504" i="4"/>
  <c r="AD1505" i="4"/>
  <c r="AD1506" i="4"/>
  <c r="AD1507" i="4"/>
  <c r="AD1508" i="4"/>
  <c r="AD1509" i="4"/>
  <c r="AD1510" i="4"/>
  <c r="AD1511" i="4"/>
  <c r="AD1512" i="4"/>
  <c r="AD1513" i="4"/>
  <c r="AD1514" i="4"/>
  <c r="AD1515" i="4"/>
  <c r="AD1516" i="4"/>
  <c r="AD1517" i="4"/>
  <c r="AD1518" i="4"/>
  <c r="AD1519" i="4"/>
  <c r="AD1520" i="4"/>
  <c r="AD1521" i="4"/>
  <c r="AD1522" i="4"/>
  <c r="AD1523" i="4"/>
  <c r="AD1524" i="4"/>
  <c r="AD1525" i="4"/>
  <c r="AD1526" i="4"/>
  <c r="AD1527" i="4"/>
  <c r="AD1528" i="4"/>
  <c r="AD1529" i="4"/>
  <c r="AD1530" i="4"/>
  <c r="AD1531" i="4"/>
  <c r="AD1532" i="4"/>
  <c r="AD1533" i="4"/>
  <c r="AD1534" i="4"/>
  <c r="AD1535" i="4"/>
  <c r="AD1536" i="4"/>
  <c r="AD1537" i="4"/>
  <c r="AD1538" i="4"/>
  <c r="AD1539" i="4"/>
  <c r="AD1540" i="4"/>
  <c r="AD1541" i="4"/>
  <c r="AD1542" i="4"/>
  <c r="AD1543" i="4"/>
  <c r="AD1544" i="4"/>
  <c r="AD1545" i="4"/>
  <c r="AD1546" i="4"/>
  <c r="AD1547" i="4"/>
  <c r="AD1548" i="4"/>
  <c r="AD1549" i="4"/>
  <c r="AD1550" i="4"/>
  <c r="AD1551" i="4"/>
  <c r="AD1552" i="4"/>
  <c r="AD1553" i="4"/>
  <c r="AD1554" i="4"/>
  <c r="AD1555" i="4"/>
  <c r="AD1556" i="4"/>
  <c r="AD1557" i="4"/>
  <c r="AD1558" i="4"/>
  <c r="AD1559" i="4"/>
  <c r="AD1560" i="4"/>
  <c r="AD1561" i="4"/>
  <c r="AD1562" i="4"/>
  <c r="AD1563" i="4"/>
  <c r="AD1564" i="4"/>
  <c r="AD1565" i="4"/>
  <c r="AD1566" i="4"/>
  <c r="AD1567" i="4"/>
  <c r="AD1568" i="4"/>
  <c r="AD1569" i="4"/>
  <c r="AD1570" i="4"/>
  <c r="AD1571" i="4"/>
  <c r="AD1572" i="4"/>
  <c r="AD1573" i="4"/>
  <c r="AD1574" i="4"/>
  <c r="AD1575" i="4"/>
  <c r="AD1576" i="4"/>
  <c r="AD1577" i="4"/>
  <c r="AD1578" i="4"/>
  <c r="AD1579" i="4"/>
  <c r="AD1580" i="4"/>
  <c r="AD1581" i="4"/>
  <c r="AD1582" i="4"/>
  <c r="AD1583" i="4"/>
  <c r="AD1584" i="4"/>
  <c r="AD1585" i="4"/>
  <c r="AD1586" i="4"/>
  <c r="AD1587" i="4"/>
  <c r="AD1588" i="4"/>
  <c r="AD1589" i="4"/>
  <c r="AD1590" i="4"/>
  <c r="AD1591" i="4"/>
  <c r="AD1592" i="4"/>
  <c r="AD1593" i="4"/>
  <c r="AD1594" i="4"/>
  <c r="AD1595" i="4"/>
  <c r="AD1596" i="4"/>
  <c r="AD1597" i="4"/>
  <c r="AD1598" i="4"/>
  <c r="AD1599" i="4"/>
  <c r="AD1600" i="4"/>
  <c r="AD1601" i="4"/>
  <c r="AD1602" i="4"/>
  <c r="AD1603" i="4"/>
  <c r="AD1604" i="4"/>
  <c r="AD1605" i="4"/>
  <c r="AD1606" i="4"/>
  <c r="AD1607" i="4"/>
  <c r="AD1608" i="4"/>
  <c r="AD1609" i="4"/>
  <c r="AD1610" i="4"/>
  <c r="AD1611" i="4"/>
  <c r="AD1612" i="4"/>
  <c r="AD1613" i="4"/>
  <c r="AD1614" i="4"/>
  <c r="AD1615" i="4"/>
  <c r="AD1616" i="4"/>
  <c r="AD1617" i="4"/>
  <c r="AD1618" i="4"/>
  <c r="AD1619" i="4"/>
  <c r="AD1620" i="4"/>
  <c r="AD1621" i="4"/>
  <c r="AD1622" i="4"/>
  <c r="AD1623" i="4"/>
  <c r="AD1624" i="4"/>
  <c r="AD1625" i="4"/>
  <c r="AD1626" i="4"/>
  <c r="AD1627" i="4"/>
  <c r="AD1628" i="4"/>
  <c r="AD1629" i="4"/>
  <c r="AD1630" i="4"/>
  <c r="AD1631" i="4"/>
  <c r="AD1632" i="4"/>
  <c r="AD1633" i="4"/>
  <c r="AD1634" i="4"/>
  <c r="AD1635" i="4"/>
  <c r="AD1636" i="4"/>
  <c r="AD1637" i="4"/>
  <c r="AD1638" i="4"/>
  <c r="AD1639" i="4"/>
  <c r="AD1640" i="4"/>
  <c r="AD1641" i="4"/>
  <c r="AD1642" i="4"/>
  <c r="AD1643" i="4"/>
  <c r="AD1644" i="4"/>
  <c r="AD1645" i="4"/>
  <c r="AD1646" i="4"/>
  <c r="AD1647" i="4"/>
  <c r="AD1648" i="4"/>
  <c r="AD1649" i="4"/>
  <c r="AD1651" i="4"/>
  <c r="AD1650" i="4"/>
  <c r="AD1652" i="4"/>
  <c r="AD1653" i="4"/>
  <c r="AD1654" i="4"/>
  <c r="AD1655" i="4"/>
  <c r="AD1656" i="4"/>
  <c r="AD1657" i="4"/>
  <c r="AD1658" i="4"/>
  <c r="AD1659" i="4"/>
  <c r="AD1660" i="4"/>
  <c r="AD1661" i="4"/>
  <c r="AD1662" i="4"/>
  <c r="AD1663" i="4"/>
  <c r="AD1664" i="4"/>
  <c r="AD1665" i="4"/>
  <c r="AD1666" i="4"/>
  <c r="AD1667" i="4"/>
  <c r="AD1668" i="4"/>
  <c r="AD1669" i="4"/>
  <c r="AD1670" i="4"/>
  <c r="AD1671" i="4"/>
  <c r="AD1672" i="4"/>
  <c r="AD1673" i="4"/>
  <c r="AD1674" i="4"/>
  <c r="AD1675" i="4"/>
  <c r="AD1676" i="4"/>
  <c r="AD1677" i="4"/>
  <c r="AD1678" i="4"/>
  <c r="AD1679" i="4"/>
  <c r="AD1680" i="4"/>
  <c r="AD1681" i="4"/>
  <c r="AD1682" i="4"/>
  <c r="AD1683" i="4"/>
  <c r="AD1684" i="4"/>
  <c r="AD1685" i="4"/>
  <c r="AD1686" i="4"/>
  <c r="AD1687" i="4"/>
  <c r="AD1688" i="4"/>
  <c r="AD1689" i="4"/>
  <c r="AD1690" i="4"/>
  <c r="AD1691" i="4"/>
  <c r="AD1692" i="4"/>
  <c r="AD1693" i="4"/>
  <c r="AD1694" i="4"/>
  <c r="AD1695" i="4"/>
  <c r="AD1696" i="4"/>
  <c r="AD1697" i="4"/>
  <c r="AD1698" i="4"/>
  <c r="AD1699" i="4"/>
  <c r="AD1700" i="4"/>
  <c r="AD1701" i="4"/>
  <c r="AD1702" i="4"/>
  <c r="AD1703" i="4"/>
  <c r="AD1704" i="4"/>
  <c r="AD1705" i="4"/>
  <c r="AD1706" i="4"/>
  <c r="AD1707" i="4"/>
  <c r="AD1708" i="4"/>
  <c r="AD1709" i="4"/>
  <c r="AD1710" i="4"/>
  <c r="AD1711" i="4"/>
  <c r="AD1712" i="4"/>
  <c r="AD1713" i="4"/>
  <c r="AD1714" i="4"/>
  <c r="AD1715" i="4"/>
  <c r="AD1716" i="4"/>
  <c r="AD1717" i="4"/>
  <c r="AD1718" i="4"/>
  <c r="AD1719" i="4"/>
  <c r="AD1720" i="4"/>
  <c r="AD1721" i="4"/>
  <c r="AD1722" i="4"/>
  <c r="AD1723" i="4"/>
  <c r="AD1724" i="4"/>
  <c r="AD1725" i="4"/>
  <c r="AD1726" i="4"/>
  <c r="AD1727" i="4"/>
  <c r="AD1728" i="4"/>
  <c r="AD1729" i="4"/>
  <c r="AD1730" i="4"/>
  <c r="AD1731" i="4"/>
  <c r="AD1732" i="4"/>
  <c r="AD1733" i="4"/>
  <c r="AD1734" i="4"/>
  <c r="AD1735" i="4"/>
  <c r="AD1736" i="4"/>
  <c r="AD1737" i="4"/>
  <c r="AD1738" i="4"/>
  <c r="AD1739" i="4"/>
  <c r="AD1740" i="4"/>
  <c r="AD1741" i="4"/>
  <c r="AD1742" i="4"/>
  <c r="AD1743" i="4"/>
  <c r="AD1744" i="4"/>
  <c r="AD1745" i="4"/>
  <c r="AD1746" i="4"/>
  <c r="AD1747" i="4"/>
  <c r="AD1748" i="4"/>
  <c r="AD1749" i="4"/>
  <c r="AD1750" i="4"/>
  <c r="AD1751" i="4"/>
  <c r="AD1752" i="4"/>
  <c r="AD1753" i="4"/>
  <c r="AD1754" i="4"/>
  <c r="AD1755" i="4"/>
  <c r="AD1756" i="4"/>
  <c r="AD1757" i="4"/>
  <c r="AD1758" i="4"/>
  <c r="AD1759" i="4"/>
  <c r="AD1760" i="4"/>
  <c r="AD1761" i="4"/>
  <c r="AD1762" i="4"/>
  <c r="AD1763" i="4"/>
  <c r="AD1764" i="4"/>
  <c r="AD1765" i="4"/>
  <c r="AD1766" i="4"/>
  <c r="AD1767" i="4"/>
  <c r="AD1768" i="4"/>
  <c r="AD1769" i="4"/>
  <c r="AD1770" i="4"/>
  <c r="AD1771" i="4"/>
  <c r="AD1772" i="4"/>
  <c r="AD1773" i="4"/>
  <c r="AD1774" i="4"/>
  <c r="AD1775" i="4"/>
  <c r="AD1776" i="4"/>
  <c r="AD1777" i="4"/>
  <c r="AD1778" i="4"/>
  <c r="AD1779" i="4"/>
  <c r="AD1780" i="4"/>
  <c r="AD1781" i="4"/>
  <c r="AD1782" i="4"/>
  <c r="AD1783" i="4"/>
  <c r="AD1784" i="4"/>
  <c r="AD1785" i="4"/>
  <c r="AD1786" i="4"/>
  <c r="AD1787" i="4"/>
  <c r="AD1788" i="4"/>
  <c r="AD1789" i="4"/>
  <c r="AD1790" i="4"/>
  <c r="AD1791" i="4"/>
  <c r="AD1792" i="4"/>
  <c r="AD1793" i="4"/>
  <c r="AD1794" i="4"/>
  <c r="AD1795" i="4"/>
  <c r="AD1796" i="4"/>
  <c r="AD1798" i="4"/>
  <c r="AD1797" i="4"/>
  <c r="AD1799" i="4"/>
  <c r="AD1800" i="4"/>
  <c r="AD1801" i="4"/>
  <c r="AD1802" i="4"/>
  <c r="AD1803" i="4"/>
  <c r="AD1804" i="4"/>
  <c r="AD1805" i="4"/>
  <c r="AD1806" i="4"/>
  <c r="AD1807" i="4"/>
  <c r="AD1808" i="4"/>
  <c r="AD1809" i="4"/>
  <c r="AD1810" i="4"/>
  <c r="AD1811" i="4"/>
  <c r="AD1812" i="4"/>
  <c r="AD1814" i="4"/>
  <c r="AD1813" i="4"/>
  <c r="AD1815" i="4"/>
  <c r="AD1816" i="4"/>
  <c r="AD1817" i="4"/>
  <c r="AD1818" i="4"/>
  <c r="AD1819" i="4"/>
  <c r="AD1820" i="4"/>
  <c r="AD1821" i="4"/>
  <c r="AD1822" i="4"/>
  <c r="AD1824" i="4"/>
  <c r="AD1823" i="4"/>
  <c r="AD1825" i="4"/>
  <c r="AD1826" i="4"/>
  <c r="AD1827" i="4"/>
  <c r="AD1828" i="4"/>
  <c r="AD1829" i="4"/>
  <c r="AD1830" i="4"/>
  <c r="AD1831" i="4"/>
  <c r="AD1832" i="4"/>
  <c r="AD1833" i="4"/>
  <c r="AD1834" i="4"/>
  <c r="AD1835" i="4"/>
  <c r="AD1836" i="4"/>
  <c r="AD1837" i="4"/>
  <c r="AD1838" i="4"/>
  <c r="AD1839" i="4"/>
  <c r="AD1840" i="4"/>
  <c r="AD1841" i="4"/>
  <c r="AD1842" i="4"/>
  <c r="AD1843" i="4"/>
  <c r="AD1844" i="4"/>
  <c r="AD1845" i="4"/>
  <c r="AD1846" i="4"/>
  <c r="AD1847" i="4"/>
  <c r="AD1848" i="4"/>
  <c r="AD1849" i="4"/>
  <c r="AD1850" i="4"/>
  <c r="AD1851" i="4"/>
  <c r="AD1852" i="4"/>
  <c r="AD1853" i="4"/>
  <c r="AD1854" i="4"/>
  <c r="AD1855" i="4"/>
  <c r="AD1856" i="4"/>
  <c r="AD1857" i="4"/>
  <c r="AD1858" i="4"/>
  <c r="AD1859" i="4"/>
  <c r="AD1860" i="4"/>
  <c r="AD1861" i="4"/>
  <c r="AD1862" i="4"/>
  <c r="AD1863" i="4"/>
  <c r="AD1864" i="4"/>
  <c r="AD1865" i="4"/>
  <c r="AD1866" i="4"/>
  <c r="AD1867" i="4"/>
  <c r="AD1868" i="4"/>
  <c r="AD1869" i="4"/>
  <c r="AD1870" i="4"/>
  <c r="AD1871" i="4"/>
  <c r="AD1872" i="4"/>
  <c r="AD1873" i="4"/>
  <c r="AD1874" i="4"/>
  <c r="AD1875" i="4"/>
  <c r="AD1876" i="4"/>
  <c r="AD1877" i="4"/>
  <c r="AD1878" i="4"/>
  <c r="AD1879" i="4"/>
  <c r="AD1880" i="4"/>
  <c r="AD1881" i="4"/>
  <c r="AD1882" i="4"/>
  <c r="AD1883" i="4"/>
  <c r="AD1884" i="4"/>
  <c r="AD1885" i="4"/>
  <c r="AD1886" i="4"/>
  <c r="AD1887" i="4"/>
  <c r="AD1888" i="4"/>
  <c r="AD1889" i="4"/>
  <c r="AD1890" i="4"/>
  <c r="AD1891" i="4"/>
  <c r="AD1892" i="4"/>
  <c r="AD1893" i="4"/>
  <c r="AD1894" i="4"/>
  <c r="AD1895" i="4"/>
  <c r="AD1896" i="4"/>
  <c r="AD1897" i="4"/>
  <c r="AD1898" i="4"/>
  <c r="AD1899" i="4"/>
  <c r="AD1900" i="4"/>
  <c r="AD1901" i="4"/>
  <c r="AD1902" i="4"/>
  <c r="AD1903" i="4"/>
  <c r="AD1904" i="4"/>
  <c r="AD1905" i="4"/>
  <c r="AD1906" i="4"/>
  <c r="AD1907" i="4"/>
  <c r="AD1908" i="4"/>
  <c r="AD1909" i="4"/>
  <c r="AD1910" i="4"/>
  <c r="AD1911" i="4"/>
  <c r="AD1912" i="4"/>
  <c r="AD1913" i="4"/>
  <c r="AD1914" i="4"/>
  <c r="AD1915" i="4"/>
  <c r="AD1916" i="4"/>
  <c r="AD1917" i="4"/>
  <c r="AD1918" i="4"/>
  <c r="AD1919" i="4"/>
  <c r="AD1920" i="4"/>
  <c r="AD1921" i="4"/>
  <c r="AD1922" i="4"/>
  <c r="AD1923" i="4"/>
  <c r="AD1924" i="4"/>
  <c r="AD1925" i="4"/>
  <c r="AD1927" i="4"/>
  <c r="AD1926" i="4"/>
  <c r="AD1928" i="4"/>
  <c r="AD1929" i="4"/>
  <c r="AD1930" i="4"/>
  <c r="AD1931" i="4"/>
  <c r="AD1932" i="4"/>
  <c r="AD1933" i="4"/>
  <c r="AD1934" i="4"/>
  <c r="AD1935" i="4"/>
  <c r="AD1936" i="4"/>
  <c r="AD1937" i="4"/>
  <c r="AD1938" i="4"/>
  <c r="AD1939" i="4"/>
  <c r="AD1940" i="4"/>
  <c r="AD1941" i="4"/>
  <c r="AD1942" i="4"/>
  <c r="AD1943" i="4"/>
  <c r="AD1945" i="4"/>
  <c r="AD1944" i="4"/>
  <c r="AD1946" i="4"/>
  <c r="AD1947" i="4"/>
  <c r="AD1948" i="4"/>
  <c r="AD1949" i="4"/>
  <c r="AD1951" i="4"/>
  <c r="AD1950" i="4"/>
  <c r="AD1952" i="4"/>
  <c r="AD1953" i="4"/>
  <c r="AD1954" i="4"/>
  <c r="AD1955" i="4"/>
  <c r="AD1956" i="4"/>
  <c r="AD1957" i="4"/>
  <c r="AD1958" i="4"/>
  <c r="AD1959" i="4"/>
  <c r="AD1960" i="4"/>
  <c r="AD1961" i="4"/>
  <c r="AD1962" i="4"/>
  <c r="AD1963" i="4"/>
  <c r="AD1964" i="4"/>
  <c r="AD1965" i="4"/>
  <c r="AD1966" i="4"/>
  <c r="AD1967" i="4"/>
  <c r="AD1968" i="4"/>
  <c r="AD1969" i="4"/>
  <c r="AD1970" i="4"/>
  <c r="AD1971" i="4"/>
  <c r="AD1973" i="4"/>
  <c r="AD1972" i="4"/>
  <c r="AD1974" i="4"/>
  <c r="AD1975" i="4"/>
  <c r="AD1976" i="4"/>
  <c r="AD1977" i="4"/>
  <c r="AD1978" i="4"/>
  <c r="AD1979" i="4"/>
  <c r="AD1980" i="4"/>
  <c r="AD1981" i="4"/>
  <c r="AD1982" i="4"/>
  <c r="AD1983" i="4"/>
  <c r="AD1984" i="4"/>
  <c r="AD1985" i="4"/>
  <c r="AD1986" i="4"/>
  <c r="AD1987" i="4"/>
  <c r="AD1988" i="4"/>
  <c r="AD1989" i="4"/>
  <c r="AD1990" i="4"/>
  <c r="AD1991" i="4"/>
  <c r="AD1992" i="4"/>
  <c r="AD1994" i="4"/>
  <c r="AD1993" i="4"/>
  <c r="AD1995" i="4"/>
  <c r="AD1996" i="4"/>
  <c r="AD1997" i="4"/>
  <c r="AD1998" i="4"/>
  <c r="AD1999" i="4"/>
  <c r="AD2000" i="4"/>
  <c r="Y42" i="4"/>
  <c r="Y23" i="4"/>
  <c r="Y200" i="4"/>
  <c r="Y112" i="4"/>
  <c r="Y1055" i="4"/>
  <c r="Y1115" i="4"/>
  <c r="Y17" i="4"/>
  <c r="Y120" i="4"/>
  <c r="Y155" i="4"/>
  <c r="Y1036" i="4"/>
  <c r="Y1100" i="4"/>
  <c r="Y84" i="4"/>
  <c r="Y166" i="4"/>
  <c r="Y150" i="4"/>
  <c r="Y1025" i="4"/>
  <c r="Y1090" i="4"/>
  <c r="Y15" i="4"/>
  <c r="Y43" i="4"/>
  <c r="Y52" i="4"/>
  <c r="Y1021" i="4"/>
  <c r="Y1088" i="4"/>
  <c r="Y1148" i="4"/>
  <c r="Y1212" i="4"/>
  <c r="Y1274" i="4"/>
  <c r="Y1339" i="4"/>
  <c r="Y1402" i="4"/>
  <c r="Y1467" i="4"/>
  <c r="Y1187" i="4"/>
  <c r="Y1252" i="4"/>
  <c r="Y1313" i="4"/>
  <c r="Y1376" i="4"/>
  <c r="Y1441" i="4"/>
  <c r="Y1165" i="4"/>
  <c r="Y1231" i="4"/>
  <c r="Y1292" i="4"/>
  <c r="Y1357" i="4"/>
  <c r="Y1420" i="4"/>
  <c r="Y1147" i="4"/>
  <c r="Y1210" i="4"/>
  <c r="Y1272" i="4"/>
  <c r="Y1337" i="4"/>
  <c r="Y1403" i="4"/>
  <c r="Y1466" i="4"/>
  <c r="Y168" i="4"/>
  <c r="Y28" i="4"/>
  <c r="Y115" i="4"/>
  <c r="Y1027" i="4"/>
  <c r="Y1086" i="4"/>
  <c r="Y49" i="4"/>
  <c r="Y55" i="4"/>
  <c r="Y18" i="4"/>
  <c r="Y104" i="4"/>
  <c r="Y1072" i="4"/>
  <c r="Y1137" i="4"/>
  <c r="Y1009" i="4"/>
  <c r="Y58" i="4"/>
  <c r="Y196" i="4"/>
  <c r="Y1062" i="4"/>
  <c r="Y1127" i="4"/>
  <c r="Y88" i="4"/>
  <c r="Y31" i="4"/>
  <c r="Y111" i="4"/>
  <c r="Y1059" i="4"/>
  <c r="Y1123" i="4"/>
  <c r="Y1184" i="4"/>
  <c r="Y1246" i="4"/>
  <c r="Y1311" i="4"/>
  <c r="Y1374" i="4"/>
  <c r="Y1438" i="4"/>
  <c r="Y1157" i="4"/>
  <c r="Y1219" i="4"/>
  <c r="Y1283" i="4"/>
  <c r="Y1350" i="4"/>
  <c r="Y1412" i="4"/>
  <c r="Y1476" i="4"/>
  <c r="Y1200" i="4"/>
  <c r="Y1265" i="4"/>
  <c r="Y1328" i="4"/>
  <c r="Y1392" i="4"/>
  <c r="Y1458" i="4"/>
  <c r="Y1182" i="4"/>
  <c r="Y1248" i="4"/>
  <c r="Y1308" i="4"/>
  <c r="Y1375" i="4"/>
  <c r="Y1439" i="4"/>
  <c r="Y12" i="4"/>
  <c r="Y90" i="4"/>
  <c r="Y180" i="4"/>
  <c r="Y121" i="4"/>
  <c r="Y1069" i="4"/>
  <c r="Y1131" i="4"/>
  <c r="Y75" i="4"/>
  <c r="Y101" i="4"/>
  <c r="Y191" i="4"/>
  <c r="Y1052" i="4"/>
  <c r="Y1118" i="4"/>
  <c r="Y199" i="4"/>
  <c r="Y161" i="4"/>
  <c r="Y27" i="4"/>
  <c r="Y1041" i="4"/>
  <c r="Y1106" i="4"/>
  <c r="Y187" i="4"/>
  <c r="Y16" i="4"/>
  <c r="Y197" i="4"/>
  <c r="Y1039" i="4"/>
  <c r="Y1102" i="4"/>
  <c r="Y1164" i="4"/>
  <c r="Y1227" i="4"/>
  <c r="Y1291" i="4"/>
  <c r="Y1354" i="4"/>
  <c r="Y1419" i="4"/>
  <c r="Y1485" i="4"/>
  <c r="Y1202" i="4"/>
  <c r="Y1262" i="4"/>
  <c r="Y1329" i="4"/>
  <c r="Y1393" i="4"/>
  <c r="Y1456" i="4"/>
  <c r="Y1179" i="4"/>
  <c r="Y1245" i="4"/>
  <c r="Y1307" i="4"/>
  <c r="Y1373" i="4"/>
  <c r="Y1436" i="4"/>
  <c r="Y1161" i="4"/>
  <c r="Y1226" i="4"/>
  <c r="Y1289" i="4"/>
  <c r="Y1356" i="4"/>
  <c r="Y1418" i="4"/>
  <c r="Y1482" i="4"/>
  <c r="Y105" i="4"/>
  <c r="Y116" i="4"/>
  <c r="Y134" i="4"/>
  <c r="Y1043" i="4"/>
  <c r="Y1103" i="4"/>
  <c r="Y53" i="4"/>
  <c r="Y106" i="4"/>
  <c r="Y132" i="4"/>
  <c r="Y1024" i="4"/>
  <c r="Y1089" i="4"/>
  <c r="Y62" i="4"/>
  <c r="Y171" i="4"/>
  <c r="Y97" i="4"/>
  <c r="Y194" i="4"/>
  <c r="Y1079" i="4"/>
  <c r="Y107" i="4"/>
  <c r="Y1012" i="4"/>
  <c r="Y122" i="4"/>
  <c r="Y146" i="4"/>
  <c r="Y1074" i="4"/>
  <c r="Y1139" i="4"/>
  <c r="Y1198" i="4"/>
  <c r="Y1264" i="4"/>
  <c r="Y1327" i="4"/>
  <c r="Y1391" i="4"/>
  <c r="Y1454" i="4"/>
  <c r="Y1174" i="4"/>
  <c r="Y1237" i="4"/>
  <c r="Y1299" i="4"/>
  <c r="Y1365" i="4"/>
  <c r="Y1427" i="4"/>
  <c r="Y1152" i="4"/>
  <c r="Y1216" i="4"/>
  <c r="Y1281" i="4"/>
  <c r="Y1344" i="4"/>
  <c r="Y1410" i="4"/>
  <c r="Y1473" i="4"/>
  <c r="Y1199" i="4"/>
  <c r="Y1263" i="4"/>
  <c r="Y1325" i="4"/>
  <c r="Y1388" i="4"/>
  <c r="Y1995" i="4"/>
  <c r="Y131" i="4"/>
  <c r="Y1006" i="4"/>
  <c r="Y1018" i="4"/>
  <c r="Y156" i="4"/>
  <c r="Y59" i="4"/>
  <c r="Y1067" i="4"/>
  <c r="Y119" i="4"/>
  <c r="Y1007" i="4"/>
  <c r="Y1122" i="4"/>
  <c r="Y20" i="4"/>
  <c r="Y1054" i="4"/>
  <c r="Y1178" i="4"/>
  <c r="Y1310" i="4"/>
  <c r="Y1433" i="4"/>
  <c r="Y1217" i="4"/>
  <c r="Y1343" i="4"/>
  <c r="Y1472" i="4"/>
  <c r="Y1261" i="4"/>
  <c r="Y1390" i="4"/>
  <c r="Y1180" i="4"/>
  <c r="Y1306" i="4"/>
  <c r="Y1432" i="4"/>
  <c r="Y47" i="4"/>
  <c r="Y14" i="4"/>
  <c r="Y1119" i="4"/>
  <c r="Y141" i="4"/>
  <c r="Y1040" i="4"/>
  <c r="Y174" i="4"/>
  <c r="Y37" i="4"/>
  <c r="Y1094" i="4"/>
  <c r="Y186" i="4"/>
  <c r="Y1026" i="4"/>
  <c r="Y1150" i="4"/>
  <c r="Y1279" i="4"/>
  <c r="Y1408" i="4"/>
  <c r="Y1188" i="4"/>
  <c r="Y1318" i="4"/>
  <c r="Y1444" i="4"/>
  <c r="Y1234" i="4"/>
  <c r="Y1362" i="4"/>
  <c r="Y1151" i="4"/>
  <c r="Y1277" i="4"/>
  <c r="Y1407" i="4"/>
  <c r="Y46" i="4"/>
  <c r="Y143" i="4"/>
  <c r="Y70" i="4"/>
  <c r="Y1078" i="4"/>
  <c r="Y1140" i="4"/>
  <c r="Y145" i="4"/>
  <c r="Y22" i="4"/>
  <c r="Y169" i="4"/>
  <c r="Y1060" i="4"/>
  <c r="Y1125" i="4"/>
  <c r="Y99" i="4"/>
  <c r="Y164" i="4"/>
  <c r="Y68" i="4"/>
  <c r="Y1049" i="4"/>
  <c r="Y1116" i="4"/>
  <c r="Y44" i="4"/>
  <c r="Y89" i="4"/>
  <c r="Y85" i="4"/>
  <c r="Y1047" i="4"/>
  <c r="Y1113" i="4"/>
  <c r="Y1169" i="4"/>
  <c r="Y1238" i="4"/>
  <c r="Y1298" i="4"/>
  <c r="Y1363" i="4"/>
  <c r="Y1429" i="4"/>
  <c r="Y1143" i="4"/>
  <c r="Y1209" i="4"/>
  <c r="Y1273" i="4"/>
  <c r="Y1334" i="4"/>
  <c r="Y1398" i="4"/>
  <c r="Y1465" i="4"/>
  <c r="Y1186" i="4"/>
  <c r="Y1253" i="4"/>
  <c r="Y1317" i="4"/>
  <c r="Y1379" i="4"/>
  <c r="Y1446" i="4"/>
  <c r="Y1170" i="4"/>
  <c r="Y1233" i="4"/>
  <c r="Y1297" i="4"/>
  <c r="Y1361" i="4"/>
  <c r="Y1426" i="4"/>
  <c r="Y1492" i="4"/>
  <c r="Y41" i="4"/>
  <c r="Y81" i="4"/>
  <c r="Y128" i="4"/>
  <c r="Y1016" i="4"/>
  <c r="Y1080" i="4"/>
  <c r="Y1996" i="4"/>
  <c r="Y182" i="4"/>
  <c r="Y10" i="4"/>
  <c r="Y167" i="4"/>
  <c r="Y1063" i="4"/>
  <c r="Y1129" i="4"/>
  <c r="Y60" i="4"/>
  <c r="Y154" i="4"/>
  <c r="Y45" i="4"/>
  <c r="Y1053" i="4"/>
  <c r="Y1117" i="4"/>
  <c r="Y160" i="4"/>
  <c r="Y95" i="4"/>
  <c r="Y1011" i="4"/>
  <c r="Y1051" i="4"/>
  <c r="Y1114" i="4"/>
  <c r="Y1172" i="4"/>
  <c r="Y1240" i="4"/>
  <c r="Y1303" i="4"/>
  <c r="Y1367" i="4"/>
  <c r="Y1430" i="4"/>
  <c r="Y1146" i="4"/>
  <c r="Y1211" i="4"/>
  <c r="Y1276" i="4"/>
  <c r="Y1340" i="4"/>
  <c r="Y1406" i="4"/>
  <c r="Y1469" i="4"/>
  <c r="Y1192" i="4"/>
  <c r="Y1257" i="4"/>
  <c r="Y1322" i="4"/>
  <c r="Y1385" i="4"/>
  <c r="Y1449" i="4"/>
  <c r="Y1173" i="4"/>
  <c r="Y1235" i="4"/>
  <c r="Y1301" i="4"/>
  <c r="Y1366" i="4"/>
  <c r="Y1431" i="4"/>
  <c r="Y1484" i="4"/>
  <c r="Y1536" i="4"/>
  <c r="Y1599" i="4"/>
  <c r="Y1662" i="4"/>
  <c r="Y1727" i="4"/>
  <c r="Y1793" i="4"/>
  <c r="Y1509" i="4"/>
  <c r="Y1572" i="4"/>
  <c r="Y1636" i="4"/>
  <c r="Y1700" i="4"/>
  <c r="Y1762" i="4"/>
  <c r="Y1498" i="4"/>
  <c r="Y1563" i="4"/>
  <c r="Y1623" i="4"/>
  <c r="Y1689" i="4"/>
  <c r="Y1752" i="4"/>
  <c r="Y1815" i="4"/>
  <c r="Y1542" i="4"/>
  <c r="Y1606" i="4"/>
  <c r="Y1670" i="4"/>
  <c r="Y1735" i="4"/>
  <c r="Y1495" i="4"/>
  <c r="Y1570" i="4"/>
  <c r="Y1634" i="4"/>
  <c r="Y1698" i="4"/>
  <c r="Y1764" i="4"/>
  <c r="Y1830" i="4"/>
  <c r="Y1543" i="4"/>
  <c r="Y1611" i="4"/>
  <c r="Y1673" i="4"/>
  <c r="Y1736" i="4"/>
  <c r="Y1802" i="4"/>
  <c r="Y1533" i="4"/>
  <c r="Y1596" i="4"/>
  <c r="Y1660" i="4"/>
  <c r="Y1725" i="4"/>
  <c r="Y1790" i="4"/>
  <c r="Y1514" i="4"/>
  <c r="Y1577" i="4"/>
  <c r="Y1642" i="4"/>
  <c r="Y1705" i="4"/>
  <c r="Y1772" i="4"/>
  <c r="Y1831" i="4"/>
  <c r="Y1895" i="4"/>
  <c r="Y140" i="4"/>
  <c r="Y1035" i="4"/>
  <c r="Y175" i="4"/>
  <c r="Y170" i="4"/>
  <c r="Y1083" i="4"/>
  <c r="Y133" i="4"/>
  <c r="Y189" i="4"/>
  <c r="Y193" i="4"/>
  <c r="Y21" i="4"/>
  <c r="Y1071" i="4"/>
  <c r="Y1195" i="4"/>
  <c r="Y1323" i="4"/>
  <c r="Y1451" i="4"/>
  <c r="Y1232" i="4"/>
  <c r="Y1360" i="4"/>
  <c r="Y1149" i="4"/>
  <c r="Y1278" i="4"/>
  <c r="Y1404" i="4"/>
  <c r="Y1194" i="4"/>
  <c r="Y1321" i="4"/>
  <c r="Y1450" i="4"/>
  <c r="Y144" i="4"/>
  <c r="Y76" i="4"/>
  <c r="Y1135" i="4"/>
  <c r="Y129" i="4"/>
  <c r="Y1056" i="4"/>
  <c r="Y66" i="4"/>
  <c r="Y190" i="4"/>
  <c r="Y1111" i="4"/>
  <c r="Y148" i="4"/>
  <c r="Y1042" i="4"/>
  <c r="Y1168" i="4"/>
  <c r="Y1293" i="4"/>
  <c r="Y1423" i="4"/>
  <c r="Y1203" i="4"/>
  <c r="Y1333" i="4"/>
  <c r="Y1460" i="4"/>
  <c r="Y1247" i="4"/>
  <c r="Y1377" i="4"/>
  <c r="Y1167" i="4"/>
  <c r="Y1296" i="4"/>
  <c r="Y1424" i="4"/>
  <c r="Y163" i="4"/>
  <c r="Y135" i="4"/>
  <c r="Y1029" i="4"/>
  <c r="Y1091" i="4"/>
  <c r="Y113" i="4"/>
  <c r="Y36" i="4"/>
  <c r="Y78" i="4"/>
  <c r="Y35" i="4"/>
  <c r="Y1076" i="4"/>
  <c r="Y1141" i="4"/>
  <c r="Y30" i="4"/>
  <c r="Y33" i="4"/>
  <c r="Y69" i="4"/>
  <c r="Y1065" i="4"/>
  <c r="Y1997" i="4"/>
  <c r="Y102" i="4"/>
  <c r="Y188" i="4"/>
  <c r="Y32" i="4"/>
  <c r="Y1064" i="4"/>
  <c r="Y1126" i="4"/>
  <c r="Y1189" i="4"/>
  <c r="Y1249" i="4"/>
  <c r="Y1314" i="4"/>
  <c r="Y1378" i="4"/>
  <c r="Y1443" i="4"/>
  <c r="Y1160" i="4"/>
  <c r="Y1223" i="4"/>
  <c r="Y1287" i="4"/>
  <c r="Y1352" i="4"/>
  <c r="Y1417" i="4"/>
  <c r="Y1136" i="4"/>
  <c r="Y1204" i="4"/>
  <c r="Y1267" i="4"/>
  <c r="Y1332" i="4"/>
  <c r="Y1397" i="4"/>
  <c r="Y1461" i="4"/>
  <c r="Y1185" i="4"/>
  <c r="Y1251" i="4"/>
  <c r="Y1312" i="4"/>
  <c r="Y1380" i="4"/>
  <c r="Y1442" i="4"/>
  <c r="Y1499" i="4"/>
  <c r="Y147" i="4"/>
  <c r="Y176" i="4"/>
  <c r="Y195" i="4"/>
  <c r="Y1034" i="4"/>
  <c r="Y1098" i="4"/>
  <c r="Y139" i="4"/>
  <c r="Y61" i="4"/>
  <c r="Y130" i="4"/>
  <c r="Y1019" i="4"/>
  <c r="Y1081" i="4"/>
  <c r="Y94" i="4"/>
  <c r="Y173" i="4"/>
  <c r="Y117" i="4"/>
  <c r="Y149" i="4"/>
  <c r="Y1070" i="4"/>
  <c r="Y91" i="4"/>
  <c r="Y181" i="4"/>
  <c r="Y1008" i="4"/>
  <c r="Y63" i="4"/>
  <c r="Y1068" i="4"/>
  <c r="Y1132" i="4"/>
  <c r="Y1190" i="4"/>
  <c r="Y1255" i="4"/>
  <c r="Y1320" i="4"/>
  <c r="Y1383" i="4"/>
  <c r="Y1448" i="4"/>
  <c r="Y1162" i="4"/>
  <c r="Y1228" i="4"/>
  <c r="Y1294" i="4"/>
  <c r="Y1355" i="4"/>
  <c r="Y1421" i="4"/>
  <c r="Y1145" i="4"/>
  <c r="Y1208" i="4"/>
  <c r="Y1275" i="4"/>
  <c r="Y1335" i="4"/>
  <c r="Y1401" i="4"/>
  <c r="Y1464" i="4"/>
  <c r="Y1191" i="4"/>
  <c r="Y1254" i="4"/>
  <c r="Y1316" i="4"/>
  <c r="Y1382" i="4"/>
  <c r="Y1445" i="4"/>
  <c r="Y1502" i="4"/>
  <c r="Y1551" i="4"/>
  <c r="Y1613" i="4"/>
  <c r="Y1676" i="4"/>
  <c r="Y1745" i="4"/>
  <c r="Y1805" i="4"/>
  <c r="Y1522" i="4"/>
  <c r="Y1588" i="4"/>
  <c r="Y1651" i="4"/>
  <c r="Y1716" i="4"/>
  <c r="Y1779" i="4"/>
  <c r="Y1513" i="4"/>
  <c r="Y1579" i="4"/>
  <c r="Y1643" i="4"/>
  <c r="Y1706" i="4"/>
  <c r="Y1767" i="4"/>
  <c r="Y1493" i="4"/>
  <c r="Y192" i="4"/>
  <c r="Y48" i="4"/>
  <c r="Y1133" i="4"/>
  <c r="Y1058" i="4"/>
  <c r="Y124" i="4"/>
  <c r="Y1242" i="4"/>
  <c r="Y1153" i="4"/>
  <c r="Y1405" i="4"/>
  <c r="Y1324" i="4"/>
  <c r="Y1243" i="4"/>
  <c r="Y1489" i="4"/>
  <c r="Y1057" i="4"/>
  <c r="Y82" i="4"/>
  <c r="Y179" i="4"/>
  <c r="Y67" i="4"/>
  <c r="Y1092" i="4"/>
  <c r="Y1341" i="4"/>
  <c r="Y1250" i="4"/>
  <c r="Y1171" i="4"/>
  <c r="Y1425" i="4"/>
  <c r="Y1345" i="4"/>
  <c r="Y127" i="4"/>
  <c r="Y1044" i="4"/>
  <c r="Y183" i="4"/>
  <c r="Y25" i="4"/>
  <c r="Y1093" i="4"/>
  <c r="Y158" i="4"/>
  <c r="Y1017" i="4"/>
  <c r="Y1010" i="4"/>
  <c r="Y98" i="4"/>
  <c r="Y1077" i="4"/>
  <c r="Y1205" i="4"/>
  <c r="Y1330" i="4"/>
  <c r="Y1457" i="4"/>
  <c r="Y1239" i="4"/>
  <c r="Y1369" i="4"/>
  <c r="Y1156" i="4"/>
  <c r="Y1284" i="4"/>
  <c r="Y1413" i="4"/>
  <c r="Y1201" i="4"/>
  <c r="Y1331" i="4"/>
  <c r="Y1459" i="4"/>
  <c r="Y1014" i="4"/>
  <c r="Y1013" i="4"/>
  <c r="Y1110" i="4"/>
  <c r="Y162" i="4"/>
  <c r="Y1032" i="4"/>
  <c r="Y73" i="4"/>
  <c r="Y19" i="4"/>
  <c r="Y1082" i="4"/>
  <c r="Y178" i="4"/>
  <c r="Y1020" i="4"/>
  <c r="Y1142" i="4"/>
  <c r="Y1270" i="4"/>
  <c r="Y1400" i="4"/>
  <c r="Y1181" i="4"/>
  <c r="Y1309" i="4"/>
  <c r="Y1437" i="4"/>
  <c r="Y1224" i="4"/>
  <c r="Y1353" i="4"/>
  <c r="Y1138" i="4"/>
  <c r="Y1268" i="4"/>
  <c r="Y1399" i="4"/>
  <c r="Y1488" i="4"/>
  <c r="Y1633" i="4"/>
  <c r="Y1758" i="4"/>
  <c r="Y1538" i="4"/>
  <c r="Y1667" i="4"/>
  <c r="Y1799" i="4"/>
  <c r="Y1591" i="4"/>
  <c r="Y1721" i="4"/>
  <c r="Y1511" i="4"/>
  <c r="Y1590" i="4"/>
  <c r="Y1686" i="4"/>
  <c r="Y1768" i="4"/>
  <c r="Y1557" i="4"/>
  <c r="Y1652" i="4"/>
  <c r="Y1732" i="4"/>
  <c r="Y1811" i="4"/>
  <c r="Y1560" i="4"/>
  <c r="Y1639" i="4"/>
  <c r="Y1719" i="4"/>
  <c r="Y1480" i="4"/>
  <c r="Y1565" i="4"/>
  <c r="Y1646" i="4"/>
  <c r="Y1742" i="4"/>
  <c r="Y1821" i="4"/>
  <c r="Y1561" i="4"/>
  <c r="Y1658" i="4"/>
  <c r="Y1740" i="4"/>
  <c r="Y1818" i="4"/>
  <c r="Y1913" i="4"/>
  <c r="Y1976" i="4"/>
  <c r="Y1869" i="4"/>
  <c r="Y1930" i="4"/>
  <c r="Y1832" i="4"/>
  <c r="Y1898" i="4"/>
  <c r="Y1962" i="4"/>
  <c r="Y1855" i="4"/>
  <c r="Y1919" i="4"/>
  <c r="Y1981" i="4"/>
  <c r="Y1833" i="4"/>
  <c r="Y1862" i="4"/>
  <c r="Y1881" i="4"/>
  <c r="Y1507" i="4"/>
  <c r="Y1574" i="4"/>
  <c r="Y1640" i="4"/>
  <c r="Y1702" i="4"/>
  <c r="Y1765" i="4"/>
  <c r="Y1479" i="4"/>
  <c r="Y1550" i="4"/>
  <c r="Y1610" i="4"/>
  <c r="Y1677" i="4"/>
  <c r="Y1739" i="4"/>
  <c r="Y1804" i="4"/>
  <c r="Y1539" i="4"/>
  <c r="Y1601" i="4"/>
  <c r="Y1664" i="4"/>
  <c r="Y1729" i="4"/>
  <c r="Y1794" i="4"/>
  <c r="Y1517" i="4"/>
  <c r="Y1581" i="4"/>
  <c r="Y1644" i="4"/>
  <c r="Y1711" i="4"/>
  <c r="Y1776" i="4"/>
  <c r="Y1834" i="4"/>
  <c r="Y1899" i="4"/>
  <c r="Y1964" i="4"/>
  <c r="Y1856" i="4"/>
  <c r="Y1920" i="4"/>
  <c r="Y1983" i="4"/>
  <c r="Y1885" i="4"/>
  <c r="Y1947" i="4"/>
  <c r="Y1843" i="4"/>
  <c r="Y1907" i="4"/>
  <c r="Y1970" i="4"/>
  <c r="Y1890" i="4"/>
  <c r="Y1911" i="4"/>
  <c r="Y1941" i="4"/>
  <c r="Y1961" i="4"/>
  <c r="Y1546" i="4"/>
  <c r="Y1612" i="4"/>
  <c r="Y1674" i="4"/>
  <c r="Y1738" i="4"/>
  <c r="Y1803" i="4"/>
  <c r="Y1520" i="4"/>
  <c r="Y1585" i="4"/>
  <c r="Y1648" i="4"/>
  <c r="Y1714" i="4"/>
  <c r="Y1774" i="4"/>
  <c r="Y1508" i="4"/>
  <c r="Y1573" i="4"/>
  <c r="Y1638" i="4"/>
  <c r="Y1704" i="4"/>
  <c r="Y1766" i="4"/>
  <c r="Y1490" i="4"/>
  <c r="Y1554" i="4"/>
  <c r="Y1617" i="4"/>
  <c r="Y1680" i="4"/>
  <c r="Y1744" i="4"/>
  <c r="Y1812" i="4"/>
  <c r="Y1871" i="4"/>
  <c r="Y1934" i="4"/>
  <c r="Y1827" i="4"/>
  <c r="Y1891" i="4"/>
  <c r="Y1956" i="4"/>
  <c r="Y1857" i="4"/>
  <c r="Y1921" i="4"/>
  <c r="Y1986" i="4"/>
  <c r="Y1879" i="4"/>
  <c r="Y1943" i="4"/>
  <c r="Y1796" i="4"/>
  <c r="Y1971" i="4"/>
  <c r="Y1828" i="4"/>
  <c r="Y1849" i="4"/>
  <c r="Y1992" i="4"/>
  <c r="Y1699" i="4"/>
  <c r="Y1826" i="4"/>
  <c r="Y1952" i="4"/>
  <c r="Y1908" i="4"/>
  <c r="Y1872" i="4"/>
  <c r="Y1829" i="4"/>
  <c r="Y1958" i="4"/>
  <c r="Y1850" i="4"/>
  <c r="Y1897" i="4"/>
  <c r="Y1085" i="4"/>
  <c r="Y64" i="4"/>
  <c r="Y153" i="4"/>
  <c r="Y1371" i="4"/>
  <c r="Y65" i="4"/>
  <c r="Y172" i="4"/>
  <c r="Y34" i="4"/>
  <c r="Y1075" i="4"/>
  <c r="Y109" i="4"/>
  <c r="Y1258" i="4"/>
  <c r="Y1166" i="4"/>
  <c r="Y1422" i="4"/>
  <c r="Y1342" i="4"/>
  <c r="Y1259" i="4"/>
  <c r="Y86" i="4"/>
  <c r="Y1073" i="4"/>
  <c r="Y114" i="4"/>
  <c r="Y198" i="4"/>
  <c r="Y77" i="4"/>
  <c r="Y1107" i="4"/>
  <c r="Y1358" i="4"/>
  <c r="Y1271" i="4"/>
  <c r="Y1183" i="4"/>
  <c r="Y1440" i="4"/>
  <c r="Y1359" i="4"/>
  <c r="Y92" i="4"/>
  <c r="Y1061" i="4"/>
  <c r="Y118" i="4"/>
  <c r="Y51" i="4"/>
  <c r="Y1108" i="4"/>
  <c r="Y56" i="4"/>
  <c r="Y1033" i="4"/>
  <c r="Y11" i="4"/>
  <c r="Y123" i="4"/>
  <c r="Y1095" i="4"/>
  <c r="Y1220" i="4"/>
  <c r="Y1346" i="4"/>
  <c r="Y1475" i="4"/>
  <c r="Y1256" i="4"/>
  <c r="Y1384" i="4"/>
  <c r="Y1175" i="4"/>
  <c r="Y1302" i="4"/>
  <c r="Y1428" i="4"/>
  <c r="Y1218" i="4"/>
  <c r="Y1347" i="4"/>
  <c r="Y1474" i="4"/>
  <c r="Y138" i="4"/>
  <c r="Y13" i="4"/>
  <c r="Y1128" i="4"/>
  <c r="Y151" i="4"/>
  <c r="Y1048" i="4"/>
  <c r="Y184" i="4"/>
  <c r="Y87" i="4"/>
  <c r="Y1105" i="4"/>
  <c r="Y57" i="4"/>
  <c r="Y1037" i="4"/>
  <c r="Y1158" i="4"/>
  <c r="Y1286" i="4"/>
  <c r="Y1415" i="4"/>
  <c r="Y1197" i="4"/>
  <c r="Y1326" i="4"/>
  <c r="Y1455" i="4"/>
  <c r="Y1241" i="4"/>
  <c r="Y1368" i="4"/>
  <c r="Y1159" i="4"/>
  <c r="Y1290" i="4"/>
  <c r="Y1414" i="4"/>
  <c r="Y1519" i="4"/>
  <c r="Y1647" i="4"/>
  <c r="Y1778" i="4"/>
  <c r="Y1555" i="4"/>
  <c r="Y1685" i="4"/>
  <c r="Y1810" i="4"/>
  <c r="Y1608" i="4"/>
  <c r="Y1737" i="4"/>
  <c r="Y1527" i="4"/>
  <c r="Y1624" i="4"/>
  <c r="Y1703" i="4"/>
  <c r="Y1784" i="4"/>
  <c r="Y1583" i="4"/>
  <c r="Y1669" i="4"/>
  <c r="Y1748" i="4"/>
  <c r="Y1496" i="4"/>
  <c r="Y1576" i="4"/>
  <c r="Y1657" i="4"/>
  <c r="Y1753" i="4"/>
  <c r="Y1503" i="4"/>
  <c r="Y1582" i="4"/>
  <c r="Y1678" i="4"/>
  <c r="Y1757" i="4"/>
  <c r="Y1497" i="4"/>
  <c r="Y1594" i="4"/>
  <c r="Y1672" i="4"/>
  <c r="Y1754" i="4"/>
  <c r="Y1848" i="4"/>
  <c r="Y1926" i="4"/>
  <c r="Y1988" i="4"/>
  <c r="Y1884" i="4"/>
  <c r="Y1949" i="4"/>
  <c r="Y1847" i="4"/>
  <c r="Y1912" i="4"/>
  <c r="Y1975" i="4"/>
  <c r="Y1868" i="4"/>
  <c r="Y1933" i="4"/>
  <c r="Y1842" i="4"/>
  <c r="Y1880" i="4"/>
  <c r="Y1910" i="4"/>
  <c r="Y1932" i="4"/>
  <c r="Y1528" i="4"/>
  <c r="Y1592" i="4"/>
  <c r="Y1655" i="4"/>
  <c r="Y1720" i="4"/>
  <c r="Y1782" i="4"/>
  <c r="Y1500" i="4"/>
  <c r="Y1564" i="4"/>
  <c r="Y1629" i="4"/>
  <c r="Y1691" i="4"/>
  <c r="Y1756" i="4"/>
  <c r="Y1487" i="4"/>
  <c r="Y1552" i="4"/>
  <c r="Y1615" i="4"/>
  <c r="Y1682" i="4"/>
  <c r="Y1746" i="4"/>
  <c r="Y1809" i="4"/>
  <c r="Y1534" i="4"/>
  <c r="Y1598" i="4"/>
  <c r="Y1661" i="4"/>
  <c r="Y1726" i="4"/>
  <c r="Y1789" i="4"/>
  <c r="Y1852" i="4"/>
  <c r="Y1914" i="4"/>
  <c r="Y1980" i="4"/>
  <c r="Y1873" i="4"/>
  <c r="Y1938" i="4"/>
  <c r="Y1837" i="4"/>
  <c r="Y1901" i="4"/>
  <c r="Y1963" i="4"/>
  <c r="Y1858" i="4"/>
  <c r="Y1922" i="4"/>
  <c r="Y1985" i="4"/>
  <c r="Y1939" i="4"/>
  <c r="Y1959" i="4"/>
  <c r="Y1990" i="4"/>
  <c r="Y1470" i="4"/>
  <c r="Y1562" i="4"/>
  <c r="Y1627" i="4"/>
  <c r="Y1690" i="4"/>
  <c r="Y1755" i="4"/>
  <c r="Y1819" i="4"/>
  <c r="Y1535" i="4"/>
  <c r="Y1600" i="4"/>
  <c r="Y1666" i="4"/>
  <c r="Y1728" i="4"/>
  <c r="Y1792" i="4"/>
  <c r="Y1525" i="4"/>
  <c r="Y1589" i="4"/>
  <c r="Y1654" i="4"/>
  <c r="Y1718" i="4"/>
  <c r="Y1781" i="4"/>
  <c r="Y1506" i="4"/>
  <c r="Y1569" i="4"/>
  <c r="Y1635" i="4"/>
  <c r="Y1763" i="4"/>
  <c r="Y1887" i="4"/>
  <c r="Y1844" i="4"/>
  <c r="Y1972" i="4"/>
  <c r="Y1937" i="4"/>
  <c r="Y1894" i="4"/>
  <c r="Y1825" i="4"/>
  <c r="Y1876" i="4"/>
  <c r="Y1998" i="4"/>
  <c r="Y1999" i="4"/>
  <c r="Y72" i="4"/>
  <c r="Y1121" i="4"/>
  <c r="Y1946" i="4"/>
  <c r="Y1860" i="4"/>
  <c r="Y1940" i="4"/>
  <c r="Y1853" i="4"/>
  <c r="Y1602" i="4"/>
  <c r="Y1684" i="4"/>
  <c r="Y1760" i="4"/>
  <c r="Y1504" i="4"/>
  <c r="Y1597" i="4"/>
  <c r="Y1866" i="4"/>
  <c r="Y1822" i="4"/>
  <c r="Y1905" i="4"/>
  <c r="Y1567" i="4"/>
  <c r="Y1650" i="4"/>
  <c r="Y1723" i="4"/>
  <c r="Y1817" i="4"/>
  <c r="Y1559" i="4"/>
  <c r="Y1955" i="4"/>
  <c r="Y1945" i="4"/>
  <c r="Y1854" i="4"/>
  <c r="Y1724" i="4"/>
  <c r="Y1708" i="4"/>
  <c r="Y1701" i="4"/>
  <c r="Y1715" i="4"/>
  <c r="Y1653" i="4"/>
  <c r="Y1547" i="4"/>
  <c r="Y1710" i="4"/>
  <c r="Y1222" i="4"/>
  <c r="Y1389" i="4"/>
  <c r="Y1225" i="4"/>
  <c r="Y1038" i="4"/>
  <c r="Y40" i="4"/>
  <c r="Y1409" i="4"/>
  <c r="Y1236" i="4"/>
  <c r="Y1411" i="4"/>
  <c r="Y110" i="4"/>
  <c r="Y1045" i="4"/>
  <c r="Y159" i="4"/>
  <c r="Y1130" i="4"/>
  <c r="Y1120" i="4"/>
  <c r="Y1468" i="4"/>
  <c r="Y79" i="4"/>
  <c r="Y1944" i="4"/>
  <c r="Y1896" i="4"/>
  <c r="Y1977" i="4"/>
  <c r="Y1845" i="4"/>
  <c r="Y1889" i="4"/>
  <c r="Y1924" i="4"/>
  <c r="Y1966" i="4"/>
  <c r="Y1838" i="4"/>
  <c r="Y1713" i="4"/>
  <c r="Y1586" i="4"/>
  <c r="Y1797" i="4"/>
  <c r="Y1668" i="4"/>
  <c r="Y1541" i="4"/>
  <c r="Y1743" i="4"/>
  <c r="Y1618" i="4"/>
  <c r="Y1486" i="4"/>
  <c r="Y1709" i="4"/>
  <c r="Y1580" i="4"/>
  <c r="Y1864" i="4"/>
  <c r="Y1987" i="4"/>
  <c r="Y1936" i="4"/>
  <c r="Y1984" i="4"/>
  <c r="Y1851" i="4"/>
  <c r="Y1888" i="4"/>
  <c r="Y1928" i="4"/>
  <c r="Y1806" i="4"/>
  <c r="Y1681" i="4"/>
  <c r="Y1549" i="4"/>
  <c r="Y1761" i="4"/>
  <c r="Y1632" i="4"/>
  <c r="Y1505" i="4"/>
  <c r="Y1707" i="4"/>
  <c r="Y1578" i="4"/>
  <c r="Y1798" i="4"/>
  <c r="Y1671" i="4"/>
  <c r="Y1544" i="4"/>
  <c r="Y1957" i="4"/>
  <c r="Y1906" i="4"/>
  <c r="Y1886" i="4"/>
  <c r="Y1931" i="4"/>
  <c r="Y1965" i="4"/>
  <c r="Y1836" i="4"/>
  <c r="Y1863" i="4"/>
  <c r="Y1693" i="4"/>
  <c r="Y1530" i="4"/>
  <c r="Y1692" i="4"/>
  <c r="Y1516" i="4"/>
  <c r="Y1688" i="4"/>
  <c r="Y1512" i="4"/>
  <c r="Y1683" i="4"/>
  <c r="Y1523" i="4"/>
  <c r="Y1637" i="4"/>
  <c r="Y1787" i="4"/>
  <c r="Y1529" i="4"/>
  <c r="Y1604" i="4"/>
  <c r="Y1695" i="4"/>
  <c r="Y1463" i="4"/>
  <c r="Y1206" i="4"/>
  <c r="Y1288" i="4"/>
  <c r="Y1372" i="4"/>
  <c r="Y1462" i="4"/>
  <c r="Y1207" i="4"/>
  <c r="Y24" i="4"/>
  <c r="Y1022" i="4"/>
  <c r="Y1096" i="4"/>
  <c r="Y8" i="4"/>
  <c r="Y29" i="4"/>
  <c r="Y1394" i="4"/>
  <c r="Y1477" i="4"/>
  <c r="Y1221" i="4"/>
  <c r="Y1305" i="4"/>
  <c r="Y1395" i="4"/>
  <c r="Y1144" i="4"/>
  <c r="Y165" i="4"/>
  <c r="Y9" i="4"/>
  <c r="Y1028" i="4"/>
  <c r="Y1109" i="4"/>
  <c r="Y7" i="4"/>
  <c r="Y1300" i="4"/>
  <c r="Y1471" i="4"/>
  <c r="Y100" i="4"/>
  <c r="Y1104" i="4"/>
  <c r="Y137" i="4"/>
  <c r="Y1452" i="4"/>
  <c r="Y1280" i="4"/>
  <c r="Y39" i="4"/>
  <c r="Y1994" i="4"/>
  <c r="Y1989" i="4"/>
  <c r="Y1904" i="4"/>
  <c r="Y1982" i="4"/>
  <c r="Y1730" i="4"/>
  <c r="Y1814" i="4"/>
  <c r="Y1556" i="4"/>
  <c r="Y1631" i="4"/>
  <c r="Y1722" i="4"/>
  <c r="Y1915" i="4"/>
  <c r="Y1954" i="4"/>
  <c r="Y1870" i="4"/>
  <c r="Y1948" i="4"/>
  <c r="Y1824" i="4"/>
  <c r="Y1694" i="4"/>
  <c r="Y1775" i="4"/>
  <c r="Y1524" i="4"/>
  <c r="Y1595" i="4"/>
  <c r="Y1687" i="4"/>
  <c r="Y1835" i="4"/>
  <c r="Y1902" i="4"/>
  <c r="Y1979" i="4"/>
  <c r="Y1878" i="4"/>
  <c r="Y1545" i="4"/>
  <c r="Y1548" i="4"/>
  <c r="Y1526" i="4"/>
  <c r="Y1540" i="4"/>
  <c r="Y1801" i="4"/>
  <c r="Y1621" i="4"/>
  <c r="Y1478" i="4"/>
  <c r="Y1304" i="4"/>
  <c r="Y1481" i="4"/>
  <c r="Y71" i="4"/>
  <c r="Y1112" i="4"/>
  <c r="Y50" i="4"/>
  <c r="Y1154" i="4"/>
  <c r="Y1319" i="4"/>
  <c r="Y1155" i="4"/>
  <c r="Y185" i="4"/>
  <c r="Y1124" i="4"/>
  <c r="Y1315" i="4"/>
  <c r="Y103" i="4"/>
  <c r="Y157" i="4"/>
  <c r="Y1295" i="4"/>
  <c r="Y54" i="4"/>
  <c r="Y1974" i="4"/>
  <c r="Y1923" i="4"/>
  <c r="Y1925" i="4"/>
  <c r="Y1968" i="4"/>
  <c r="Y1840" i="4"/>
  <c r="Y1877" i="4"/>
  <c r="Y1917" i="4"/>
  <c r="Y1791" i="4"/>
  <c r="Y1665" i="4"/>
  <c r="Y1537" i="4"/>
  <c r="Y1749" i="4"/>
  <c r="Y1620" i="4"/>
  <c r="Y1491" i="4"/>
  <c r="Y1696" i="4"/>
  <c r="Y1568" i="4"/>
  <c r="Y1786" i="4"/>
  <c r="Y1663" i="4"/>
  <c r="Y1531" i="4"/>
  <c r="Y1892" i="4"/>
  <c r="Y1861" i="4"/>
  <c r="Y1893" i="4"/>
  <c r="Y1935" i="4"/>
  <c r="Y1969" i="4"/>
  <c r="Y1841" i="4"/>
  <c r="Y1883" i="4"/>
  <c r="Y1759" i="4"/>
  <c r="Y1628" i="4"/>
  <c r="Y1501" i="4"/>
  <c r="Y1712" i="4"/>
  <c r="Y1587" i="4"/>
  <c r="Y1788" i="4"/>
  <c r="Y1659" i="4"/>
  <c r="Y1532" i="4"/>
  <c r="Y1750" i="4"/>
  <c r="Y1622" i="4"/>
  <c r="Y1453" i="4"/>
  <c r="Y1973" i="4"/>
  <c r="Y1967" i="4"/>
  <c r="Y1839" i="4"/>
  <c r="Y1882" i="4"/>
  <c r="Y1918" i="4"/>
  <c r="Y1960" i="4"/>
  <c r="Y1800" i="4"/>
  <c r="Y1625" i="4"/>
  <c r="Y1807" i="4"/>
  <c r="Y1630" i="4"/>
  <c r="Y1783" i="4"/>
  <c r="Y1626" i="4"/>
  <c r="Y1795" i="4"/>
  <c r="Y1619" i="4"/>
  <c r="Y1751" i="4"/>
  <c r="Y1575" i="4"/>
  <c r="Y1675" i="4"/>
  <c r="Y1747" i="4"/>
  <c r="Y1494" i="4"/>
  <c r="Y1584" i="4"/>
  <c r="Y1349" i="4"/>
  <c r="Y1435" i="4"/>
  <c r="Y1177" i="4"/>
  <c r="Y1260" i="4"/>
  <c r="Y1351" i="4"/>
  <c r="Y1099" i="4"/>
  <c r="Y136" i="4"/>
  <c r="Y108" i="4"/>
  <c r="Y6" i="4"/>
  <c r="Z6" i="4" s="1"/>
  <c r="Y1066" i="4"/>
  <c r="Y1993" i="4"/>
  <c r="Y1282" i="4"/>
  <c r="Y1364" i="4"/>
  <c r="Y1447" i="4"/>
  <c r="Y1193" i="4"/>
  <c r="Y1285" i="4"/>
  <c r="Y1031" i="4"/>
  <c r="Y1097" i="4"/>
  <c r="Y26" i="4"/>
  <c r="Y38" i="4"/>
  <c r="Y96" i="4"/>
  <c r="Y1230" i="4"/>
  <c r="Y1396" i="4"/>
  <c r="Y1229" i="4"/>
  <c r="Y1046" i="4"/>
  <c r="Y126" i="4"/>
  <c r="Y1387" i="4"/>
  <c r="Y1213" i="4"/>
  <c r="Y1386" i="4"/>
  <c r="Y1023" i="4"/>
  <c r="Y152" i="4"/>
  <c r="Y2000" i="4"/>
  <c r="AD14" i="4"/>
  <c r="AD6" i="4"/>
  <c r="AD10" i="4"/>
  <c r="AD18" i="4"/>
  <c r="AD11" i="4"/>
  <c r="AD9" i="4"/>
  <c r="AD15" i="4"/>
  <c r="AD7" i="4"/>
  <c r="AD8" i="4"/>
  <c r="AD13" i="4"/>
  <c r="AD12" i="4"/>
  <c r="AD21" i="4"/>
  <c r="AD16" i="4"/>
  <c r="AD17" i="4"/>
  <c r="AD19" i="4"/>
  <c r="AD20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S5" i="1" l="1"/>
  <c r="R61" i="1"/>
  <c r="U61" i="1" s="1"/>
  <c r="T5" i="1"/>
  <c r="T7" i="1"/>
  <c r="S7" i="1"/>
  <c r="T6" i="1"/>
  <c r="T14" i="1"/>
  <c r="R14" i="1" s="1"/>
  <c r="U14" i="1" s="1"/>
  <c r="S10" i="1"/>
  <c r="R10" i="1" s="1"/>
  <c r="U10" i="1" s="1"/>
  <c r="S6" i="1"/>
  <c r="R23" i="1"/>
  <c r="U23" i="1" s="1"/>
  <c r="S8" i="1"/>
  <c r="R8" i="1" s="1"/>
  <c r="U8" i="1" s="1"/>
  <c r="R50" i="1"/>
  <c r="U50" i="1" s="1"/>
  <c r="R31" i="1"/>
  <c r="U31" i="1" s="1"/>
  <c r="R67" i="1"/>
  <c r="U67" i="1" s="1"/>
  <c r="R62" i="1"/>
  <c r="U62" i="1" s="1"/>
  <c r="R24" i="1"/>
  <c r="U24" i="1" s="1"/>
  <c r="R11" i="1"/>
  <c r="U11" i="1" s="1"/>
  <c r="R35" i="1"/>
  <c r="U35" i="1" s="1"/>
  <c r="T64" i="1"/>
  <c r="R48" i="1"/>
  <c r="U48" i="1" s="1"/>
  <c r="R63" i="1"/>
  <c r="U63" i="1" s="1"/>
  <c r="R44" i="1"/>
  <c r="U44" i="1" s="1"/>
  <c r="S60" i="1"/>
  <c r="R60" i="1" s="1"/>
  <c r="U60" i="1" s="1"/>
  <c r="R45" i="1"/>
  <c r="U45" i="1" s="1"/>
  <c r="T25" i="1"/>
  <c r="R25" i="1" s="1"/>
  <c r="U25" i="1" s="1"/>
  <c r="T36" i="1"/>
  <c r="R36" i="1" s="1"/>
  <c r="U36" i="1" s="1"/>
  <c r="R29" i="1"/>
  <c r="U29" i="1" s="1"/>
  <c r="S71" i="1"/>
  <c r="R71" i="1" s="1"/>
  <c r="U71" i="1" s="1"/>
  <c r="S41" i="1"/>
  <c r="R41" i="1" s="1"/>
  <c r="U41" i="1" s="1"/>
  <c r="S19" i="1"/>
  <c r="R19" i="1" s="1"/>
  <c r="U19" i="1" s="1"/>
  <c r="R49" i="1"/>
  <c r="U49" i="1" s="1"/>
  <c r="R39" i="1"/>
  <c r="U39" i="1" s="1"/>
  <c r="S64" i="1"/>
  <c r="S51" i="1"/>
  <c r="R51" i="1" s="1"/>
  <c r="U51" i="1" s="1"/>
  <c r="S38" i="1"/>
  <c r="R38" i="1" s="1"/>
  <c r="U38" i="1" s="1"/>
  <c r="S55" i="1"/>
  <c r="R55" i="1" s="1"/>
  <c r="U55" i="1" s="1"/>
  <c r="S53" i="1"/>
  <c r="R53" i="1" s="1"/>
  <c r="U53" i="1" s="1"/>
  <c r="S40" i="1"/>
  <c r="R40" i="1" s="1"/>
  <c r="U40" i="1" s="1"/>
  <c r="S32" i="1"/>
  <c r="R32" i="1" s="1"/>
  <c r="U32" i="1" s="1"/>
  <c r="N1" i="7"/>
  <c r="O1" i="7"/>
  <c r="M1" i="7"/>
  <c r="Q3" i="7"/>
  <c r="Q4" i="7"/>
  <c r="R68" i="1"/>
  <c r="U68" i="1" s="1"/>
  <c r="S20" i="1"/>
  <c r="R20" i="1" s="1"/>
  <c r="U20" i="1" s="1"/>
  <c r="A1267" i="4"/>
  <c r="Z1143" i="4"/>
  <c r="A1311" i="4"/>
  <c r="Z76" i="4"/>
  <c r="Z175" i="4"/>
  <c r="A1162" i="4"/>
  <c r="A1309" i="4"/>
  <c r="A1195" i="4"/>
  <c r="A69" i="4"/>
  <c r="A200" i="4"/>
  <c r="A1299" i="4"/>
  <c r="A1140" i="4"/>
  <c r="A1042" i="4"/>
  <c r="Z94" i="4"/>
  <c r="A1013" i="4"/>
  <c r="Z1104" i="4"/>
  <c r="Z1296" i="4"/>
  <c r="A1360" i="4"/>
  <c r="A129" i="4"/>
  <c r="Z163" i="4"/>
  <c r="A1421" i="4"/>
  <c r="Z1286" i="4"/>
  <c r="A2000" i="4"/>
  <c r="A1626" i="4"/>
  <c r="A1548" i="4"/>
  <c r="A1925" i="4"/>
  <c r="Z1724" i="4"/>
  <c r="Z1746" i="4"/>
  <c r="Z1910" i="4"/>
  <c r="A1848" i="4"/>
  <c r="Z1496" i="4"/>
  <c r="Z1201" i="4"/>
  <c r="Z1425" i="4"/>
  <c r="Z1493" i="4"/>
  <c r="Z1579" i="4"/>
  <c r="Z1651" i="4"/>
  <c r="Z1745" i="4"/>
  <c r="Z1502" i="4"/>
  <c r="Z1254" i="4"/>
  <c r="Z1335" i="4"/>
  <c r="Z1421" i="4"/>
  <c r="Z1162" i="4"/>
  <c r="Z1255" i="4"/>
  <c r="A63" i="4"/>
  <c r="Z1070" i="4"/>
  <c r="A94" i="4"/>
  <c r="Z61" i="4"/>
  <c r="Z195" i="4"/>
  <c r="Z1442" i="4"/>
  <c r="A1293" i="4"/>
  <c r="Z188" i="4"/>
  <c r="A1070" i="4"/>
  <c r="Z52" i="4"/>
  <c r="A1146" i="4"/>
  <c r="Z189" i="4"/>
  <c r="Z1278" i="4"/>
  <c r="A66" i="4"/>
  <c r="Z1203" i="4"/>
  <c r="Z113" i="4"/>
  <c r="Z1189" i="4"/>
  <c r="A195" i="4"/>
  <c r="Z63" i="4"/>
  <c r="A1335" i="4"/>
  <c r="Z1292" i="4"/>
  <c r="A1017" i="4"/>
  <c r="A8" i="4"/>
  <c r="A1262" i="4"/>
  <c r="A1319" i="4"/>
  <c r="A1067" i="4"/>
  <c r="Z7" i="4"/>
  <c r="A1083" i="4"/>
  <c r="A1185" i="4"/>
  <c r="A1308" i="4"/>
  <c r="Z8" i="4"/>
  <c r="Z101" i="4"/>
  <c r="A51" i="4"/>
  <c r="A7" i="4"/>
  <c r="A140" i="4"/>
  <c r="Z21" i="4"/>
  <c r="A1194" i="4"/>
  <c r="A1111" i="4"/>
  <c r="A1377" i="4"/>
  <c r="Z1076" i="4"/>
  <c r="A1352" i="4"/>
  <c r="A61" i="4"/>
  <c r="A1255" i="4"/>
  <c r="A1254" i="4"/>
  <c r="Z18" i="4"/>
  <c r="A1369" i="4"/>
  <c r="Z19" i="4"/>
  <c r="A106" i="4"/>
  <c r="A6" i="4"/>
  <c r="A1405" i="4"/>
  <c r="Z1058" i="4"/>
  <c r="A1451" i="4"/>
  <c r="A1745" i="4"/>
  <c r="A1493" i="4"/>
  <c r="A1715" i="4"/>
  <c r="A1807" i="4"/>
  <c r="Z1898" i="4"/>
  <c r="Z1765" i="4"/>
  <c r="A1517" i="4"/>
  <c r="Z1947" i="4"/>
  <c r="Z1638" i="4"/>
  <c r="A1494" i="4"/>
  <c r="A1603" i="4"/>
  <c r="A1922" i="4"/>
  <c r="Z1505" i="4"/>
  <c r="Z1793" i="4"/>
  <c r="A1969" i="4"/>
  <c r="Z1213" i="4"/>
  <c r="A1213" i="4"/>
  <c r="Z1285" i="4"/>
  <c r="A1285" i="4"/>
  <c r="Z1260" i="4"/>
  <c r="A1453" i="4"/>
  <c r="Z1453" i="4"/>
  <c r="A1841" i="4"/>
  <c r="Z1841" i="4"/>
  <c r="Z1620" i="4"/>
  <c r="A1620" i="4"/>
  <c r="A54" i="4"/>
  <c r="Z54" i="4"/>
  <c r="Z71" i="4"/>
  <c r="A1902" i="4"/>
  <c r="Z1902" i="4"/>
  <c r="Z1722" i="4"/>
  <c r="A1722" i="4"/>
  <c r="A137" i="4"/>
  <c r="Z137" i="4"/>
  <c r="A1305" i="4"/>
  <c r="Z1305" i="4"/>
  <c r="A1288" i="4"/>
  <c r="Z1288" i="4"/>
  <c r="A1516" i="4"/>
  <c r="Z1516" i="4"/>
  <c r="Z1671" i="4"/>
  <c r="A1671" i="4"/>
  <c r="Z1851" i="4"/>
  <c r="A1851" i="4"/>
  <c r="Z1797" i="4"/>
  <c r="A1797" i="4"/>
  <c r="Z1468" i="4"/>
  <c r="A1468" i="4"/>
  <c r="A1389" i="4"/>
  <c r="Z1389" i="4"/>
  <c r="A1559" i="4"/>
  <c r="Z1559" i="4"/>
  <c r="Z1602" i="4"/>
  <c r="A1602" i="4"/>
  <c r="Z1937" i="4"/>
  <c r="A1937" i="4"/>
  <c r="A1781" i="4"/>
  <c r="Z1781" i="4"/>
  <c r="A1690" i="4"/>
  <c r="Z1690" i="4"/>
  <c r="Z1837" i="4"/>
  <c r="A1837" i="4"/>
  <c r="A1661" i="4"/>
  <c r="Z1661" i="4"/>
  <c r="Z1564" i="4"/>
  <c r="A1564" i="4"/>
  <c r="A1868" i="4"/>
  <c r="Z1868" i="4"/>
  <c r="Z1497" i="4"/>
  <c r="A1497" i="4"/>
  <c r="A1784" i="4"/>
  <c r="Z1784" i="4"/>
  <c r="Z1414" i="4"/>
  <c r="A1414" i="4"/>
  <c r="Z57" i="4"/>
  <c r="A57" i="4"/>
  <c r="Z1428" i="4"/>
  <c r="A1428" i="4"/>
  <c r="A56" i="4"/>
  <c r="Z56" i="4"/>
  <c r="A77" i="4"/>
  <c r="Z77" i="4"/>
  <c r="Z153" i="4"/>
  <c r="A153" i="4"/>
  <c r="Z1992" i="4"/>
  <c r="A1992" i="4"/>
  <c r="A1827" i="4"/>
  <c r="Z1827" i="4"/>
  <c r="Z1573" i="4"/>
  <c r="A1573" i="4"/>
  <c r="A1961" i="4"/>
  <c r="Z1961" i="4"/>
  <c r="Z1964" i="4"/>
  <c r="A1964" i="4"/>
  <c r="Z1539" i="4"/>
  <c r="A1539" i="4"/>
  <c r="A1881" i="4"/>
  <c r="Z1881" i="4"/>
  <c r="A1913" i="4"/>
  <c r="Z1913" i="4"/>
  <c r="Z1560" i="4"/>
  <c r="A1560" i="4"/>
  <c r="A1667" i="4"/>
  <c r="Z1667" i="4"/>
  <c r="Z1181" i="4"/>
  <c r="A1181" i="4"/>
  <c r="Z1013" i="4"/>
  <c r="Z1205" i="4"/>
  <c r="Z1405" i="4"/>
  <c r="A133" i="4"/>
  <c r="Z1323" i="4"/>
  <c r="Z1149" i="4"/>
  <c r="Z1404" i="4"/>
  <c r="A1321" i="4"/>
  <c r="A144" i="4"/>
  <c r="Z1135" i="4"/>
  <c r="A1056" i="4"/>
  <c r="A190" i="4"/>
  <c r="A148" i="4"/>
  <c r="Z1168" i="4"/>
  <c r="A1423" i="4"/>
  <c r="Z1333" i="4"/>
  <c r="Z1247" i="4"/>
  <c r="A1167" i="4"/>
  <c r="Z1424" i="4"/>
  <c r="A1029" i="4"/>
  <c r="A78" i="4"/>
  <c r="Z30" i="4"/>
  <c r="A1997" i="4"/>
  <c r="Z1064" i="4"/>
  <c r="Z1314" i="4"/>
  <c r="Z1223" i="4"/>
  <c r="Z1136" i="4"/>
  <c r="Z1397" i="4"/>
  <c r="A1312" i="4"/>
  <c r="A147" i="4"/>
  <c r="Z1098" i="4"/>
  <c r="Z1019" i="4"/>
  <c r="A117" i="4"/>
  <c r="Z181" i="4"/>
  <c r="Z1132" i="4"/>
  <c r="A1383" i="4"/>
  <c r="A1294" i="4"/>
  <c r="Z1208" i="4"/>
  <c r="Z1464" i="4"/>
  <c r="Z1382" i="4"/>
  <c r="A1613" i="4"/>
  <c r="A1522" i="4"/>
  <c r="Z1779" i="4"/>
  <c r="A1706" i="4"/>
  <c r="A1624" i="4"/>
  <c r="A1583" i="4"/>
  <c r="A1496" i="4"/>
  <c r="A1753" i="4"/>
  <c r="Z1678" i="4"/>
  <c r="A1594" i="4"/>
  <c r="Z1848" i="4"/>
  <c r="Z1930" i="4"/>
  <c r="A1855" i="4"/>
  <c r="A1862" i="4"/>
  <c r="A1640" i="4"/>
  <c r="Z1550" i="4"/>
  <c r="A1804" i="4"/>
  <c r="A1729" i="4"/>
  <c r="Z1644" i="4"/>
  <c r="Z1899" i="4"/>
  <c r="Z1983" i="4"/>
  <c r="Z1907" i="4"/>
  <c r="A1941" i="4"/>
  <c r="Z1585" i="4"/>
  <c r="A1766" i="4"/>
  <c r="Z1934" i="4"/>
  <c r="A1943" i="4"/>
  <c r="Z1547" i="4"/>
  <c r="A1773" i="4"/>
  <c r="A1641" i="4"/>
  <c r="Z17" i="4"/>
  <c r="A1212" i="4"/>
  <c r="A1210" i="4"/>
  <c r="Z1009" i="4"/>
  <c r="A1219" i="4"/>
  <c r="A127" i="4"/>
  <c r="A98" i="4"/>
  <c r="Z1284" i="4"/>
  <c r="A178" i="4"/>
  <c r="A1224" i="4"/>
  <c r="A1538" i="4"/>
  <c r="A1639" i="4"/>
  <c r="A1975" i="4"/>
  <c r="A1562" i="4"/>
  <c r="Z1887" i="4"/>
  <c r="Z1619" i="4"/>
  <c r="A1679" i="4"/>
  <c r="A161" i="4"/>
  <c r="Z1245" i="4"/>
  <c r="Z97" i="4"/>
  <c r="A1281" i="4"/>
  <c r="A185" i="4"/>
  <c r="Z1364" i="4"/>
  <c r="A1260" i="4"/>
  <c r="Z1801" i="4"/>
  <c r="A1936" i="4"/>
  <c r="A1058" i="4"/>
  <c r="Z1452" i="4"/>
  <c r="A1094" i="4"/>
  <c r="A1425" i="4"/>
  <c r="A1125" i="4"/>
  <c r="A1186" i="4"/>
  <c r="A1129" i="4"/>
  <c r="Z1469" i="4"/>
  <c r="A1498" i="4"/>
  <c r="Z1533" i="4"/>
  <c r="Z1622" i="4"/>
  <c r="A1892" i="4"/>
  <c r="A152" i="4"/>
  <c r="A1387" i="4"/>
  <c r="A1396" i="4"/>
  <c r="Z1450" i="4"/>
  <c r="A1443" i="4"/>
  <c r="A1502" i="4"/>
  <c r="A1579" i="4"/>
  <c r="Z1626" i="4"/>
  <c r="A1724" i="4"/>
  <c r="Z1981" i="4"/>
  <c r="Z1677" i="4"/>
  <c r="A1776" i="4"/>
  <c r="A1890" i="4"/>
  <c r="Z1812" i="4"/>
  <c r="A1719" i="4"/>
  <c r="A1988" i="4"/>
  <c r="A1569" i="4"/>
  <c r="Z1741" i="4"/>
  <c r="Z1444" i="4"/>
  <c r="A1996" i="4"/>
  <c r="Z1543" i="4"/>
  <c r="A1874" i="4"/>
  <c r="Z38" i="4"/>
  <c r="A38" i="4"/>
  <c r="A108" i="4"/>
  <c r="A1575" i="4"/>
  <c r="A1882" i="4"/>
  <c r="Z1882" i="4"/>
  <c r="A1501" i="4"/>
  <c r="Z1501" i="4"/>
  <c r="Z1786" i="4"/>
  <c r="A1786" i="4"/>
  <c r="Z1968" i="4"/>
  <c r="A1968" i="4"/>
  <c r="Z1319" i="4"/>
  <c r="A1948" i="4"/>
  <c r="Z1948" i="4"/>
  <c r="A1994" i="4"/>
  <c r="Z1994" i="4"/>
  <c r="A1164" i="4"/>
  <c r="Z1039" i="4"/>
  <c r="A187" i="4"/>
  <c r="Z27" i="4"/>
  <c r="A199" i="4"/>
  <c r="A191" i="4"/>
  <c r="A1131" i="4"/>
  <c r="Z121" i="4"/>
  <c r="Z1889" i="4"/>
  <c r="A1838" i="4"/>
  <c r="Z1605" i="4"/>
  <c r="Z1510" i="4"/>
  <c r="A1916" i="4"/>
  <c r="A1483" i="4"/>
  <c r="A1734" i="4"/>
  <c r="A1906" i="4"/>
  <c r="Z1942" i="4"/>
  <c r="Z1708" i="4"/>
  <c r="A1657" i="4"/>
  <c r="A1717" i="4"/>
  <c r="A1810" i="4"/>
  <c r="Z1710" i="4"/>
  <c r="Z1876" i="4"/>
  <c r="A1958" i="4"/>
  <c r="Z1829" i="4"/>
  <c r="A1972" i="4"/>
  <c r="A1952" i="4"/>
  <c r="A1826" i="4"/>
  <c r="Z1635" i="4"/>
  <c r="Z1654" i="4"/>
  <c r="A1792" i="4"/>
  <c r="Z1819" i="4"/>
  <c r="A1627" i="4"/>
  <c r="A1939" i="4"/>
  <c r="A1858" i="4"/>
  <c r="A1873" i="4"/>
  <c r="A1852" i="4"/>
  <c r="Z1534" i="4"/>
  <c r="Z1682" i="4"/>
  <c r="Z1691" i="4"/>
  <c r="A1500" i="4"/>
  <c r="Z1528" i="4"/>
  <c r="A1880" i="4"/>
  <c r="A1912" i="4"/>
  <c r="A1884" i="4"/>
  <c r="Z1740" i="4"/>
  <c r="A1692" i="4"/>
  <c r="A1701" i="4"/>
  <c r="Z1512" i="4"/>
  <c r="A1732" i="4"/>
  <c r="Z1540" i="4"/>
  <c r="Z1637" i="4"/>
  <c r="Z1656" i="4"/>
  <c r="A1799" i="4"/>
  <c r="A1823" i="4"/>
  <c r="Z1695" i="4"/>
  <c r="A1566" i="4"/>
  <c r="Z1463" i="4"/>
  <c r="A1336" i="4"/>
  <c r="A1206" i="4"/>
  <c r="Z1416" i="4"/>
  <c r="A1163" i="4"/>
  <c r="Z1372" i="4"/>
  <c r="Z1244" i="4"/>
  <c r="A1462" i="4"/>
  <c r="Z1338" i="4"/>
  <c r="A1207" i="4"/>
  <c r="A1087" i="4"/>
  <c r="A177" i="4"/>
  <c r="Z1022" i="4"/>
  <c r="A93" i="4"/>
  <c r="A1096" i="4"/>
  <c r="Z83" i="4"/>
  <c r="A1050" i="4"/>
  <c r="A1518" i="4"/>
  <c r="Z1394" i="4"/>
  <c r="Z1266" i="4"/>
  <c r="A1477" i="4"/>
  <c r="A1348" i="4"/>
  <c r="A1221" i="4"/>
  <c r="A1434" i="4"/>
  <c r="A1176" i="4"/>
  <c r="A1395" i="4"/>
  <c r="Z1269" i="4"/>
  <c r="Z1144" i="4"/>
  <c r="Z1015" i="4"/>
  <c r="Z165" i="4"/>
  <c r="Z1084" i="4"/>
  <c r="A9" i="4"/>
  <c r="A74" i="4"/>
  <c r="A1028" i="4"/>
  <c r="A80" i="4"/>
  <c r="A1109" i="4"/>
  <c r="Z125" i="4"/>
  <c r="Z12" i="4"/>
  <c r="Z1375" i="4"/>
  <c r="A1248" i="4"/>
  <c r="A1458" i="4"/>
  <c r="Z1328" i="4"/>
  <c r="A1200" i="4"/>
  <c r="Z1412" i="4"/>
  <c r="A1283" i="4"/>
  <c r="Z1157" i="4"/>
  <c r="Z1374" i="4"/>
  <c r="Z1246" i="4"/>
  <c r="Z1123" i="4"/>
  <c r="A111" i="4"/>
  <c r="A88" i="4"/>
  <c r="A1062" i="4"/>
  <c r="Z58" i="4"/>
  <c r="Z1137" i="4"/>
  <c r="A104" i="4"/>
  <c r="Z55" i="4"/>
  <c r="A1086" i="4"/>
  <c r="A115" i="4"/>
  <c r="Z168" i="4"/>
  <c r="A1403" i="4"/>
  <c r="A1272" i="4"/>
  <c r="A1147" i="4"/>
  <c r="Z1357" i="4"/>
  <c r="A1231" i="4"/>
  <c r="A1441" i="4"/>
  <c r="A1313" i="4"/>
  <c r="A1187" i="4"/>
  <c r="Z1402" i="4"/>
  <c r="Z1274" i="4"/>
  <c r="A1148" i="4"/>
  <c r="A1021" i="4"/>
  <c r="Z43" i="4"/>
  <c r="A1090" i="4"/>
  <c r="Z150" i="4"/>
  <c r="A84" i="4"/>
  <c r="A1036" i="4"/>
  <c r="A120" i="4"/>
  <c r="Z1115" i="4"/>
  <c r="A112" i="4"/>
  <c r="Z23" i="4"/>
  <c r="A1896" i="4"/>
  <c r="A1820" i="4"/>
  <c r="A1777" i="4"/>
  <c r="A1731" i="4"/>
  <c r="A1553" i="4"/>
  <c r="A1846" i="4"/>
  <c r="A1953" i="4"/>
  <c r="A1616" i="4"/>
  <c r="A1771" i="4"/>
  <c r="A1607" i="4"/>
  <c r="A1836" i="4"/>
  <c r="A1582" i="4"/>
  <c r="A1289" i="4"/>
  <c r="Z1161" i="4"/>
  <c r="Z1307" i="4"/>
  <c r="A1456" i="4"/>
  <c r="A1329" i="4"/>
  <c r="A1485" i="4"/>
  <c r="A1291" i="4"/>
  <c r="Z1164" i="4"/>
  <c r="A197" i="4"/>
  <c r="Z1106" i="4"/>
  <c r="A27" i="4"/>
  <c r="Z1118" i="4"/>
  <c r="A101" i="4"/>
  <c r="Z1131" i="4"/>
  <c r="Z180" i="4"/>
  <c r="Z1927" i="4"/>
  <c r="A1889" i="4"/>
  <c r="Z1649" i="4"/>
  <c r="Z1679" i="4"/>
  <c r="A1510" i="4"/>
  <c r="A1816" i="4"/>
  <c r="A1571" i="4"/>
  <c r="Z1734" i="4"/>
  <c r="Z1991" i="4"/>
  <c r="A1754" i="4"/>
  <c r="A1708" i="4"/>
  <c r="A1811" i="4"/>
  <c r="A1527" i="4"/>
  <c r="Z1810" i="4"/>
  <c r="Z1958" i="4"/>
  <c r="Z1952" i="4"/>
  <c r="Z1569" i="4"/>
  <c r="Z1589" i="4"/>
  <c r="A1728" i="4"/>
  <c r="A1755" i="4"/>
  <c r="Z1562" i="4"/>
  <c r="Z1985" i="4"/>
  <c r="Z1963" i="4"/>
  <c r="A1980" i="4"/>
  <c r="Z1789" i="4"/>
  <c r="Z1809" i="4"/>
  <c r="A1615" i="4"/>
  <c r="A1629" i="4"/>
  <c r="A1782" i="4"/>
  <c r="Z1932" i="4"/>
  <c r="A1842" i="4"/>
  <c r="Z1847" i="4"/>
  <c r="Z1988" i="4"/>
  <c r="Z1672" i="4"/>
  <c r="Z1821" i="4"/>
  <c r="Z1692" i="4"/>
  <c r="Z1639" i="4"/>
  <c r="A1512" i="4"/>
  <c r="Z1669" i="4"/>
  <c r="Z1768" i="4"/>
  <c r="A1637" i="4"/>
  <c r="Z1787" i="4"/>
  <c r="Z1591" i="4"/>
  <c r="Z1799" i="4"/>
  <c r="Z1823" i="4"/>
  <c r="A1695" i="4"/>
  <c r="Z1566" i="4"/>
  <c r="A1463" i="4"/>
  <c r="Z1336" i="4"/>
  <c r="Z1206" i="4"/>
  <c r="A1416" i="4"/>
  <c r="Z1163" i="4"/>
  <c r="A1372" i="4"/>
  <c r="A1244" i="4"/>
  <c r="Z1462" i="4"/>
  <c r="A1338" i="4"/>
  <c r="Z1207" i="4"/>
  <c r="Z1087" i="4"/>
  <c r="Z177" i="4"/>
  <c r="A1022" i="4"/>
  <c r="Z93" i="4"/>
  <c r="Z1096" i="4"/>
  <c r="A83" i="4"/>
  <c r="Z1050" i="4"/>
  <c r="Z1518" i="4"/>
  <c r="A1394" i="4"/>
  <c r="A1266" i="4"/>
  <c r="Z1477" i="4"/>
  <c r="Z1348" i="4"/>
  <c r="Z1221" i="4"/>
  <c r="Z1434" i="4"/>
  <c r="Z1176" i="4"/>
  <c r="Z1395" i="4"/>
  <c r="A1269" i="4"/>
  <c r="A1144" i="4"/>
  <c r="A1015" i="4"/>
  <c r="A165" i="4"/>
  <c r="A1084" i="4"/>
  <c r="Z9" i="4"/>
  <c r="Z74" i="4"/>
  <c r="Z1028" i="4"/>
  <c r="Z80" i="4"/>
  <c r="Z1109" i="4"/>
  <c r="A125" i="4"/>
  <c r="A12" i="4"/>
  <c r="A1375" i="4"/>
  <c r="Z1248" i="4"/>
  <c r="Z1458" i="4"/>
  <c r="A1328" i="4"/>
  <c r="Z1200" i="4"/>
  <c r="A1412" i="4"/>
  <c r="Z1283" i="4"/>
  <c r="A1157" i="4"/>
  <c r="A1374" i="4"/>
  <c r="A1246" i="4"/>
  <c r="A1123" i="4"/>
  <c r="Z111" i="4"/>
  <c r="Z88" i="4"/>
  <c r="Z1062" i="4"/>
  <c r="A58" i="4"/>
  <c r="A1137" i="4"/>
  <c r="Z104" i="4"/>
  <c r="A55" i="4"/>
  <c r="Z1086" i="4"/>
  <c r="Z115" i="4"/>
  <c r="A168" i="4"/>
  <c r="Z1403" i="4"/>
  <c r="Z1272" i="4"/>
  <c r="Z1147" i="4"/>
  <c r="A1357" i="4"/>
  <c r="Z1231" i="4"/>
  <c r="Z1441" i="4"/>
  <c r="Z1313" i="4"/>
  <c r="Z1187" i="4"/>
  <c r="A1402" i="4"/>
  <c r="A1274" i="4"/>
  <c r="Z1148" i="4"/>
  <c r="Z1021" i="4"/>
  <c r="A43" i="4"/>
  <c r="Z1090" i="4"/>
  <c r="A150" i="4"/>
  <c r="Z84" i="4"/>
  <c r="Z1036" i="4"/>
  <c r="Z120" i="4"/>
  <c r="A1115" i="4"/>
  <c r="Z112" i="4"/>
  <c r="A23" i="4"/>
  <c r="Z1896" i="4"/>
  <c r="Z1820" i="4"/>
  <c r="Z1777" i="4"/>
  <c r="Z1731" i="4"/>
  <c r="Z1553" i="4"/>
  <c r="Z1846" i="4"/>
  <c r="Z1953" i="4"/>
  <c r="Z1616" i="4"/>
  <c r="Z1771" i="4"/>
  <c r="Z1607" i="4"/>
  <c r="Z1836" i="4"/>
  <c r="Z1903" i="4"/>
  <c r="Z1984" i="4"/>
  <c r="A1904" i="4"/>
  <c r="Z1556" i="4"/>
  <c r="Z1954" i="4"/>
  <c r="Z1775" i="4"/>
  <c r="Z1595" i="4"/>
  <c r="A1835" i="4"/>
  <c r="A1979" i="4"/>
  <c r="Z1772" i="4"/>
  <c r="A1725" i="4"/>
  <c r="A1764" i="4"/>
  <c r="A1670" i="4"/>
  <c r="A1700" i="4"/>
  <c r="A1662" i="4"/>
  <c r="Z1385" i="4"/>
  <c r="Z1340" i="4"/>
  <c r="A1051" i="4"/>
  <c r="Z45" i="4"/>
  <c r="Z167" i="4"/>
  <c r="Z1016" i="4"/>
  <c r="Z1361" i="4"/>
  <c r="Z1379" i="4"/>
  <c r="Z1398" i="4"/>
  <c r="A1363" i="4"/>
  <c r="Z1047" i="4"/>
  <c r="Z1049" i="4"/>
  <c r="Z169" i="4"/>
  <c r="Z70" i="4"/>
  <c r="Z1345" i="4"/>
  <c r="Z1318" i="4"/>
  <c r="Z1341" i="4"/>
  <c r="A100" i="4"/>
  <c r="A37" i="4"/>
  <c r="A82" i="4"/>
  <c r="A1306" i="4"/>
  <c r="A1324" i="4"/>
  <c r="Z1280" i="4"/>
  <c r="A1310" i="4"/>
  <c r="A124" i="4"/>
  <c r="A72" i="4"/>
  <c r="Z59" i="4"/>
  <c r="A192" i="4"/>
  <c r="Z1928" i="4"/>
  <c r="A1693" i="4"/>
  <c r="A1748" i="4"/>
  <c r="Z1747" i="4"/>
  <c r="Z1478" i="4"/>
  <c r="A1159" i="4"/>
  <c r="Z1481" i="4"/>
  <c r="Z1158" i="4"/>
  <c r="A1112" i="4"/>
  <c r="Z151" i="4"/>
  <c r="Z50" i="4"/>
  <c r="A1302" i="4"/>
  <c r="A123" i="4"/>
  <c r="Z185" i="4"/>
  <c r="Z92" i="4"/>
  <c r="A1263" i="4"/>
  <c r="Z1216" i="4"/>
  <c r="A1237" i="4"/>
  <c r="Z1264" i="4"/>
  <c r="Z1012" i="4"/>
  <c r="A171" i="4"/>
  <c r="Z106" i="4"/>
  <c r="Z105" i="4"/>
  <c r="Z1226" i="4"/>
  <c r="A1245" i="4"/>
  <c r="Z1202" i="4"/>
  <c r="A1227" i="4"/>
  <c r="Z16" i="4"/>
  <c r="Z199" i="4"/>
  <c r="A75" i="4"/>
  <c r="A90" i="4"/>
  <c r="Z1838" i="4"/>
  <c r="Z1770" i="4"/>
  <c r="A1741" i="4"/>
  <c r="Z1906" i="4"/>
  <c r="A1619" i="4"/>
  <c r="A1710" i="4"/>
  <c r="A1825" i="4"/>
  <c r="Z1872" i="4"/>
  <c r="Z1826" i="4"/>
  <c r="Z1506" i="4"/>
  <c r="A1819" i="4"/>
  <c r="A1470" i="4"/>
  <c r="Z1873" i="4"/>
  <c r="Z1726" i="4"/>
  <c r="A1691" i="4"/>
  <c r="A1720" i="4"/>
  <c r="Z1912" i="4"/>
  <c r="A1926" i="4"/>
  <c r="Z1609" i="4"/>
  <c r="A1576" i="4"/>
  <c r="Z1603" i="4"/>
  <c r="Z1529" i="4"/>
  <c r="Z1538" i="4"/>
  <c r="A1633" i="4"/>
  <c r="Z1399" i="4"/>
  <c r="Z1138" i="4"/>
  <c r="Z1224" i="4"/>
  <c r="Z1309" i="4"/>
  <c r="A1400" i="4"/>
  <c r="A1142" i="4"/>
  <c r="Z178" i="4"/>
  <c r="A19" i="4"/>
  <c r="A1032" i="4"/>
  <c r="Z1459" i="4"/>
  <c r="A1284" i="4"/>
  <c r="A1457" i="4"/>
  <c r="Z98" i="4"/>
  <c r="A1093" i="4"/>
  <c r="Z127" i="4"/>
  <c r="Z1308" i="4"/>
  <c r="A1392" i="4"/>
  <c r="A1476" i="4"/>
  <c r="Z1219" i="4"/>
  <c r="Z1311" i="4"/>
  <c r="A1059" i="4"/>
  <c r="Z1127" i="4"/>
  <c r="A1009" i="4"/>
  <c r="A18" i="4"/>
  <c r="Z1027" i="4"/>
  <c r="Z1466" i="4"/>
  <c r="Z1210" i="4"/>
  <c r="A1292" i="4"/>
  <c r="Z1376" i="4"/>
  <c r="Z1467" i="4"/>
  <c r="Z1212" i="4"/>
  <c r="A52" i="4"/>
  <c r="Z1025" i="4"/>
  <c r="Z1100" i="4"/>
  <c r="A17" i="4"/>
  <c r="Z200" i="4"/>
  <c r="Z1845" i="4"/>
  <c r="A1586" i="4"/>
  <c r="Z1641" i="4"/>
  <c r="Z1867" i="4"/>
  <c r="Z1515" i="4"/>
  <c r="A1865" i="4"/>
  <c r="Z1773" i="4"/>
  <c r="A1526" i="4"/>
  <c r="A1685" i="4"/>
  <c r="A1828" i="4"/>
  <c r="A1879" i="4"/>
  <c r="A1956" i="4"/>
  <c r="A1871" i="4"/>
  <c r="A1617" i="4"/>
  <c r="Z1704" i="4"/>
  <c r="A1774" i="4"/>
  <c r="A1520" i="4"/>
  <c r="Z1612" i="4"/>
  <c r="A1911" i="4"/>
  <c r="Z1843" i="4"/>
  <c r="Z1920" i="4"/>
  <c r="Z1834" i="4"/>
  <c r="A1581" i="4"/>
  <c r="A1664" i="4"/>
  <c r="Z1739" i="4"/>
  <c r="Z1479" i="4"/>
  <c r="Z1574" i="4"/>
  <c r="Z1833" i="4"/>
  <c r="A1962" i="4"/>
  <c r="Z1869" i="4"/>
  <c r="A1785" i="4"/>
  <c r="A1658" i="4"/>
  <c r="A1530" i="4"/>
  <c r="Z1742" i="4"/>
  <c r="Z1614" i="4"/>
  <c r="A1480" i="4"/>
  <c r="Z1688" i="4"/>
  <c r="A1780" i="4"/>
  <c r="A1652" i="4"/>
  <c r="Z1686" i="4"/>
  <c r="A1558" i="4"/>
  <c r="A1767" i="4"/>
  <c r="A1643" i="4"/>
  <c r="Z1513" i="4"/>
  <c r="A1716" i="4"/>
  <c r="A1588" i="4"/>
  <c r="Z1805" i="4"/>
  <c r="Z1676" i="4"/>
  <c r="A1551" i="4"/>
  <c r="Z1445" i="4"/>
  <c r="A1316" i="4"/>
  <c r="Z1191" i="4"/>
  <c r="A1401" i="4"/>
  <c r="A1275" i="4"/>
  <c r="A1145" i="4"/>
  <c r="Z1355" i="4"/>
  <c r="A1228" i="4"/>
  <c r="A1448" i="4"/>
  <c r="A1320" i="4"/>
  <c r="Z1190" i="4"/>
  <c r="A1068" i="4"/>
  <c r="A1008" i="4"/>
  <c r="A91" i="4"/>
  <c r="Z149" i="4"/>
  <c r="Z173" i="4"/>
  <c r="A1081" i="4"/>
  <c r="A130" i="4"/>
  <c r="A139" i="4"/>
  <c r="Z1034" i="4"/>
  <c r="Z176" i="4"/>
  <c r="Z1499" i="4"/>
  <c r="Z1380" i="4"/>
  <c r="Z1251" i="4"/>
  <c r="A1461" i="4"/>
  <c r="Z1332" i="4"/>
  <c r="A1204" i="4"/>
  <c r="Z1417" i="4"/>
  <c r="A1287" i="4"/>
  <c r="Z1160" i="4"/>
  <c r="A1378" i="4"/>
  <c r="Z1249" i="4"/>
  <c r="A1126" i="4"/>
  <c r="Z32" i="4"/>
  <c r="A102" i="4"/>
  <c r="A1065" i="4"/>
  <c r="A33" i="4"/>
  <c r="A1141" i="4"/>
  <c r="Z35" i="4"/>
  <c r="Z36" i="4"/>
  <c r="A1091" i="4"/>
  <c r="Z135" i="4"/>
  <c r="Z159" i="4"/>
  <c r="A1359" i="4"/>
  <c r="A1230" i="4"/>
  <c r="A1440" i="4"/>
  <c r="A1271" i="4"/>
  <c r="Z1130" i="4"/>
  <c r="A1358" i="4"/>
  <c r="A1107" i="4"/>
  <c r="Z103" i="4"/>
  <c r="A1046" i="4"/>
  <c r="A198" i="4"/>
  <c r="A1120" i="4"/>
  <c r="Z114" i="4"/>
  <c r="Z126" i="4"/>
  <c r="Z1073" i="4"/>
  <c r="A157" i="4"/>
  <c r="Z1259" i="4"/>
  <c r="Z1342" i="4"/>
  <c r="A1422" i="4"/>
  <c r="A1295" i="4"/>
  <c r="Z1386" i="4"/>
  <c r="A1258" i="4"/>
  <c r="A1134" i="4"/>
  <c r="Z109" i="4"/>
  <c r="A79" i="4"/>
  <c r="A1075" i="4"/>
  <c r="A39" i="4"/>
  <c r="Z1023" i="4"/>
  <c r="A172" i="4"/>
  <c r="A1101" i="4"/>
  <c r="Z65" i="4"/>
  <c r="Z1915" i="4"/>
  <c r="Z1577" i="4"/>
  <c r="A1543" i="4"/>
  <c r="A1536" i="4"/>
  <c r="A1211" i="4"/>
  <c r="A60" i="4"/>
  <c r="Z1996" i="4"/>
  <c r="Z1238" i="4"/>
  <c r="Z99" i="4"/>
  <c r="A1151" i="4"/>
  <c r="Z1150" i="4"/>
  <c r="Z1119" i="4"/>
  <c r="A1452" i="4"/>
  <c r="A1121" i="4"/>
  <c r="A1944" i="4"/>
  <c r="A1801" i="4"/>
  <c r="A1326" i="4"/>
  <c r="Z1066" i="4"/>
  <c r="A1447" i="4"/>
  <c r="A1097" i="4"/>
  <c r="Z1388" i="4"/>
  <c r="A1391" i="4"/>
  <c r="A1024" i="4"/>
  <c r="A1373" i="4"/>
  <c r="A1039" i="4"/>
  <c r="A121" i="4"/>
  <c r="Z1916" i="4"/>
  <c r="Z1657" i="4"/>
  <c r="A1829" i="4"/>
  <c r="A1654" i="4"/>
  <c r="Z1939" i="4"/>
  <c r="A1528" i="4"/>
  <c r="A1740" i="4"/>
  <c r="Z1732" i="4"/>
  <c r="Z1268" i="4"/>
  <c r="A1270" i="4"/>
  <c r="Z1014" i="4"/>
  <c r="Z1156" i="4"/>
  <c r="A1077" i="4"/>
  <c r="A25" i="4"/>
  <c r="A1439" i="4"/>
  <c r="Z1350" i="4"/>
  <c r="A31" i="4"/>
  <c r="Z1072" i="4"/>
  <c r="Z1165" i="4"/>
  <c r="Z1088" i="4"/>
  <c r="Z1055" i="4"/>
  <c r="Z1875" i="4"/>
  <c r="A1818" i="4"/>
  <c r="Z1590" i="4"/>
  <c r="Z1849" i="4"/>
  <c r="A1986" i="4"/>
  <c r="A1934" i="4"/>
  <c r="A1680" i="4"/>
  <c r="A1638" i="4"/>
  <c r="A1585" i="4"/>
  <c r="Z1546" i="4"/>
  <c r="A1713" i="4"/>
  <c r="A1888" i="4"/>
  <c r="A1974" i="4"/>
  <c r="Z1840" i="4"/>
  <c r="A1665" i="4"/>
  <c r="Z1491" i="4"/>
  <c r="Z1663" i="4"/>
  <c r="Z1893" i="4"/>
  <c r="A1883" i="4"/>
  <c r="A1712" i="4"/>
  <c r="Z1532" i="4"/>
  <c r="A1973" i="4"/>
  <c r="A1918" i="4"/>
  <c r="A1705" i="4"/>
  <c r="Z1725" i="4"/>
  <c r="A1673" i="4"/>
  <c r="Z1698" i="4"/>
  <c r="Z1670" i="4"/>
  <c r="A1623" i="4"/>
  <c r="Z1636" i="4"/>
  <c r="Z1662" i="4"/>
  <c r="Z1301" i="4"/>
  <c r="A1322" i="4"/>
  <c r="A1340" i="4"/>
  <c r="Z1303" i="4"/>
  <c r="Z1011" i="4"/>
  <c r="A45" i="4"/>
  <c r="Z10" i="4"/>
  <c r="Z128" i="4"/>
  <c r="A1361" i="4"/>
  <c r="A1317" i="4"/>
  <c r="Z1334" i="4"/>
  <c r="Z1363" i="4"/>
  <c r="Z85" i="4"/>
  <c r="A68" i="4"/>
  <c r="A169" i="4"/>
  <c r="Z143" i="4"/>
  <c r="Z1277" i="4"/>
  <c r="Z1250" i="4"/>
  <c r="A1279" i="4"/>
  <c r="Z100" i="4"/>
  <c r="Z179" i="4"/>
  <c r="Z141" i="4"/>
  <c r="A1243" i="4"/>
  <c r="A1261" i="4"/>
  <c r="A1280" i="4"/>
  <c r="A1242" i="4"/>
  <c r="A20" i="4"/>
  <c r="Z72" i="4"/>
  <c r="A48" i="4"/>
  <c r="A1006" i="4"/>
  <c r="Z1957" i="4"/>
  <c r="Z1693" i="4"/>
  <c r="A1478" i="4"/>
  <c r="Z1435" i="4"/>
  <c r="A1455" i="4"/>
  <c r="A1481" i="4"/>
  <c r="A1099" i="4"/>
  <c r="A1105" i="4"/>
  <c r="Z1112" i="4"/>
  <c r="A1128" i="4"/>
  <c r="A1154" i="4"/>
  <c r="A1175" i="4"/>
  <c r="A1155" i="4"/>
  <c r="Z11" i="4"/>
  <c r="A1124" i="4"/>
  <c r="A1995" i="4"/>
  <c r="A1473" i="4"/>
  <c r="Z1427" i="4"/>
  <c r="A1454" i="4"/>
  <c r="Z1139" i="4"/>
  <c r="Z1079" i="4"/>
  <c r="A1089" i="4"/>
  <c r="Z1103" i="4"/>
  <c r="Z1418" i="4"/>
  <c r="A1436" i="4"/>
  <c r="Z1456" i="4"/>
  <c r="A1419" i="4"/>
  <c r="Z1102" i="4"/>
  <c r="A1106" i="4"/>
  <c r="A1052" i="4"/>
  <c r="A1069" i="4"/>
  <c r="A1927" i="4"/>
  <c r="A1813" i="4"/>
  <c r="Z1571" i="4"/>
  <c r="Z1965" i="4"/>
  <c r="Z1527" i="4"/>
  <c r="Z1897" i="4"/>
  <c r="Z1894" i="4"/>
  <c r="A1699" i="4"/>
  <c r="Z1718" i="4"/>
  <c r="Z1728" i="4"/>
  <c r="A1959" i="4"/>
  <c r="A1963" i="4"/>
  <c r="Z1598" i="4"/>
  <c r="Z1615" i="4"/>
  <c r="A1592" i="4"/>
  <c r="Z1842" i="4"/>
  <c r="A1821" i="4"/>
  <c r="A1769" i="4"/>
  <c r="A1795" i="4"/>
  <c r="A1768" i="4"/>
  <c r="Z1721" i="4"/>
  <c r="A1733" i="4"/>
  <c r="Z1758" i="4"/>
  <c r="A1268" i="4"/>
  <c r="Z1437" i="4"/>
  <c r="Z1270" i="4"/>
  <c r="A1082" i="4"/>
  <c r="Z162" i="4"/>
  <c r="A1110" i="4"/>
  <c r="A1014" i="4"/>
  <c r="Z1331" i="4"/>
  <c r="Z1413" i="4"/>
  <c r="A1156" i="4"/>
  <c r="A1239" i="4"/>
  <c r="Z1330" i="4"/>
  <c r="Z1077" i="4"/>
  <c r="A1010" i="4"/>
  <c r="A158" i="4"/>
  <c r="Z25" i="4"/>
  <c r="Z1044" i="4"/>
  <c r="Z1439" i="4"/>
  <c r="Z1182" i="4"/>
  <c r="A1265" i="4"/>
  <c r="A1350" i="4"/>
  <c r="Z1438" i="4"/>
  <c r="A1184" i="4"/>
  <c r="Z31" i="4"/>
  <c r="Z196" i="4"/>
  <c r="A1072" i="4"/>
  <c r="Z49" i="4"/>
  <c r="A28" i="4"/>
  <c r="Z1337" i="4"/>
  <c r="A1420" i="4"/>
  <c r="A1165" i="4"/>
  <c r="A1252" i="4"/>
  <c r="A1339" i="4"/>
  <c r="A1088" i="4"/>
  <c r="A15" i="4"/>
  <c r="Z166" i="4"/>
  <c r="A155" i="4"/>
  <c r="A1055" i="4"/>
  <c r="Z1999" i="4"/>
  <c r="A1808" i="4"/>
  <c r="A1875" i="4"/>
  <c r="A1697" i="4"/>
  <c r="Z1929" i="4"/>
  <c r="Z1818" i="4"/>
  <c r="Z1582" i="4"/>
  <c r="Z1526" i="4"/>
  <c r="Z1685" i="4"/>
  <c r="Z1828" i="4"/>
  <c r="Z1879" i="4"/>
  <c r="Z1956" i="4"/>
  <c r="Z1871" i="4"/>
  <c r="Z1617" i="4"/>
  <c r="A1704" i="4"/>
  <c r="Z1774" i="4"/>
  <c r="Z1520" i="4"/>
  <c r="A1612" i="4"/>
  <c r="Z1911" i="4"/>
  <c r="A1843" i="4"/>
  <c r="A1920" i="4"/>
  <c r="A1834" i="4"/>
  <c r="Z1581" i="4"/>
  <c r="Z1664" i="4"/>
  <c r="A1739" i="4"/>
  <c r="A1479" i="4"/>
  <c r="A1574" i="4"/>
  <c r="A1833" i="4"/>
  <c r="Z1962" i="4"/>
  <c r="A1869" i="4"/>
  <c r="Z1785" i="4"/>
  <c r="Z1658" i="4"/>
  <c r="Z1530" i="4"/>
  <c r="A1742" i="4"/>
  <c r="A1614" i="4"/>
  <c r="Z1480" i="4"/>
  <c r="A1688" i="4"/>
  <c r="Z1780" i="4"/>
  <c r="Z1652" i="4"/>
  <c r="A1686" i="4"/>
  <c r="Z1558" i="4"/>
  <c r="Z1767" i="4"/>
  <c r="Z1643" i="4"/>
  <c r="A1513" i="4"/>
  <c r="Z1716" i="4"/>
  <c r="Z1588" i="4"/>
  <c r="A1805" i="4"/>
  <c r="A1676" i="4"/>
  <c r="Z1551" i="4"/>
  <c r="A1445" i="4"/>
  <c r="Z1316" i="4"/>
  <c r="A1191" i="4"/>
  <c r="Z1401" i="4"/>
  <c r="Z1275" i="4"/>
  <c r="Z1145" i="4"/>
  <c r="A1355" i="4"/>
  <c r="Z1228" i="4"/>
  <c r="Z1448" i="4"/>
  <c r="Z1320" i="4"/>
  <c r="A1190" i="4"/>
  <c r="Z1068" i="4"/>
  <c r="Z1008" i="4"/>
  <c r="Z91" i="4"/>
  <c r="A149" i="4"/>
  <c r="A173" i="4"/>
  <c r="Z1081" i="4"/>
  <c r="Z130" i="4"/>
  <c r="Z139" i="4"/>
  <c r="A1034" i="4"/>
  <c r="A176" i="4"/>
  <c r="A1499" i="4"/>
  <c r="A1380" i="4"/>
  <c r="A1251" i="4"/>
  <c r="Z1461" i="4"/>
  <c r="A1332" i="4"/>
  <c r="Z1204" i="4"/>
  <c r="A1417" i="4"/>
  <c r="Z1287" i="4"/>
  <c r="A1160" i="4"/>
  <c r="Z1378" i="4"/>
  <c r="A1249" i="4"/>
  <c r="Z1126" i="4"/>
  <c r="A32" i="4"/>
  <c r="Z102" i="4"/>
  <c r="Z1065" i="4"/>
  <c r="Z33" i="4"/>
  <c r="Z1141" i="4"/>
  <c r="A35" i="4"/>
  <c r="A36" i="4"/>
  <c r="Z1091" i="4"/>
  <c r="A135" i="4"/>
  <c r="A159" i="4"/>
  <c r="Z1359" i="4"/>
  <c r="Z1230" i="4"/>
  <c r="Z1440" i="4"/>
  <c r="Z1271" i="4"/>
  <c r="A1130" i="4"/>
  <c r="Z1358" i="4"/>
  <c r="Z1107" i="4"/>
  <c r="A103" i="4"/>
  <c r="Z1046" i="4"/>
  <c r="Z198" i="4"/>
  <c r="Z1120" i="4"/>
  <c r="A114" i="4"/>
  <c r="A126" i="4"/>
  <c r="A1073" i="4"/>
  <c r="Z157" i="4"/>
  <c r="A1259" i="4"/>
  <c r="A1342" i="4"/>
  <c r="Z1422" i="4"/>
  <c r="Z1295" i="4"/>
  <c r="A1386" i="4"/>
  <c r="Z1258" i="4"/>
  <c r="Z1134" i="4"/>
  <c r="A109" i="4"/>
  <c r="Z79" i="4"/>
  <c r="Z1075" i="4"/>
  <c r="Z39" i="4"/>
  <c r="A1023" i="4"/>
  <c r="Z172" i="4"/>
  <c r="Z1101" i="4"/>
  <c r="A65" i="4"/>
  <c r="Z1743" i="4"/>
  <c r="A1989" i="4"/>
  <c r="A1814" i="4"/>
  <c r="A1870" i="4"/>
  <c r="A1687" i="4"/>
  <c r="Z1596" i="4"/>
  <c r="Z1570" i="4"/>
  <c r="Z1498" i="4"/>
  <c r="Z1192" i="4"/>
  <c r="Z1172" i="4"/>
  <c r="Z1186" i="4"/>
  <c r="Z1471" i="4"/>
  <c r="Z1489" i="4"/>
  <c r="Z1153" i="4"/>
  <c r="Z1122" i="4"/>
  <c r="Z1085" i="4"/>
  <c r="A1646" i="4"/>
  <c r="Z1349" i="4"/>
  <c r="A1351" i="4"/>
  <c r="A1474" i="4"/>
  <c r="Z1475" i="4"/>
  <c r="Z1108" i="4"/>
  <c r="A1410" i="4"/>
  <c r="A1074" i="4"/>
  <c r="A1043" i="4"/>
  <c r="Z1393" i="4"/>
  <c r="Z1041" i="4"/>
  <c r="A1645" i="4"/>
  <c r="Z1675" i="4"/>
  <c r="A1844" i="4"/>
  <c r="A1666" i="4"/>
  <c r="A1534" i="4"/>
  <c r="A1933" i="4"/>
  <c r="Z1769" i="4"/>
  <c r="A1721" i="4"/>
  <c r="A1437" i="4"/>
  <c r="A162" i="4"/>
  <c r="Z1110" i="4"/>
  <c r="A1413" i="4"/>
  <c r="A1330" i="4"/>
  <c r="Z158" i="4"/>
  <c r="A1044" i="4"/>
  <c r="Z1265" i="4"/>
  <c r="Z1184" i="4"/>
  <c r="A49" i="4"/>
  <c r="Z1420" i="4"/>
  <c r="Z1339" i="4"/>
  <c r="A166" i="4"/>
  <c r="A1999" i="4"/>
  <c r="Z1697" i="4"/>
  <c r="Z1719" i="4"/>
  <c r="A1547" i="4"/>
  <c r="A1971" i="4"/>
  <c r="Z1857" i="4"/>
  <c r="A1812" i="4"/>
  <c r="Z1766" i="4"/>
  <c r="Z1508" i="4"/>
  <c r="Z1803" i="4"/>
  <c r="Z1941" i="4"/>
  <c r="A1632" i="4"/>
  <c r="A1982" i="4"/>
  <c r="Z1631" i="4"/>
  <c r="Z1694" i="4"/>
  <c r="A1895" i="4"/>
  <c r="Z1542" i="4"/>
  <c r="Z1509" i="4"/>
  <c r="Z1173" i="4"/>
  <c r="Z160" i="4"/>
  <c r="A41" i="4"/>
  <c r="Z1233" i="4"/>
  <c r="Z1209" i="4"/>
  <c r="A44" i="4"/>
  <c r="Z145" i="4"/>
  <c r="A1171" i="4"/>
  <c r="Z67" i="4"/>
  <c r="A1104" i="4"/>
  <c r="Z1472" i="4"/>
  <c r="A1133" i="4"/>
  <c r="Z1931" i="4"/>
  <c r="Z1647" i="4"/>
  <c r="Z1304" i="4"/>
  <c r="A87" i="4"/>
  <c r="Z1154" i="4"/>
  <c r="Z1155" i="4"/>
  <c r="Z1124" i="4"/>
  <c r="A1427" i="4"/>
  <c r="A1079" i="4"/>
  <c r="A1418" i="4"/>
  <c r="Z1419" i="4"/>
  <c r="Z1052" i="4"/>
  <c r="A1965" i="4"/>
  <c r="A1897" i="4"/>
  <c r="Z1699" i="4"/>
  <c r="A1901" i="4"/>
  <c r="Z1552" i="4"/>
  <c r="A1757" i="4"/>
  <c r="Z1703" i="4"/>
  <c r="A1758" i="4"/>
  <c r="Z1082" i="4"/>
  <c r="A1331" i="4"/>
  <c r="Z1239" i="4"/>
  <c r="Z1010" i="4"/>
  <c r="A1182" i="4"/>
  <c r="A1438" i="4"/>
  <c r="A196" i="4"/>
  <c r="Z28" i="4"/>
  <c r="A1337" i="4"/>
  <c r="Z1252" i="4"/>
  <c r="Z15" i="4"/>
  <c r="Z155" i="4"/>
  <c r="Z1808" i="4"/>
  <c r="A1929" i="4"/>
  <c r="Z1683" i="4"/>
  <c r="Z1494" i="4"/>
  <c r="Z1943" i="4"/>
  <c r="Z1891" i="4"/>
  <c r="A1554" i="4"/>
  <c r="A1714" i="4"/>
  <c r="Z1674" i="4"/>
  <c r="A24" i="4"/>
  <c r="Z24" i="4"/>
  <c r="A1523" i="4"/>
  <c r="Z1523" i="4"/>
  <c r="A1886" i="4"/>
  <c r="Z1886" i="4"/>
  <c r="A1681" i="4"/>
  <c r="Z1681" i="4"/>
  <c r="Z1618" i="4"/>
  <c r="A1618" i="4"/>
  <c r="A1977" i="4"/>
  <c r="Z1977" i="4"/>
  <c r="Z1409" i="4"/>
  <c r="A1409" i="4"/>
  <c r="Z1597" i="4"/>
  <c r="A1597" i="4"/>
  <c r="Z1998" i="4"/>
  <c r="A1998" i="4"/>
  <c r="Z1763" i="4"/>
  <c r="A1763" i="4"/>
  <c r="A1600" i="4"/>
  <c r="Z1600" i="4"/>
  <c r="Z1922" i="4"/>
  <c r="A1746" i="4"/>
  <c r="Z1655" i="4"/>
  <c r="A1655" i="4"/>
  <c r="A1949" i="4"/>
  <c r="Z1949" i="4"/>
  <c r="A1503" i="4"/>
  <c r="Z1503" i="4"/>
  <c r="Z1737" i="4"/>
  <c r="A1737" i="4"/>
  <c r="A1241" i="4"/>
  <c r="Z1241" i="4"/>
  <c r="A1048" i="4"/>
  <c r="Z1048" i="4"/>
  <c r="A1256" i="4"/>
  <c r="Z1256" i="4"/>
  <c r="Z1061" i="4"/>
  <c r="A1061" i="4"/>
  <c r="Z86" i="4"/>
  <c r="A86" i="4"/>
  <c r="A34" i="4"/>
  <c r="Z34" i="4"/>
  <c r="A1908" i="4"/>
  <c r="Z1908" i="4"/>
  <c r="A1921" i="4"/>
  <c r="Z1921" i="4"/>
  <c r="A1490" i="4"/>
  <c r="Z1490" i="4"/>
  <c r="Z1738" i="4"/>
  <c r="A1738" i="4"/>
  <c r="A1885" i="4"/>
  <c r="Z1885" i="4"/>
  <c r="A1794" i="4"/>
  <c r="Z1794" i="4"/>
  <c r="A1702" i="4"/>
  <c r="Z1702" i="4"/>
  <c r="Z1832" i="4"/>
  <c r="A1832" i="4"/>
  <c r="A1565" i="4"/>
  <c r="Z1565" i="4"/>
  <c r="Z1511" i="4"/>
  <c r="A1511" i="4"/>
  <c r="Z1353" i="4"/>
  <c r="A1353" i="4"/>
  <c r="A73" i="4"/>
  <c r="Z73" i="4"/>
  <c r="Z1369" i="4"/>
  <c r="A183" i="4"/>
  <c r="Z1092" i="4"/>
  <c r="Z1035" i="4"/>
  <c r="Z1071" i="4"/>
  <c r="A1232" i="4"/>
  <c r="Z2000" i="4"/>
  <c r="A170" i="4"/>
  <c r="A1071" i="4"/>
  <c r="Z1232" i="4"/>
  <c r="A1404" i="4"/>
  <c r="A1135" i="4"/>
  <c r="A1168" i="4"/>
  <c r="A1333" i="4"/>
  <c r="A1247" i="4"/>
  <c r="A1424" i="4"/>
  <c r="Z78" i="4"/>
  <c r="Z1997" i="4"/>
  <c r="A1064" i="4"/>
  <c r="A1314" i="4"/>
  <c r="A1223" i="4"/>
  <c r="A1136" i="4"/>
  <c r="A1397" i="4"/>
  <c r="Z1312" i="4"/>
  <c r="Z147" i="4"/>
  <c r="A1098" i="4"/>
  <c r="A1019" i="4"/>
  <c r="Z117" i="4"/>
  <c r="A181" i="4"/>
  <c r="A1132" i="4"/>
  <c r="Z1383" i="4"/>
  <c r="Z1294" i="4"/>
  <c r="A1208" i="4"/>
  <c r="A1464" i="4"/>
  <c r="A1382" i="4"/>
  <c r="Z1613" i="4"/>
  <c r="Z1522" i="4"/>
  <c r="A1779" i="4"/>
  <c r="Z1706" i="4"/>
  <c r="Z1624" i="4"/>
  <c r="Z1583" i="4"/>
  <c r="Z1753" i="4"/>
  <c r="A1678" i="4"/>
  <c r="Z1594" i="4"/>
  <c r="A1930" i="4"/>
  <c r="Z1855" i="4"/>
  <c r="Z1862" i="4"/>
  <c r="Z1640" i="4"/>
  <c r="A1550" i="4"/>
  <c r="Z1804" i="4"/>
  <c r="Z1729" i="4"/>
  <c r="A1644" i="4"/>
  <c r="A1899" i="4"/>
  <c r="A1983" i="4"/>
  <c r="A1907" i="4"/>
  <c r="A1546" i="4"/>
  <c r="Z1714" i="4"/>
  <c r="Z1554" i="4"/>
  <c r="A1891" i="4"/>
  <c r="Z1971" i="4"/>
  <c r="A1590" i="4"/>
  <c r="Z1865" i="4"/>
  <c r="Z1586" i="4"/>
  <c r="A1100" i="4"/>
  <c r="A1467" i="4"/>
  <c r="A1466" i="4"/>
  <c r="A1127" i="4"/>
  <c r="Z1476" i="4"/>
  <c r="Z183" i="4"/>
  <c r="A1205" i="4"/>
  <c r="Z1142" i="4"/>
  <c r="A1138" i="4"/>
  <c r="A1591" i="4"/>
  <c r="Z1630" i="4"/>
  <c r="A1789" i="4"/>
  <c r="Z1535" i="4"/>
  <c r="A1872" i="4"/>
  <c r="Z1754" i="4"/>
  <c r="A1859" i="4"/>
  <c r="A16" i="4"/>
  <c r="Z1289" i="4"/>
  <c r="A122" i="4"/>
  <c r="Z1263" i="4"/>
  <c r="A1031" i="4"/>
  <c r="A1347" i="4"/>
  <c r="Z108" i="4"/>
  <c r="A1304" i="4"/>
  <c r="Z1783" i="4"/>
  <c r="Z1909" i="4"/>
  <c r="Z1121" i="4"/>
  <c r="A1432" i="4"/>
  <c r="A1092" i="4"/>
  <c r="Z44" i="4"/>
  <c r="Z1170" i="4"/>
  <c r="Z1117" i="4"/>
  <c r="A1173" i="4"/>
  <c r="A1815" i="4"/>
  <c r="A1514" i="4"/>
  <c r="Z1788" i="4"/>
  <c r="Z1568" i="4"/>
  <c r="A1707" i="4"/>
  <c r="A1460" i="4"/>
  <c r="A1442" i="4"/>
  <c r="A1651" i="4"/>
  <c r="A1751" i="4"/>
  <c r="Z1548" i="4"/>
  <c r="A1976" i="4"/>
  <c r="Z1507" i="4"/>
  <c r="Z1601" i="4"/>
  <c r="Z1856" i="4"/>
  <c r="A1803" i="4"/>
  <c r="Z1986" i="4"/>
  <c r="A1867" i="4"/>
  <c r="Z1633" i="4"/>
  <c r="Z1756" i="4"/>
  <c r="Z1621" i="4"/>
  <c r="Z1584" i="4"/>
  <c r="Z1839" i="4"/>
  <c r="Z1917" i="4"/>
  <c r="A1229" i="4"/>
  <c r="Z1229" i="4"/>
  <c r="A1282" i="4"/>
  <c r="Z1282" i="4"/>
  <c r="A1584" i="4"/>
  <c r="Z1625" i="4"/>
  <c r="A1625" i="4"/>
  <c r="A1659" i="4"/>
  <c r="Z1659" i="4"/>
  <c r="Z1861" i="4"/>
  <c r="A1861" i="4"/>
  <c r="Z1791" i="4"/>
  <c r="A1791" i="4"/>
  <c r="A1315" i="4"/>
  <c r="Z1315" i="4"/>
  <c r="A1621" i="4"/>
  <c r="A1524" i="4"/>
  <c r="Z1524" i="4"/>
  <c r="A1730" i="4"/>
  <c r="Z1730" i="4"/>
  <c r="A1300" i="4"/>
  <c r="Z1300" i="4"/>
  <c r="A29" i="4"/>
  <c r="Z29" i="4"/>
  <c r="A1604" i="4"/>
  <c r="Z1604" i="4"/>
  <c r="A1863" i="4"/>
  <c r="Z1863" i="4"/>
  <c r="A1505" i="4"/>
  <c r="A1864" i="4"/>
  <c r="Z1864" i="4"/>
  <c r="Z1966" i="4"/>
  <c r="A1966" i="4"/>
  <c r="Z1045" i="4"/>
  <c r="A1045" i="4"/>
  <c r="Z1653" i="4"/>
  <c r="A1653" i="4"/>
  <c r="A1567" i="4"/>
  <c r="Z1567" i="4"/>
  <c r="Z1946" i="4"/>
  <c r="A1946" i="4"/>
  <c r="A1525" i="4"/>
  <c r="Z1990" i="4"/>
  <c r="A1990" i="4"/>
  <c r="A1914" i="4"/>
  <c r="Z1914" i="4"/>
  <c r="A1487" i="4"/>
  <c r="Z1487" i="4"/>
  <c r="A1910" i="4"/>
  <c r="A1555" i="4"/>
  <c r="Z1555" i="4"/>
  <c r="Z1415" i="4"/>
  <c r="A1415" i="4"/>
  <c r="A138" i="4"/>
  <c r="Z138" i="4"/>
  <c r="Z1095" i="4"/>
  <c r="A1095" i="4"/>
  <c r="Z1183" i="4"/>
  <c r="A1183" i="4"/>
  <c r="A1166" i="4"/>
  <c r="Z1166" i="4"/>
  <c r="A1850" i="4"/>
  <c r="Z1796" i="4"/>
  <c r="A1796" i="4"/>
  <c r="Z1744" i="4"/>
  <c r="A1744" i="4"/>
  <c r="A1648" i="4"/>
  <c r="Z1648" i="4"/>
  <c r="A1970" i="4"/>
  <c r="Z1970" i="4"/>
  <c r="Z1711" i="4"/>
  <c r="A1711" i="4"/>
  <c r="Z1610" i="4"/>
  <c r="A1610" i="4"/>
  <c r="Z1919" i="4"/>
  <c r="A1919" i="4"/>
  <c r="A1561" i="4"/>
  <c r="Z1561" i="4"/>
  <c r="A1557" i="4"/>
  <c r="Z1557" i="4"/>
  <c r="A1488" i="4"/>
  <c r="Z1488" i="4"/>
  <c r="Z1020" i="4"/>
  <c r="A1020" i="4"/>
  <c r="A1201" i="4"/>
  <c r="Z1017" i="4"/>
  <c r="Z1057" i="4"/>
  <c r="Z170" i="4"/>
  <c r="A193" i="4"/>
  <c r="A1035" i="4"/>
  <c r="Z133" i="4"/>
  <c r="Z193" i="4"/>
  <c r="A1323" i="4"/>
  <c r="A1149" i="4"/>
  <c r="Z1321" i="4"/>
  <c r="Z144" i="4"/>
  <c r="Z1056" i="4"/>
  <c r="Z190" i="4"/>
  <c r="Z148" i="4"/>
  <c r="Z1423" i="4"/>
  <c r="Z1167" i="4"/>
  <c r="Z1029" i="4"/>
  <c r="A30" i="4"/>
  <c r="Z140" i="4"/>
  <c r="A175" i="4"/>
  <c r="Z1083" i="4"/>
  <c r="A189" i="4"/>
  <c r="A21" i="4"/>
  <c r="Z1195" i="4"/>
  <c r="Z1451" i="4"/>
  <c r="Z1360" i="4"/>
  <c r="A1278" i="4"/>
  <c r="Z1194" i="4"/>
  <c r="A1450" i="4"/>
  <c r="A76" i="4"/>
  <c r="Z129" i="4"/>
  <c r="Z66" i="4"/>
  <c r="Z1111" i="4"/>
  <c r="Z1042" i="4"/>
  <c r="Z1293" i="4"/>
  <c r="A1203" i="4"/>
  <c r="Z1460" i="4"/>
  <c r="Z1377" i="4"/>
  <c r="A1296" i="4"/>
  <c r="A163" i="4"/>
  <c r="A113" i="4"/>
  <c r="A1076" i="4"/>
  <c r="Z69" i="4"/>
  <c r="A188" i="4"/>
  <c r="A1189" i="4"/>
  <c r="Z1443" i="4"/>
  <c r="Z1352" i="4"/>
  <c r="Z1267" i="4"/>
  <c r="Z1185" i="4"/>
  <c r="Z1751" i="4"/>
  <c r="Z1715" i="4"/>
  <c r="Z1807" i="4"/>
  <c r="Z1976" i="4"/>
  <c r="A1898" i="4"/>
  <c r="A1981" i="4"/>
  <c r="A1507" i="4"/>
  <c r="A1765" i="4"/>
  <c r="A1677" i="4"/>
  <c r="A1601" i="4"/>
  <c r="Z1517" i="4"/>
  <c r="Z1776" i="4"/>
  <c r="A1856" i="4"/>
  <c r="A1947" i="4"/>
  <c r="Z1890" i="4"/>
  <c r="A1674" i="4"/>
  <c r="A1508" i="4"/>
  <c r="Z1680" i="4"/>
  <c r="A1857" i="4"/>
  <c r="A1849" i="4"/>
  <c r="A1683" i="4"/>
  <c r="A1515" i="4"/>
  <c r="A1845" i="4"/>
  <c r="A1025" i="4"/>
  <c r="A1376" i="4"/>
  <c r="A1027" i="4"/>
  <c r="Z1059" i="4"/>
  <c r="Z1392" i="4"/>
  <c r="Z1093" i="4"/>
  <c r="Z1457" i="4"/>
  <c r="A1459" i="4"/>
  <c r="Z1032" i="4"/>
  <c r="Z1400" i="4"/>
  <c r="A1399" i="4"/>
  <c r="Z1575" i="4"/>
  <c r="A1609" i="4"/>
  <c r="Z1782" i="4"/>
  <c r="Z1938" i="4"/>
  <c r="Z1525" i="4"/>
  <c r="Z1850" i="4"/>
  <c r="Z1978" i="4"/>
  <c r="Z90" i="4"/>
  <c r="Z1291" i="4"/>
  <c r="A116" i="4"/>
  <c r="A1264" i="4"/>
  <c r="Z96" i="4"/>
  <c r="Z1346" i="4"/>
  <c r="A50" i="4"/>
  <c r="A71" i="4"/>
  <c r="Z1290" i="4"/>
  <c r="A1900" i="4"/>
  <c r="A1085" i="4"/>
  <c r="A1433" i="4"/>
  <c r="A1057" i="4"/>
  <c r="A1471" i="4"/>
  <c r="Z1169" i="4"/>
  <c r="A1492" i="4"/>
  <c r="A1172" i="4"/>
  <c r="Z1484" i="4"/>
  <c r="A1495" i="4"/>
  <c r="Z1895" i="4"/>
  <c r="Z1628" i="4"/>
  <c r="A1749" i="4"/>
  <c r="A1486" i="4"/>
  <c r="A1831" i="4"/>
  <c r="Z1831" i="4"/>
  <c r="A1577" i="4"/>
  <c r="Z1660" i="4"/>
  <c r="A1660" i="4"/>
  <c r="A1736" i="4"/>
  <c r="A1830" i="4"/>
  <c r="Z1830" i="4"/>
  <c r="A1570" i="4"/>
  <c r="A1606" i="4"/>
  <c r="Z1606" i="4"/>
  <c r="A1689" i="4"/>
  <c r="Z1762" i="4"/>
  <c r="A1762" i="4"/>
  <c r="A1509" i="4"/>
  <c r="A1599" i="4"/>
  <c r="Z1599" i="4"/>
  <c r="Z1366" i="4"/>
  <c r="A1449" i="4"/>
  <c r="Z1449" i="4"/>
  <c r="A1192" i="4"/>
  <c r="A1276" i="4"/>
  <c r="Z1276" i="4"/>
  <c r="Z1367" i="4"/>
  <c r="A1114" i="4"/>
  <c r="Z1114" i="4"/>
  <c r="A160" i="4"/>
  <c r="Z154" i="4"/>
  <c r="Z26" i="4"/>
  <c r="Z1193" i="4"/>
  <c r="Z1993" i="4"/>
  <c r="A136" i="4"/>
  <c r="A1177" i="4"/>
  <c r="A1783" i="4"/>
  <c r="A1800" i="4"/>
  <c r="A1839" i="4"/>
  <c r="A1622" i="4"/>
  <c r="A1788" i="4"/>
  <c r="A1628" i="4"/>
  <c r="Z1969" i="4"/>
  <c r="Z1892" i="4"/>
  <c r="A1568" i="4"/>
  <c r="Z1749" i="4"/>
  <c r="A1917" i="4"/>
  <c r="Z1925" i="4"/>
  <c r="Z152" i="4"/>
  <c r="Z1387" i="4"/>
  <c r="Z1396" i="4"/>
  <c r="Z1800" i="4"/>
  <c r="A26" i="4"/>
  <c r="A1193" i="4"/>
  <c r="A1993" i="4"/>
  <c r="O3" i="3"/>
  <c r="Z136" i="4"/>
  <c r="Z1177" i="4"/>
  <c r="A1367" i="4"/>
  <c r="A1366" i="4"/>
  <c r="Z1689" i="4"/>
  <c r="Z1736" i="4"/>
  <c r="A167" i="4"/>
  <c r="A1080" i="4"/>
  <c r="Z41" i="4"/>
  <c r="A1297" i="4"/>
  <c r="A1379" i="4"/>
  <c r="Z1465" i="4"/>
  <c r="A1209" i="4"/>
  <c r="A1298" i="4"/>
  <c r="A1047" i="4"/>
  <c r="Z1116" i="4"/>
  <c r="A99" i="4"/>
  <c r="Z22" i="4"/>
  <c r="A70" i="4"/>
  <c r="A1277" i="4"/>
  <c r="A1444" i="4"/>
  <c r="Z1279" i="4"/>
  <c r="Z1094" i="4"/>
  <c r="A141" i="4"/>
  <c r="Z1432" i="4"/>
  <c r="Z1261" i="4"/>
  <c r="Z1433" i="4"/>
  <c r="Z20" i="4"/>
  <c r="Z1067" i="4"/>
  <c r="Z1006" i="4"/>
  <c r="Z1325" i="4"/>
  <c r="Z1410" i="4"/>
  <c r="Z1152" i="4"/>
  <c r="Z1237" i="4"/>
  <c r="A1327" i="4"/>
  <c r="Z1074" i="4"/>
  <c r="Z107" i="4"/>
  <c r="Z1545" i="4"/>
  <c r="Z1835" i="4"/>
  <c r="A1775" i="4"/>
  <c r="Z1870" i="4"/>
  <c r="A1631" i="4"/>
  <c r="Z1982" i="4"/>
  <c r="Z1874" i="4"/>
  <c r="Z1713" i="4"/>
  <c r="Z1668" i="4"/>
  <c r="Z1486" i="4"/>
  <c r="A1987" i="4"/>
  <c r="Z1888" i="4"/>
  <c r="Z1549" i="4"/>
  <c r="Z1707" i="4"/>
  <c r="Z1544" i="4"/>
  <c r="Z1974" i="4"/>
  <c r="Z1923" i="4"/>
  <c r="A1840" i="4"/>
  <c r="A1877" i="4"/>
  <c r="Z1665" i="4"/>
  <c r="Z1537" i="4"/>
  <c r="A1491" i="4"/>
  <c r="Z1696" i="4"/>
  <c r="A1663" i="4"/>
  <c r="Z1531" i="4"/>
  <c r="A1893" i="4"/>
  <c r="Z1935" i="4"/>
  <c r="Z1883" i="4"/>
  <c r="Z1759" i="4"/>
  <c r="Z1712" i="4"/>
  <c r="A1587" i="4"/>
  <c r="A1532" i="4"/>
  <c r="Z1750" i="4"/>
  <c r="Z1973" i="4"/>
  <c r="Z1967" i="4"/>
  <c r="Z1918" i="4"/>
  <c r="Z1960" i="4"/>
  <c r="Z1705" i="4"/>
  <c r="A1790" i="4"/>
  <c r="A1533" i="4"/>
  <c r="A1611" i="4"/>
  <c r="A1698" i="4"/>
  <c r="A1735" i="4"/>
  <c r="Z1815" i="4"/>
  <c r="Z1563" i="4"/>
  <c r="A1636" i="4"/>
  <c r="Z1727" i="4"/>
  <c r="A1484" i="4"/>
  <c r="A1235" i="4"/>
  <c r="Z1322" i="4"/>
  <c r="A1406" i="4"/>
  <c r="Z1146" i="4"/>
  <c r="Z1240" i="4"/>
  <c r="A1011" i="4"/>
  <c r="A1053" i="4"/>
  <c r="Z1129" i="4"/>
  <c r="Z182" i="4"/>
  <c r="A128" i="4"/>
  <c r="Z1426" i="4"/>
  <c r="A1170" i="4"/>
  <c r="A1253" i="4"/>
  <c r="A1334" i="4"/>
  <c r="A1429" i="4"/>
  <c r="A1169" i="4"/>
  <c r="Z89" i="4"/>
  <c r="Z68" i="4"/>
  <c r="Z1060" i="4"/>
  <c r="Z1140" i="4"/>
  <c r="A46" i="4"/>
  <c r="A1407" i="4"/>
  <c r="Z1151" i="4"/>
  <c r="Z1362" i="4"/>
  <c r="Z1234" i="4"/>
  <c r="A1318" i="4"/>
  <c r="A1188" i="4"/>
  <c r="Z1408" i="4"/>
  <c r="A1150" i="4"/>
  <c r="A1026" i="4"/>
  <c r="Z186" i="4"/>
  <c r="Z37" i="4"/>
  <c r="Z174" i="4"/>
  <c r="Z1040" i="4"/>
  <c r="A1119" i="4"/>
  <c r="Z14" i="4"/>
  <c r="A47" i="4"/>
  <c r="Z1306" i="4"/>
  <c r="A1180" i="4"/>
  <c r="Z1390" i="4"/>
  <c r="A1472" i="4"/>
  <c r="Z1343" i="4"/>
  <c r="Z1217" i="4"/>
  <c r="Z1310" i="4"/>
  <c r="A1178" i="4"/>
  <c r="A1054" i="4"/>
  <c r="A1122" i="4"/>
  <c r="Z1007" i="4"/>
  <c r="Z119" i="4"/>
  <c r="A59" i="4"/>
  <c r="A156" i="4"/>
  <c r="A1018" i="4"/>
  <c r="Z1944" i="4"/>
  <c r="Z1541" i="4"/>
  <c r="Z1709" i="4"/>
  <c r="Z1936" i="4"/>
  <c r="A1928" i="4"/>
  <c r="Z1761" i="4"/>
  <c r="A1578" i="4"/>
  <c r="A1957" i="4"/>
  <c r="A1931" i="4"/>
  <c r="Z1878" i="4"/>
  <c r="Z1748" i="4"/>
  <c r="Z1608" i="4"/>
  <c r="A1647" i="4"/>
  <c r="A1519" i="4"/>
  <c r="A1290" i="4"/>
  <c r="Z1159" i="4"/>
  <c r="A1368" i="4"/>
  <c r="Z1455" i="4"/>
  <c r="Z1326" i="4"/>
  <c r="A1197" i="4"/>
  <c r="A1286" i="4"/>
  <c r="A1158" i="4"/>
  <c r="Z1037" i="4"/>
  <c r="Z1105" i="4"/>
  <c r="Z87" i="4"/>
  <c r="Z184" i="4"/>
  <c r="A151" i="4"/>
  <c r="Z1128" i="4"/>
  <c r="Z13" i="4"/>
  <c r="Z1474" i="4"/>
  <c r="Z1347" i="4"/>
  <c r="Z1218" i="4"/>
  <c r="Z1302" i="4"/>
  <c r="Z1175" i="4"/>
  <c r="Z1384" i="4"/>
  <c r="A1475" i="4"/>
  <c r="A1346" i="4"/>
  <c r="A1220" i="4"/>
  <c r="Z123" i="4"/>
  <c r="A11" i="4"/>
  <c r="Z1033" i="4"/>
  <c r="A1108" i="4"/>
  <c r="Z51" i="4"/>
  <c r="Z118" i="4"/>
  <c r="A92" i="4"/>
  <c r="Z1995" i="4"/>
  <c r="Z1199" i="4"/>
  <c r="Z1281" i="4"/>
  <c r="A1365" i="4"/>
  <c r="Z1454" i="4"/>
  <c r="Z1198" i="4"/>
  <c r="Z122" i="4"/>
  <c r="A194" i="4"/>
  <c r="Z171" i="4"/>
  <c r="Z1089" i="4"/>
  <c r="Z132" i="4"/>
  <c r="A53" i="4"/>
  <c r="Z1043" i="4"/>
  <c r="Z116" i="4"/>
  <c r="A1482" i="4"/>
  <c r="A1356" i="4"/>
  <c r="A1226" i="4"/>
  <c r="Z1436" i="4"/>
  <c r="A1307" i="4"/>
  <c r="A1179" i="4"/>
  <c r="A1393" i="4"/>
  <c r="Z1262" i="4"/>
  <c r="Z1485" i="4"/>
  <c r="A1354" i="4"/>
  <c r="Z1227" i="4"/>
  <c r="A1102" i="4"/>
  <c r="Z197" i="4"/>
  <c r="Z187" i="4"/>
  <c r="A1041" i="4"/>
  <c r="Z161" i="4"/>
  <c r="A1118" i="4"/>
  <c r="Z191" i="4"/>
  <c r="Z75" i="4"/>
  <c r="Z1069" i="4"/>
  <c r="A180" i="4"/>
  <c r="Z1859" i="4"/>
  <c r="A1649" i="4"/>
  <c r="A1605" i="4"/>
  <c r="A1770" i="4"/>
  <c r="Z1813" i="4"/>
  <c r="Z1816" i="4"/>
  <c r="Z1483" i="4"/>
  <c r="Z1645" i="4"/>
  <c r="A1978" i="4"/>
  <c r="A1991" i="4"/>
  <c r="A1942" i="4"/>
  <c r="Z1811" i="4"/>
  <c r="Z1717" i="4"/>
  <c r="A1675" i="4"/>
  <c r="A1876" i="4"/>
  <c r="Z1825" i="4"/>
  <c r="A1894" i="4"/>
  <c r="Z1972" i="4"/>
  <c r="Z1844" i="4"/>
  <c r="A1887" i="4"/>
  <c r="A1635" i="4"/>
  <c r="A1506" i="4"/>
  <c r="A1718" i="4"/>
  <c r="A1589" i="4"/>
  <c r="Z1792" i="4"/>
  <c r="Z1666" i="4"/>
  <c r="A1535" i="4"/>
  <c r="Z1755" i="4"/>
  <c r="Z1627" i="4"/>
  <c r="Z1470" i="4"/>
  <c r="Z1959" i="4"/>
  <c r="A1985" i="4"/>
  <c r="Z1858" i="4"/>
  <c r="Z1901" i="4"/>
  <c r="A1938" i="4"/>
  <c r="Z1980" i="4"/>
  <c r="Z1852" i="4"/>
  <c r="A1726" i="4"/>
  <c r="A1598" i="4"/>
  <c r="A1809" i="4"/>
  <c r="A1682" i="4"/>
  <c r="A1552" i="4"/>
  <c r="A1756" i="4"/>
  <c r="Z1629" i="4"/>
  <c r="Z1500" i="4"/>
  <c r="Z1720" i="4"/>
  <c r="Z1592" i="4"/>
  <c r="A1932" i="4"/>
  <c r="Z1880" i="4"/>
  <c r="Z1933" i="4"/>
  <c r="Z1975" i="4"/>
  <c r="A1847" i="4"/>
  <c r="Z1884" i="4"/>
  <c r="Z1926" i="4"/>
  <c r="A1672" i="4"/>
  <c r="Z1757" i="4"/>
  <c r="A1630" i="4"/>
  <c r="Z1701" i="4"/>
  <c r="Z1576" i="4"/>
  <c r="Z1795" i="4"/>
  <c r="A1669" i="4"/>
  <c r="A1540" i="4"/>
  <c r="A1703" i="4"/>
  <c r="A1787" i="4"/>
  <c r="A1656" i="4"/>
  <c r="Z1733" i="4"/>
  <c r="A1950" i="4"/>
  <c r="A1903" i="4"/>
  <c r="A1521" i="4"/>
  <c r="A1743" i="4"/>
  <c r="Z1989" i="4"/>
  <c r="Z1860" i="4"/>
  <c r="Z1904" i="4"/>
  <c r="A1940" i="4"/>
  <c r="Z1853" i="4"/>
  <c r="Z1814" i="4"/>
  <c r="Z1684" i="4"/>
  <c r="A1556" i="4"/>
  <c r="A1760" i="4"/>
  <c r="A1504" i="4"/>
  <c r="A1915" i="4"/>
  <c r="Z1866" i="4"/>
  <c r="A1954" i="4"/>
  <c r="A1822" i="4"/>
  <c r="A1905" i="4"/>
  <c r="Z1824" i="4"/>
  <c r="A1694" i="4"/>
  <c r="A1650" i="4"/>
  <c r="Z1723" i="4"/>
  <c r="A1595" i="4"/>
  <c r="A1817" i="4"/>
  <c r="Z1687" i="4"/>
  <c r="A1955" i="4"/>
  <c r="A1945" i="4"/>
  <c r="Z1979" i="4"/>
  <c r="A1854" i="4"/>
  <c r="A1529" i="4"/>
  <c r="A1798" i="4"/>
  <c r="Z1632" i="4"/>
  <c r="Z1806" i="4"/>
  <c r="A1984" i="4"/>
  <c r="A1580" i="4"/>
  <c r="A1924" i="4"/>
  <c r="Z1482" i="4"/>
  <c r="Z134" i="4"/>
  <c r="A1103" i="4"/>
  <c r="A132" i="4"/>
  <c r="Z62" i="4"/>
  <c r="A97" i="4"/>
  <c r="A107" i="4"/>
  <c r="A146" i="4"/>
  <c r="A1139" i="4"/>
  <c r="Z1327" i="4"/>
  <c r="A1174" i="4"/>
  <c r="Z1299" i="4"/>
  <c r="A1152" i="4"/>
  <c r="Z1344" i="4"/>
  <c r="Z1473" i="4"/>
  <c r="A1325" i="4"/>
  <c r="A131" i="4"/>
  <c r="A96" i="4"/>
  <c r="A118" i="4"/>
  <c r="A1033" i="4"/>
  <c r="A110" i="4"/>
  <c r="Z1031" i="4"/>
  <c r="Z1220" i="4"/>
  <c r="Z1411" i="4"/>
  <c r="A1384" i="4"/>
  <c r="Z1236" i="4"/>
  <c r="A1364" i="4"/>
  <c r="A1218" i="4"/>
  <c r="A13" i="4"/>
  <c r="Z40" i="4"/>
  <c r="A184" i="4"/>
  <c r="Z1038" i="4"/>
  <c r="A1037" i="4"/>
  <c r="Z1225" i="4"/>
  <c r="Z1351" i="4"/>
  <c r="Z1197" i="4"/>
  <c r="Z1368" i="4"/>
  <c r="Z1222" i="4"/>
  <c r="A1349" i="4"/>
  <c r="Z1519" i="4"/>
  <c r="A1778" i="4"/>
  <c r="A1747" i="4"/>
  <c r="Z1593" i="4"/>
  <c r="Z1646" i="4"/>
  <c r="A1878" i="4"/>
  <c r="Z1951" i="4"/>
  <c r="A1761" i="4"/>
  <c r="A1541" i="4"/>
  <c r="A42" i="4"/>
  <c r="Z192" i="4"/>
  <c r="Z156" i="4"/>
  <c r="A64" i="4"/>
  <c r="Z1133" i="4"/>
  <c r="A1007" i="4"/>
  <c r="Z124" i="4"/>
  <c r="Z1178" i="4"/>
  <c r="Z1371" i="4"/>
  <c r="A1153" i="4"/>
  <c r="A1343" i="4"/>
  <c r="Z1196" i="4"/>
  <c r="Z1324" i="4"/>
  <c r="Z1180" i="4"/>
  <c r="A1370" i="4"/>
  <c r="A1489" i="4"/>
  <c r="A14" i="4"/>
  <c r="Z142" i="4"/>
  <c r="Z82" i="4"/>
  <c r="A174" i="4"/>
  <c r="A1030" i="4"/>
  <c r="A67" i="4"/>
  <c r="Z1026" i="4"/>
  <c r="A1214" i="4"/>
  <c r="A1341" i="4"/>
  <c r="Z1188" i="4"/>
  <c r="Z1381" i="4"/>
  <c r="Z1171" i="4"/>
  <c r="A1362" i="4"/>
  <c r="Z1215" i="4"/>
  <c r="A1345" i="4"/>
  <c r="Z46" i="4"/>
  <c r="A1078" i="4"/>
  <c r="A145" i="4"/>
  <c r="A1060" i="4"/>
  <c r="A164" i="4"/>
  <c r="A1049" i="4"/>
  <c r="A89" i="4"/>
  <c r="A1113" i="4"/>
  <c r="A1238" i="4"/>
  <c r="Z1429" i="4"/>
  <c r="A1273" i="4"/>
  <c r="A1398" i="4"/>
  <c r="Z1253" i="4"/>
  <c r="A1446" i="4"/>
  <c r="A1233" i="4"/>
  <c r="A1426" i="4"/>
  <c r="Z81" i="4"/>
  <c r="A1016" i="4"/>
  <c r="A182" i="4"/>
  <c r="A1063" i="4"/>
  <c r="Z60" i="4"/>
  <c r="Z1053" i="4"/>
  <c r="Z95" i="4"/>
  <c r="Z1051" i="4"/>
  <c r="A1240" i="4"/>
  <c r="Z1430" i="4"/>
  <c r="Z1211" i="4"/>
  <c r="Z1406" i="4"/>
  <c r="A1257" i="4"/>
  <c r="A1385" i="4"/>
  <c r="Z1235" i="4"/>
  <c r="Z1431" i="4"/>
  <c r="Z1536" i="4"/>
  <c r="A1727" i="4"/>
  <c r="A1572" i="4"/>
  <c r="Z1700" i="4"/>
  <c r="A1563" i="4"/>
  <c r="A1752" i="4"/>
  <c r="A1542" i="4"/>
  <c r="Z1735" i="4"/>
  <c r="Z1634" i="4"/>
  <c r="Z1764" i="4"/>
  <c r="Z1611" i="4"/>
  <c r="A1802" i="4"/>
  <c r="A1596" i="4"/>
  <c r="Z1790" i="4"/>
  <c r="Z1642" i="4"/>
  <c r="A1772" i="4"/>
  <c r="A1960" i="4"/>
  <c r="A1967" i="4"/>
  <c r="A1750" i="4"/>
  <c r="Z1587" i="4"/>
  <c r="A1759" i="4"/>
  <c r="A1935" i="4"/>
  <c r="A1531" i="4"/>
  <c r="A1696" i="4"/>
  <c r="A1537" i="4"/>
  <c r="Z1877" i="4"/>
  <c r="A1923" i="4"/>
  <c r="A1544" i="4"/>
  <c r="A1549" i="4"/>
  <c r="Z1987" i="4"/>
  <c r="A1668" i="4"/>
  <c r="Z1924" i="4"/>
  <c r="A1545" i="4"/>
  <c r="Z1354" i="4"/>
  <c r="A1202" i="4"/>
  <c r="Z1329" i="4"/>
  <c r="Z1179" i="4"/>
  <c r="Z1373" i="4"/>
  <c r="A1161" i="4"/>
  <c r="Z1356" i="4"/>
  <c r="A105" i="4"/>
  <c r="A134" i="4"/>
  <c r="Z53" i="4"/>
  <c r="Z1024" i="4"/>
  <c r="A62" i="4"/>
  <c r="Z194" i="4"/>
  <c r="A1012" i="4"/>
  <c r="Z146" i="4"/>
  <c r="A1198" i="4"/>
  <c r="Z1391" i="4"/>
  <c r="Z1174" i="4"/>
  <c r="Z1365" i="4"/>
  <c r="A1216" i="4"/>
  <c r="A1344" i="4"/>
  <c r="A1199" i="4"/>
  <c r="A1388" i="4"/>
  <c r="Z131" i="4"/>
  <c r="Z1097" i="4"/>
  <c r="Z110" i="4"/>
  <c r="A1411" i="4"/>
  <c r="Z1447" i="4"/>
  <c r="A1236" i="4"/>
  <c r="A1066" i="4"/>
  <c r="A40" i="4"/>
  <c r="A1038" i="4"/>
  <c r="Z1099" i="4"/>
  <c r="A1225" i="4"/>
  <c r="A1435" i="4"/>
  <c r="A1222" i="4"/>
  <c r="Z1778" i="4"/>
  <c r="A1608" i="4"/>
  <c r="A1593" i="4"/>
  <c r="Z1900" i="4"/>
  <c r="A1951" i="4"/>
  <c r="Z1578" i="4"/>
  <c r="A1709" i="4"/>
  <c r="A1909" i="4"/>
  <c r="Z42" i="4"/>
  <c r="Z1018" i="4"/>
  <c r="Z48" i="4"/>
  <c r="Z64" i="4"/>
  <c r="A119" i="4"/>
  <c r="Z1054" i="4"/>
  <c r="Z1242" i="4"/>
  <c r="A1371" i="4"/>
  <c r="A1217" i="4"/>
  <c r="A1196" i="4"/>
  <c r="A1390" i="4"/>
  <c r="Z1243" i="4"/>
  <c r="Z1370" i="4"/>
  <c r="Z47" i="4"/>
  <c r="A142" i="4"/>
  <c r="A1040" i="4"/>
  <c r="A179" i="4"/>
  <c r="Z1030" i="4"/>
  <c r="A186" i="4"/>
  <c r="Z1214" i="4"/>
  <c r="A1408" i="4"/>
  <c r="A1250" i="4"/>
  <c r="A1381" i="4"/>
  <c r="A1234" i="4"/>
  <c r="A1215" i="4"/>
  <c r="Z1407" i="4"/>
  <c r="A143" i="4"/>
  <c r="Z1078" i="4"/>
  <c r="A22" i="4"/>
  <c r="Z1125" i="4"/>
  <c r="Z164" i="4"/>
  <c r="A1116" i="4"/>
  <c r="A85" i="4"/>
  <c r="Z1113" i="4"/>
  <c r="Z1298" i="4"/>
  <c r="A1143" i="4"/>
  <c r="Z1273" i="4"/>
  <c r="A1465" i="4"/>
  <c r="Z1317" i="4"/>
  <c r="Z1446" i="4"/>
  <c r="Z1297" i="4"/>
  <c r="Z1492" i="4"/>
  <c r="A81" i="4"/>
  <c r="Z1080" i="4"/>
  <c r="A10" i="4"/>
  <c r="Z1063" i="4"/>
  <c r="A154" i="4"/>
  <c r="A1117" i="4"/>
  <c r="A95" i="4"/>
  <c r="A1303" i="4"/>
  <c r="A1430" i="4"/>
  <c r="A1469" i="4"/>
  <c r="Z1257" i="4"/>
  <c r="A1301" i="4"/>
  <c r="A1431" i="4"/>
  <c r="A1793" i="4"/>
  <c r="Z1572" i="4"/>
  <c r="Z1623" i="4"/>
  <c r="Z1752" i="4"/>
  <c r="Z1495" i="4"/>
  <c r="A1634" i="4"/>
  <c r="Z1673" i="4"/>
  <c r="Z1802" i="4"/>
  <c r="Z1514" i="4"/>
  <c r="A1642" i="4"/>
  <c r="Z1854" i="4"/>
  <c r="Z1945" i="4"/>
  <c r="Z1955" i="4"/>
  <c r="Z1817" i="4"/>
  <c r="A1723" i="4"/>
  <c r="Z1650" i="4"/>
  <c r="A1824" i="4"/>
  <c r="Z1905" i="4"/>
  <c r="Z1822" i="4"/>
  <c r="A1866" i="4"/>
  <c r="Z1504" i="4"/>
  <c r="Z1760" i="4"/>
  <c r="A1684" i="4"/>
  <c r="A1853" i="4"/>
  <c r="Z1940" i="4"/>
  <c r="A1860" i="4"/>
  <c r="Z1798" i="4"/>
  <c r="A1806" i="4"/>
  <c r="Z1580" i="4"/>
  <c r="Z1521" i="4"/>
  <c r="Z1950" i="4"/>
  <c r="O2" i="3"/>
  <c r="R5" i="1" l="1"/>
  <c r="U5" i="1" s="1"/>
  <c r="R7" i="1"/>
  <c r="U7" i="1" s="1"/>
  <c r="R6" i="1"/>
  <c r="U6" i="1" s="1"/>
  <c r="R64" i="1"/>
  <c r="U64" i="1" s="1"/>
  <c r="P1" i="7"/>
  <c r="B1" i="7"/>
  <c r="N5" i="3"/>
  <c r="N2" i="3" s="1"/>
  <c r="B1460" i="4" s="1"/>
  <c r="G38" i="5"/>
  <c r="J38" i="5" s="1"/>
  <c r="D26" i="5"/>
  <c r="C39" i="5"/>
  <c r="G21" i="5"/>
  <c r="J21" i="5" s="1"/>
  <c r="E11" i="5"/>
  <c r="D14" i="5"/>
  <c r="G25" i="5"/>
  <c r="J25" i="5" s="1"/>
  <c r="D35" i="5"/>
  <c r="E22" i="5"/>
  <c r="G34" i="5"/>
  <c r="J34" i="5" s="1"/>
  <c r="G17" i="5"/>
  <c r="J17" i="5" s="1"/>
  <c r="D13" i="5"/>
  <c r="G16" i="5"/>
  <c r="J16" i="5" s="1"/>
  <c r="C31" i="5"/>
  <c r="E18" i="5"/>
  <c r="G30" i="5"/>
  <c r="J30" i="5" s="1"/>
  <c r="D40" i="5"/>
  <c r="E27" i="5"/>
  <c r="D12" i="5"/>
  <c r="D11" i="5"/>
  <c r="E39" i="5"/>
  <c r="C37" i="5"/>
  <c r="E33" i="5"/>
  <c r="C29" i="5"/>
  <c r="C26" i="5"/>
  <c r="F24" i="5"/>
  <c r="I24" i="5" s="1"/>
  <c r="E20" i="5"/>
  <c r="C16" i="5"/>
  <c r="G40" i="5"/>
  <c r="J40" i="5" s="1"/>
  <c r="G36" i="5"/>
  <c r="J36" i="5" s="1"/>
  <c r="G32" i="5"/>
  <c r="J32" i="5" s="1"/>
  <c r="G28" i="5"/>
  <c r="J28" i="5" s="1"/>
  <c r="G23" i="5"/>
  <c r="J23" i="5" s="1"/>
  <c r="G19" i="5"/>
  <c r="J19" i="5" s="1"/>
  <c r="G15" i="5"/>
  <c r="J15" i="5" s="1"/>
  <c r="G26" i="5"/>
  <c r="J26" i="5" s="1"/>
  <c r="E13" i="5"/>
  <c r="F13" i="5"/>
  <c r="I13" i="5" s="1"/>
  <c r="C11" i="5"/>
  <c r="G12" i="5"/>
  <c r="J12" i="5" s="1"/>
  <c r="F39" i="5"/>
  <c r="I39" i="5" s="1"/>
  <c r="C36" i="5"/>
  <c r="D32" i="5"/>
  <c r="F28" i="5"/>
  <c r="I28" i="5" s="1"/>
  <c r="E26" i="5"/>
  <c r="F23" i="5"/>
  <c r="I23" i="5" s="1"/>
  <c r="D19" i="5"/>
  <c r="E15" i="5"/>
  <c r="G39" i="5"/>
  <c r="J39" i="5" s="1"/>
  <c r="G35" i="5"/>
  <c r="J35" i="5" s="1"/>
  <c r="G31" i="5"/>
  <c r="J31" i="5" s="1"/>
  <c r="G27" i="5"/>
  <c r="J27" i="5" s="1"/>
  <c r="G22" i="5"/>
  <c r="J22" i="5" s="1"/>
  <c r="G18" i="5"/>
  <c r="J18" i="5" s="1"/>
  <c r="G14" i="5"/>
  <c r="J14" i="5" s="1"/>
  <c r="G11" i="5"/>
  <c r="J11" i="5" s="1"/>
  <c r="G13" i="5"/>
  <c r="J13" i="5" s="1"/>
  <c r="S4" i="5"/>
  <c r="F11" i="5"/>
  <c r="I11" i="5" s="1"/>
  <c r="D39" i="5"/>
  <c r="C38" i="5"/>
  <c r="E34" i="5"/>
  <c r="E30" i="5"/>
  <c r="F26" i="5"/>
  <c r="I26" i="5" s="1"/>
  <c r="F25" i="5"/>
  <c r="I25" i="5" s="1"/>
  <c r="C21" i="5"/>
  <c r="D17" i="5"/>
  <c r="G37" i="5"/>
  <c r="J37" i="5" s="1"/>
  <c r="G33" i="5"/>
  <c r="J33" i="5" s="1"/>
  <c r="G29" i="5"/>
  <c r="J29" i="5" s="1"/>
  <c r="G24" i="5"/>
  <c r="J24" i="5" s="1"/>
  <c r="G20" i="5"/>
  <c r="J20" i="5" s="1"/>
  <c r="F38" i="5"/>
  <c r="I38" i="5" s="1"/>
  <c r="C34" i="5"/>
  <c r="E23" i="5"/>
  <c r="F18" i="5"/>
  <c r="I18" i="5" s="1"/>
  <c r="F40" i="5"/>
  <c r="I40" i="5" s="1"/>
  <c r="D37" i="5"/>
  <c r="C35" i="5"/>
  <c r="C32" i="5"/>
  <c r="F30" i="5"/>
  <c r="I30" i="5" s="1"/>
  <c r="D28" i="5"/>
  <c r="E25" i="5"/>
  <c r="F22" i="5"/>
  <c r="I22" i="5" s="1"/>
  <c r="F20" i="5"/>
  <c r="I20" i="5" s="1"/>
  <c r="C17" i="5"/>
  <c r="C15" i="5"/>
  <c r="C13" i="5"/>
  <c r="F12" i="5"/>
  <c r="I12" i="5" s="1"/>
  <c r="C40" i="5"/>
  <c r="D38" i="5"/>
  <c r="F37" i="5"/>
  <c r="I37" i="5" s="1"/>
  <c r="E36" i="5"/>
  <c r="E35" i="5"/>
  <c r="D34" i="5"/>
  <c r="F33" i="5"/>
  <c r="I33" i="5" s="1"/>
  <c r="F32" i="5"/>
  <c r="I32" i="5" s="1"/>
  <c r="F31" i="5"/>
  <c r="I31" i="5" s="1"/>
  <c r="D30" i="5"/>
  <c r="E29" i="5"/>
  <c r="C28" i="5"/>
  <c r="F27" i="5"/>
  <c r="I27" i="5" s="1"/>
  <c r="C25" i="5"/>
  <c r="C24" i="5"/>
  <c r="C23" i="5"/>
  <c r="C22" i="5"/>
  <c r="E21" i="5"/>
  <c r="D20" i="5"/>
  <c r="F19" i="5"/>
  <c r="I19" i="5" s="1"/>
  <c r="C18" i="5"/>
  <c r="F17" i="5"/>
  <c r="I17" i="5" s="1"/>
  <c r="E16" i="5"/>
  <c r="F15" i="5"/>
  <c r="I15" i="5" s="1"/>
  <c r="C14" i="5"/>
  <c r="E12" i="5"/>
  <c r="D36" i="5"/>
  <c r="C33" i="5"/>
  <c r="E31" i="5"/>
  <c r="D29" i="5"/>
  <c r="C27" i="5"/>
  <c r="D24" i="5"/>
  <c r="F21" i="5"/>
  <c r="I21" i="5" s="1"/>
  <c r="E19" i="5"/>
  <c r="F16" i="5"/>
  <c r="I16" i="5" s="1"/>
  <c r="E14" i="5"/>
  <c r="R4" i="5"/>
  <c r="C12" i="5"/>
  <c r="E40" i="5"/>
  <c r="E38" i="5"/>
  <c r="E37" i="5"/>
  <c r="F36" i="5"/>
  <c r="I36" i="5" s="1"/>
  <c r="F35" i="5"/>
  <c r="I35" i="5" s="1"/>
  <c r="F34" i="5"/>
  <c r="I34" i="5" s="1"/>
  <c r="D33" i="5"/>
  <c r="E32" i="5"/>
  <c r="D31" i="5"/>
  <c r="C30" i="5"/>
  <c r="F29" i="5"/>
  <c r="I29" i="5" s="1"/>
  <c r="E28" i="5"/>
  <c r="D27" i="5"/>
  <c r="D25" i="5"/>
  <c r="E24" i="5"/>
  <c r="D23" i="5"/>
  <c r="D22" i="5"/>
  <c r="D21" i="5"/>
  <c r="C20" i="5"/>
  <c r="C19" i="5"/>
  <c r="D18" i="5"/>
  <c r="E17" i="5"/>
  <c r="D16" i="5"/>
  <c r="D15" i="5"/>
  <c r="F14" i="5"/>
  <c r="I14" i="5" s="1"/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O3" i="6"/>
  <c r="B1987" i="4"/>
  <c r="B1818" i="4"/>
  <c r="B1567" i="4"/>
  <c r="B1557" i="4"/>
  <c r="B1799" i="4"/>
  <c r="B1740" i="4"/>
  <c r="B1817" i="4"/>
  <c r="B1452" i="4"/>
  <c r="B1483" i="4"/>
  <c r="B1580" i="4"/>
  <c r="B1216" i="4"/>
  <c r="B1950" i="4"/>
  <c r="B1924" i="4"/>
  <c r="B1816" i="4"/>
  <c r="B1664" i="4"/>
  <c r="B1665" i="4" s="1"/>
  <c r="B1371" i="4"/>
  <c r="B1979" i="4"/>
  <c r="B1515" i="4"/>
  <c r="B1910" i="4"/>
  <c r="B1332" i="4"/>
  <c r="B1886" i="4"/>
  <c r="B1852" i="4"/>
  <c r="B1598" i="4"/>
  <c r="B1198" i="4"/>
  <c r="B1984" i="4"/>
  <c r="B1792" i="4"/>
  <c r="B1555" i="4"/>
  <c r="B1370" i="4"/>
  <c r="B1848" i="4"/>
  <c r="B1763" i="4"/>
  <c r="B1459" i="4"/>
  <c r="B1678" i="4"/>
  <c r="B1704" i="4"/>
  <c r="B1738" i="4"/>
  <c r="B1776" i="4"/>
  <c r="B1411" i="4"/>
  <c r="B1994" i="4"/>
  <c r="B1976" i="4"/>
  <c r="B1812" i="4"/>
  <c r="B1395" i="4"/>
  <c r="B1502" i="4"/>
  <c r="B1595" i="4"/>
  <c r="B1691" i="4"/>
  <c r="B1093" i="4"/>
  <c r="B1753" i="4"/>
  <c r="B1234" i="4"/>
  <c r="B1398" i="4"/>
  <c r="B1514" i="4"/>
  <c r="B1871" i="4"/>
  <c r="B1708" i="4"/>
  <c r="B1783" i="4"/>
  <c r="B1639" i="4"/>
  <c r="B1989" i="4"/>
  <c r="B1359" i="4"/>
  <c r="B1851" i="4"/>
  <c r="B1423" i="4"/>
  <c r="B1933" i="4"/>
  <c r="B120" i="4"/>
  <c r="B1736" i="4"/>
  <c r="B1883" i="4"/>
  <c r="B1881" i="4"/>
  <c r="B1013" i="4"/>
  <c r="B1363" i="4"/>
  <c r="B1017" i="4"/>
  <c r="B1018" i="4" s="1"/>
  <c r="B1019" i="4" s="1"/>
  <c r="B1020" i="4" s="1"/>
  <c r="B1021" i="4" s="1"/>
  <c r="B1681" i="4"/>
  <c r="B1778" i="4"/>
  <c r="B1748" i="4"/>
  <c r="B1964" i="4"/>
  <c r="B1932" i="4"/>
  <c r="B1966" i="4"/>
  <c r="B1968" i="4"/>
  <c r="B1554" i="4"/>
  <c r="B1945" i="4"/>
  <c r="B1689" i="4"/>
  <c r="B1621" i="4"/>
  <c r="B1301" i="4"/>
  <c r="B1505" i="4"/>
  <c r="B1341" i="4"/>
  <c r="B1671" i="4"/>
  <c r="B1627" i="4"/>
  <c r="B1942" i="4"/>
  <c r="B1733" i="4"/>
  <c r="B1800" i="4"/>
  <c r="B1177" i="4"/>
  <c r="B1884" i="4"/>
  <c r="B43" i="4"/>
  <c r="B63" i="4"/>
  <c r="B79" i="4"/>
  <c r="B95" i="4"/>
  <c r="B111" i="4"/>
  <c r="B127" i="4"/>
  <c r="B143" i="4"/>
  <c r="B159" i="4"/>
  <c r="B175" i="4"/>
  <c r="B191" i="4"/>
  <c r="B40" i="4"/>
  <c r="B60" i="4"/>
  <c r="B76" i="4"/>
  <c r="B92" i="4"/>
  <c r="B108" i="4"/>
  <c r="B128" i="4"/>
  <c r="B144" i="4"/>
  <c r="B160" i="4"/>
  <c r="B176" i="4"/>
  <c r="B192" i="4"/>
  <c r="B41" i="4"/>
  <c r="B57" i="4"/>
  <c r="B73" i="4"/>
  <c r="B89" i="4"/>
  <c r="B105" i="4"/>
  <c r="B121" i="4"/>
  <c r="B137" i="4"/>
  <c r="B153" i="4"/>
  <c r="B169" i="4"/>
  <c r="B185" i="4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50" i="4"/>
  <c r="B70" i="4"/>
  <c r="B86" i="4"/>
  <c r="B102" i="4"/>
  <c r="B118" i="4"/>
  <c r="B134" i="4"/>
  <c r="B150" i="4"/>
  <c r="B186" i="4"/>
  <c r="B162" i="4"/>
  <c r="B182" i="4"/>
  <c r="B1026" i="4"/>
  <c r="B1090" i="4"/>
  <c r="B1027" i="4"/>
  <c r="B1091" i="4"/>
  <c r="B1155" i="4"/>
  <c r="B1239" i="4"/>
  <c r="B1014" i="4"/>
  <c r="B1078" i="4"/>
  <c r="B1015" i="4"/>
  <c r="B1079" i="4"/>
  <c r="B1143" i="4"/>
  <c r="B1243" i="4"/>
  <c r="B1060" i="4"/>
  <c r="B1124" i="4"/>
  <c r="B1188" i="4"/>
  <c r="B1252" i="4"/>
  <c r="B1316" i="4"/>
  <c r="B1173" i="4"/>
  <c r="B1285" i="4"/>
  <c r="B1174" i="4"/>
  <c r="B1286" i="4"/>
  <c r="B1365" i="4"/>
  <c r="B1429" i="4"/>
  <c r="B1493" i="4"/>
  <c r="B1226" i="4"/>
  <c r="B1364" i="4"/>
  <c r="B1450" i="4"/>
  <c r="B1050" i="4"/>
  <c r="B1114" i="4"/>
  <c r="B1067" i="4"/>
  <c r="B1131" i="4"/>
  <c r="B1199" i="4"/>
  <c r="B1016" i="4"/>
  <c r="B1080" i="4"/>
  <c r="B1144" i="4"/>
  <c r="B1224" i="4"/>
  <c r="B1288" i="4"/>
  <c r="B1037" i="4"/>
  <c r="B1245" i="4"/>
  <c r="B1105" i="4"/>
  <c r="B1246" i="4"/>
  <c r="B1334" i="4"/>
  <c r="B1401" i="4"/>
  <c r="B1465" i="4"/>
  <c r="B47" i="4"/>
  <c r="B71" i="4"/>
  <c r="B91" i="4"/>
  <c r="B115" i="4"/>
  <c r="B116" i="4" s="1"/>
  <c r="B135" i="4"/>
  <c r="B155" i="4"/>
  <c r="B179" i="4"/>
  <c r="B199" i="4"/>
  <c r="B52" i="4"/>
  <c r="B80" i="4"/>
  <c r="B100" i="4"/>
  <c r="B124" i="4"/>
  <c r="B148" i="4"/>
  <c r="B168" i="4"/>
  <c r="B188" i="4"/>
  <c r="B45" i="4"/>
  <c r="B65" i="4"/>
  <c r="B85" i="4"/>
  <c r="B109" i="4"/>
  <c r="B129" i="4"/>
  <c r="B149" i="4"/>
  <c r="B173" i="4"/>
  <c r="B193" i="4"/>
  <c r="B46" i="4"/>
  <c r="B74" i="4"/>
  <c r="B94" i="4"/>
  <c r="B114" i="4"/>
  <c r="B138" i="4"/>
  <c r="B158" i="4"/>
  <c r="B190" i="4"/>
  <c r="B198" i="4"/>
  <c r="B1058" i="4"/>
  <c r="B1011" i="4"/>
  <c r="B1107" i="4"/>
  <c r="B1207" i="4"/>
  <c r="B1040" i="4"/>
  <c r="B1094" i="4"/>
  <c r="B1047" i="4"/>
  <c r="B1127" i="4"/>
  <c r="B1012" i="4"/>
  <c r="B1092" i="4"/>
  <c r="B1172" i="4"/>
  <c r="B1268" i="4"/>
  <c r="B1085" i="4"/>
  <c r="B1263" i="4"/>
  <c r="B1206" i="4"/>
  <c r="B1329" i="4"/>
  <c r="B1413" i="4"/>
  <c r="B1509" i="4"/>
  <c r="B1314" i="4"/>
  <c r="B1428" i="4"/>
  <c r="B1066" i="4"/>
  <c r="B1035" i="4"/>
  <c r="B1115" i="4"/>
  <c r="B1215" i="4"/>
  <c r="B1048" i="4"/>
  <c r="B1128" i="4"/>
  <c r="B1240" i="4"/>
  <c r="B1320" i="4"/>
  <c r="B1213" i="4"/>
  <c r="B1150" i="4"/>
  <c r="B1291" i="4"/>
  <c r="B1385" i="4"/>
  <c r="B1481" i="4"/>
  <c r="B1162" i="4"/>
  <c r="B1348" i="4"/>
  <c r="B1434" i="4"/>
  <c r="B1022" i="4"/>
  <c r="B1086" i="4"/>
  <c r="B1023" i="4"/>
  <c r="B1087" i="4"/>
  <c r="B1151" i="4"/>
  <c r="B1219" i="4"/>
  <c r="B1052" i="4"/>
  <c r="B1116" i="4"/>
  <c r="B1212" i="4"/>
  <c r="B1276" i="4"/>
  <c r="B1340" i="4"/>
  <c r="B1189" i="4"/>
  <c r="B1295" i="4"/>
  <c r="B1190" i="4"/>
  <c r="B1191" i="4" s="1"/>
  <c r="B1192" i="4" s="1"/>
  <c r="B1193" i="4" s="1"/>
  <c r="B1194" i="4" s="1"/>
  <c r="B1195" i="4" s="1"/>
  <c r="B1196" i="4" s="1"/>
  <c r="B1197" i="4" s="1"/>
  <c r="B1297" i="4"/>
  <c r="B1373" i="4"/>
  <c r="B1437" i="4"/>
  <c r="B1517" i="4"/>
  <c r="B1299" i="4"/>
  <c r="B1418" i="4"/>
  <c r="B1104" i="4"/>
  <c r="B1069" i="4"/>
  <c r="B1323" i="4"/>
  <c r="B1306" i="4"/>
  <c r="B1536" i="4"/>
  <c r="B1600" i="4"/>
  <c r="B1153" i="4"/>
  <c r="B1337" i="4"/>
  <c r="B1424" i="4"/>
  <c r="B1510" i="4"/>
  <c r="B1577" i="4"/>
  <c r="B1641" i="4"/>
  <c r="B1331" i="4"/>
  <c r="B1506" i="4"/>
  <c r="B1638" i="4"/>
  <c r="B1709" i="4"/>
  <c r="B1773" i="4"/>
  <c r="B1837" i="4"/>
  <c r="B1901" i="4"/>
  <c r="B1965" i="4"/>
  <c r="B1266" i="4"/>
  <c r="B1464" i="4"/>
  <c r="B1325" i="4"/>
  <c r="B1611" i="4"/>
  <c r="B1718" i="4"/>
  <c r="B1803" i="4"/>
  <c r="B1888" i="4"/>
  <c r="B1974" i="4"/>
  <c r="B1610" i="4"/>
  <c r="B1746" i="4"/>
  <c r="B1859" i="4"/>
  <c r="B1972" i="4"/>
  <c r="B1530" i="4"/>
  <c r="B1711" i="4"/>
  <c r="B1826" i="4"/>
  <c r="B1939" i="4"/>
  <c r="B1426" i="4"/>
  <c r="B1684" i="4"/>
  <c r="B1751" i="4"/>
  <c r="B1978" i="4"/>
  <c r="B1827" i="4"/>
  <c r="B1562" i="4"/>
  <c r="B1900" i="4"/>
  <c r="B1248" i="4"/>
  <c r="B1134" i="4"/>
  <c r="B1473" i="4"/>
  <c r="B1503" i="4"/>
  <c r="B1572" i="4"/>
  <c r="B1636" i="4"/>
  <c r="B1315" i="4"/>
  <c r="B1408" i="4"/>
  <c r="B1494" i="4"/>
  <c r="B1565" i="4"/>
  <c r="B1629" i="4"/>
  <c r="B1283" i="4"/>
  <c r="B1474" i="4"/>
  <c r="B1614" i="4"/>
  <c r="B1713" i="4"/>
  <c r="B1777" i="4"/>
  <c r="B1841" i="4"/>
  <c r="B1905" i="4"/>
  <c r="B1969" i="4"/>
  <c r="B1287" i="4"/>
  <c r="B1475" i="4"/>
  <c r="B1436" i="4"/>
  <c r="B1658" i="4"/>
  <c r="B1744" i="4"/>
  <c r="B1830" i="4"/>
  <c r="B1915" i="4"/>
  <c r="B1468" i="4"/>
  <c r="B1469" i="4" s="1"/>
  <c r="B1695" i="4"/>
  <c r="B1810" i="4"/>
  <c r="B1923" i="4"/>
  <c r="B1326" i="4"/>
  <c r="B1327" i="4" s="1"/>
  <c r="B1662" i="4"/>
  <c r="B1775" i="4"/>
  <c r="B1890" i="4"/>
  <c r="B1996" i="4"/>
  <c r="B1618" i="4"/>
  <c r="B1404" i="4"/>
  <c r="B1879" i="4"/>
  <c r="B1715" i="4"/>
  <c r="B1955" i="4"/>
  <c r="B51" i="4"/>
  <c r="B75" i="4"/>
  <c r="B99" i="4"/>
  <c r="B119" i="4"/>
  <c r="B139" i="4"/>
  <c r="B163" i="4"/>
  <c r="B183" i="4"/>
  <c r="B36" i="4"/>
  <c r="B64" i="4"/>
  <c r="B84" i="4"/>
  <c r="B104" i="4"/>
  <c r="B132" i="4"/>
  <c r="B152" i="4"/>
  <c r="B172" i="4"/>
  <c r="B196" i="4"/>
  <c r="B49" i="4"/>
  <c r="B69" i="4"/>
  <c r="B93" i="4"/>
  <c r="B113" i="4"/>
  <c r="B133" i="4"/>
  <c r="B157" i="4"/>
  <c r="B177" i="4"/>
  <c r="B197" i="4"/>
  <c r="B54" i="4"/>
  <c r="B55" i="4" s="1"/>
  <c r="B56" i="4" s="1"/>
  <c r="B78" i="4"/>
  <c r="B98" i="4"/>
  <c r="B122" i="4"/>
  <c r="B142" i="4"/>
  <c r="B38" i="4"/>
  <c r="B178" i="4"/>
  <c r="B170" i="4"/>
  <c r="B1074" i="4"/>
  <c r="B1043" i="4"/>
  <c r="B1123" i="4"/>
  <c r="B1223" i="4"/>
  <c r="B1030" i="4"/>
  <c r="B1110" i="4"/>
  <c r="B1063" i="4"/>
  <c r="B1175" i="4"/>
  <c r="B1028" i="4"/>
  <c r="B1108" i="4"/>
  <c r="B1204" i="4"/>
  <c r="B1284" i="4"/>
  <c r="B1141" i="4"/>
  <c r="B1025" i="4"/>
  <c r="B1238" i="4"/>
  <c r="G5" i="3"/>
  <c r="G29" i="3" s="1"/>
  <c r="B59" i="4"/>
  <c r="B83" i="4"/>
  <c r="B123" i="4"/>
  <c r="B167" i="4"/>
  <c r="B44" i="4"/>
  <c r="B88" i="4"/>
  <c r="B136" i="4"/>
  <c r="B180" i="4"/>
  <c r="B53" i="4"/>
  <c r="B97" i="4"/>
  <c r="B141" i="4"/>
  <c r="B181" i="4"/>
  <c r="B62" i="4"/>
  <c r="B106" i="4"/>
  <c r="B146" i="4"/>
  <c r="B194" i="4"/>
  <c r="B1106" i="4"/>
  <c r="B1139" i="4"/>
  <c r="B1046" i="4"/>
  <c r="B1095" i="4"/>
  <c r="B1044" i="4"/>
  <c r="B1220" i="4"/>
  <c r="B1205" i="4"/>
  <c r="B1265" i="4"/>
  <c r="B1397" i="4"/>
  <c r="B1033" i="4"/>
  <c r="B1386" i="4"/>
  <c r="B1034" i="4"/>
  <c r="B1051" i="4"/>
  <c r="B1163" i="4"/>
  <c r="B1032" i="4"/>
  <c r="B1160" i="4"/>
  <c r="B1272" i="4"/>
  <c r="B1149" i="4"/>
  <c r="B1182" i="4"/>
  <c r="B1353" i="4"/>
  <c r="B1449" i="4"/>
  <c r="B1242" i="4"/>
  <c r="B1391" i="4"/>
  <c r="B1498" i="4"/>
  <c r="B1102" i="4"/>
  <c r="B1055" i="4"/>
  <c r="B1135" i="4"/>
  <c r="B1235" i="4"/>
  <c r="B1084" i="4"/>
  <c r="B1164" i="4"/>
  <c r="B1292" i="4"/>
  <c r="B1117" i="4"/>
  <c r="B1274" i="4"/>
  <c r="B1222" i="4"/>
  <c r="B1339" i="4"/>
  <c r="B1421" i="4"/>
  <c r="B1097" i="4"/>
  <c r="B1375" i="4"/>
  <c r="B1482" i="4"/>
  <c r="B1229" i="4"/>
  <c r="B1457" i="4"/>
  <c r="B1519" i="4"/>
  <c r="B1616" i="4"/>
  <c r="B1271" i="4"/>
  <c r="B1403" i="4"/>
  <c r="B1529" i="4"/>
  <c r="B1609" i="4"/>
  <c r="B1262" i="4"/>
  <c r="B1542" i="4"/>
  <c r="B1677" i="4"/>
  <c r="B1757" i="4"/>
  <c r="B87" i="4"/>
  <c r="B131" i="4"/>
  <c r="B171" i="4"/>
  <c r="B48" i="4"/>
  <c r="B96" i="4"/>
  <c r="B140" i="4"/>
  <c r="B184" i="4"/>
  <c r="B61" i="4"/>
  <c r="B101" i="4"/>
  <c r="B145" i="4"/>
  <c r="B189" i="4"/>
  <c r="B66" i="4"/>
  <c r="B110" i="4"/>
  <c r="B154" i="4"/>
  <c r="B166" i="4"/>
  <c r="B1122" i="4"/>
  <c r="B1171" i="4"/>
  <c r="B1062" i="4"/>
  <c r="B1111" i="4"/>
  <c r="B1076" i="4"/>
  <c r="B1236" i="4"/>
  <c r="B1237" i="4"/>
  <c r="B1307" i="4"/>
  <c r="B1445" i="4"/>
  <c r="B1146" i="4"/>
  <c r="B1407" i="4"/>
  <c r="B1082" i="4"/>
  <c r="B1083" i="4"/>
  <c r="B1179" i="4"/>
  <c r="B1180" i="4" s="1"/>
  <c r="B1181" i="4" s="1"/>
  <c r="B1064" i="4"/>
  <c r="B1176" i="4"/>
  <c r="B1304" i="4"/>
  <c r="B1269" i="4"/>
  <c r="B1214" i="4"/>
  <c r="B1369" i="4"/>
  <c r="B1497" i="4"/>
  <c r="B1289" i="4"/>
  <c r="B1412" i="4"/>
  <c r="B1038" i="4"/>
  <c r="B1118" i="4"/>
  <c r="B1071" i="4"/>
  <c r="B1167" i="4"/>
  <c r="B1251" i="4"/>
  <c r="B1100" i="4"/>
  <c r="B1228" i="4"/>
  <c r="B1308" i="4"/>
  <c r="B1157" i="4"/>
  <c r="B1057" i="4"/>
  <c r="B1254" i="4"/>
  <c r="B1357" i="4"/>
  <c r="B1453" i="4"/>
  <c r="B1178" i="4"/>
  <c r="B1396" i="4"/>
  <c r="B1168" i="4"/>
  <c r="B1169" i="4" s="1"/>
  <c r="B1073" i="4"/>
  <c r="B1521" i="4"/>
  <c r="B1552" i="4"/>
  <c r="B1632" i="4"/>
  <c r="B1309" i="4"/>
  <c r="B1446" i="4"/>
  <c r="B1545" i="4"/>
  <c r="B1625" i="4"/>
  <c r="B1378" i="4"/>
  <c r="B1574" i="4"/>
  <c r="B1693" i="4"/>
  <c r="B1789" i="4"/>
  <c r="B1869" i="4"/>
  <c r="B1949" i="4"/>
  <c r="B39" i="4"/>
  <c r="B103" i="4"/>
  <c r="B147" i="4"/>
  <c r="B187" i="4"/>
  <c r="B68" i="4"/>
  <c r="B112" i="4"/>
  <c r="B156" i="4"/>
  <c r="B200" i="4"/>
  <c r="B77" i="4"/>
  <c r="B117" i="4"/>
  <c r="B161" i="4"/>
  <c r="B26" i="4"/>
  <c r="B27" i="4" s="1"/>
  <c r="B28" i="4" s="1"/>
  <c r="B29" i="4" s="1"/>
  <c r="B30" i="4" s="1"/>
  <c r="B31" i="4" s="1"/>
  <c r="B32" i="4" s="1"/>
  <c r="B33" i="4" s="1"/>
  <c r="B34" i="4" s="1"/>
  <c r="B35" i="4" s="1"/>
  <c r="B82" i="4"/>
  <c r="B126" i="4"/>
  <c r="B58" i="4"/>
  <c r="B1010" i="4"/>
  <c r="B1059" i="4"/>
  <c r="B1126" i="4"/>
  <c r="B1211" i="4"/>
  <c r="B1140" i="4"/>
  <c r="B1300" i="4"/>
  <c r="B1089" i="4"/>
  <c r="B1349" i="4"/>
  <c r="B1461" i="4"/>
  <c r="B1278" i="4"/>
  <c r="B1471" i="4"/>
  <c r="B1098" i="4"/>
  <c r="B1099" i="4"/>
  <c r="B1231" i="4"/>
  <c r="B1096" i="4"/>
  <c r="B1208" i="4"/>
  <c r="B1336" i="4"/>
  <c r="B1290" i="4"/>
  <c r="B1270" i="4"/>
  <c r="B1417" i="4"/>
  <c r="B1513" i="4"/>
  <c r="B1321" i="4"/>
  <c r="B1455" i="4"/>
  <c r="B1054" i="4"/>
  <c r="B1103" i="4"/>
  <c r="B1183" i="4"/>
  <c r="B1184" i="4" s="1"/>
  <c r="B1185" i="4" s="1"/>
  <c r="B1186" i="4" s="1"/>
  <c r="B1187" i="4" s="1"/>
  <c r="B1036" i="4"/>
  <c r="B1132" i="4"/>
  <c r="B1244" i="4"/>
  <c r="B1324" i="4"/>
  <c r="B1221" i="4"/>
  <c r="B1121" i="4"/>
  <c r="B1275" i="4"/>
  <c r="B1389" i="4"/>
  <c r="B1485" i="4"/>
  <c r="B1257" i="4"/>
  <c r="B1439" i="4"/>
  <c r="B1232" i="4"/>
  <c r="B1230" i="4"/>
  <c r="B1402" i="4"/>
  <c r="B1568" i="4"/>
  <c r="B1045" i="4"/>
  <c r="B1360" i="4"/>
  <c r="B1467" i="4"/>
  <c r="B1561" i="4"/>
  <c r="B1657" i="4"/>
  <c r="B1420" i="4"/>
  <c r="B1606" i="4"/>
  <c r="B1725" i="4"/>
  <c r="B1805" i="4"/>
  <c r="B1885" i="4"/>
  <c r="B1981" i="4"/>
  <c r="B1379" i="4"/>
  <c r="B1113" i="4"/>
  <c r="B1651" i="4"/>
  <c r="B1760" i="4"/>
  <c r="B1867" i="4"/>
  <c r="B1311" i="4"/>
  <c r="B1688" i="4"/>
  <c r="B1831" i="4"/>
  <c r="B1995" i="4"/>
  <c r="B1652" i="4"/>
  <c r="B1796" i="4"/>
  <c r="B1967" i="4"/>
  <c r="B1603" i="4"/>
  <c r="B1647" i="4"/>
  <c r="B1427" i="4"/>
  <c r="B1940" i="4"/>
  <c r="B151" i="4"/>
  <c r="B164" i="4"/>
  <c r="B165" i="4"/>
  <c r="B174" i="4"/>
  <c r="B1031" i="4"/>
  <c r="B1142" i="4"/>
  <c r="B1492" i="4"/>
  <c r="B1112" i="4"/>
  <c r="B1313" i="4"/>
  <c r="B1476" i="4"/>
  <c r="B1203" i="4"/>
  <c r="B1053" i="4"/>
  <c r="B1405" i="4"/>
  <c r="B1296" i="4"/>
  <c r="B1217" i="4"/>
  <c r="B1138" i="4"/>
  <c r="B1821" i="4"/>
  <c r="B1997" i="4"/>
  <c r="B1507" i="4"/>
  <c r="B1570" i="4"/>
  <c r="B1782" i="4"/>
  <c r="B1931" i="4"/>
  <c r="B1659" i="4"/>
  <c r="B1887" i="4"/>
  <c r="B1416" i="4"/>
  <c r="B1768" i="4"/>
  <c r="B1991" i="4"/>
  <c r="B1714" i="4"/>
  <c r="B1922" i="4"/>
  <c r="B1992" i="4"/>
  <c r="B1956" i="4"/>
  <c r="B1133" i="4"/>
  <c r="B1409" i="4"/>
  <c r="B1524" i="4"/>
  <c r="B1604" i="4"/>
  <c r="B1282" i="4"/>
  <c r="B1430" i="4"/>
  <c r="B1533" i="4"/>
  <c r="B1613" i="4"/>
  <c r="B1346" i="4"/>
  <c r="B1550" i="4"/>
  <c r="B1697" i="4"/>
  <c r="B1793" i="4"/>
  <c r="B1873" i="4"/>
  <c r="B1953" i="4"/>
  <c r="B1347" i="4"/>
  <c r="B1551" i="4"/>
  <c r="B1623" i="4"/>
  <c r="B1766" i="4"/>
  <c r="B1872" i="4"/>
  <c r="B1061" i="4"/>
  <c r="B1724" i="4"/>
  <c r="B1866" i="4"/>
  <c r="B2000" i="4"/>
  <c r="B1690" i="4"/>
  <c r="B1832" i="4"/>
  <c r="B1975" i="4"/>
  <c r="B1663" i="4"/>
  <c r="B1764" i="4"/>
  <c r="B1539" i="4"/>
  <c r="B1049" i="4"/>
  <c r="B1858" i="4"/>
  <c r="B1200" i="4"/>
  <c r="B1279" i="4"/>
  <c r="B1425" i="4"/>
  <c r="B1444" i="4"/>
  <c r="B1560" i="4"/>
  <c r="B1624" i="4"/>
  <c r="B1293" i="4"/>
  <c r="B1392" i="4"/>
  <c r="B1478" i="4"/>
  <c r="B1553" i="4"/>
  <c r="B1617" i="4"/>
  <c r="B1202" i="4"/>
  <c r="B1442" i="4"/>
  <c r="B1590" i="4"/>
  <c r="B1685" i="4"/>
  <c r="B1749" i="4"/>
  <c r="B1813" i="4"/>
  <c r="B1877" i="4"/>
  <c r="B1941" i="4"/>
  <c r="B1029" i="4"/>
  <c r="B1400" i="4"/>
  <c r="B1559" i="4"/>
  <c r="B1538" i="4"/>
  <c r="B1686" i="4"/>
  <c r="B195" i="4"/>
  <c r="B37" i="4"/>
  <c r="B42" i="4"/>
  <c r="B1042" i="4"/>
  <c r="B1227" i="4"/>
  <c r="B1381" i="4"/>
  <c r="B1130" i="4"/>
  <c r="B1256" i="4"/>
  <c r="B1433" i="4"/>
  <c r="B1070" i="4"/>
  <c r="B1068" i="4"/>
  <c r="B1253" i="4"/>
  <c r="B1501" i="4"/>
  <c r="B1393" i="4"/>
  <c r="B1382" i="4"/>
  <c r="B1463" i="4"/>
  <c r="B1853" i="4"/>
  <c r="B1145" i="4"/>
  <c r="B1543" i="4"/>
  <c r="B1675" i="4"/>
  <c r="B1824" i="4"/>
  <c r="B1952" i="4"/>
  <c r="B1716" i="4"/>
  <c r="B1916" i="4"/>
  <c r="B1599" i="4"/>
  <c r="B1854" i="4"/>
  <c r="B1298" i="4"/>
  <c r="B1255" i="4"/>
  <c r="B1687" i="4"/>
  <c r="B1722" i="4"/>
  <c r="B1056" i="4"/>
  <c r="B1258" i="4"/>
  <c r="B1129" i="4"/>
  <c r="B1540" i="4"/>
  <c r="B1620" i="4"/>
  <c r="B1343" i="4"/>
  <c r="B1451" i="4"/>
  <c r="B1549" i="4"/>
  <c r="B1645" i="4"/>
  <c r="B1388" i="4"/>
  <c r="B1582" i="4"/>
  <c r="B1729" i="4"/>
  <c r="B1809" i="4"/>
  <c r="B1889" i="4"/>
  <c r="B1985" i="4"/>
  <c r="B1390" i="4"/>
  <c r="B1351" i="4"/>
  <c r="B1352" i="4" s="1"/>
  <c r="B1680" i="4"/>
  <c r="B1787" i="4"/>
  <c r="B1788" i="4" s="1"/>
  <c r="B1894" i="4"/>
  <c r="B1563" i="4"/>
  <c r="B1752" i="4"/>
  <c r="B1895" i="4"/>
  <c r="B1447" i="4"/>
  <c r="B1719" i="4"/>
  <c r="B1860" i="4"/>
  <c r="B1338" i="4"/>
  <c r="B1692" i="4"/>
  <c r="B1822" i="4"/>
  <c r="B1784" i="4"/>
  <c r="B1619" i="4"/>
  <c r="B1914" i="4"/>
  <c r="B1264" i="4"/>
  <c r="B1166" i="4"/>
  <c r="B1489" i="4"/>
  <c r="B1508" i="4"/>
  <c r="B1576" i="4"/>
  <c r="B1640" i="4"/>
  <c r="B1322" i="4"/>
  <c r="B1414" i="4"/>
  <c r="B1499" i="4"/>
  <c r="B1569" i="4"/>
  <c r="B1633" i="4"/>
  <c r="B1303" i="4"/>
  <c r="B1484" i="4"/>
  <c r="B1622" i="4"/>
  <c r="B1701" i="4"/>
  <c r="B1765" i="4"/>
  <c r="B1829" i="4"/>
  <c r="B1893" i="4"/>
  <c r="B1957" i="4"/>
  <c r="B1209" i="4"/>
  <c r="B1443" i="4"/>
  <c r="B1250" i="4"/>
  <c r="B1591" i="4"/>
  <c r="B67" i="4"/>
  <c r="B72" i="4"/>
  <c r="B81" i="4"/>
  <c r="B90" i="4"/>
  <c r="B1075" i="4"/>
  <c r="B1156" i="4"/>
  <c r="B1477" i="4"/>
  <c r="B1147" i="4"/>
  <c r="B1101" i="4"/>
  <c r="B1065" i="4"/>
  <c r="B1039" i="4"/>
  <c r="B1148" i="4"/>
  <c r="B1158" i="4"/>
  <c r="B1159" i="4" s="1"/>
  <c r="B1354" i="4"/>
  <c r="B1487" i="4"/>
  <c r="B1488" i="4"/>
  <c r="B1660" i="4"/>
  <c r="B1917" i="4"/>
  <c r="B1333" i="4"/>
  <c r="B1415" i="4"/>
  <c r="B1696" i="4"/>
  <c r="B1846" i="4"/>
  <c r="B1438" i="4"/>
  <c r="B1774" i="4"/>
  <c r="B1944" i="4"/>
  <c r="B1683" i="4"/>
  <c r="B1882" i="4"/>
  <c r="B1531" i="4"/>
  <c r="B1807" i="4"/>
  <c r="B1770" i="4"/>
  <c r="B1786" i="4"/>
  <c r="B1120" i="4"/>
  <c r="B1259" i="4"/>
  <c r="B1335" i="4"/>
  <c r="B1556" i="4"/>
  <c r="B1077" i="4"/>
  <c r="B1366" i="4"/>
  <c r="B1472" i="4"/>
  <c r="B1581" i="4"/>
  <c r="B1661" i="4"/>
  <c r="B1431" i="4"/>
  <c r="B1644" i="4"/>
  <c r="B1745" i="4"/>
  <c r="B1825" i="4"/>
  <c r="B1921" i="4"/>
  <c r="B1006" i="4"/>
  <c r="B1007" i="4" s="1"/>
  <c r="B1008" i="4" s="1"/>
  <c r="B1432" i="4"/>
  <c r="B1522" i="4"/>
  <c r="B1702" i="4"/>
  <c r="B1808" i="4"/>
  <c r="B1936" i="4"/>
  <c r="B1626" i="4"/>
  <c r="B1780" i="4"/>
  <c r="B1951" i="4"/>
  <c r="B1547" i="4"/>
  <c r="B1747" i="4"/>
  <c r="B1918" i="4"/>
  <c r="B1448" i="4"/>
  <c r="B1720" i="4"/>
  <c r="B1935" i="4"/>
  <c r="B1842" i="4"/>
  <c r="B1743" i="4"/>
  <c r="B1072" i="4"/>
  <c r="B1328" i="4"/>
  <c r="B1281" i="4"/>
  <c r="B1210" i="4"/>
  <c r="B1528" i="4"/>
  <c r="B1592" i="4"/>
  <c r="B1109" i="4"/>
  <c r="B1350" i="4"/>
  <c r="B1435" i="4"/>
  <c r="B1520" i="4"/>
  <c r="B1585" i="4"/>
  <c r="B1649" i="4"/>
  <c r="B1356" i="4"/>
  <c r="B1526" i="4"/>
  <c r="B1650" i="4"/>
  <c r="B1717" i="4"/>
  <c r="B1781" i="4"/>
  <c r="B1845" i="4"/>
  <c r="B1909" i="4"/>
  <c r="B1973" i="4"/>
  <c r="B1305" i="4"/>
  <c r="B1486" i="4"/>
  <c r="B1372" i="4"/>
  <c r="B1634" i="4"/>
  <c r="B1728" i="4"/>
  <c r="B1814" i="4"/>
  <c r="B1920" i="4"/>
  <c r="B1491" i="4"/>
  <c r="B1703" i="4"/>
  <c r="B1844" i="4"/>
  <c r="B1959" i="4"/>
  <c r="B1470" i="4"/>
  <c r="B1698" i="4"/>
  <c r="B1791" i="4"/>
  <c r="B1998" i="4"/>
  <c r="B1700" i="4"/>
  <c r="B1934" i="4"/>
  <c r="B1672" i="4"/>
  <c r="B1919" i="4"/>
  <c r="B1635" i="4"/>
  <c r="B1828" i="4"/>
  <c r="B1982" i="4"/>
  <c r="B1756" i="4"/>
  <c r="B1907" i="4"/>
  <c r="B1594" i="4"/>
  <c r="B1646" i="4"/>
  <c r="B1225" i="4"/>
  <c r="B1903" i="4"/>
  <c r="B1790" i="4"/>
  <c r="B1676" i="4"/>
  <c r="B1384" i="4"/>
  <c r="B1938" i="4"/>
  <c r="B1823" i="4"/>
  <c r="B1710" i="4"/>
  <c r="B1523" i="4"/>
  <c r="B1947" i="4"/>
  <c r="B1862" i="4"/>
  <c r="B1755" i="4"/>
  <c r="B1670" i="4"/>
  <c r="B1479" i="4"/>
  <c r="B1535" i="4"/>
  <c r="B1368" i="4"/>
  <c r="B1993" i="4"/>
  <c r="B1929" i="4"/>
  <c r="B1865" i="4"/>
  <c r="B1801" i="4"/>
  <c r="B1737" i="4"/>
  <c r="B1673" i="4"/>
  <c r="B1566" i="4"/>
  <c r="B1410" i="4"/>
  <c r="B1081" i="4"/>
  <c r="B1605" i="4"/>
  <c r="B1541" i="4"/>
  <c r="B1462" i="4"/>
  <c r="B1376" i="4"/>
  <c r="B1261" i="4"/>
  <c r="B1628" i="4"/>
  <c r="B1564" i="4"/>
  <c r="B1466" i="4"/>
  <c r="B1441" i="4"/>
  <c r="B1009" i="4"/>
  <c r="B1152" i="4"/>
  <c r="B1815" i="4"/>
  <c r="B1970" i="4"/>
  <c r="B1742" i="4"/>
  <c r="B1892" i="4"/>
  <c r="B1512" i="4"/>
  <c r="B1631" i="4"/>
  <c r="B1154" i="4"/>
  <c r="B1896" i="4"/>
  <c r="B1754" i="4"/>
  <c r="B1571" i="4"/>
  <c r="B1930" i="4"/>
  <c r="B1759" i="4"/>
  <c r="B1583" i="4"/>
  <c r="B1899" i="4"/>
  <c r="B1771" i="4"/>
  <c r="B1458" i="4"/>
  <c r="B1925" i="4"/>
  <c r="B1669" i="4"/>
  <c r="B1601" i="4"/>
  <c r="B1249" i="4"/>
  <c r="B1361" i="4"/>
  <c r="B1898" i="4"/>
  <c r="B1946" i="4"/>
  <c r="B1838" i="4"/>
  <c r="B1839" i="4" s="1"/>
  <c r="B1840" i="4" s="1"/>
  <c r="B1723" i="4"/>
  <c r="B1937" i="4"/>
  <c r="B1516" i="4"/>
  <c r="B1387" i="4"/>
  <c r="B1345" i="4"/>
  <c r="B1864" i="4"/>
  <c r="B1277" i="4"/>
  <c r="B1739" i="4"/>
  <c r="B1741" i="4"/>
  <c r="B1318" i="4"/>
  <c r="B1041" i="4"/>
  <c r="B1024" i="4"/>
  <c r="B107" i="4"/>
  <c r="B1962" i="4"/>
  <c r="B1730" i="4"/>
  <c r="B1948" i="4"/>
  <c r="B1490" i="4"/>
  <c r="B1876" i="4"/>
  <c r="B1374" i="4"/>
  <c r="B1863" i="4"/>
  <c r="B1161" i="4"/>
  <c r="B1772" i="4"/>
  <c r="B1927" i="4"/>
  <c r="B1656" i="4"/>
  <c r="B1850" i="4"/>
  <c r="B1735" i="4"/>
  <c r="B1587" i="4"/>
  <c r="B1986" i="4"/>
  <c r="B1875" i="4"/>
  <c r="B1762" i="4"/>
  <c r="B1642" i="4"/>
  <c r="B1218" i="4"/>
  <c r="B1908" i="4"/>
  <c r="B1795" i="4"/>
  <c r="B1682" i="4"/>
  <c r="B1406" i="4"/>
  <c r="B1926" i="4"/>
  <c r="B1819" i="4"/>
  <c r="B1734" i="4"/>
  <c r="B1643" i="4"/>
  <c r="B1394" i="4"/>
  <c r="B1496" i="4"/>
  <c r="B1319" i="4"/>
  <c r="B1977" i="4"/>
  <c r="B1913" i="4"/>
  <c r="B1849" i="4"/>
  <c r="B1785" i="4"/>
  <c r="B1721" i="4"/>
  <c r="B1655" i="4"/>
  <c r="B1534" i="4"/>
  <c r="B1367" i="4"/>
  <c r="B1653" i="4"/>
  <c r="B1589" i="4"/>
  <c r="B1525" i="4"/>
  <c r="B1440" i="4"/>
  <c r="B1355" i="4"/>
  <c r="B1201" i="4"/>
  <c r="B1612" i="4"/>
  <c r="B1548" i="4"/>
  <c r="B1380" i="4"/>
  <c r="B1377" i="4"/>
  <c r="B1344" i="4"/>
  <c r="B1088" i="4"/>
  <c r="B1758" i="4"/>
  <c r="B1912" i="4"/>
  <c r="B1607" i="4"/>
  <c r="B1836" i="4"/>
  <c r="B1727" i="4"/>
  <c r="B1575" i="4"/>
  <c r="B1980" i="4"/>
  <c r="B1868" i="4"/>
  <c r="B1726" i="4"/>
  <c r="B1362" i="4"/>
  <c r="B1902" i="4"/>
  <c r="B1731" i="4"/>
  <c r="B1383" i="4"/>
  <c r="B1878" i="4"/>
  <c r="B1750" i="4"/>
  <c r="B1527" i="4"/>
  <c r="B1861" i="4"/>
  <c r="B1558" i="4"/>
  <c r="B1537" i="4"/>
  <c r="B1608" i="4"/>
  <c r="B1165" i="4"/>
  <c r="B1988" i="4"/>
  <c r="B1804" i="4"/>
  <c r="B1667" i="4"/>
  <c r="B1579" i="4"/>
  <c r="B1857" i="4"/>
  <c r="B1170" i="4"/>
  <c r="B1233" i="4"/>
  <c r="B1312" i="4"/>
  <c r="B1654" i="4"/>
  <c r="B1802" i="4"/>
  <c r="B1500" i="4"/>
  <c r="B1593" i="4"/>
  <c r="B1260" i="4"/>
  <c r="B1247" i="4"/>
  <c r="B130" i="4"/>
  <c r="B1906" i="4"/>
  <c r="B1578" i="4"/>
  <c r="B1891" i="4"/>
  <c r="B1983" i="4"/>
  <c r="B1820" i="4"/>
  <c r="B1971" i="4"/>
  <c r="B1806" i="4"/>
  <c r="B1943" i="4"/>
  <c r="B1694" i="4"/>
  <c r="B1870" i="4"/>
  <c r="B1310" i="4"/>
  <c r="B1794" i="4"/>
  <c r="B1706" i="4"/>
  <c r="B1511" i="4"/>
  <c r="B1960" i="4"/>
  <c r="B1847" i="4"/>
  <c r="B1732" i="4"/>
  <c r="B1586" i="4"/>
  <c r="B1990" i="4"/>
  <c r="B1880" i="4"/>
  <c r="B1767" i="4"/>
  <c r="B1648" i="4"/>
  <c r="B1273" i="4"/>
  <c r="B1904" i="4"/>
  <c r="B1798" i="4"/>
  <c r="B1712" i="4"/>
  <c r="B1602" i="4"/>
  <c r="B1294" i="4"/>
  <c r="B1454" i="4"/>
  <c r="B1241" i="4"/>
  <c r="B1961" i="4"/>
  <c r="B1897" i="4"/>
  <c r="B1833" i="4"/>
  <c r="B1834" i="4" s="1"/>
  <c r="B1835" i="4" s="1"/>
  <c r="B1769" i="4"/>
  <c r="B1705" i="4"/>
  <c r="B1630" i="4"/>
  <c r="B1495" i="4"/>
  <c r="B1317" i="4"/>
  <c r="B1637" i="4"/>
  <c r="B1573" i="4"/>
  <c r="B1504" i="4"/>
  <c r="B1419" i="4"/>
  <c r="B1330" i="4"/>
  <c r="B1137" i="4"/>
  <c r="B1596" i="4"/>
  <c r="B1532" i="4"/>
  <c r="B1267" i="4"/>
  <c r="B1302" i="4"/>
  <c r="B1280" i="4"/>
  <c r="B1928" i="4"/>
  <c r="B1666" i="4"/>
  <c r="B1855" i="4"/>
  <c r="B1999" i="4"/>
  <c r="B1779" i="4"/>
  <c r="B1699" i="4"/>
  <c r="B1480" i="4"/>
  <c r="B1954" i="4"/>
  <c r="B1811" i="4"/>
  <c r="B1668" i="4"/>
  <c r="B1125" i="4"/>
  <c r="B1874" i="4"/>
  <c r="B1674" i="4"/>
  <c r="B1963" i="4"/>
  <c r="B1856" i="4"/>
  <c r="B1707" i="4"/>
  <c r="B1358" i="4"/>
  <c r="B1797" i="4"/>
  <c r="B1399" i="4"/>
  <c r="B1456" i="4"/>
  <c r="B1544" i="4"/>
  <c r="B1136" i="4"/>
  <c r="B1679" i="4"/>
  <c r="B1615" i="4"/>
  <c r="B1958" i="4"/>
  <c r="B1518" i="4"/>
  <c r="B1761" i="4"/>
  <c r="B1597" i="4"/>
  <c r="B1588" i="4"/>
  <c r="B1843" i="4"/>
  <c r="B1911" i="4"/>
  <c r="B1546" i="4"/>
  <c r="B1422" i="4"/>
  <c r="B1584" i="4"/>
  <c r="B1119" i="4"/>
  <c r="B1342" i="4"/>
  <c r="B125" i="4"/>
  <c r="P4" i="7"/>
  <c r="P3" i="7"/>
  <c r="R3" i="7" s="1"/>
  <c r="E7" i="7" s="1"/>
  <c r="T4" i="5"/>
  <c r="H10" i="5" s="1"/>
  <c r="K10" i="5" s="1"/>
  <c r="K34" i="5" s="1"/>
  <c r="K31" i="5" l="1"/>
  <c r="K27" i="5"/>
  <c r="K23" i="5"/>
  <c r="K19" i="5"/>
  <c r="K15" i="5"/>
  <c r="K11" i="5"/>
  <c r="K37" i="5"/>
  <c r="K30" i="5"/>
  <c r="K26" i="5"/>
  <c r="K22" i="5"/>
  <c r="K18" i="5"/>
  <c r="K13" i="5"/>
  <c r="K40" i="5"/>
  <c r="K36" i="5"/>
  <c r="K33" i="5"/>
  <c r="K29" i="5"/>
  <c r="K25" i="5"/>
  <c r="K21" i="5"/>
  <c r="K17" i="5"/>
  <c r="K14" i="5"/>
  <c r="K39" i="5"/>
  <c r="K35" i="5"/>
  <c r="K32" i="5"/>
  <c r="K28" i="5"/>
  <c r="K24" i="5"/>
  <c r="K20" i="5"/>
  <c r="K16" i="5"/>
  <c r="K12" i="5"/>
  <c r="K38" i="5"/>
  <c r="O1" i="6"/>
  <c r="O2" i="6" s="1"/>
  <c r="N1" i="6" s="1"/>
  <c r="O8" i="6" s="1"/>
  <c r="B8" i="6" s="1"/>
  <c r="N4" i="3"/>
  <c r="C11" i="3" s="1"/>
  <c r="R4" i="7"/>
  <c r="F7" i="7" s="1"/>
  <c r="P5" i="7"/>
  <c r="D7" i="7" s="1"/>
  <c r="K41" i="5"/>
  <c r="H35" i="5"/>
  <c r="H36" i="5"/>
  <c r="H22" i="5"/>
  <c r="H29" i="5"/>
  <c r="H38" i="5"/>
  <c r="H26" i="5"/>
  <c r="H24" i="5"/>
  <c r="H13" i="5"/>
  <c r="H11" i="5"/>
  <c r="H19" i="5"/>
  <c r="H17" i="5"/>
  <c r="H39" i="5"/>
  <c r="H32" i="5"/>
  <c r="H14" i="5"/>
  <c r="H30" i="5"/>
  <c r="H20" i="5"/>
  <c r="H25" i="5"/>
  <c r="H27" i="5"/>
  <c r="H12" i="5"/>
  <c r="H40" i="5"/>
  <c r="H41" i="5" s="1"/>
  <c r="H37" i="5"/>
  <c r="H23" i="5"/>
  <c r="H33" i="5"/>
  <c r="H18" i="5"/>
  <c r="H34" i="5"/>
  <c r="H28" i="5"/>
  <c r="H15" i="5"/>
  <c r="H31" i="5"/>
  <c r="H16" i="5"/>
  <c r="H21" i="5"/>
  <c r="F8" i="6" l="1"/>
  <c r="I3" i="6"/>
  <c r="O9" i="6"/>
  <c r="G9" i="6" s="1"/>
  <c r="B1" i="6"/>
  <c r="C8" i="6"/>
  <c r="G8" i="6"/>
  <c r="C12" i="3"/>
  <c r="C36" i="3" s="1"/>
  <c r="E8" i="6"/>
  <c r="C14" i="3"/>
  <c r="U14" i="3" s="1"/>
  <c r="T14" i="3" s="1"/>
  <c r="C20" i="3"/>
  <c r="U20" i="3" s="1"/>
  <c r="T20" i="3" s="1"/>
  <c r="C21" i="3"/>
  <c r="C45" i="3" s="1"/>
  <c r="C19" i="3"/>
  <c r="K19" i="3" s="1"/>
  <c r="C15" i="3"/>
  <c r="U15" i="3" s="1"/>
  <c r="T15" i="3" s="1"/>
  <c r="C13" i="3"/>
  <c r="C16" i="3"/>
  <c r="U16" i="3" s="1"/>
  <c r="T16" i="3" s="1"/>
  <c r="C18" i="3"/>
  <c r="U18" i="3" s="1"/>
  <c r="T18" i="3" s="1"/>
  <c r="C17" i="3"/>
  <c r="U17" i="3" s="1"/>
  <c r="G7" i="7"/>
  <c r="C14" i="7" s="1"/>
  <c r="C11" i="7" s="1"/>
  <c r="U11" i="3"/>
  <c r="S11" i="3"/>
  <c r="C35" i="3"/>
  <c r="F11" i="3"/>
  <c r="F35" i="3" s="1"/>
  <c r="K11" i="3"/>
  <c r="C8" i="3"/>
  <c r="C32" i="3" s="1"/>
  <c r="D22" i="3"/>
  <c r="D46" i="3" s="1"/>
  <c r="U12" i="3" l="1"/>
  <c r="T12" i="3" s="1"/>
  <c r="K14" i="3"/>
  <c r="U19" i="3"/>
  <c r="T19" i="3" s="1"/>
  <c r="F12" i="3"/>
  <c r="F36" i="3" s="1"/>
  <c r="C9" i="6"/>
  <c r="B9" i="6"/>
  <c r="C40" i="3"/>
  <c r="O10" i="6"/>
  <c r="F10" i="6" s="1"/>
  <c r="S12" i="3"/>
  <c r="E9" i="6"/>
  <c r="E21" i="3"/>
  <c r="E45" i="3" s="1"/>
  <c r="K12" i="3"/>
  <c r="F9" i="6"/>
  <c r="H8" i="6"/>
  <c r="K15" i="3"/>
  <c r="F13" i="3"/>
  <c r="F37" i="3" s="1"/>
  <c r="S18" i="3"/>
  <c r="F19" i="3"/>
  <c r="F43" i="3" s="1"/>
  <c r="K18" i="3"/>
  <c r="C43" i="3"/>
  <c r="C42" i="3"/>
  <c r="S19" i="3"/>
  <c r="S15" i="3"/>
  <c r="D15" i="3" s="1"/>
  <c r="D39" i="3" s="1"/>
  <c r="F18" i="3"/>
  <c r="F42" i="3" s="1"/>
  <c r="S14" i="3"/>
  <c r="F15" i="3"/>
  <c r="F39" i="3" s="1"/>
  <c r="C38" i="3"/>
  <c r="C39" i="3"/>
  <c r="C41" i="3"/>
  <c r="K13" i="3"/>
  <c r="F20" i="3"/>
  <c r="F44" i="3" s="1"/>
  <c r="C37" i="3"/>
  <c r="S20" i="3"/>
  <c r="U13" i="3"/>
  <c r="T13" i="3" s="1"/>
  <c r="F14" i="3"/>
  <c r="F38" i="3" s="1"/>
  <c r="S13" i="3"/>
  <c r="K20" i="3"/>
  <c r="C44" i="3"/>
  <c r="K17" i="3"/>
  <c r="S16" i="3"/>
  <c r="U21" i="3"/>
  <c r="T21" i="3" s="1"/>
  <c r="F17" i="3"/>
  <c r="F41" i="3" s="1"/>
  <c r="F16" i="3"/>
  <c r="F40" i="3" s="1"/>
  <c r="D21" i="3"/>
  <c r="D45" i="3" s="1"/>
  <c r="S21" i="3"/>
  <c r="K21" i="3"/>
  <c r="F21" i="3"/>
  <c r="F45" i="3" s="1"/>
  <c r="K16" i="3"/>
  <c r="T17" i="3"/>
  <c r="L17" i="3"/>
  <c r="S17" i="3"/>
  <c r="D17" i="3" s="1"/>
  <c r="D41" i="3" s="1"/>
  <c r="L15" i="3"/>
  <c r="C10" i="7"/>
  <c r="C9" i="7"/>
  <c r="D19" i="3"/>
  <c r="D43" i="3" s="1"/>
  <c r="E15" i="3"/>
  <c r="E39" i="3" s="1"/>
  <c r="G19" i="3"/>
  <c r="G43" i="3" s="1"/>
  <c r="E17" i="3"/>
  <c r="E41" i="3" s="1"/>
  <c r="D20" i="3"/>
  <c r="D44" i="3" s="1"/>
  <c r="G16" i="3"/>
  <c r="G40" i="3" s="1"/>
  <c r="D16" i="3"/>
  <c r="D40" i="3" s="1"/>
  <c r="G17" i="3"/>
  <c r="G41" i="3" s="1"/>
  <c r="D18" i="3"/>
  <c r="D42" i="3" s="1"/>
  <c r="G18" i="3"/>
  <c r="G42" i="3" s="1"/>
  <c r="G20" i="3"/>
  <c r="G44" i="3" s="1"/>
  <c r="L18" i="3"/>
  <c r="E18" i="3" s="1"/>
  <c r="E42" i="3" s="1"/>
  <c r="L16" i="3"/>
  <c r="E16" i="3" s="1"/>
  <c r="E40" i="3" s="1"/>
  <c r="H9" i="6"/>
  <c r="D12" i="3"/>
  <c r="D36" i="3" s="1"/>
  <c r="D14" i="3"/>
  <c r="D38" i="3" s="1"/>
  <c r="L14" i="3"/>
  <c r="E14" i="3" s="1"/>
  <c r="E38" i="3" s="1"/>
  <c r="L20" i="3"/>
  <c r="E20" i="3" s="1"/>
  <c r="E44" i="3" s="1"/>
  <c r="L11" i="3"/>
  <c r="E11" i="3" s="1"/>
  <c r="E35" i="3" s="1"/>
  <c r="T11" i="3"/>
  <c r="D11" i="3" s="1"/>
  <c r="D35" i="3" s="1"/>
  <c r="G11" i="3"/>
  <c r="L12" i="3" l="1"/>
  <c r="B10" i="6"/>
  <c r="L19" i="3"/>
  <c r="E19" i="3" s="1"/>
  <c r="E43" i="3" s="1"/>
  <c r="G10" i="6"/>
  <c r="E10" i="6"/>
  <c r="O11" i="6"/>
  <c r="C11" i="6" s="1"/>
  <c r="C10" i="6"/>
  <c r="L21" i="3"/>
  <c r="E12" i="3"/>
  <c r="E36" i="3" s="1"/>
  <c r="D13" i="3"/>
  <c r="D37" i="3" s="1"/>
  <c r="S10" i="3"/>
  <c r="D10" i="3" s="1"/>
  <c r="D34" i="3" s="1"/>
  <c r="L13" i="3"/>
  <c r="E13" i="3" s="1"/>
  <c r="E37" i="3" s="1"/>
  <c r="H10" i="6"/>
  <c r="G35" i="3"/>
  <c r="G12" i="3"/>
  <c r="F11" i="6" l="1"/>
  <c r="E11" i="6"/>
  <c r="B11" i="6"/>
  <c r="O12" i="6"/>
  <c r="O13" i="6" s="1"/>
  <c r="G11" i="6"/>
  <c r="G36" i="3"/>
  <c r="G13" i="3"/>
  <c r="G37" i="3" s="1"/>
  <c r="H11" i="6"/>
  <c r="G14" i="3"/>
  <c r="G38" i="3" s="1"/>
  <c r="G15" i="3"/>
  <c r="G39" i="3" s="1"/>
  <c r="B12" i="6" l="1"/>
  <c r="C12" i="6"/>
  <c r="G12" i="6"/>
  <c r="F12" i="6"/>
  <c r="E12" i="6"/>
  <c r="G21" i="3"/>
  <c r="G45" i="3" s="1"/>
  <c r="H12" i="6"/>
  <c r="E13" i="6"/>
  <c r="G13" i="6"/>
  <c r="C13" i="6"/>
  <c r="B13" i="6"/>
  <c r="O14" i="6"/>
  <c r="F13" i="6"/>
  <c r="H13" i="6" l="1"/>
  <c r="C14" i="6"/>
  <c r="F14" i="6"/>
  <c r="E14" i="6"/>
  <c r="O15" i="6"/>
  <c r="B14" i="6"/>
  <c r="G14" i="6"/>
  <c r="O16" i="6" l="1"/>
  <c r="G15" i="6"/>
  <c r="F15" i="6"/>
  <c r="E15" i="6"/>
  <c r="B15" i="6"/>
  <c r="C15" i="6"/>
  <c r="H14" i="6"/>
  <c r="H15" i="6" l="1"/>
  <c r="C16" i="6"/>
  <c r="G16" i="6"/>
  <c r="O17" i="6"/>
  <c r="E16" i="6"/>
  <c r="B16" i="6"/>
  <c r="F16" i="6"/>
  <c r="H16" i="6" l="1"/>
  <c r="F17" i="6"/>
  <c r="E17" i="6"/>
  <c r="G17" i="6"/>
  <c r="C17" i="6"/>
  <c r="O18" i="6"/>
  <c r="B17" i="6"/>
  <c r="H17" i="6" l="1"/>
  <c r="G18" i="6"/>
  <c r="B18" i="6"/>
  <c r="C18" i="6"/>
  <c r="E18" i="6"/>
  <c r="O19" i="6"/>
  <c r="F18" i="6"/>
  <c r="H18" i="6" l="1"/>
  <c r="C19" i="6"/>
  <c r="B19" i="6"/>
  <c r="O20" i="6"/>
  <c r="E19" i="6"/>
  <c r="G19" i="6"/>
  <c r="F19" i="6"/>
  <c r="E20" i="6" l="1"/>
  <c r="F20" i="6"/>
  <c r="B20" i="6"/>
  <c r="O21" i="6"/>
  <c r="G20" i="6"/>
  <c r="C20" i="6"/>
  <c r="H19" i="6"/>
  <c r="H20" i="6" l="1"/>
  <c r="O22" i="6"/>
  <c r="G21" i="6"/>
  <c r="B21" i="6"/>
  <c r="E21" i="6"/>
  <c r="F21" i="6"/>
  <c r="C21" i="6"/>
  <c r="H21" i="6" l="1"/>
  <c r="C22" i="6"/>
  <c r="O23" i="6"/>
  <c r="F22" i="6"/>
  <c r="E22" i="6"/>
  <c r="G22" i="6"/>
  <c r="B22" i="6"/>
  <c r="H22" i="6" l="1"/>
  <c r="F23" i="6"/>
  <c r="G23" i="6"/>
  <c r="C23" i="6"/>
  <c r="O24" i="6"/>
  <c r="B23" i="6"/>
  <c r="E23" i="6"/>
  <c r="H23" i="6" l="1"/>
  <c r="O25" i="6"/>
  <c r="G24" i="6"/>
  <c r="F24" i="6"/>
  <c r="E24" i="6"/>
  <c r="C24" i="6"/>
  <c r="B24" i="6"/>
  <c r="H24" i="6" l="1"/>
  <c r="F25" i="6"/>
  <c r="B25" i="6"/>
  <c r="O26" i="6"/>
  <c r="G25" i="6"/>
  <c r="E25" i="6"/>
  <c r="C25" i="6"/>
  <c r="C26" i="6" l="1"/>
  <c r="F26" i="6"/>
  <c r="O27" i="6"/>
  <c r="B26" i="6"/>
  <c r="G26" i="6"/>
  <c r="E26" i="6"/>
  <c r="H25" i="6"/>
  <c r="H26" i="6" l="1"/>
  <c r="F27" i="6"/>
  <c r="B27" i="6"/>
  <c r="G27" i="6"/>
  <c r="O28" i="6"/>
  <c r="E27" i="6"/>
  <c r="C27" i="6"/>
  <c r="O29" i="6" l="1"/>
  <c r="E28" i="6"/>
  <c r="G28" i="6"/>
  <c r="C28" i="6"/>
  <c r="F28" i="6"/>
  <c r="B28" i="6"/>
  <c r="H27" i="6"/>
  <c r="H28" i="6" l="1"/>
  <c r="O30" i="6"/>
  <c r="G29" i="6"/>
  <c r="E29" i="6"/>
  <c r="B29" i="6"/>
  <c r="C29" i="6"/>
  <c r="F29" i="6"/>
  <c r="H29" i="6" l="1"/>
  <c r="C30" i="6"/>
  <c r="G30" i="6"/>
  <c r="E30" i="6"/>
  <c r="O31" i="6"/>
  <c r="B30" i="6"/>
  <c r="F30" i="6"/>
  <c r="H30" i="6" l="1"/>
  <c r="G31" i="6"/>
  <c r="E31" i="6"/>
  <c r="C31" i="6"/>
  <c r="F31" i="6"/>
  <c r="B31" i="6"/>
  <c r="O32" i="6"/>
  <c r="H31" i="6" l="1"/>
  <c r="C32" i="6"/>
  <c r="E32" i="6"/>
  <c r="G32" i="6"/>
  <c r="O33" i="6"/>
  <c r="F32" i="6"/>
  <c r="B32" i="6"/>
  <c r="H32" i="6" l="1"/>
  <c r="F33" i="6"/>
  <c r="C33" i="6"/>
  <c r="E33" i="6"/>
  <c r="O34" i="6"/>
  <c r="G33" i="6"/>
  <c r="B33" i="6"/>
  <c r="H33" i="6" l="1"/>
  <c r="O35" i="6"/>
  <c r="C34" i="6"/>
  <c r="B34" i="6"/>
  <c r="G34" i="6"/>
  <c r="F34" i="6"/>
  <c r="E34" i="6"/>
  <c r="H34" i="6" l="1"/>
  <c r="E35" i="6"/>
  <c r="O36" i="6"/>
  <c r="B35" i="6"/>
  <c r="C35" i="6"/>
  <c r="G35" i="6"/>
  <c r="F35" i="6"/>
  <c r="H35" i="6" l="1"/>
  <c r="G36" i="6"/>
  <c r="E36" i="6"/>
  <c r="F36" i="6"/>
  <c r="B36" i="6"/>
  <c r="O37" i="6"/>
  <c r="C36" i="6"/>
  <c r="H36" i="6" l="1"/>
  <c r="F37" i="6"/>
  <c r="O38" i="6"/>
  <c r="B37" i="6"/>
  <c r="E37" i="6"/>
  <c r="C37" i="6"/>
  <c r="G37" i="6"/>
  <c r="H37" i="6" l="1"/>
  <c r="O39" i="6"/>
  <c r="B38" i="6"/>
  <c r="C38" i="6"/>
  <c r="E38" i="6"/>
  <c r="G38" i="6"/>
  <c r="F38" i="6"/>
  <c r="H38" i="6" l="1"/>
  <c r="C39" i="6"/>
  <c r="B39" i="6"/>
  <c r="G39" i="6"/>
  <c r="E39" i="6"/>
  <c r="F39" i="6"/>
  <c r="O40" i="6"/>
  <c r="H39" i="6" l="1"/>
  <c r="F40" i="6"/>
  <c r="G40" i="6"/>
  <c r="O41" i="6"/>
  <c r="C40" i="6"/>
  <c r="B40" i="6"/>
  <c r="E40" i="6"/>
  <c r="E41" i="6" l="1"/>
  <c r="B41" i="6"/>
  <c r="F41" i="6"/>
  <c r="G41" i="6"/>
  <c r="O42" i="6"/>
  <c r="C41" i="6"/>
  <c r="H40" i="6"/>
  <c r="H41" i="6" l="1"/>
  <c r="G42" i="6"/>
  <c r="F42" i="6"/>
  <c r="C42" i="6"/>
  <c r="E42" i="6"/>
  <c r="B42" i="6"/>
  <c r="O43" i="6"/>
  <c r="H42" i="6" l="1"/>
  <c r="B43" i="6"/>
  <c r="G43" i="6"/>
  <c r="F43" i="6"/>
  <c r="O44" i="6"/>
  <c r="C43" i="6"/>
  <c r="E43" i="6"/>
  <c r="H43" i="6" l="1"/>
  <c r="F44" i="6"/>
  <c r="C44" i="6"/>
  <c r="G44" i="6"/>
  <c r="O45" i="6"/>
  <c r="E44" i="6"/>
  <c r="B44" i="6"/>
  <c r="E45" i="6" l="1"/>
  <c r="F45" i="6"/>
  <c r="C45" i="6"/>
  <c r="G45" i="6"/>
  <c r="O46" i="6"/>
  <c r="B45" i="6"/>
  <c r="H44" i="6"/>
  <c r="H45" i="6" l="1"/>
  <c r="B46" i="6"/>
  <c r="G46" i="6"/>
  <c r="E46" i="6"/>
  <c r="O47" i="6"/>
  <c r="F46" i="6"/>
  <c r="C46" i="6"/>
  <c r="H46" i="6" l="1"/>
  <c r="C47" i="6"/>
  <c r="O48" i="6"/>
  <c r="E47" i="6"/>
  <c r="B47" i="6"/>
  <c r="F47" i="6"/>
  <c r="G47" i="6"/>
  <c r="H47" i="6" l="1"/>
  <c r="B48" i="6"/>
  <c r="G48" i="6"/>
  <c r="C48" i="6"/>
  <c r="O49" i="6"/>
  <c r="E48" i="6"/>
  <c r="F48" i="6"/>
  <c r="H48" i="6" l="1"/>
  <c r="G49" i="6"/>
  <c r="E49" i="6"/>
  <c r="C49" i="6"/>
  <c r="F49" i="6"/>
  <c r="O50" i="6"/>
  <c r="B49" i="6"/>
  <c r="H49" i="6" l="1"/>
  <c r="B50" i="6"/>
  <c r="F50" i="6"/>
  <c r="E50" i="6"/>
  <c r="G50" i="6"/>
  <c r="C50" i="6"/>
  <c r="O51" i="6"/>
  <c r="H50" i="6" l="1"/>
  <c r="E51" i="6"/>
  <c r="F51" i="6"/>
  <c r="O52" i="6"/>
  <c r="C51" i="6"/>
  <c r="G51" i="6"/>
  <c r="B51" i="6"/>
  <c r="H51" i="6" l="1"/>
  <c r="E52" i="6"/>
  <c r="F52" i="6"/>
  <c r="B52" i="6"/>
  <c r="C52" i="6"/>
  <c r="G52" i="6"/>
  <c r="O53" i="6"/>
  <c r="H52" i="6" l="1"/>
  <c r="F53" i="6"/>
  <c r="O54" i="6"/>
  <c r="G53" i="6"/>
  <c r="C53" i="6"/>
  <c r="B53" i="6"/>
  <c r="E53" i="6"/>
  <c r="H53" i="6" l="1"/>
  <c r="C54" i="6"/>
  <c r="B54" i="6"/>
  <c r="E54" i="6"/>
  <c r="F54" i="6"/>
  <c r="O55" i="6"/>
  <c r="G54" i="6"/>
  <c r="H54" i="6" l="1"/>
  <c r="F55" i="6"/>
  <c r="C55" i="6"/>
  <c r="B55" i="6"/>
  <c r="O56" i="6"/>
  <c r="G55" i="6"/>
  <c r="E55" i="6"/>
  <c r="H55" i="6" l="1"/>
  <c r="B56" i="6"/>
  <c r="O57" i="6"/>
  <c r="E56" i="6"/>
  <c r="F56" i="6"/>
  <c r="C56" i="6"/>
  <c r="G56" i="6"/>
  <c r="H56" i="6" l="1"/>
  <c r="C57" i="6"/>
  <c r="G57" i="6"/>
  <c r="F57" i="6"/>
  <c r="B57" i="6"/>
  <c r="E57" i="6"/>
  <c r="H5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F4" authorId="0" shapeId="0" xr:uid="{00000000-0006-0000-0000-000001000000}">
      <text>
        <r>
          <rPr>
            <sz val="10"/>
            <color indexed="81"/>
            <rFont val="Tahoma"/>
            <family val="2"/>
          </rPr>
          <t xml:space="preserve">Ide olyan információ írható, ami segít
megkülönböztetni az adott leltárkészletet.
</t>
        </r>
      </text>
    </comment>
    <comment ref="G4" authorId="0" shapeId="0" xr:uid="{00000000-0006-0000-0000-000002000000}">
      <text>
        <r>
          <rPr>
            <sz val="10"/>
            <color indexed="81"/>
            <rFont val="Tahoma"/>
            <family val="2"/>
          </rPr>
          <t xml:space="preserve">Az egységár lejben értendő
</t>
        </r>
        <r>
          <rPr>
            <b/>
            <sz val="10"/>
            <color indexed="10"/>
            <rFont val="Tahoma"/>
            <family val="2"/>
          </rPr>
          <t>Ezt az oszlopot kötelező kitölteni!</t>
        </r>
      </text>
    </comment>
    <comment ref="H4" authorId="0" shapeId="0" xr:uid="{00000000-0006-0000-0000-000003000000}">
      <text>
        <r>
          <rPr>
            <sz val="10"/>
            <color indexed="81"/>
            <rFont val="Tahoma"/>
            <family val="2"/>
          </rPr>
          <t xml:space="preserve">Mértékegység lehet: db, példány, kg, lit, stb.
</t>
        </r>
        <r>
          <rPr>
            <b/>
            <sz val="10"/>
            <color indexed="10"/>
            <rFont val="Tahoma"/>
            <family val="2"/>
          </rPr>
          <t>Ezt az oszlopot kötelező kitölteni!</t>
        </r>
      </text>
    </comment>
    <comment ref="I4" authorId="0" shapeId="0" xr:uid="{00000000-0006-0000-0000-000004000000}">
      <text>
        <r>
          <rPr>
            <sz val="10"/>
            <color indexed="81"/>
            <rFont val="Tahoma"/>
            <family val="2"/>
          </rPr>
          <t>Zárolt oszlop.
Az aktuális
raktárkészletet
mutatja.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D5" authorId="0" shapeId="0" xr:uid="{00000000-0006-0000-0100-000001000000}">
      <text>
        <r>
          <rPr>
            <sz val="10"/>
            <color indexed="81"/>
            <rFont val="Tahoma"/>
            <family val="2"/>
          </rPr>
          <t>Zárolt oszlop.
Az iratszám a saját belső
számozásunkat jelenti.</t>
        </r>
      </text>
    </comment>
    <comment ref="E5" authorId="0" shapeId="0" xr:uid="{00000000-0006-0000-0100-000002000000}">
      <text>
        <r>
          <rPr>
            <sz val="10"/>
            <color indexed="81"/>
            <rFont val="Tahoma"/>
            <family val="2"/>
          </rPr>
          <t>A bevétel dátuma. A dátumot növekvő sorrendbe lehet beírni.
 Ha új dátumot írunk be (vagy az utolsó
dátumot még egyszer beírjuk), az iratszám eggyel növekszik.</t>
        </r>
      </text>
    </comment>
    <comment ref="F5" authorId="0" shapeId="0" xr:uid="{00000000-0006-0000-0100-000003000000}">
      <text>
        <r>
          <rPr>
            <sz val="10"/>
            <color indexed="81"/>
            <rFont val="Tahoma"/>
            <family val="2"/>
          </rPr>
          <t>Az átadó neve kerül ebbe az oszlopba.</t>
        </r>
      </text>
    </comment>
    <comment ref="G5" authorId="0" shapeId="0" xr:uid="{00000000-0006-0000-0100-000004000000}">
      <text>
        <r>
          <rPr>
            <sz val="10"/>
            <color indexed="81"/>
            <rFont val="Tahoma"/>
            <family val="2"/>
          </rPr>
          <t xml:space="preserve">Az anyag megnevezését a raktár munkalapra kell beírni
először. Utána itt kiválasztható a lenyílóbol.
</t>
        </r>
        <r>
          <rPr>
            <b/>
            <sz val="10"/>
            <color indexed="10"/>
            <rFont val="Tahoma"/>
            <family val="2"/>
          </rPr>
          <t>Ezt az oszlopot kötelező kitölteni!</t>
        </r>
      </text>
    </comment>
    <comment ref="H5" authorId="0" shapeId="0" xr:uid="{00000000-0006-0000-0100-000005000000}">
      <text>
        <r>
          <rPr>
            <sz val="10"/>
            <color indexed="81"/>
            <rFont val="Tahoma"/>
            <family val="2"/>
          </rPr>
          <t>Ebbe az oszlopba beírható bármilyen
információ (számla szám, nyugta szám, stb,)</t>
        </r>
      </text>
    </comment>
    <comment ref="I5" authorId="0" shapeId="0" xr:uid="{00000000-0006-0000-0100-000006000000}">
      <text>
        <r>
          <rPr>
            <sz val="10"/>
            <color indexed="81"/>
            <rFont val="Tahoma"/>
            <family val="2"/>
          </rPr>
          <t xml:space="preserve">Ebbe az oszlopba kerül a kiadott anyagmennyiség. 
</t>
        </r>
        <r>
          <rPr>
            <b/>
            <sz val="10"/>
            <color indexed="10"/>
            <rFont val="Tahoma"/>
            <family val="2"/>
          </rPr>
          <t>Ezt az oszlopot kötelező kitölteni!</t>
        </r>
      </text>
    </comment>
    <comment ref="J5" authorId="0" shapeId="0" xr:uid="{00000000-0006-0000-0100-000007000000}">
      <text>
        <r>
          <rPr>
            <sz val="10"/>
            <color indexed="81"/>
            <rFont val="Tahoma"/>
            <family val="2"/>
          </rPr>
          <t>Zárolt oszlop.
Ide automatikusan bekerül az a
mértékegység, amit beírtunk a raktár
munkalapra.</t>
        </r>
      </text>
    </comment>
    <comment ref="K5" authorId="0" shapeId="0" xr:uid="{00000000-0006-0000-0100-000008000000}">
      <text>
        <r>
          <rPr>
            <sz val="10"/>
            <color indexed="81"/>
            <rFont val="Tahoma"/>
            <family val="2"/>
          </rPr>
          <t>Zárolt oszlop.
Ide automatikusan bekerül az az
egységár, amit beírtunk a raktár
munkalapra.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Beke Tivadar</author>
  </authors>
  <commentList>
    <comment ref="D1005" authorId="0" shapeId="0" xr:uid="{00000000-0006-0000-0200-000001000000}">
      <text>
        <r>
          <rPr>
            <sz val="10"/>
            <color indexed="81"/>
            <rFont val="Tahoma"/>
            <family val="2"/>
          </rPr>
          <t>Zárolt oszlop.
Az iratszám a saját belső
számozásunkat jelenti.</t>
        </r>
      </text>
    </comment>
    <comment ref="E1005" authorId="0" shapeId="0" xr:uid="{00000000-0006-0000-0200-000002000000}">
      <text>
        <r>
          <rPr>
            <sz val="10"/>
            <color indexed="81"/>
            <rFont val="Tahoma"/>
            <family val="2"/>
          </rPr>
          <t>A bevétel dátuma. A dátumot növekvő sorrendbe lehet beírni.
Ha új dátumot írunk be (vagy az utolsó
dátumot még egyszer beírjuk), az iratszám eggyel növekszik.</t>
        </r>
      </text>
    </comment>
    <comment ref="F1005" authorId="0" shapeId="0" xr:uid="{00000000-0006-0000-0200-000003000000}">
      <text>
        <r>
          <rPr>
            <sz val="10"/>
            <color indexed="81"/>
            <rFont val="Tahoma"/>
            <family val="2"/>
          </rPr>
          <t>Az átvevő neve kerül ebbe az oszlopba.</t>
        </r>
      </text>
    </comment>
    <comment ref="G1005" authorId="0" shapeId="0" xr:uid="{00000000-0006-0000-0200-000004000000}">
      <text>
        <r>
          <rPr>
            <sz val="10"/>
            <color indexed="81"/>
            <rFont val="Tahoma"/>
            <family val="2"/>
          </rPr>
          <t xml:space="preserve">Az anyag megnevezését a raktár munkalapra kell beírni
először. Utána itt kiválasztható a lenyílóbol.
</t>
        </r>
        <r>
          <rPr>
            <b/>
            <sz val="10"/>
            <color indexed="10"/>
            <rFont val="Tahoma"/>
            <family val="2"/>
          </rPr>
          <t>Ezt az oszlopot kötelező kitölteni!</t>
        </r>
      </text>
    </comment>
    <comment ref="H1005" authorId="0" shapeId="0" xr:uid="{00000000-0006-0000-0200-000005000000}">
      <text>
        <r>
          <rPr>
            <sz val="10"/>
            <color indexed="81"/>
            <rFont val="Tahoma"/>
            <family val="2"/>
          </rPr>
          <t>Ebbe az oszlopba beírható bármilyen
információ (számla szám, nyugta szám, stb,)</t>
        </r>
      </text>
    </comment>
    <comment ref="I1005" authorId="0" shapeId="0" xr:uid="{00000000-0006-0000-0200-000006000000}">
      <text>
        <r>
          <rPr>
            <sz val="10"/>
            <color indexed="81"/>
            <rFont val="Tahoma"/>
            <family val="2"/>
          </rPr>
          <t xml:space="preserve">Ebbe az oszlopba kerül a kiadott anyagmennyiség. 
</t>
        </r>
        <r>
          <rPr>
            <b/>
            <sz val="10"/>
            <color indexed="10"/>
            <rFont val="Tahoma"/>
            <family val="2"/>
          </rPr>
          <t>Ezt az oszlopot kötelező kitölteni!</t>
        </r>
      </text>
    </comment>
    <comment ref="J1005" authorId="0" shapeId="0" xr:uid="{00000000-0006-0000-0200-000007000000}">
      <text>
        <r>
          <rPr>
            <sz val="10"/>
            <color indexed="81"/>
            <rFont val="Tahoma"/>
            <family val="2"/>
          </rPr>
          <t>Zárolt oszlop.
Ide automatikusan bekerül az a
mértékegység, amit beírtunk a raktár
munkalapra.</t>
        </r>
      </text>
    </comment>
    <comment ref="K1005" authorId="0" shapeId="0" xr:uid="{00000000-0006-0000-0200-000008000000}">
      <text>
        <r>
          <rPr>
            <sz val="10"/>
            <color indexed="81"/>
            <rFont val="Tahoma"/>
            <family val="2"/>
          </rPr>
          <t>Zárolt oszlop.
Ide automatikusan bekerül az az
egységár, amit beírtunk a raktár
munkalapra.</t>
        </r>
      </text>
    </comment>
  </commentList>
</comments>
</file>

<file path=xl/sharedStrings.xml><?xml version="1.0" encoding="utf-8"?>
<sst xmlns="http://schemas.openxmlformats.org/spreadsheetml/2006/main" count="164" uniqueCount="116">
  <si>
    <t>Érték</t>
  </si>
  <si>
    <t>Egységár</t>
  </si>
  <si>
    <t>S.sz</t>
  </si>
  <si>
    <t>Dátum</t>
  </si>
  <si>
    <t>Iratszám</t>
  </si>
  <si>
    <t>Bevétel</t>
  </si>
  <si>
    <t>Kiadás</t>
  </si>
  <si>
    <t>Sz.</t>
  </si>
  <si>
    <t>Összesen</t>
  </si>
  <si>
    <t>Anyagraktári kiadási utalvány</t>
  </si>
  <si>
    <t>Átvette</t>
  </si>
  <si>
    <t>Átadta</t>
  </si>
  <si>
    <t>Kelt:</t>
  </si>
  <si>
    <t>Anyag megnevezése</t>
  </si>
  <si>
    <t>Kinek adtuk ki</t>
  </si>
  <si>
    <t>Magyarázat</t>
  </si>
  <si>
    <t>Megjegyzés</t>
  </si>
  <si>
    <t>Mennyiség</t>
  </si>
  <si>
    <t xml:space="preserve">Egységár
</t>
  </si>
  <si>
    <t>Kitől vettük be</t>
  </si>
  <si>
    <t>Egyenleg</t>
  </si>
  <si>
    <t>Kelte</t>
  </si>
  <si>
    <t>Év/Hó/Nap</t>
  </si>
  <si>
    <t>száma</t>
  </si>
  <si>
    <t>ANYAGRAKTÁRKÖNYV</t>
  </si>
  <si>
    <t xml:space="preserve">Anyag megnevezése: </t>
  </si>
  <si>
    <t>S.</t>
  </si>
  <si>
    <t>sz</t>
  </si>
  <si>
    <t>Bevételek</t>
  </si>
  <si>
    <t>Kiadások</t>
  </si>
  <si>
    <t>A jobboldali, zöld cellában lehet kiválasztani az anyag megnevezését:</t>
  </si>
  <si>
    <t xml:space="preserve">Ebben az anyagraktárkönyvben </t>
  </si>
  <si>
    <t>A
A</t>
  </si>
  <si>
    <t>Áthozat az előző lapról:</t>
  </si>
  <si>
    <t>Egyleg</t>
  </si>
  <si>
    <t>Mérték-egység</t>
  </si>
  <si>
    <t xml:space="preserve"> lap van. Ebből jelenleg a(z) </t>
  </si>
  <si>
    <t xml:space="preserve">Átvitel a következő lapra: </t>
  </si>
  <si>
    <t>Bevételezési bizonylat</t>
  </si>
  <si>
    <t>Átvevő:</t>
  </si>
  <si>
    <t>Átadó:</t>
  </si>
  <si>
    <t>kiseroiv</t>
  </si>
  <si>
    <t>b</t>
  </si>
  <si>
    <t>k</t>
  </si>
  <si>
    <t>Nr crt.
S.sz.</t>
  </si>
  <si>
    <t>Denumirea bunurilor inventariate
Felleltározott tárgyak elnevezése</t>
  </si>
  <si>
    <t>Cod
Leltári sz.</t>
  </si>
  <si>
    <t>U.M.
M.E.</t>
  </si>
  <si>
    <t>Cant
Meny</t>
  </si>
  <si>
    <t>Pret u. contabil
Könyvelési e.ár</t>
  </si>
  <si>
    <t>Val. contabilă
Könyvelési ért.</t>
  </si>
  <si>
    <t>.         6</t>
  </si>
  <si>
    <t>Observatie
 Megjegyzes</t>
  </si>
  <si>
    <t>LISTA DE INVENTARIERE</t>
  </si>
  <si>
    <t>Készítette:</t>
  </si>
  <si>
    <t>Ellenőrízte:</t>
  </si>
  <si>
    <t>. lap látszik.
 A jobboldali, zöld cellában lehet megadni a listázni kívánt lap számát.</t>
  </si>
  <si>
    <t>M.egység</t>
  </si>
  <si>
    <t xml:space="preserve">Az anyagraktár leltára összesen </t>
  </si>
  <si>
    <t xml:space="preserve"> lapot tartalmaz. Ebből jelenleg a(z) </t>
  </si>
  <si>
    <t>. lap látszik.  A jobboldali, zöld cellában lehet megadni a listázni kívánt lap számát.</t>
  </si>
  <si>
    <t>LELTÁRÍV - ANYAGRAKTÁR</t>
  </si>
  <si>
    <t>Comisia de inventariere / Leltározó bizottság</t>
  </si>
  <si>
    <t>Átadó*</t>
  </si>
  <si>
    <t>Átvevő*</t>
  </si>
  <si>
    <t>Numele şi prenumele / Név       1__________________</t>
  </si>
  <si>
    <t>2______________3_________________</t>
  </si>
  <si>
    <t>Semnătura / Aláírás                 1__________________</t>
  </si>
  <si>
    <t>* Átadás - átvétel esetén</t>
  </si>
  <si>
    <t>______________________</t>
  </si>
  <si>
    <t xml:space="preserve">Total / Összesen: </t>
  </si>
  <si>
    <r>
      <t xml:space="preserve">A jobboldali cellában lehet megadni a listázni kívánt lap számát.
</t>
    </r>
    <r>
      <rPr>
        <b/>
        <sz val="12"/>
        <rFont val="Arial"/>
        <family val="2"/>
      </rPr>
      <t xml:space="preserve"> Ha a cella üres, akkor a legutolsó lapot nyomtatja</t>
    </r>
  </si>
  <si>
    <t>ANYAGRAKTÁR - BEVÉTEL</t>
  </si>
  <si>
    <t>Anyag raktári  készletek</t>
  </si>
  <si>
    <t>Előző évi
egyenleg
a.</t>
  </si>
  <si>
    <t>Bejövetel
/Bevétel
b.</t>
  </si>
  <si>
    <t>Tárgycsoport</t>
  </si>
  <si>
    <t>…………………</t>
  </si>
  <si>
    <t>……………….</t>
  </si>
  <si>
    <t>Kiadás
/Törlés
c.</t>
  </si>
  <si>
    <t>Figyelmeztetés!!!</t>
  </si>
  <si>
    <t xml:space="preserve"> lej. Ennek oka, hogy valamelyik raktárkészlet</t>
  </si>
  <si>
    <t>ANYAGRAKTÁR - KIADÁS</t>
  </si>
  <si>
    <t>Anyag megnevezése / Megjegyzés</t>
  </si>
  <si>
    <t>zzzzzzzzzzz</t>
  </si>
  <si>
    <r>
      <t xml:space="preserve">A jobboldali cellában lehet megadni az évet.
</t>
    </r>
    <r>
      <rPr>
        <sz val="12"/>
        <rFont val="Arial"/>
        <family val="2"/>
      </rPr>
      <t xml:space="preserve"> Ha a cella üres, akkor a legutolsó felkönyvelt évet lehet nyomtatni.</t>
    </r>
  </si>
  <si>
    <t>Készlet</t>
  </si>
  <si>
    <t>A jobboldali zöld cellában lehet megadni a dátumot</t>
  </si>
  <si>
    <t>kiadás</t>
  </si>
  <si>
    <t>egyenleg</t>
  </si>
  <si>
    <t>érték</t>
  </si>
  <si>
    <t>a
a</t>
  </si>
  <si>
    <t>""</t>
  </si>
  <si>
    <t>Kitől vettünk be / kinek adtuk ki</t>
  </si>
  <si>
    <t>Irat</t>
  </si>
  <si>
    <t>A jobboldali, zöld cellába kell beírni az egyházközség (egyházmegye)
teljes megnevezését. (pl: Zabolai Református Egyházközség)</t>
  </si>
  <si>
    <t>Készleten
levő mennyiség</t>
  </si>
  <si>
    <t xml:space="preserve">Jelenleg </t>
  </si>
  <si>
    <t>.</t>
  </si>
  <si>
    <t xml:space="preserve"> dátum szerint látható az anyagraktári egyenleg. A dátumot a "Leltár_ív" munkalapon lehet módosítani.</t>
  </si>
  <si>
    <t>A vagyonleltári jelentésbe (leltár munkafüzet, Pénztár_beruházás munkalap) a következő adatokat kell átírni:</t>
  </si>
  <si>
    <t>Egyenleg
a+b-c</t>
  </si>
  <si>
    <t xml:space="preserve">Az egyenleg nem egyenlő a leltárív egyenlegével. A különbség </t>
  </si>
  <si>
    <t>minuszban van. (Több volt a kiadás mint a bevétel). Ellenőrízd a Készlet munkalapot!</t>
  </si>
  <si>
    <t>Az előző évi egyenleget egyszer kell beírni, utána csak évenként a december 31. állapot szerint a bevételt és a kiadást.
 Az egyenleget ellenőrízzük le, hogy a talál-e mindkét helyen.</t>
  </si>
  <si>
    <t>a 
a
a</t>
  </si>
  <si>
    <t>a 
a</t>
  </si>
  <si>
    <t>A jobboldali, zöld cellában lehet váltani a Bevételezési bizonylat és az Anyagraktári kiadási utalvány között.</t>
  </si>
  <si>
    <t xml:space="preserve">Egységár (lejben): </t>
  </si>
  <si>
    <t xml:space="preserve">Mértékegység: </t>
  </si>
  <si>
    <t>Védett cella, nem szerkeszthető</t>
  </si>
  <si>
    <t>Kiadás lap, piros betűk: a készlet mínusz.</t>
  </si>
  <si>
    <t>Készlet/Bevétel/Kiadás lapok: Védelem nélküli cella, ide lehet írni</t>
  </si>
  <si>
    <t>Kiadás lap, világoskék sor: a készlet nulla.</t>
  </si>
  <si>
    <t>Bevétel vagy Kiadás lap, piros sor. A készlet lapon utólag módosított Anyag megnevezés/megjegyzés/egységár
Megoldás:
1. A készlet lapon visszaírni eredeti formába az Anyag megnevezését/megjegyzést/egységárat
2. A bevétel/kiadás lapon az anyag megnevezését újra írni (kiválasztani a lenyílóból)</t>
  </si>
  <si>
    <t>Védelem nélküli cella, a mellette levő leírás szerint kitölthető.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</si>
</sst>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yyyy/mm/dd;@"/>
    <numFmt numFmtId="166" formatCode="yyyy\.mm\.dd;@"/>
    <numFmt numFmtId="167" formatCode="#,##0.00000000000000000000000000000000000000000000000_ ;[Red]\-#,##0.00000000000000000000000000000000000000000000000\ "/>
    <numFmt numFmtId="168" formatCode="#,##0_ ;[Red]\-#,##0\ "/>
  </numFmts>
  <fonts count="50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12"/>
      <name val="Arial"/>
      <family val="2"/>
      <charset val="238"/>
    </font>
    <font>
      <sz val="14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12"/>
      <name val="Arial"/>
      <family val="2"/>
      <charset val="238"/>
    </font>
    <font>
      <b/>
      <sz val="10"/>
      <color indexed="17"/>
      <name val="Arial"/>
      <family val="2"/>
      <charset val="238"/>
    </font>
    <font>
      <sz val="9"/>
      <name val="Arial"/>
      <family val="2"/>
      <charset val="238"/>
    </font>
    <font>
      <b/>
      <sz val="11"/>
      <name val="Arial"/>
      <family val="2"/>
    </font>
    <font>
      <b/>
      <sz val="12"/>
      <name val="Arial"/>
      <family val="2"/>
    </font>
    <font>
      <sz val="20"/>
      <name val="Arial"/>
      <family val="2"/>
      <charset val="238"/>
    </font>
    <font>
      <sz val="10"/>
      <name val="Arial"/>
      <family val="2"/>
    </font>
    <font>
      <sz val="10"/>
      <color indexed="81"/>
      <name val="Tahoma"/>
      <family val="2"/>
    </font>
    <font>
      <b/>
      <sz val="10"/>
      <color indexed="10"/>
      <name val="Tahoma"/>
      <family val="2"/>
    </font>
    <font>
      <sz val="16"/>
      <name val="Arial"/>
      <family val="2"/>
      <charset val="238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4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sz val="10"/>
      <name val="Arial"/>
      <family val="2"/>
      <charset val="238"/>
    </font>
    <font>
      <sz val="10"/>
      <color theme="0" tint="-0.24994659260841701"/>
      <name val="Arial"/>
      <family val="2"/>
      <charset val="238"/>
    </font>
    <font>
      <sz val="12"/>
      <name val="Arial"/>
      <family val="2"/>
    </font>
    <font>
      <b/>
      <sz val="12"/>
      <color indexed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0000FF"/>
      <name val="Arial"/>
      <family val="2"/>
      <charset val="238"/>
    </font>
    <font>
      <b/>
      <sz val="10"/>
      <color rgb="FF0000FF"/>
      <name val="Arial"/>
      <family val="2"/>
      <charset val="238"/>
    </font>
    <font>
      <b/>
      <sz val="14"/>
      <color indexed="12"/>
      <name val="Arial"/>
      <family val="2"/>
      <charset val="238"/>
    </font>
    <font>
      <b/>
      <sz val="16"/>
      <color rgb="FFFF0000"/>
      <name val="Arial"/>
      <family val="2"/>
    </font>
    <font>
      <sz val="16"/>
      <name val="Arial"/>
      <family val="2"/>
    </font>
    <font>
      <sz val="10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tted">
        <color indexed="64"/>
      </top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7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2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3" fillId="7" borderId="1" applyNumberFormat="0" applyAlignment="0" applyProtection="0"/>
    <xf numFmtId="0" fontId="24" fillId="0" borderId="0" applyNumberFormat="0" applyFill="0" applyBorder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7" fillId="0" borderId="0" applyNumberFormat="0" applyFill="0" applyBorder="0" applyAlignment="0" applyProtection="0"/>
    <xf numFmtId="0" fontId="28" fillId="16" borderId="5" applyNumberFormat="0" applyAlignment="0" applyProtection="0"/>
    <xf numFmtId="0" fontId="29" fillId="0" borderId="0" applyNumberFormat="0" applyFill="0" applyBorder="0" applyAlignment="0" applyProtection="0"/>
    <xf numFmtId="0" fontId="30" fillId="0" borderId="6" applyNumberFormat="0" applyFill="0" applyAlignment="0" applyProtection="0"/>
    <xf numFmtId="0" fontId="1" fillId="17" borderId="7" applyNumberFormat="0" applyFont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21" borderId="0" applyNumberFormat="0" applyBorder="0" applyAlignment="0" applyProtection="0"/>
    <xf numFmtId="0" fontId="31" fillId="4" borderId="0" applyNumberFormat="0" applyBorder="0" applyAlignment="0" applyProtection="0"/>
    <xf numFmtId="0" fontId="32" fillId="22" borderId="8" applyNumberFormat="0" applyAlignment="0" applyProtection="0"/>
    <xf numFmtId="0" fontId="33" fillId="0" borderId="0" applyNumberFormat="0" applyFill="0" applyBorder="0" applyAlignment="0" applyProtection="0"/>
    <xf numFmtId="0" fontId="34" fillId="0" borderId="9" applyNumberFormat="0" applyFill="0" applyAlignment="0" applyProtection="0"/>
    <xf numFmtId="0" fontId="35" fillId="3" borderId="0" applyNumberFormat="0" applyBorder="0" applyAlignment="0" applyProtection="0"/>
    <xf numFmtId="0" fontId="36" fillId="23" borderId="0" applyNumberFormat="0" applyBorder="0" applyAlignment="0" applyProtection="0"/>
    <xf numFmtId="0" fontId="37" fillId="22" borderId="1" applyNumberFormat="0" applyAlignment="0" applyProtection="0"/>
  </cellStyleXfs>
  <cellXfs count="160">
    <xf numFmtId="0" fontId="0" fillId="0" borderId="0" xfId="0"/>
    <xf numFmtId="0" fontId="0" fillId="0" borderId="0" xfId="0" applyProtection="1">
      <protection hidden="1"/>
    </xf>
    <xf numFmtId="0" fontId="6" fillId="0" borderId="0" xfId="0" applyFont="1" applyAlignment="1" applyProtection="1">
      <alignment horizontal="right"/>
      <protection hidden="1"/>
    </xf>
    <xf numFmtId="165" fontId="0" fillId="0" borderId="0" xfId="0" applyNumberForma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0" fillId="0" borderId="10" xfId="0" applyBorder="1" applyProtection="1">
      <protection hidden="1"/>
    </xf>
    <xf numFmtId="14" fontId="0" fillId="0" borderId="0" xfId="0" applyNumberFormat="1" applyProtection="1">
      <protection hidden="1"/>
    </xf>
    <xf numFmtId="164" fontId="0" fillId="0" borderId="0" xfId="0" applyNumberFormat="1" applyProtection="1">
      <protection hidden="1"/>
    </xf>
    <xf numFmtId="1" fontId="0" fillId="0" borderId="0" xfId="0" applyNumberFormat="1" applyProtection="1">
      <protection hidden="1"/>
    </xf>
    <xf numFmtId="0" fontId="7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14" fontId="7" fillId="0" borderId="0" xfId="0" applyNumberFormat="1" applyFont="1" applyAlignment="1" applyProtection="1">
      <alignment vertical="center"/>
      <protection hidden="1"/>
    </xf>
    <xf numFmtId="0" fontId="10" fillId="0" borderId="0" xfId="0" applyFont="1" applyProtection="1">
      <protection hidden="1"/>
    </xf>
    <xf numFmtId="167" fontId="0" fillId="0" borderId="0" xfId="0" applyNumberFormat="1" applyProtection="1">
      <protection hidden="1"/>
    </xf>
    <xf numFmtId="164" fontId="0" fillId="0" borderId="0" xfId="0" applyNumberFormat="1" applyAlignment="1" applyProtection="1">
      <alignment horizontal="center" shrinkToFit="1"/>
      <protection hidden="1"/>
    </xf>
    <xf numFmtId="164" fontId="0" fillId="0" borderId="0" xfId="0" applyNumberFormat="1" applyAlignment="1" applyProtection="1">
      <alignment shrinkToFit="1"/>
      <protection hidden="1"/>
    </xf>
    <xf numFmtId="166" fontId="0" fillId="0" borderId="0" xfId="0" applyNumberFormat="1" applyAlignment="1" applyProtection="1">
      <alignment horizontal="left"/>
      <protection hidden="1"/>
    </xf>
    <xf numFmtId="0" fontId="3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1" fillId="0" borderId="0" xfId="0" applyFont="1" applyProtection="1">
      <protection hidden="1"/>
    </xf>
    <xf numFmtId="0" fontId="11" fillId="0" borderId="0" xfId="0" applyFont="1" applyAlignment="1" applyProtection="1">
      <alignment wrapText="1"/>
      <protection hidden="1"/>
    </xf>
    <xf numFmtId="0" fontId="13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right"/>
      <protection hidden="1"/>
    </xf>
    <xf numFmtId="164" fontId="5" fillId="0" borderId="0" xfId="0" applyNumberFormat="1" applyFont="1" applyAlignment="1" applyProtection="1">
      <alignment shrinkToFit="1"/>
      <protection hidden="1"/>
    </xf>
    <xf numFmtId="0" fontId="5" fillId="0" borderId="0" xfId="0" applyFont="1" applyProtection="1">
      <protection hidden="1"/>
    </xf>
    <xf numFmtId="166" fontId="5" fillId="0" borderId="0" xfId="0" applyNumberFormat="1" applyFont="1" applyProtection="1">
      <protection hidden="1"/>
    </xf>
    <xf numFmtId="0" fontId="12" fillId="24" borderId="1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wrapText="1"/>
      <protection hidden="1"/>
    </xf>
    <xf numFmtId="0" fontId="17" fillId="0" borderId="0" xfId="0" applyFont="1" applyAlignment="1" applyProtection="1">
      <alignment horizontal="right"/>
      <protection hidden="1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0" xfId="0" applyFont="1" applyProtection="1">
      <protection hidden="1"/>
    </xf>
    <xf numFmtId="0" fontId="11" fillId="0" borderId="12" xfId="0" applyFont="1" applyBorder="1" applyProtection="1">
      <protection hidden="1"/>
    </xf>
    <xf numFmtId="0" fontId="11" fillId="0" borderId="12" xfId="0" applyFont="1" applyBorder="1" applyAlignment="1" applyProtection="1">
      <alignment horizontal="center" wrapText="1"/>
      <protection hidden="1"/>
    </xf>
    <xf numFmtId="164" fontId="11" fillId="0" borderId="12" xfId="0" applyNumberFormat="1" applyFont="1" applyBorder="1" applyProtection="1">
      <protection hidden="1"/>
    </xf>
    <xf numFmtId="0" fontId="20" fillId="0" borderId="0" xfId="0" applyFont="1" applyProtection="1">
      <protection hidden="1"/>
    </xf>
    <xf numFmtId="0" fontId="19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0" fillId="25" borderId="0" xfId="0" applyFill="1" applyProtection="1">
      <protection hidden="1"/>
    </xf>
    <xf numFmtId="0" fontId="0" fillId="0" borderId="15" xfId="0" applyBorder="1" applyProtection="1">
      <protection hidden="1"/>
    </xf>
    <xf numFmtId="0" fontId="0" fillId="25" borderId="15" xfId="0" applyFill="1" applyBorder="1" applyProtection="1">
      <protection hidden="1"/>
    </xf>
    <xf numFmtId="0" fontId="7" fillId="0" borderId="15" xfId="0" applyFont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vertical="center" wrapText="1"/>
      <protection hidden="1"/>
    </xf>
    <xf numFmtId="14" fontId="0" fillId="0" borderId="15" xfId="0" applyNumberFormat="1" applyBorder="1" applyProtection="1">
      <protection hidden="1"/>
    </xf>
    <xf numFmtId="165" fontId="0" fillId="0" borderId="15" xfId="0" applyNumberFormat="1" applyBorder="1" applyProtection="1">
      <protection hidden="1"/>
    </xf>
    <xf numFmtId="166" fontId="0" fillId="0" borderId="15" xfId="0" applyNumberFormat="1" applyBorder="1" applyProtection="1">
      <protection locked="0"/>
    </xf>
    <xf numFmtId="0" fontId="0" fillId="0" borderId="15" xfId="0" applyBorder="1" applyProtection="1">
      <protection locked="0"/>
    </xf>
    <xf numFmtId="164" fontId="0" fillId="0" borderId="15" xfId="0" applyNumberFormat="1" applyBorder="1" applyProtection="1">
      <protection locked="0"/>
    </xf>
    <xf numFmtId="14" fontId="0" fillId="0" borderId="15" xfId="0" applyNumberFormat="1" applyBorder="1" applyProtection="1">
      <protection locked="0"/>
    </xf>
    <xf numFmtId="164" fontId="0" fillId="0" borderId="15" xfId="0" applyNumberFormat="1" applyBorder="1" applyProtection="1">
      <protection hidden="1"/>
    </xf>
    <xf numFmtId="0" fontId="0" fillId="0" borderId="15" xfId="0" applyBorder="1"/>
    <xf numFmtId="14" fontId="0" fillId="25" borderId="0" xfId="0" applyNumberFormat="1" applyFill="1" applyProtection="1">
      <protection hidden="1"/>
    </xf>
    <xf numFmtId="0" fontId="1" fillId="0" borderId="15" xfId="0" applyFont="1" applyBorder="1" applyProtection="1">
      <protection locked="0"/>
    </xf>
    <xf numFmtId="0" fontId="38" fillId="0" borderId="15" xfId="0" applyFont="1" applyBorder="1" applyProtection="1">
      <protection locked="0"/>
    </xf>
    <xf numFmtId="0" fontId="2" fillId="0" borderId="15" xfId="0" applyFont="1" applyBorder="1" applyAlignment="1" applyProtection="1">
      <alignment vertical="center" wrapText="1"/>
      <protection hidden="1"/>
    </xf>
    <xf numFmtId="0" fontId="0" fillId="0" borderId="15" xfId="0" applyBorder="1" applyAlignment="1" applyProtection="1">
      <alignment horizontal="center"/>
      <protection hidden="1"/>
    </xf>
    <xf numFmtId="0" fontId="13" fillId="0" borderId="15" xfId="0" applyFont="1" applyBorder="1" applyProtection="1">
      <protection locked="0"/>
    </xf>
    <xf numFmtId="0" fontId="40" fillId="0" borderId="0" xfId="0" applyFont="1" applyProtection="1">
      <protection hidden="1"/>
    </xf>
    <xf numFmtId="0" fontId="41" fillId="0" borderId="0" xfId="0" applyFont="1" applyAlignment="1" applyProtection="1">
      <alignment vertical="center"/>
      <protection hidden="1"/>
    </xf>
    <xf numFmtId="0" fontId="5" fillId="0" borderId="16" xfId="0" applyFont="1" applyBorder="1" applyProtection="1">
      <protection hidden="1"/>
    </xf>
    <xf numFmtId="0" fontId="5" fillId="0" borderId="17" xfId="0" applyFont="1" applyBorder="1" applyAlignment="1" applyProtection="1">
      <alignment horizontal="right"/>
      <protection hidden="1"/>
    </xf>
    <xf numFmtId="0" fontId="5" fillId="0" borderId="15" xfId="0" applyFont="1" applyBorder="1" applyProtection="1">
      <protection hidden="1"/>
    </xf>
    <xf numFmtId="0" fontId="5" fillId="0" borderId="15" xfId="0" applyFont="1" applyBorder="1" applyAlignment="1" applyProtection="1">
      <alignment wrapText="1"/>
      <protection hidden="1"/>
    </xf>
    <xf numFmtId="0" fontId="9" fillId="0" borderId="15" xfId="0" applyFont="1" applyBorder="1" applyAlignment="1" applyProtection="1">
      <alignment horizontal="center"/>
      <protection hidden="1"/>
    </xf>
    <xf numFmtId="4" fontId="11" fillId="0" borderId="12" xfId="0" applyNumberFormat="1" applyFont="1" applyBorder="1" applyProtection="1">
      <protection hidden="1"/>
    </xf>
    <xf numFmtId="4" fontId="0" fillId="25" borderId="15" xfId="0" applyNumberFormat="1" applyFill="1" applyBorder="1" applyProtection="1"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0" fillId="0" borderId="0" xfId="0" applyAlignment="1" applyProtection="1">
      <alignment horizontal="center"/>
      <protection hidden="1"/>
    </xf>
    <xf numFmtId="0" fontId="42" fillId="0" borderId="0" xfId="0" applyFont="1" applyAlignment="1" applyProtection="1">
      <alignment wrapText="1"/>
      <protection hidden="1"/>
    </xf>
    <xf numFmtId="0" fontId="7" fillId="27" borderId="15" xfId="0" applyFont="1" applyFill="1" applyBorder="1" applyAlignment="1" applyProtection="1">
      <alignment vertical="center"/>
      <protection hidden="1"/>
    </xf>
    <xf numFmtId="0" fontId="0" fillId="27" borderId="0" xfId="0" applyFill="1" applyProtection="1">
      <protection hidden="1"/>
    </xf>
    <xf numFmtId="0" fontId="7" fillId="27" borderId="15" xfId="0" applyFont="1" applyFill="1" applyBorder="1" applyAlignment="1" applyProtection="1">
      <alignment vertical="center" wrapText="1"/>
      <protection hidden="1"/>
    </xf>
    <xf numFmtId="0" fontId="7" fillId="27" borderId="0" xfId="0" applyFont="1" applyFill="1" applyAlignment="1" applyProtection="1">
      <alignment vertical="center"/>
      <protection hidden="1"/>
    </xf>
    <xf numFmtId="164" fontId="0" fillId="27" borderId="15" xfId="0" applyNumberFormat="1" applyFill="1" applyBorder="1" applyProtection="1">
      <protection hidden="1"/>
    </xf>
    <xf numFmtId="0" fontId="39" fillId="27" borderId="0" xfId="0" applyFont="1" applyFill="1" applyProtection="1">
      <protection hidden="1"/>
    </xf>
    <xf numFmtId="0" fontId="45" fillId="27" borderId="15" xfId="0" applyFont="1" applyFill="1" applyBorder="1" applyAlignment="1" applyProtection="1">
      <alignment vertical="center"/>
      <protection hidden="1"/>
    </xf>
    <xf numFmtId="0" fontId="45" fillId="27" borderId="15" xfId="0" applyFont="1" applyFill="1" applyBorder="1" applyProtection="1">
      <protection hidden="1"/>
    </xf>
    <xf numFmtId="0" fontId="45" fillId="27" borderId="0" xfId="0" applyFont="1" applyFill="1" applyProtection="1">
      <protection hidden="1"/>
    </xf>
    <xf numFmtId="0" fontId="45" fillId="27" borderId="15" xfId="0" applyFont="1" applyFill="1" applyBorder="1" applyAlignment="1" applyProtection="1">
      <alignment vertical="center" wrapText="1"/>
      <protection hidden="1"/>
    </xf>
    <xf numFmtId="164" fontId="45" fillId="27" borderId="15" xfId="0" applyNumberFormat="1" applyFont="1" applyFill="1" applyBorder="1" applyProtection="1">
      <protection hidden="1"/>
    </xf>
    <xf numFmtId="0" fontId="0" fillId="27" borderId="0" xfId="0" applyFill="1" applyAlignment="1" applyProtection="1">
      <alignment horizontal="center"/>
      <protection hidden="1"/>
    </xf>
    <xf numFmtId="164" fontId="0" fillId="27" borderId="0" xfId="0" applyNumberFormat="1" applyFill="1" applyProtection="1">
      <protection hidden="1"/>
    </xf>
    <xf numFmtId="1" fontId="7" fillId="27" borderId="15" xfId="0" applyNumberFormat="1" applyFont="1" applyFill="1" applyBorder="1" applyAlignment="1" applyProtection="1">
      <alignment vertical="center"/>
      <protection hidden="1"/>
    </xf>
    <xf numFmtId="0" fontId="7" fillId="27" borderId="15" xfId="0" applyFont="1" applyFill="1" applyBorder="1" applyAlignment="1" applyProtection="1">
      <alignment horizontal="center" vertical="center"/>
      <protection hidden="1"/>
    </xf>
    <xf numFmtId="164" fontId="7" fillId="27" borderId="15" xfId="0" applyNumberFormat="1" applyFont="1" applyFill="1" applyBorder="1" applyAlignment="1" applyProtection="1">
      <alignment vertical="center"/>
      <protection hidden="1"/>
    </xf>
    <xf numFmtId="1" fontId="0" fillId="27" borderId="15" xfId="0" applyNumberFormat="1" applyFill="1" applyBorder="1" applyProtection="1">
      <protection hidden="1"/>
    </xf>
    <xf numFmtId="164" fontId="0" fillId="27" borderId="0" xfId="0" applyNumberFormat="1" applyFill="1" applyAlignment="1" applyProtection="1">
      <alignment horizontal="center"/>
      <protection hidden="1"/>
    </xf>
    <xf numFmtId="0" fontId="0" fillId="27" borderId="15" xfId="0" applyFill="1" applyBorder="1" applyAlignment="1" applyProtection="1">
      <alignment horizontal="center"/>
      <protection hidden="1"/>
    </xf>
    <xf numFmtId="14" fontId="0" fillId="27" borderId="0" xfId="0" applyNumberFormat="1" applyFill="1" applyProtection="1">
      <protection hidden="1"/>
    </xf>
    <xf numFmtId="0" fontId="0" fillId="0" borderId="0" xfId="0" applyAlignment="1" applyProtection="1">
      <alignment shrinkToFit="1"/>
      <protection hidden="1"/>
    </xf>
    <xf numFmtId="0" fontId="4" fillId="27" borderId="0" xfId="0" applyFont="1" applyFill="1" applyProtection="1">
      <protection hidden="1"/>
    </xf>
    <xf numFmtId="0" fontId="46" fillId="0" borderId="0" xfId="0" applyFont="1" applyAlignment="1" applyProtection="1">
      <alignment vertical="center"/>
      <protection hidden="1"/>
    </xf>
    <xf numFmtId="0" fontId="4" fillId="0" borderId="0" xfId="0" applyFont="1"/>
    <xf numFmtId="168" fontId="0" fillId="0" borderId="0" xfId="0" applyNumberFormat="1" applyProtection="1">
      <protection hidden="1"/>
    </xf>
    <xf numFmtId="0" fontId="47" fillId="0" borderId="0" xfId="0" applyFont="1" applyProtection="1">
      <protection hidden="1"/>
    </xf>
    <xf numFmtId="164" fontId="13" fillId="0" borderId="12" xfId="0" applyNumberFormat="1" applyFont="1" applyBorder="1" applyProtection="1">
      <protection hidden="1"/>
    </xf>
    <xf numFmtId="14" fontId="43" fillId="26" borderId="0" xfId="0" applyNumberFormat="1" applyFont="1" applyFill="1" applyAlignment="1" applyProtection="1">
      <alignment shrinkToFit="1"/>
      <protection locked="0"/>
    </xf>
    <xf numFmtId="0" fontId="13" fillId="0" borderId="0" xfId="0" applyFont="1" applyProtection="1">
      <protection hidden="1"/>
    </xf>
    <xf numFmtId="14" fontId="13" fillId="0" borderId="0" xfId="0" applyNumberFormat="1" applyFont="1" applyProtection="1">
      <protection hidden="1"/>
    </xf>
    <xf numFmtId="0" fontId="48" fillId="0" borderId="0" xfId="0" applyFont="1" applyAlignment="1" applyProtection="1">
      <alignment wrapText="1"/>
      <protection hidden="1"/>
    </xf>
    <xf numFmtId="0" fontId="4" fillId="24" borderId="15" xfId="0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wrapText="1"/>
      <protection hidden="1"/>
    </xf>
    <xf numFmtId="164" fontId="11" fillId="0" borderId="0" xfId="0" applyNumberFormat="1" applyFont="1" applyAlignment="1" applyProtection="1">
      <alignment horizontal="center"/>
      <protection hidden="1"/>
    </xf>
    <xf numFmtId="1" fontId="0" fillId="28" borderId="15" xfId="0" applyNumberFormat="1" applyFill="1" applyBorder="1" applyProtection="1">
      <protection hidden="1"/>
    </xf>
    <xf numFmtId="1" fontId="7" fillId="28" borderId="15" xfId="0" applyNumberFormat="1" applyFont="1" applyFill="1" applyBorder="1" applyAlignment="1" applyProtection="1">
      <alignment vertical="center"/>
      <protection hidden="1"/>
    </xf>
    <xf numFmtId="0" fontId="0" fillId="28" borderId="15" xfId="0" applyFill="1" applyBorder="1"/>
    <xf numFmtId="0" fontId="0" fillId="28" borderId="15" xfId="0" applyFill="1" applyBorder="1" applyProtection="1">
      <protection hidden="1"/>
    </xf>
    <xf numFmtId="164" fontId="0" fillId="28" borderId="15" xfId="0" applyNumberFormat="1" applyFill="1" applyBorder="1" applyProtection="1">
      <protection hidden="1"/>
    </xf>
    <xf numFmtId="168" fontId="11" fillId="28" borderId="15" xfId="0" applyNumberFormat="1" applyFont="1" applyFill="1" applyBorder="1" applyProtection="1">
      <protection hidden="1"/>
    </xf>
    <xf numFmtId="0" fontId="7" fillId="28" borderId="15" xfId="0" applyFont="1" applyFill="1" applyBorder="1" applyAlignment="1" applyProtection="1">
      <alignment horizontal="center" vertical="center"/>
      <protection hidden="1"/>
    </xf>
    <xf numFmtId="164" fontId="7" fillId="28" borderId="15" xfId="0" applyNumberFormat="1" applyFont="1" applyFill="1" applyBorder="1" applyAlignment="1" applyProtection="1">
      <alignment vertical="center"/>
      <protection hidden="1"/>
    </xf>
    <xf numFmtId="168" fontId="41" fillId="28" borderId="15" xfId="0" applyNumberFormat="1" applyFont="1" applyFill="1" applyBorder="1" applyAlignment="1" applyProtection="1">
      <alignment vertical="center"/>
      <protection hidden="1"/>
    </xf>
    <xf numFmtId="0" fontId="1" fillId="28" borderId="15" xfId="0" applyFont="1" applyFill="1" applyBorder="1" applyProtection="1">
      <protection hidden="1"/>
    </xf>
    <xf numFmtId="0" fontId="7" fillId="28" borderId="15" xfId="0" applyFont="1" applyFill="1" applyBorder="1" applyAlignment="1" applyProtection="1">
      <alignment vertical="center"/>
      <protection hidden="1"/>
    </xf>
    <xf numFmtId="0" fontId="7" fillId="28" borderId="15" xfId="0" applyFont="1" applyFill="1" applyBorder="1" applyAlignment="1" applyProtection="1">
      <alignment vertical="center" wrapText="1"/>
      <protection hidden="1"/>
    </xf>
    <xf numFmtId="166" fontId="0" fillId="27" borderId="0" xfId="0" applyNumberFormat="1" applyFill="1" applyProtection="1">
      <protection hidden="1"/>
    </xf>
    <xf numFmtId="168" fontId="11" fillId="28" borderId="15" xfId="0" applyNumberFormat="1" applyFont="1" applyFill="1" applyBorder="1" applyAlignment="1" applyProtection="1">
      <alignment horizontal="left" indent="2"/>
      <protection hidden="1"/>
    </xf>
    <xf numFmtId="0" fontId="13" fillId="0" borderId="15" xfId="0" applyFont="1" applyBorder="1" applyProtection="1">
      <protection hidden="1"/>
    </xf>
    <xf numFmtId="0" fontId="0" fillId="27" borderId="15" xfId="0" applyFill="1" applyBorder="1" applyProtection="1">
      <protection hidden="1"/>
    </xf>
    <xf numFmtId="0" fontId="0" fillId="29" borderId="15" xfId="0" applyFill="1" applyBorder="1" applyProtection="1">
      <protection hidden="1"/>
    </xf>
    <xf numFmtId="0" fontId="13" fillId="29" borderId="15" xfId="0" applyFont="1" applyFill="1" applyBorder="1" applyProtection="1">
      <protection hidden="1"/>
    </xf>
    <xf numFmtId="0" fontId="49" fillId="0" borderId="15" xfId="0" applyFont="1" applyBorder="1" applyProtection="1">
      <protection hidden="1"/>
    </xf>
    <xf numFmtId="0" fontId="0" fillId="30" borderId="15" xfId="0" applyFill="1" applyBorder="1" applyProtection="1">
      <protection hidden="1"/>
    </xf>
    <xf numFmtId="0" fontId="13" fillId="30" borderId="15" xfId="0" applyFont="1" applyFill="1" applyBorder="1" applyAlignment="1" applyProtection="1">
      <alignment wrapText="1"/>
      <protection hidden="1"/>
    </xf>
    <xf numFmtId="0" fontId="0" fillId="26" borderId="0" xfId="0" applyFill="1" applyProtection="1">
      <protection hidden="1"/>
    </xf>
    <xf numFmtId="0" fontId="13" fillId="26" borderId="0" xfId="0" applyFont="1" applyFill="1" applyProtection="1">
      <protection hidden="1"/>
    </xf>
    <xf numFmtId="164" fontId="13" fillId="0" borderId="15" xfId="0" applyNumberFormat="1" applyFont="1" applyBorder="1" applyProtection="1">
      <protection locked="0"/>
    </xf>
    <xf numFmtId="164" fontId="5" fillId="0" borderId="18" xfId="0" applyNumberFormat="1" applyFont="1" applyBorder="1" applyProtection="1">
      <protection hidden="1"/>
    </xf>
    <xf numFmtId="164" fontId="5" fillId="0" borderId="19" xfId="0" applyNumberFormat="1" applyFont="1" applyBorder="1" applyProtection="1">
      <protection hidden="1"/>
    </xf>
    <xf numFmtId="164" fontId="5" fillId="0" borderId="16" xfId="0" applyNumberFormat="1" applyFont="1" applyBorder="1" applyAlignment="1" applyProtection="1">
      <alignment shrinkToFit="1"/>
      <protection hidden="1"/>
    </xf>
    <xf numFmtId="0" fontId="4" fillId="24" borderId="15" xfId="0" applyFont="1" applyFill="1" applyBorder="1" applyAlignment="1" applyProtection="1">
      <alignment horizontal="center" wrapText="1"/>
      <protection locked="0"/>
    </xf>
    <xf numFmtId="0" fontId="44" fillId="27" borderId="15" xfId="0" applyFont="1" applyFill="1" applyBorder="1" applyAlignment="1" applyProtection="1">
      <alignment horizontal="right" wrapText="1"/>
      <protection hidden="1"/>
    </xf>
    <xf numFmtId="0" fontId="18" fillId="27" borderId="0" xfId="0" applyFont="1" applyFill="1" applyAlignment="1" applyProtection="1">
      <alignment horizontal="center"/>
      <protection hidden="1"/>
    </xf>
    <xf numFmtId="0" fontId="18" fillId="28" borderId="15" xfId="0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7" fillId="0" borderId="0" xfId="0" applyFont="1" applyAlignment="1" applyProtection="1">
      <alignment horizontal="right"/>
      <protection hidden="1"/>
    </xf>
    <xf numFmtId="0" fontId="10" fillId="24" borderId="15" xfId="0" applyFont="1" applyFill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center"/>
      <protection hidden="1"/>
    </xf>
    <xf numFmtId="0" fontId="17" fillId="0" borderId="15" xfId="0" applyFont="1" applyBorder="1" applyAlignment="1" applyProtection="1">
      <alignment horizontal="right" wrapText="1"/>
      <protection hidden="1"/>
    </xf>
    <xf numFmtId="0" fontId="17" fillId="0" borderId="15" xfId="0" applyFont="1" applyBorder="1" applyAlignment="1" applyProtection="1">
      <alignment horizontal="right"/>
      <protection hidden="1"/>
    </xf>
    <xf numFmtId="0" fontId="13" fillId="0" borderId="0" xfId="0" applyFont="1" applyAlignment="1" applyProtection="1">
      <alignment horizontal="right"/>
      <protection hidden="1"/>
    </xf>
    <xf numFmtId="0" fontId="11" fillId="0" borderId="0" xfId="0" applyFont="1" applyAlignment="1" applyProtection="1">
      <alignment horizontal="right"/>
      <protection hidden="1"/>
    </xf>
    <xf numFmtId="0" fontId="17" fillId="0" borderId="21" xfId="0" applyFont="1" applyBorder="1" applyAlignment="1" applyProtection="1">
      <alignment horizontal="right" wrapText="1"/>
      <protection hidden="1"/>
    </xf>
    <xf numFmtId="0" fontId="17" fillId="0" borderId="22" xfId="0" applyFont="1" applyBorder="1" applyAlignment="1" applyProtection="1">
      <alignment horizontal="right" wrapText="1"/>
      <protection hidden="1"/>
    </xf>
    <xf numFmtId="0" fontId="11" fillId="0" borderId="0" xfId="0" applyFont="1" applyAlignment="1" applyProtection="1">
      <alignment horizontal="right" shrinkToFit="1"/>
      <protection hidden="1"/>
    </xf>
    <xf numFmtId="164" fontId="11" fillId="0" borderId="0" xfId="0" applyNumberFormat="1" applyFont="1" applyProtection="1">
      <protection hidden="1"/>
    </xf>
    <xf numFmtId="0" fontId="11" fillId="0" borderId="0" xfId="0" applyFont="1" applyAlignment="1" applyProtection="1">
      <alignment horizontal="right" wrapText="1"/>
      <protection hidden="1"/>
    </xf>
    <xf numFmtId="0" fontId="11" fillId="0" borderId="13" xfId="0" applyFont="1" applyBorder="1" applyAlignment="1" applyProtection="1">
      <alignment horizontal="right" wrapText="1"/>
      <protection hidden="1"/>
    </xf>
    <xf numFmtId="0" fontId="11" fillId="0" borderId="14" xfId="0" applyFont="1" applyBorder="1" applyAlignment="1" applyProtection="1">
      <alignment horizontal="right"/>
      <protection hidden="1"/>
    </xf>
    <xf numFmtId="0" fontId="4" fillId="24" borderId="20" xfId="0" applyFont="1" applyFill="1" applyBorder="1" applyAlignment="1" applyProtection="1">
      <alignment horizontal="right" shrinkToFit="1"/>
      <protection locked="0"/>
    </xf>
    <xf numFmtId="0" fontId="4" fillId="24" borderId="0" xfId="0" applyFont="1" applyFill="1" applyAlignment="1" applyProtection="1">
      <alignment horizontal="right" shrinkToFit="1"/>
      <protection locked="0"/>
    </xf>
    <xf numFmtId="0" fontId="5" fillId="0" borderId="15" xfId="0" applyFont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3" fillId="0" borderId="0" xfId="0" applyFont="1" applyAlignment="1" applyProtection="1">
      <alignment horizontal="right" wrapText="1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 vertical="top"/>
      <protection hidden="1"/>
    </xf>
    <xf numFmtId="0" fontId="11" fillId="0" borderId="0" xfId="0" applyFont="1" applyAlignment="1" applyProtection="1">
      <alignment horizontal="left"/>
      <protection hidden="1"/>
    </xf>
    <xf numFmtId="0" fontId="42" fillId="0" borderId="0" xfId="0" applyFont="1" applyAlignment="1" applyProtection="1">
      <alignment horizontal="right"/>
      <protection hidden="1"/>
    </xf>
    <xf numFmtId="0" fontId="4" fillId="0" borderId="0" xfId="0" applyFont="1" applyAlignment="1" applyProtection="1">
      <alignment horizontal="left"/>
      <protection hidden="1"/>
    </xf>
    <xf numFmtId="0" fontId="3" fillId="0" borderId="0" xfId="0" applyFont="1" applyAlignment="1" applyProtection="1">
      <alignment wrapText="1"/>
      <protection hidden="1"/>
    </xf>
    <xf numFmtId="0" fontId="3" fillId="0" borderId="0" xfId="0" applyFont="1" applyProtection="1">
      <protection hidden="1"/>
    </xf>
  </cellXfs>
  <cellStyles count="42">
    <cellStyle name="20% - 1. jelölőszín" xfId="1" builtinId="30" customBuiltin="1"/>
    <cellStyle name="20% - 2. jelölőszín" xfId="2" builtinId="34" customBuiltin="1"/>
    <cellStyle name="20% - 3. jelölőszín" xfId="3" builtinId="38" customBuiltin="1"/>
    <cellStyle name="20% - 4. jelölőszín" xfId="4" builtinId="42" customBuiltin="1"/>
    <cellStyle name="20% - 5. jelölőszín" xfId="5" builtinId="46" customBuiltin="1"/>
    <cellStyle name="20% - 6. jelölőszín" xfId="6" builtinId="50" customBuiltin="1"/>
    <cellStyle name="40% - 1. jelölőszín" xfId="7" builtinId="31" customBuiltin="1"/>
    <cellStyle name="40% - 2. jelölőszín" xfId="8" builtinId="35" customBuiltin="1"/>
    <cellStyle name="40% - 3. jelölőszín" xfId="9" builtinId="39" customBuiltin="1"/>
    <cellStyle name="40% - 4. jelölőszín" xfId="10" builtinId="43" customBuiltin="1"/>
    <cellStyle name="40% - 5. jelölőszín" xfId="11" builtinId="47" customBuiltin="1"/>
    <cellStyle name="40% - 6. jelölőszín" xfId="12" builtinId="51" customBuiltin="1"/>
    <cellStyle name="60% - 1. jelölőszín" xfId="13" builtinId="32" customBuiltin="1"/>
    <cellStyle name="60% - 2. jelölőszín" xfId="14" builtinId="36" customBuiltin="1"/>
    <cellStyle name="60% - 3. jelölőszín" xfId="15" builtinId="40" customBuiltin="1"/>
    <cellStyle name="60% - 4. jelölőszín" xfId="16" builtinId="44" customBuiltin="1"/>
    <cellStyle name="60% - 5. jelölőszín" xfId="17" builtinId="48" customBuiltin="1"/>
    <cellStyle name="60% - 6. jelölőszín" xfId="18" builtinId="52" customBuiltin="1"/>
    <cellStyle name="Bevitel" xfId="19" builtinId="20" customBuiltin="1"/>
    <cellStyle name="Cím" xfId="20" builtinId="15" customBuiltin="1"/>
    <cellStyle name="Címsor 1" xfId="21" builtinId="16" customBuiltin="1"/>
    <cellStyle name="Címsor 2" xfId="22" builtinId="17" customBuiltin="1"/>
    <cellStyle name="Címsor 3" xfId="23" builtinId="18" customBuiltin="1"/>
    <cellStyle name="Címsor 4" xfId="24" builtinId="19" customBuiltin="1"/>
    <cellStyle name="Ellenőrzőcella" xfId="25" builtinId="23" customBuiltin="1"/>
    <cellStyle name="Figyelmeztetés" xfId="26" builtinId="11" customBuiltin="1"/>
    <cellStyle name="Hivatkozott cella" xfId="27" builtinId="24" customBuiltin="1"/>
    <cellStyle name="Jegyzet" xfId="28" builtinId="10" customBuiltin="1"/>
    <cellStyle name="Jelölőszín 1" xfId="29" builtinId="29" customBuiltin="1"/>
    <cellStyle name="Jelölőszín 2" xfId="30" builtinId="33" customBuiltin="1"/>
    <cellStyle name="Jelölőszín 3" xfId="31" builtinId="37" customBuiltin="1"/>
    <cellStyle name="Jelölőszín 4" xfId="32" builtinId="41" customBuiltin="1"/>
    <cellStyle name="Jelölőszín 5" xfId="33" builtinId="45" customBuiltin="1"/>
    <cellStyle name="Jelölőszín 6" xfId="34" builtinId="49" customBuiltin="1"/>
    <cellStyle name="Jó" xfId="35" builtinId="26" customBuiltin="1"/>
    <cellStyle name="Kimenet" xfId="36" builtinId="21" customBuiltin="1"/>
    <cellStyle name="Magyarázó szöveg" xfId="37" builtinId="53" customBuiltin="1"/>
    <cellStyle name="Normál" xfId="0" builtinId="0"/>
    <cellStyle name="Összesen" xfId="38" builtinId="25" customBuiltin="1"/>
    <cellStyle name="Rossz" xfId="39" builtinId="27" customBuiltin="1"/>
    <cellStyle name="Semleges" xfId="40" builtinId="28" customBuiltin="1"/>
    <cellStyle name="Számítás" xfId="41" builtinId="22" customBuiltin="1"/>
  </cellStyles>
  <dxfs count="19">
    <dxf>
      <border>
        <top style="thin">
          <color rgb="FFFF0000"/>
        </top>
        <vertical/>
        <horizontal/>
      </border>
    </dxf>
    <dxf>
      <border>
        <top style="thin">
          <color rgb="FFFF0000"/>
        </top>
        <vertical/>
        <horizontal/>
      </border>
    </dxf>
    <dxf>
      <fill>
        <patternFill>
          <bgColor rgb="FFFF0000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color rgb="FFFF0000"/>
      </font>
      <fill>
        <patternFill patternType="none">
          <bgColor auto="1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condense val="0"/>
        <extend val="0"/>
        <color auto="1"/>
      </font>
      <fill>
        <patternFill>
          <bgColor indexed="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 patternType="none">
          <bgColor indexed="65"/>
        </patternFill>
      </fill>
      <border>
        <left/>
        <right/>
        <top/>
        <bottom/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condense val="0"/>
        <extend val="0"/>
        <color indexed="9"/>
      </font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/>
        <i/>
        <condense val="0"/>
        <extend val="0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indexed="64"/>
        </top>
        <bottom style="thin">
          <color theme="0" tint="-0.24994659260841701"/>
        </bottom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</dxfs>
  <tableStyles count="0" defaultTableStyle="TableStyleMedium9" defaultPivotStyle="PivotStyleLight16"/>
  <colors>
    <mruColors>
      <color rgb="FFFF66CC"/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4"/>
  <sheetViews>
    <sheetView showGridLines="0" showRowColHeaders="0" tabSelected="1" topLeftCell="D1" zoomScale="120" zoomScaleNormal="120" workbookViewId="0">
      <pane ySplit="4" topLeftCell="A5" activePane="bottomLeft" state="frozen"/>
      <selection activeCell="D3" sqref="D3"/>
      <selection pane="bottomLeft" activeCell="E5" sqref="E5"/>
    </sheetView>
  </sheetViews>
  <sheetFormatPr defaultColWidth="0" defaultRowHeight="15" zeroHeight="1" x14ac:dyDescent="0.2"/>
  <cols>
    <col min="1" max="2" width="9.140625" style="1" hidden="1" customWidth="1"/>
    <col min="3" max="3" width="63.28515625" style="1" hidden="1" customWidth="1"/>
    <col min="4" max="4" width="4.7109375" style="76" bestFit="1" customWidth="1"/>
    <col min="5" max="5" width="60.7109375" style="1" customWidth="1"/>
    <col min="6" max="6" width="39.7109375" style="1" customWidth="1"/>
    <col min="7" max="8" width="16.7109375" style="1" customWidth="1"/>
    <col min="9" max="10" width="16.7109375" style="37" customWidth="1"/>
    <col min="11" max="11" width="71.28515625" style="37" customWidth="1"/>
    <col min="12" max="13" width="27.28515625" style="1" hidden="1" customWidth="1"/>
    <col min="14" max="14" width="27.28515625" style="56" hidden="1" customWidth="1"/>
    <col min="15" max="16384" width="27.28515625" style="1" hidden="1"/>
  </cols>
  <sheetData>
    <row r="1" spans="1:21" hidden="1" x14ac:dyDescent="0.2">
      <c r="D1" s="75"/>
      <c r="E1" s="38"/>
      <c r="F1" s="38"/>
      <c r="G1" s="38"/>
      <c r="H1" s="38"/>
      <c r="I1" s="39"/>
      <c r="J1" s="39"/>
      <c r="K1" s="50">
        <f>DATE(L1,1,1)</f>
        <v>45658</v>
      </c>
      <c r="L1" s="1">
        <v>2025</v>
      </c>
    </row>
    <row r="2" spans="1:21" hidden="1" x14ac:dyDescent="0.2">
      <c r="D2" s="75"/>
      <c r="E2" s="38"/>
      <c r="F2" s="38"/>
      <c r="G2" s="38"/>
      <c r="H2" s="38"/>
      <c r="I2" s="39"/>
      <c r="J2" s="64"/>
      <c r="K2" s="50">
        <f>DATE(L1+25,12,31)</f>
        <v>55153</v>
      </c>
    </row>
    <row r="3" spans="1:21" ht="36" x14ac:dyDescent="0.25">
      <c r="C3" s="1" t="s">
        <v>84</v>
      </c>
      <c r="D3" s="75"/>
      <c r="E3" s="130" t="s">
        <v>95</v>
      </c>
      <c r="F3" s="130"/>
      <c r="G3" s="129"/>
      <c r="H3" s="129"/>
      <c r="I3" s="129"/>
      <c r="J3" s="129"/>
      <c r="K3" s="73"/>
      <c r="R3" s="67" t="s">
        <v>91</v>
      </c>
    </row>
    <row r="4" spans="1:21" s="9" customFormat="1" ht="25.5" x14ac:dyDescent="0.2">
      <c r="C4" s="1" t="str">
        <f>IF(E4&lt;&gt;0,IF(F4&lt;&gt;0,TRIM(E4&amp;" - "&amp;F4),E4),"")</f>
        <v>Anyag megnevezése - Megjegyzés</v>
      </c>
      <c r="D4" s="74" t="s">
        <v>2</v>
      </c>
      <c r="E4" s="68" t="s">
        <v>13</v>
      </c>
      <c r="F4" s="68" t="s">
        <v>16</v>
      </c>
      <c r="G4" s="70" t="s">
        <v>18</v>
      </c>
      <c r="H4" s="70" t="s">
        <v>35</v>
      </c>
      <c r="I4" s="77" t="s">
        <v>96</v>
      </c>
      <c r="J4" s="74" t="s">
        <v>0</v>
      </c>
      <c r="K4" s="71"/>
      <c r="N4" s="57" t="s">
        <v>5</v>
      </c>
      <c r="O4" s="9" t="s">
        <v>6</v>
      </c>
      <c r="R4" s="9" t="s">
        <v>89</v>
      </c>
      <c r="S4" s="9" t="s">
        <v>5</v>
      </c>
      <c r="T4" s="9" t="s">
        <v>88</v>
      </c>
      <c r="U4" s="9" t="s">
        <v>90</v>
      </c>
    </row>
    <row r="5" spans="1:21" ht="18" x14ac:dyDescent="0.25">
      <c r="A5" s="1">
        <f>IF(C5&lt;&gt;$C$3,A4+1,A4)</f>
        <v>0</v>
      </c>
      <c r="B5" s="1">
        <f>IF(AND(R5&lt;&gt;0,R5&lt;&gt;""),B4+1,B4)</f>
        <v>0</v>
      </c>
      <c r="C5" s="1" t="str">
        <f>IF(E5&lt;&gt;0,TRIM(D5&amp;" - "&amp;E5&amp;IF(F5&lt;&gt;0," - "&amp;F5,"")&amp;" - "&amp;L5&amp;","&amp;M5&amp;" lej/"&amp;H5),$C$3)</f>
        <v>zzzzzzzzzzz</v>
      </c>
      <c r="D5" s="75">
        <v>1</v>
      </c>
      <c r="E5" s="51"/>
      <c r="F5" s="55"/>
      <c r="G5" s="46"/>
      <c r="H5" s="125"/>
      <c r="I5" s="78">
        <f>IF(C5&lt;&gt;"",N5-O5,"")</f>
        <v>0</v>
      </c>
      <c r="J5" s="78">
        <f>IF(I5&lt;&gt;"",G5*I5,"")</f>
        <v>0</v>
      </c>
      <c r="K5" s="89"/>
      <c r="L5" s="92">
        <f>ROUNDDOWN(G5,0)</f>
        <v>0</v>
      </c>
      <c r="M5" s="92" t="str">
        <f>IF(SUM(G5,-L5)*100&lt;=9,"0"&amp;SUM(G5,-L5)*100,SUM(G5,-L5)*100)</f>
        <v>00</v>
      </c>
      <c r="N5" s="56">
        <f>SUMIF(Bevetel!$G$6:$G$1000,C5,Bevetel!$I$6:$I$1000)</f>
        <v>0</v>
      </c>
      <c r="O5" s="1">
        <f>SUMIF(Kiadas!$G$1006:$G$10000,C5,Kiadas!$I$1006:$I$10000)</f>
        <v>0</v>
      </c>
      <c r="R5" s="1">
        <f>IF(C5&lt;&gt;"",S5-T5,"")</f>
        <v>0</v>
      </c>
      <c r="S5" s="1">
        <f>SUMIF(Kiadas!$G$6:$G$1000,C5,Kiadas!$BA$6:$BA$1000)</f>
        <v>0</v>
      </c>
      <c r="T5" s="1">
        <f>SUMIF(Kiadas!$G$1006:$G$10000,C5,Kiadas!$BA$1006:$BA$10000)</f>
        <v>0</v>
      </c>
      <c r="U5" s="1">
        <f>PRODUCT(G5*R5)</f>
        <v>0</v>
      </c>
    </row>
    <row r="6" spans="1:21" ht="18" x14ac:dyDescent="0.25">
      <c r="A6" s="1">
        <f t="shared" ref="A6:A69" si="0">IF(C6&lt;&gt;$C$3,A5+1,A5)</f>
        <v>0</v>
      </c>
      <c r="B6" s="1">
        <f t="shared" ref="B6:B69" si="1">IF(AND(R6&lt;&gt;0,R6&lt;&gt;""),B5+1,B5)</f>
        <v>0</v>
      </c>
      <c r="C6" s="1" t="str">
        <f t="shared" ref="C6:C69" si="2">IF(E6&lt;&gt;0,TRIM(D6&amp;" - "&amp;E6&amp;IF(F6&lt;&gt;0," - "&amp;F6,"")&amp;" - "&amp;L6&amp;","&amp;M6&amp;" lej/"&amp;H6),$C$3)</f>
        <v>zzzzzzzzzzz</v>
      </c>
      <c r="D6" s="75">
        <v>2</v>
      </c>
      <c r="E6" s="51"/>
      <c r="F6" s="45"/>
      <c r="G6" s="46"/>
      <c r="H6" s="125"/>
      <c r="I6" s="78">
        <f t="shared" ref="I6:I69" si="3">IF(C6&lt;&gt;"",N6-O6,"")</f>
        <v>0</v>
      </c>
      <c r="J6" s="78">
        <f t="shared" ref="J6:J69" si="4">IF(I6&lt;&gt;"",G6*I6,"")</f>
        <v>0</v>
      </c>
      <c r="K6" s="89"/>
      <c r="L6" s="92">
        <f t="shared" ref="L6:L69" si="5">ROUNDDOWN(G6,0)</f>
        <v>0</v>
      </c>
      <c r="M6" s="92" t="str">
        <f t="shared" ref="M6:M69" si="6">IF(SUM(G6,-L6)*100&lt;=9,"0"&amp;SUM(G6,-L6)*100,SUM(G6,-L6)*100)</f>
        <v>00</v>
      </c>
      <c r="N6" s="56">
        <f>SUMIF(Bevetel!$G$6:$G$1000,C6,Bevetel!$I$6:$I$1000)</f>
        <v>0</v>
      </c>
      <c r="O6" s="1">
        <f>SUMIF(Kiadas!$G$1006:$G$10000,C6,Kiadas!$I$1006:$I$10000)</f>
        <v>0</v>
      </c>
      <c r="R6" s="1">
        <f t="shared" ref="R6:R69" si="7">IF(C6&lt;&gt;"",S6-T6,"")</f>
        <v>0</v>
      </c>
      <c r="S6" s="1">
        <f>SUMIF(Kiadas!$G$6:$G$1000,C6,Kiadas!$BA$6:$BA$1000)</f>
        <v>0</v>
      </c>
      <c r="T6" s="1">
        <f>SUMIF(Kiadas!$G$1006:$G$10000,C6,Kiadas!$BA$1006:$BA$10000)</f>
        <v>0</v>
      </c>
      <c r="U6" s="1">
        <f t="shared" ref="U6:U69" si="8">PRODUCT(G6*R6)</f>
        <v>0</v>
      </c>
    </row>
    <row r="7" spans="1:21" ht="18" x14ac:dyDescent="0.25">
      <c r="A7" s="1">
        <f t="shared" si="0"/>
        <v>0</v>
      </c>
      <c r="B7" s="1">
        <f t="shared" si="1"/>
        <v>0</v>
      </c>
      <c r="C7" s="1" t="str">
        <f t="shared" si="2"/>
        <v>zzzzzzzzzzz</v>
      </c>
      <c r="D7" s="75">
        <v>3</v>
      </c>
      <c r="E7" s="51"/>
      <c r="F7" s="45"/>
      <c r="G7" s="46"/>
      <c r="H7" s="46"/>
      <c r="I7" s="78">
        <f t="shared" si="3"/>
        <v>0</v>
      </c>
      <c r="J7" s="78">
        <f t="shared" si="4"/>
        <v>0</v>
      </c>
      <c r="K7" s="89"/>
      <c r="L7" s="92">
        <f t="shared" si="5"/>
        <v>0</v>
      </c>
      <c r="M7" s="92" t="str">
        <f t="shared" si="6"/>
        <v>00</v>
      </c>
      <c r="N7" s="56">
        <f>SUMIF(Bevetel!$G$6:$G$1000,C7,Bevetel!$I$6:$I$1000)</f>
        <v>0</v>
      </c>
      <c r="O7" s="1">
        <f>SUMIF(Kiadas!$G$1006:$G$10000,C7,Kiadas!$I$1006:$I$10000)</f>
        <v>0</v>
      </c>
      <c r="R7" s="1">
        <f t="shared" si="7"/>
        <v>0</v>
      </c>
      <c r="S7" s="1">
        <f>SUMIF(Kiadas!$G$6:$G$1000,C7,Kiadas!$BA$6:$BA$1000)</f>
        <v>0</v>
      </c>
      <c r="T7" s="1">
        <f>SUMIF(Kiadas!$G$1006:$G$10000,C7,Kiadas!$BA$1006:$BA$10000)</f>
        <v>0</v>
      </c>
      <c r="U7" s="1">
        <f t="shared" si="8"/>
        <v>0</v>
      </c>
    </row>
    <row r="8" spans="1:21" ht="18" x14ac:dyDescent="0.25">
      <c r="A8" s="1">
        <f t="shared" si="0"/>
        <v>0</v>
      </c>
      <c r="B8" s="1">
        <f t="shared" si="1"/>
        <v>0</v>
      </c>
      <c r="C8" s="1" t="str">
        <f t="shared" si="2"/>
        <v>zzzzzzzzzzz</v>
      </c>
      <c r="D8" s="75">
        <v>4</v>
      </c>
      <c r="E8" s="51"/>
      <c r="F8" s="45"/>
      <c r="G8" s="46"/>
      <c r="H8" s="46"/>
      <c r="I8" s="78">
        <f t="shared" si="3"/>
        <v>0</v>
      </c>
      <c r="J8" s="78">
        <f t="shared" si="4"/>
        <v>0</v>
      </c>
      <c r="K8" s="89"/>
      <c r="L8" s="92">
        <f t="shared" si="5"/>
        <v>0</v>
      </c>
      <c r="M8" s="92" t="str">
        <f t="shared" si="6"/>
        <v>00</v>
      </c>
      <c r="N8" s="56">
        <f>SUMIF(Bevetel!$G$6:$G$1000,C8,Bevetel!$I$6:$I$1000)</f>
        <v>0</v>
      </c>
      <c r="O8" s="1">
        <f>SUMIF(Kiadas!$G$1006:$G$10000,C8,Kiadas!$I$1006:$I$10000)</f>
        <v>0</v>
      </c>
      <c r="R8" s="1">
        <f t="shared" si="7"/>
        <v>0</v>
      </c>
      <c r="S8" s="1">
        <f>SUMIF(Kiadas!$G$6:$G$1000,C8,Kiadas!$BA$6:$BA$1000)</f>
        <v>0</v>
      </c>
      <c r="T8" s="1">
        <f>SUMIF(Kiadas!$G$1006:$G$10000,C8,Kiadas!$BA$1006:$BA$10000)</f>
        <v>0</v>
      </c>
      <c r="U8" s="1">
        <f t="shared" si="8"/>
        <v>0</v>
      </c>
    </row>
    <row r="9" spans="1:21" ht="18" x14ac:dyDescent="0.25">
      <c r="A9" s="1">
        <f t="shared" si="0"/>
        <v>0</v>
      </c>
      <c r="B9" s="1">
        <f t="shared" si="1"/>
        <v>0</v>
      </c>
      <c r="C9" s="1" t="str">
        <f t="shared" si="2"/>
        <v>zzzzzzzzzzz</v>
      </c>
      <c r="D9" s="75">
        <v>5</v>
      </c>
      <c r="E9" s="51"/>
      <c r="F9" s="45"/>
      <c r="G9" s="46"/>
      <c r="H9" s="46"/>
      <c r="I9" s="78">
        <f t="shared" si="3"/>
        <v>0</v>
      </c>
      <c r="J9" s="78">
        <f t="shared" si="4"/>
        <v>0</v>
      </c>
      <c r="K9" s="89"/>
      <c r="L9" s="92">
        <f t="shared" si="5"/>
        <v>0</v>
      </c>
      <c r="M9" s="92" t="str">
        <f t="shared" si="6"/>
        <v>00</v>
      </c>
      <c r="N9" s="56">
        <f>SUMIF(Bevetel!$G$6:$G$1000,C9,Bevetel!$I$6:$I$1000)</f>
        <v>0</v>
      </c>
      <c r="O9" s="1">
        <f>SUMIF(Kiadas!$G$1006:$G$10000,C9,Kiadas!$I$1006:$I$10000)</f>
        <v>0</v>
      </c>
      <c r="R9" s="1">
        <f t="shared" si="7"/>
        <v>0</v>
      </c>
      <c r="S9" s="1">
        <f>SUMIF(Kiadas!$G$6:$G$1000,C9,Kiadas!$BA$6:$BA$1000)</f>
        <v>0</v>
      </c>
      <c r="T9" s="1">
        <f>SUMIF(Kiadas!$G$1006:$G$10000,C9,Kiadas!$BA$1006:$BA$10000)</f>
        <v>0</v>
      </c>
      <c r="U9" s="1">
        <f t="shared" si="8"/>
        <v>0</v>
      </c>
    </row>
    <row r="10" spans="1:21" ht="18" x14ac:dyDescent="0.25">
      <c r="A10" s="1">
        <f t="shared" si="0"/>
        <v>0</v>
      </c>
      <c r="B10" s="1">
        <f t="shared" si="1"/>
        <v>0</v>
      </c>
      <c r="C10" s="1" t="str">
        <f t="shared" si="2"/>
        <v>zzzzzzzzzzz</v>
      </c>
      <c r="D10" s="75">
        <v>6</v>
      </c>
      <c r="E10" s="51"/>
      <c r="F10" s="45"/>
      <c r="G10" s="46"/>
      <c r="H10" s="46"/>
      <c r="I10" s="78">
        <f t="shared" si="3"/>
        <v>0</v>
      </c>
      <c r="J10" s="78">
        <f t="shared" si="4"/>
        <v>0</v>
      </c>
      <c r="K10" s="89"/>
      <c r="L10" s="92">
        <f t="shared" si="5"/>
        <v>0</v>
      </c>
      <c r="M10" s="92" t="str">
        <f t="shared" si="6"/>
        <v>00</v>
      </c>
      <c r="N10" s="56">
        <f>SUMIF(Bevetel!$G$6:$G$1000,C10,Bevetel!$I$6:$I$1000)</f>
        <v>0</v>
      </c>
      <c r="O10" s="1">
        <f>SUMIF(Kiadas!$G$1006:$G$10000,C10,Kiadas!$I$1006:$I$10000)</f>
        <v>0</v>
      </c>
      <c r="R10" s="1">
        <f t="shared" si="7"/>
        <v>0</v>
      </c>
      <c r="S10" s="1">
        <f>SUMIF(Kiadas!$G$6:$G$1000,C10,Kiadas!$BA$6:$BA$1000)</f>
        <v>0</v>
      </c>
      <c r="T10" s="1">
        <f>SUMIF(Kiadas!$G$1006:$G$10000,C10,Kiadas!$BA$1006:$BA$10000)</f>
        <v>0</v>
      </c>
      <c r="U10" s="1">
        <f t="shared" si="8"/>
        <v>0</v>
      </c>
    </row>
    <row r="11" spans="1:21" ht="18" x14ac:dyDescent="0.25">
      <c r="A11" s="1">
        <f t="shared" si="0"/>
        <v>0</v>
      </c>
      <c r="B11" s="1">
        <f t="shared" si="1"/>
        <v>0</v>
      </c>
      <c r="C11" s="1" t="str">
        <f t="shared" si="2"/>
        <v>zzzzzzzzzzz</v>
      </c>
      <c r="D11" s="75">
        <v>7</v>
      </c>
      <c r="E11" s="51"/>
      <c r="F11" s="52"/>
      <c r="G11" s="46"/>
      <c r="H11" s="46"/>
      <c r="I11" s="78">
        <f t="shared" si="3"/>
        <v>0</v>
      </c>
      <c r="J11" s="78">
        <f t="shared" si="4"/>
        <v>0</v>
      </c>
      <c r="K11" s="89"/>
      <c r="L11" s="92">
        <f t="shared" si="5"/>
        <v>0</v>
      </c>
      <c r="M11" s="92" t="str">
        <f t="shared" si="6"/>
        <v>00</v>
      </c>
      <c r="N11" s="56">
        <f>SUMIF(Bevetel!$G$6:$G$1000,C11,Bevetel!$I$6:$I$1000)</f>
        <v>0</v>
      </c>
      <c r="O11" s="1">
        <f>SUMIF(Kiadas!$G$1006:$G$10000,C11,Kiadas!$I$1006:$I$10000)</f>
        <v>0</v>
      </c>
      <c r="R11" s="1">
        <f t="shared" si="7"/>
        <v>0</v>
      </c>
      <c r="S11" s="1">
        <f>SUMIF(Kiadas!$G$6:$G$1000,C11,Kiadas!$BA$6:$BA$1000)</f>
        <v>0</v>
      </c>
      <c r="T11" s="1">
        <f>SUMIF(Kiadas!$G$1006:$G$10000,C11,Kiadas!$BA$1006:$BA$10000)</f>
        <v>0</v>
      </c>
      <c r="U11" s="1">
        <f t="shared" si="8"/>
        <v>0</v>
      </c>
    </row>
    <row r="12" spans="1:21" ht="18" x14ac:dyDescent="0.25">
      <c r="A12" s="1">
        <f t="shared" si="0"/>
        <v>0</v>
      </c>
      <c r="B12" s="1">
        <f t="shared" si="1"/>
        <v>0</v>
      </c>
      <c r="C12" s="1" t="str">
        <f t="shared" si="2"/>
        <v>zzzzzzzzzzz</v>
      </c>
      <c r="D12" s="75">
        <v>8</v>
      </c>
      <c r="E12" s="51"/>
      <c r="F12" s="45"/>
      <c r="G12" s="46"/>
      <c r="H12" s="46"/>
      <c r="I12" s="78">
        <f t="shared" si="3"/>
        <v>0</v>
      </c>
      <c r="J12" s="78">
        <f t="shared" si="4"/>
        <v>0</v>
      </c>
      <c r="K12" s="89"/>
      <c r="L12" s="92">
        <f t="shared" si="5"/>
        <v>0</v>
      </c>
      <c r="M12" s="92" t="str">
        <f t="shared" si="6"/>
        <v>00</v>
      </c>
      <c r="N12" s="56">
        <f>SUMIF(Bevetel!$G$6:$G$1000,C12,Bevetel!$I$6:$I$1000)</f>
        <v>0</v>
      </c>
      <c r="O12" s="1">
        <f>SUMIF(Kiadas!$G$1006:$G$10000,C12,Kiadas!$I$1006:$I$10000)</f>
        <v>0</v>
      </c>
      <c r="R12" s="1">
        <f t="shared" si="7"/>
        <v>0</v>
      </c>
      <c r="S12" s="1">
        <f>SUMIF(Kiadas!$G$6:$G$1000,C12,Kiadas!$BA$6:$BA$1000)</f>
        <v>0</v>
      </c>
      <c r="T12" s="1">
        <f>SUMIF(Kiadas!$G$1006:$G$10000,C12,Kiadas!$BA$1006:$BA$10000)</f>
        <v>0</v>
      </c>
      <c r="U12" s="1">
        <f t="shared" si="8"/>
        <v>0</v>
      </c>
    </row>
    <row r="13" spans="1:21" ht="18" x14ac:dyDescent="0.25">
      <c r="A13" s="1">
        <f t="shared" si="0"/>
        <v>0</v>
      </c>
      <c r="B13" s="1">
        <f t="shared" si="1"/>
        <v>0</v>
      </c>
      <c r="C13" s="1" t="str">
        <f t="shared" si="2"/>
        <v>zzzzzzzzzzz</v>
      </c>
      <c r="D13" s="75">
        <v>9</v>
      </c>
      <c r="E13" s="45"/>
      <c r="F13" s="45"/>
      <c r="G13" s="46"/>
      <c r="H13" s="46"/>
      <c r="I13" s="78">
        <f t="shared" si="3"/>
        <v>0</v>
      </c>
      <c r="J13" s="78">
        <f t="shared" si="4"/>
        <v>0</v>
      </c>
      <c r="K13" s="89"/>
      <c r="L13" s="92">
        <f t="shared" si="5"/>
        <v>0</v>
      </c>
      <c r="M13" s="92" t="str">
        <f t="shared" si="6"/>
        <v>00</v>
      </c>
      <c r="N13" s="56">
        <f>SUMIF(Bevetel!$G$6:$G$1000,C13,Bevetel!$I$6:$I$1000)</f>
        <v>0</v>
      </c>
      <c r="O13" s="1">
        <f>SUMIF(Kiadas!$G$1006:$G$10000,C13,Kiadas!$I$1006:$I$10000)</f>
        <v>0</v>
      </c>
      <c r="R13" s="1">
        <f t="shared" si="7"/>
        <v>0</v>
      </c>
      <c r="S13" s="1">
        <f>SUMIF(Kiadas!$G$6:$G$1000,C13,Kiadas!$BA$6:$BA$1000)</f>
        <v>0</v>
      </c>
      <c r="T13" s="1">
        <f>SUMIF(Kiadas!$G$1006:$G$10000,C13,Kiadas!$BA$1006:$BA$10000)</f>
        <v>0</v>
      </c>
      <c r="U13" s="1">
        <f t="shared" si="8"/>
        <v>0</v>
      </c>
    </row>
    <row r="14" spans="1:21" ht="18" x14ac:dyDescent="0.25">
      <c r="A14" s="1">
        <f t="shared" si="0"/>
        <v>0</v>
      </c>
      <c r="B14" s="1">
        <f t="shared" si="1"/>
        <v>0</v>
      </c>
      <c r="C14" s="1" t="str">
        <f t="shared" si="2"/>
        <v>zzzzzzzzzzz</v>
      </c>
      <c r="D14" s="75">
        <v>10</v>
      </c>
      <c r="E14" s="45"/>
      <c r="F14" s="45"/>
      <c r="G14" s="46"/>
      <c r="H14" s="46"/>
      <c r="I14" s="78">
        <f t="shared" si="3"/>
        <v>0</v>
      </c>
      <c r="J14" s="78">
        <f t="shared" si="4"/>
        <v>0</v>
      </c>
      <c r="K14" s="89"/>
      <c r="L14" s="92">
        <f t="shared" si="5"/>
        <v>0</v>
      </c>
      <c r="M14" s="92" t="str">
        <f t="shared" si="6"/>
        <v>00</v>
      </c>
      <c r="N14" s="56">
        <f>SUMIF(Bevetel!$G$6:$G$1000,C14,Bevetel!$I$6:$I$1000)</f>
        <v>0</v>
      </c>
      <c r="O14" s="1">
        <f>SUMIF(Kiadas!$G$1006:$G$10000,C14,Kiadas!$I$1006:$I$10000)</f>
        <v>0</v>
      </c>
      <c r="R14" s="1">
        <f t="shared" si="7"/>
        <v>0</v>
      </c>
      <c r="S14" s="1">
        <f>SUMIF(Kiadas!$G$6:$G$1000,C14,Kiadas!$BA$6:$BA$1000)</f>
        <v>0</v>
      </c>
      <c r="T14" s="1">
        <f>SUMIF(Kiadas!$G$1006:$G$10000,C14,Kiadas!$BA$1006:$BA$10000)</f>
        <v>0</v>
      </c>
      <c r="U14" s="1">
        <f t="shared" si="8"/>
        <v>0</v>
      </c>
    </row>
    <row r="15" spans="1:21" ht="18" x14ac:dyDescent="0.25">
      <c r="A15" s="1">
        <f t="shared" si="0"/>
        <v>0</v>
      </c>
      <c r="B15" s="1">
        <f t="shared" si="1"/>
        <v>0</v>
      </c>
      <c r="C15" s="1" t="str">
        <f t="shared" si="2"/>
        <v>zzzzzzzzzzz</v>
      </c>
      <c r="D15" s="75">
        <v>11</v>
      </c>
      <c r="E15" s="45"/>
      <c r="F15" s="45"/>
      <c r="G15" s="46"/>
      <c r="H15" s="46"/>
      <c r="I15" s="78">
        <f t="shared" si="3"/>
        <v>0</v>
      </c>
      <c r="J15" s="78">
        <f t="shared" si="4"/>
        <v>0</v>
      </c>
      <c r="K15" s="89"/>
      <c r="L15" s="92">
        <f t="shared" si="5"/>
        <v>0</v>
      </c>
      <c r="M15" s="92" t="str">
        <f t="shared" si="6"/>
        <v>00</v>
      </c>
      <c r="N15" s="56">
        <f>SUMIF(Bevetel!$G$6:$G$1000,C15,Bevetel!$I$6:$I$1000)</f>
        <v>0</v>
      </c>
      <c r="O15" s="1">
        <f>SUMIF(Kiadas!$G$1006:$G$10000,C15,Kiadas!$I$1006:$I$10000)</f>
        <v>0</v>
      </c>
      <c r="R15" s="1">
        <f t="shared" si="7"/>
        <v>0</v>
      </c>
      <c r="S15" s="1">
        <f>SUMIF(Kiadas!$G$6:$G$1000,C15,Kiadas!$BA$6:$BA$1000)</f>
        <v>0</v>
      </c>
      <c r="T15" s="1">
        <f>SUMIF(Kiadas!$G$1006:$G$10000,C15,Kiadas!$BA$1006:$BA$10000)</f>
        <v>0</v>
      </c>
      <c r="U15" s="1">
        <f t="shared" si="8"/>
        <v>0</v>
      </c>
    </row>
    <row r="16" spans="1:21" ht="18" x14ac:dyDescent="0.25">
      <c r="A16" s="1">
        <f t="shared" si="0"/>
        <v>0</v>
      </c>
      <c r="B16" s="1">
        <f t="shared" si="1"/>
        <v>0</v>
      </c>
      <c r="C16" s="1" t="str">
        <f t="shared" si="2"/>
        <v>zzzzzzzzzzz</v>
      </c>
      <c r="D16" s="75">
        <v>12</v>
      </c>
      <c r="E16" s="45"/>
      <c r="F16" s="45"/>
      <c r="G16" s="46"/>
      <c r="H16" s="46"/>
      <c r="I16" s="78">
        <f t="shared" si="3"/>
        <v>0</v>
      </c>
      <c r="J16" s="78">
        <f t="shared" si="4"/>
        <v>0</v>
      </c>
      <c r="K16" s="89"/>
      <c r="L16" s="92">
        <f t="shared" si="5"/>
        <v>0</v>
      </c>
      <c r="M16" s="92" t="str">
        <f t="shared" si="6"/>
        <v>00</v>
      </c>
      <c r="N16" s="56">
        <f>SUMIF(Bevetel!$G$6:$G$1000,C16,Bevetel!$I$6:$I$1000)</f>
        <v>0</v>
      </c>
      <c r="O16" s="1">
        <f>SUMIF(Kiadas!$G$1006:$G$10000,C16,Kiadas!$I$1006:$I$10000)</f>
        <v>0</v>
      </c>
      <c r="R16" s="1">
        <f t="shared" si="7"/>
        <v>0</v>
      </c>
      <c r="S16" s="1">
        <f>SUMIF(Kiadas!$G$6:$G$1000,C16,Kiadas!$BA$6:$BA$1000)</f>
        <v>0</v>
      </c>
      <c r="T16" s="1">
        <f>SUMIF(Kiadas!$G$1006:$G$10000,C16,Kiadas!$BA$1006:$BA$10000)</f>
        <v>0</v>
      </c>
      <c r="U16" s="1">
        <f t="shared" si="8"/>
        <v>0</v>
      </c>
    </row>
    <row r="17" spans="1:21" ht="18" x14ac:dyDescent="0.25">
      <c r="A17" s="1">
        <f t="shared" si="0"/>
        <v>0</v>
      </c>
      <c r="B17" s="1">
        <f t="shared" si="1"/>
        <v>0</v>
      </c>
      <c r="C17" s="1" t="str">
        <f t="shared" si="2"/>
        <v>zzzzzzzzzzz</v>
      </c>
      <c r="D17" s="75">
        <v>13</v>
      </c>
      <c r="E17" s="45"/>
      <c r="F17" s="45"/>
      <c r="G17" s="46"/>
      <c r="H17" s="46"/>
      <c r="I17" s="78">
        <f t="shared" si="3"/>
        <v>0</v>
      </c>
      <c r="J17" s="78">
        <f t="shared" si="4"/>
        <v>0</v>
      </c>
      <c r="K17" s="89"/>
      <c r="L17" s="92">
        <f t="shared" si="5"/>
        <v>0</v>
      </c>
      <c r="M17" s="92" t="str">
        <f t="shared" si="6"/>
        <v>00</v>
      </c>
      <c r="N17" s="56">
        <f>SUMIF(Bevetel!$G$6:$G$1000,C17,Bevetel!$I$6:$I$1000)</f>
        <v>0</v>
      </c>
      <c r="O17" s="1">
        <f>SUMIF(Kiadas!$G$1006:$G$10000,C17,Kiadas!$I$1006:$I$10000)</f>
        <v>0</v>
      </c>
      <c r="R17" s="1">
        <f t="shared" si="7"/>
        <v>0</v>
      </c>
      <c r="S17" s="1">
        <f>SUMIF(Kiadas!$G$6:$G$1000,C17,Kiadas!$BA$6:$BA$1000)</f>
        <v>0</v>
      </c>
      <c r="T17" s="1">
        <f>SUMIF(Kiadas!$G$1006:$G$10000,C17,Kiadas!$BA$1006:$BA$10000)</f>
        <v>0</v>
      </c>
      <c r="U17" s="1">
        <f t="shared" si="8"/>
        <v>0</v>
      </c>
    </row>
    <row r="18" spans="1:21" ht="18" x14ac:dyDescent="0.25">
      <c r="A18" s="1">
        <f t="shared" si="0"/>
        <v>0</v>
      </c>
      <c r="B18" s="1">
        <f t="shared" si="1"/>
        <v>0</v>
      </c>
      <c r="C18" s="1" t="str">
        <f t="shared" si="2"/>
        <v>zzzzzzzzzzz</v>
      </c>
      <c r="D18" s="75">
        <v>14</v>
      </c>
      <c r="E18" s="45"/>
      <c r="F18" s="45"/>
      <c r="G18" s="46"/>
      <c r="H18" s="46"/>
      <c r="I18" s="78">
        <f t="shared" si="3"/>
        <v>0</v>
      </c>
      <c r="J18" s="78">
        <f t="shared" si="4"/>
        <v>0</v>
      </c>
      <c r="K18" s="89"/>
      <c r="L18" s="92">
        <f t="shared" si="5"/>
        <v>0</v>
      </c>
      <c r="M18" s="92" t="str">
        <f t="shared" si="6"/>
        <v>00</v>
      </c>
      <c r="N18" s="56">
        <f>SUMIF(Bevetel!$G$6:$G$1000,C18,Bevetel!$I$6:$I$1000)</f>
        <v>0</v>
      </c>
      <c r="O18" s="1">
        <f>SUMIF(Kiadas!$G$1006:$G$10000,C18,Kiadas!$I$1006:$I$10000)</f>
        <v>0</v>
      </c>
      <c r="R18" s="1">
        <f t="shared" si="7"/>
        <v>0</v>
      </c>
      <c r="S18" s="1">
        <f>SUMIF(Kiadas!$G$6:$G$1000,C18,Kiadas!$BA$6:$BA$1000)</f>
        <v>0</v>
      </c>
      <c r="T18" s="1">
        <f>SUMIF(Kiadas!$G$1006:$G$10000,C18,Kiadas!$BA$1006:$BA$10000)</f>
        <v>0</v>
      </c>
      <c r="U18" s="1">
        <f t="shared" si="8"/>
        <v>0</v>
      </c>
    </row>
    <row r="19" spans="1:21" ht="18" x14ac:dyDescent="0.25">
      <c r="A19" s="1">
        <f t="shared" si="0"/>
        <v>0</v>
      </c>
      <c r="B19" s="1">
        <f t="shared" si="1"/>
        <v>0</v>
      </c>
      <c r="C19" s="1" t="str">
        <f t="shared" si="2"/>
        <v>zzzzzzzzzzz</v>
      </c>
      <c r="D19" s="75">
        <v>15</v>
      </c>
      <c r="E19" s="45"/>
      <c r="F19" s="45"/>
      <c r="G19" s="46"/>
      <c r="H19" s="46"/>
      <c r="I19" s="78">
        <f t="shared" si="3"/>
        <v>0</v>
      </c>
      <c r="J19" s="78">
        <f t="shared" si="4"/>
        <v>0</v>
      </c>
      <c r="K19" s="89"/>
      <c r="L19" s="92">
        <f t="shared" si="5"/>
        <v>0</v>
      </c>
      <c r="M19" s="92" t="str">
        <f t="shared" si="6"/>
        <v>00</v>
      </c>
      <c r="N19" s="56">
        <f>SUMIF(Bevetel!$G$6:$G$1000,C19,Bevetel!$I$6:$I$1000)</f>
        <v>0</v>
      </c>
      <c r="O19" s="1">
        <f>SUMIF(Kiadas!$G$1006:$G$10000,C19,Kiadas!$I$1006:$I$10000)</f>
        <v>0</v>
      </c>
      <c r="R19" s="1">
        <f t="shared" si="7"/>
        <v>0</v>
      </c>
      <c r="S19" s="1">
        <f>SUMIF(Kiadas!$G$6:$G$1000,C19,Kiadas!$BA$6:$BA$1000)</f>
        <v>0</v>
      </c>
      <c r="T19" s="1">
        <f>SUMIF(Kiadas!$G$1006:$G$10000,C19,Kiadas!$BA$1006:$BA$10000)</f>
        <v>0</v>
      </c>
      <c r="U19" s="1">
        <f t="shared" si="8"/>
        <v>0</v>
      </c>
    </row>
    <row r="20" spans="1:21" ht="18" x14ac:dyDescent="0.25">
      <c r="A20" s="1">
        <f t="shared" si="0"/>
        <v>0</v>
      </c>
      <c r="B20" s="1">
        <f t="shared" si="1"/>
        <v>0</v>
      </c>
      <c r="C20" s="1" t="str">
        <f t="shared" si="2"/>
        <v>zzzzzzzzzzz</v>
      </c>
      <c r="D20" s="75">
        <v>16</v>
      </c>
      <c r="E20" s="45"/>
      <c r="F20" s="45"/>
      <c r="G20" s="46"/>
      <c r="H20" s="46"/>
      <c r="I20" s="78">
        <f t="shared" si="3"/>
        <v>0</v>
      </c>
      <c r="J20" s="78">
        <f t="shared" si="4"/>
        <v>0</v>
      </c>
      <c r="K20" s="89"/>
      <c r="L20" s="92">
        <f t="shared" si="5"/>
        <v>0</v>
      </c>
      <c r="M20" s="92" t="str">
        <f t="shared" si="6"/>
        <v>00</v>
      </c>
      <c r="N20" s="56">
        <f>SUMIF(Bevetel!$G$6:$G$1000,C20,Bevetel!$I$6:$I$1000)</f>
        <v>0</v>
      </c>
      <c r="O20" s="1">
        <f>SUMIF(Kiadas!$G$1006:$G$10000,C20,Kiadas!$I$1006:$I$10000)</f>
        <v>0</v>
      </c>
      <c r="R20" s="1">
        <f t="shared" si="7"/>
        <v>0</v>
      </c>
      <c r="S20" s="1">
        <f>SUMIF(Kiadas!$G$6:$G$1000,C20,Kiadas!$BA$6:$BA$1000)</f>
        <v>0</v>
      </c>
      <c r="T20" s="1">
        <f>SUMIF(Kiadas!$G$1006:$G$10000,C20,Kiadas!$BA$1006:$BA$10000)</f>
        <v>0</v>
      </c>
      <c r="U20" s="1">
        <f t="shared" si="8"/>
        <v>0</v>
      </c>
    </row>
    <row r="21" spans="1:21" ht="18" x14ac:dyDescent="0.25">
      <c r="A21" s="1">
        <f t="shared" si="0"/>
        <v>0</v>
      </c>
      <c r="B21" s="1">
        <f t="shared" si="1"/>
        <v>0</v>
      </c>
      <c r="C21" s="1" t="str">
        <f t="shared" si="2"/>
        <v>zzzzzzzzzzz</v>
      </c>
      <c r="D21" s="75">
        <v>17</v>
      </c>
      <c r="E21" s="45"/>
      <c r="F21" s="45"/>
      <c r="G21" s="46"/>
      <c r="H21" s="46"/>
      <c r="I21" s="78">
        <f t="shared" si="3"/>
        <v>0</v>
      </c>
      <c r="J21" s="78">
        <f t="shared" si="4"/>
        <v>0</v>
      </c>
      <c r="K21" s="89"/>
      <c r="L21" s="92">
        <f t="shared" si="5"/>
        <v>0</v>
      </c>
      <c r="M21" s="92" t="str">
        <f t="shared" si="6"/>
        <v>00</v>
      </c>
      <c r="N21" s="56">
        <f>SUMIF(Bevetel!$G$6:$G$1000,C21,Bevetel!$I$6:$I$1000)</f>
        <v>0</v>
      </c>
      <c r="O21" s="1">
        <f>SUMIF(Kiadas!$G$1006:$G$10000,C21,Kiadas!$I$1006:$I$10000)</f>
        <v>0</v>
      </c>
      <c r="R21" s="1">
        <f t="shared" si="7"/>
        <v>0</v>
      </c>
      <c r="S21" s="1">
        <f>SUMIF(Kiadas!$G$6:$G$1000,C21,Kiadas!$BA$6:$BA$1000)</f>
        <v>0</v>
      </c>
      <c r="T21" s="1">
        <f>SUMIF(Kiadas!$G$1006:$G$10000,C21,Kiadas!$BA$1006:$BA$10000)</f>
        <v>0</v>
      </c>
      <c r="U21" s="1">
        <f t="shared" si="8"/>
        <v>0</v>
      </c>
    </row>
    <row r="22" spans="1:21" ht="18" x14ac:dyDescent="0.25">
      <c r="A22" s="1">
        <f t="shared" si="0"/>
        <v>0</v>
      </c>
      <c r="B22" s="1">
        <f t="shared" si="1"/>
        <v>0</v>
      </c>
      <c r="C22" s="1" t="str">
        <f t="shared" si="2"/>
        <v>zzzzzzzzzzz</v>
      </c>
      <c r="D22" s="75">
        <v>18</v>
      </c>
      <c r="E22" s="45"/>
      <c r="F22" s="45"/>
      <c r="G22" s="46"/>
      <c r="H22" s="46"/>
      <c r="I22" s="78">
        <f t="shared" si="3"/>
        <v>0</v>
      </c>
      <c r="J22" s="78">
        <f t="shared" si="4"/>
        <v>0</v>
      </c>
      <c r="K22" s="89"/>
      <c r="L22" s="92">
        <f t="shared" si="5"/>
        <v>0</v>
      </c>
      <c r="M22" s="92" t="str">
        <f t="shared" si="6"/>
        <v>00</v>
      </c>
      <c r="N22" s="56">
        <f>SUMIF(Bevetel!$G$6:$G$1000,C22,Bevetel!$I$6:$I$1000)</f>
        <v>0</v>
      </c>
      <c r="O22" s="1">
        <f>SUMIF(Kiadas!$G$1006:$G$10000,C22,Kiadas!$I$1006:$I$10000)</f>
        <v>0</v>
      </c>
      <c r="R22" s="1">
        <f t="shared" si="7"/>
        <v>0</v>
      </c>
      <c r="S22" s="1">
        <f>SUMIF(Kiadas!$G$6:$G$1000,C22,Kiadas!$BA$6:$BA$1000)</f>
        <v>0</v>
      </c>
      <c r="T22" s="1">
        <f>SUMIF(Kiadas!$G$1006:$G$10000,C22,Kiadas!$BA$1006:$BA$10000)</f>
        <v>0</v>
      </c>
      <c r="U22" s="1">
        <f t="shared" si="8"/>
        <v>0</v>
      </c>
    </row>
    <row r="23" spans="1:21" ht="18" x14ac:dyDescent="0.25">
      <c r="A23" s="1">
        <f t="shared" si="0"/>
        <v>0</v>
      </c>
      <c r="B23" s="1">
        <f t="shared" si="1"/>
        <v>0</v>
      </c>
      <c r="C23" s="1" t="str">
        <f t="shared" si="2"/>
        <v>zzzzzzzzzzz</v>
      </c>
      <c r="D23" s="75">
        <v>19</v>
      </c>
      <c r="E23" s="45"/>
      <c r="F23" s="45"/>
      <c r="G23" s="46"/>
      <c r="H23" s="46"/>
      <c r="I23" s="78">
        <f t="shared" si="3"/>
        <v>0</v>
      </c>
      <c r="J23" s="78">
        <f t="shared" si="4"/>
        <v>0</v>
      </c>
      <c r="K23" s="89"/>
      <c r="L23" s="92">
        <f t="shared" si="5"/>
        <v>0</v>
      </c>
      <c r="M23" s="92" t="str">
        <f t="shared" si="6"/>
        <v>00</v>
      </c>
      <c r="N23" s="56">
        <f>SUMIF(Bevetel!$G$6:$G$1000,C23,Bevetel!$I$6:$I$1000)</f>
        <v>0</v>
      </c>
      <c r="O23" s="1">
        <f>SUMIF(Kiadas!$G$1006:$G$10000,C23,Kiadas!$I$1006:$I$10000)</f>
        <v>0</v>
      </c>
      <c r="R23" s="1">
        <f t="shared" si="7"/>
        <v>0</v>
      </c>
      <c r="S23" s="1">
        <f>SUMIF(Kiadas!$G$6:$G$1000,C23,Kiadas!$BA$6:$BA$1000)</f>
        <v>0</v>
      </c>
      <c r="T23" s="1">
        <f>SUMIF(Kiadas!$G$1006:$G$10000,C23,Kiadas!$BA$1006:$BA$10000)</f>
        <v>0</v>
      </c>
      <c r="U23" s="1">
        <f t="shared" si="8"/>
        <v>0</v>
      </c>
    </row>
    <row r="24" spans="1:21" ht="18" x14ac:dyDescent="0.25">
      <c r="A24" s="1">
        <f t="shared" si="0"/>
        <v>0</v>
      </c>
      <c r="B24" s="1">
        <f t="shared" si="1"/>
        <v>0</v>
      </c>
      <c r="C24" s="1" t="str">
        <f t="shared" si="2"/>
        <v>zzzzzzzzzzz</v>
      </c>
      <c r="D24" s="75">
        <v>20</v>
      </c>
      <c r="E24" s="45"/>
      <c r="F24" s="45"/>
      <c r="G24" s="46"/>
      <c r="H24" s="46"/>
      <c r="I24" s="78">
        <f t="shared" si="3"/>
        <v>0</v>
      </c>
      <c r="J24" s="78">
        <f t="shared" si="4"/>
        <v>0</v>
      </c>
      <c r="K24" s="89"/>
      <c r="L24" s="92">
        <f t="shared" si="5"/>
        <v>0</v>
      </c>
      <c r="M24" s="92" t="str">
        <f t="shared" si="6"/>
        <v>00</v>
      </c>
      <c r="N24" s="56">
        <f>SUMIF(Bevetel!$G$6:$G$1000,C24,Bevetel!$I$6:$I$1000)</f>
        <v>0</v>
      </c>
      <c r="O24" s="1">
        <f>SUMIF(Kiadas!$G$1006:$G$10000,C24,Kiadas!$I$1006:$I$10000)</f>
        <v>0</v>
      </c>
      <c r="R24" s="1">
        <f t="shared" si="7"/>
        <v>0</v>
      </c>
      <c r="S24" s="1">
        <f>SUMIF(Kiadas!$G$6:$G$1000,C24,Kiadas!$BA$6:$BA$1000)</f>
        <v>0</v>
      </c>
      <c r="T24" s="1">
        <f>SUMIF(Kiadas!$G$1006:$G$10000,C24,Kiadas!$BA$1006:$BA$10000)</f>
        <v>0</v>
      </c>
      <c r="U24" s="1">
        <f t="shared" si="8"/>
        <v>0</v>
      </c>
    </row>
    <row r="25" spans="1:21" ht="18" x14ac:dyDescent="0.25">
      <c r="A25" s="1">
        <f t="shared" si="0"/>
        <v>0</v>
      </c>
      <c r="B25" s="1">
        <f t="shared" si="1"/>
        <v>0</v>
      </c>
      <c r="C25" s="1" t="str">
        <f t="shared" si="2"/>
        <v>zzzzzzzzzzz</v>
      </c>
      <c r="D25" s="75">
        <v>21</v>
      </c>
      <c r="E25" s="45"/>
      <c r="F25" s="45"/>
      <c r="G25" s="46"/>
      <c r="H25" s="46"/>
      <c r="I25" s="78">
        <f t="shared" si="3"/>
        <v>0</v>
      </c>
      <c r="J25" s="78">
        <f t="shared" si="4"/>
        <v>0</v>
      </c>
      <c r="K25" s="89"/>
      <c r="L25" s="92">
        <f t="shared" si="5"/>
        <v>0</v>
      </c>
      <c r="M25" s="92" t="str">
        <f t="shared" si="6"/>
        <v>00</v>
      </c>
      <c r="N25" s="56">
        <f>SUMIF(Bevetel!$G$6:$G$1000,C25,Bevetel!$I$6:$I$1000)</f>
        <v>0</v>
      </c>
      <c r="O25" s="1">
        <f>SUMIF(Kiadas!$G$1006:$G$10000,C25,Kiadas!$I$1006:$I$10000)</f>
        <v>0</v>
      </c>
      <c r="R25" s="1">
        <f t="shared" si="7"/>
        <v>0</v>
      </c>
      <c r="S25" s="1">
        <f>SUMIF(Kiadas!$G$6:$G$1000,C25,Kiadas!$BA$6:$BA$1000)</f>
        <v>0</v>
      </c>
      <c r="T25" s="1">
        <f>SUMIF(Kiadas!$G$1006:$G$10000,C25,Kiadas!$BA$1006:$BA$10000)</f>
        <v>0</v>
      </c>
      <c r="U25" s="1">
        <f t="shared" si="8"/>
        <v>0</v>
      </c>
    </row>
    <row r="26" spans="1:21" ht="18" x14ac:dyDescent="0.25">
      <c r="A26" s="1">
        <f t="shared" si="0"/>
        <v>0</v>
      </c>
      <c r="B26" s="1">
        <f t="shared" si="1"/>
        <v>0</v>
      </c>
      <c r="C26" s="1" t="str">
        <f t="shared" si="2"/>
        <v>zzzzzzzzzzz</v>
      </c>
      <c r="D26" s="75">
        <v>22</v>
      </c>
      <c r="E26" s="45"/>
      <c r="F26" s="45"/>
      <c r="G26" s="46"/>
      <c r="H26" s="46"/>
      <c r="I26" s="78">
        <f t="shared" si="3"/>
        <v>0</v>
      </c>
      <c r="J26" s="78">
        <f t="shared" si="4"/>
        <v>0</v>
      </c>
      <c r="K26" s="89"/>
      <c r="L26" s="92">
        <f t="shared" si="5"/>
        <v>0</v>
      </c>
      <c r="M26" s="92" t="str">
        <f t="shared" si="6"/>
        <v>00</v>
      </c>
      <c r="N26" s="56">
        <f>SUMIF(Bevetel!$G$6:$G$1000,C26,Bevetel!$I$6:$I$1000)</f>
        <v>0</v>
      </c>
      <c r="O26" s="1">
        <f>SUMIF(Kiadas!$G$1006:$G$10000,C26,Kiadas!$I$1006:$I$10000)</f>
        <v>0</v>
      </c>
      <c r="R26" s="1">
        <f t="shared" si="7"/>
        <v>0</v>
      </c>
      <c r="S26" s="1">
        <f>SUMIF(Kiadas!$G$6:$G$1000,C26,Kiadas!$BA$6:$BA$1000)</f>
        <v>0</v>
      </c>
      <c r="T26" s="1">
        <f>SUMIF(Kiadas!$G$1006:$G$10000,C26,Kiadas!$BA$1006:$BA$10000)</f>
        <v>0</v>
      </c>
      <c r="U26" s="1">
        <f t="shared" si="8"/>
        <v>0</v>
      </c>
    </row>
    <row r="27" spans="1:21" ht="18" x14ac:dyDescent="0.25">
      <c r="A27" s="1">
        <f t="shared" si="0"/>
        <v>0</v>
      </c>
      <c r="B27" s="1">
        <f t="shared" si="1"/>
        <v>0</v>
      </c>
      <c r="C27" s="1" t="str">
        <f t="shared" si="2"/>
        <v>zzzzzzzzzzz</v>
      </c>
      <c r="D27" s="75">
        <v>23</v>
      </c>
      <c r="E27" s="45"/>
      <c r="F27" s="45"/>
      <c r="G27" s="46"/>
      <c r="H27" s="46"/>
      <c r="I27" s="78">
        <f t="shared" si="3"/>
        <v>0</v>
      </c>
      <c r="J27" s="78">
        <f t="shared" si="4"/>
        <v>0</v>
      </c>
      <c r="K27" s="89"/>
      <c r="L27" s="92">
        <f t="shared" si="5"/>
        <v>0</v>
      </c>
      <c r="M27" s="92" t="str">
        <f t="shared" si="6"/>
        <v>00</v>
      </c>
      <c r="N27" s="56">
        <f>SUMIF(Bevetel!$G$6:$G$1000,C27,Bevetel!$I$6:$I$1000)</f>
        <v>0</v>
      </c>
      <c r="O27" s="1">
        <f>SUMIF(Kiadas!$G$1006:$G$10000,C27,Kiadas!$I$1006:$I$10000)</f>
        <v>0</v>
      </c>
      <c r="R27" s="1">
        <f t="shared" si="7"/>
        <v>0</v>
      </c>
      <c r="S27" s="1">
        <f>SUMIF(Kiadas!$G$6:$G$1000,C27,Kiadas!$BA$6:$BA$1000)</f>
        <v>0</v>
      </c>
      <c r="T27" s="1">
        <f>SUMIF(Kiadas!$G$1006:$G$10000,C27,Kiadas!$BA$1006:$BA$10000)</f>
        <v>0</v>
      </c>
      <c r="U27" s="1">
        <f t="shared" si="8"/>
        <v>0</v>
      </c>
    </row>
    <row r="28" spans="1:21" ht="18" x14ac:dyDescent="0.25">
      <c r="A28" s="1">
        <f t="shared" si="0"/>
        <v>0</v>
      </c>
      <c r="B28" s="1">
        <f t="shared" si="1"/>
        <v>0</v>
      </c>
      <c r="C28" s="1" t="str">
        <f t="shared" si="2"/>
        <v>zzzzzzzzzzz</v>
      </c>
      <c r="D28" s="75">
        <v>24</v>
      </c>
      <c r="E28" s="45"/>
      <c r="F28" s="45"/>
      <c r="G28" s="46"/>
      <c r="H28" s="46"/>
      <c r="I28" s="78">
        <f t="shared" si="3"/>
        <v>0</v>
      </c>
      <c r="J28" s="78">
        <f t="shared" si="4"/>
        <v>0</v>
      </c>
      <c r="K28" s="89"/>
      <c r="L28" s="92">
        <f t="shared" si="5"/>
        <v>0</v>
      </c>
      <c r="M28" s="92" t="str">
        <f t="shared" si="6"/>
        <v>00</v>
      </c>
      <c r="N28" s="56">
        <f>SUMIF(Bevetel!$G$6:$G$1000,C28,Bevetel!$I$6:$I$1000)</f>
        <v>0</v>
      </c>
      <c r="O28" s="1">
        <f>SUMIF(Kiadas!$G$1006:$G$10000,C28,Kiadas!$I$1006:$I$10000)</f>
        <v>0</v>
      </c>
      <c r="R28" s="1">
        <f t="shared" si="7"/>
        <v>0</v>
      </c>
      <c r="S28" s="1">
        <f>SUMIF(Kiadas!$G$6:$G$1000,C28,Kiadas!$BA$6:$BA$1000)</f>
        <v>0</v>
      </c>
      <c r="T28" s="1">
        <f>SUMIF(Kiadas!$G$1006:$G$10000,C28,Kiadas!$BA$1006:$BA$10000)</f>
        <v>0</v>
      </c>
      <c r="U28" s="1">
        <f t="shared" si="8"/>
        <v>0</v>
      </c>
    </row>
    <row r="29" spans="1:21" ht="18" x14ac:dyDescent="0.25">
      <c r="A29" s="1">
        <f t="shared" si="0"/>
        <v>0</v>
      </c>
      <c r="B29" s="1">
        <f t="shared" si="1"/>
        <v>0</v>
      </c>
      <c r="C29" s="1" t="str">
        <f t="shared" si="2"/>
        <v>zzzzzzzzzzz</v>
      </c>
      <c r="D29" s="75">
        <v>25</v>
      </c>
      <c r="E29" s="45"/>
      <c r="F29" s="45"/>
      <c r="G29" s="46"/>
      <c r="H29" s="46"/>
      <c r="I29" s="78">
        <f t="shared" si="3"/>
        <v>0</v>
      </c>
      <c r="J29" s="78">
        <f t="shared" si="4"/>
        <v>0</v>
      </c>
      <c r="K29" s="89"/>
      <c r="L29" s="92">
        <f t="shared" si="5"/>
        <v>0</v>
      </c>
      <c r="M29" s="92" t="str">
        <f t="shared" si="6"/>
        <v>00</v>
      </c>
      <c r="N29" s="56">
        <f>SUMIF(Bevetel!$G$6:$G$1000,C29,Bevetel!$I$6:$I$1000)</f>
        <v>0</v>
      </c>
      <c r="O29" s="1">
        <f>SUMIF(Kiadas!$G$1006:$G$10000,C29,Kiadas!$I$1006:$I$10000)</f>
        <v>0</v>
      </c>
      <c r="R29" s="1">
        <f t="shared" si="7"/>
        <v>0</v>
      </c>
      <c r="S29" s="1">
        <f>SUMIF(Kiadas!$G$6:$G$1000,C29,Kiadas!$BA$6:$BA$1000)</f>
        <v>0</v>
      </c>
      <c r="T29" s="1">
        <f>SUMIF(Kiadas!$G$1006:$G$10000,C29,Kiadas!$BA$1006:$BA$10000)</f>
        <v>0</v>
      </c>
      <c r="U29" s="1">
        <f t="shared" si="8"/>
        <v>0</v>
      </c>
    </row>
    <row r="30" spans="1:21" ht="18" x14ac:dyDescent="0.25">
      <c r="A30" s="1">
        <f t="shared" si="0"/>
        <v>0</v>
      </c>
      <c r="B30" s="1">
        <f t="shared" si="1"/>
        <v>0</v>
      </c>
      <c r="C30" s="1" t="str">
        <f t="shared" si="2"/>
        <v>zzzzzzzzzzz</v>
      </c>
      <c r="D30" s="75">
        <v>26</v>
      </c>
      <c r="E30" s="45"/>
      <c r="F30" s="45"/>
      <c r="G30" s="46"/>
      <c r="H30" s="46"/>
      <c r="I30" s="78">
        <f t="shared" si="3"/>
        <v>0</v>
      </c>
      <c r="J30" s="78">
        <f t="shared" si="4"/>
        <v>0</v>
      </c>
      <c r="K30" s="89"/>
      <c r="L30" s="92">
        <f t="shared" si="5"/>
        <v>0</v>
      </c>
      <c r="M30" s="92" t="str">
        <f t="shared" si="6"/>
        <v>00</v>
      </c>
      <c r="N30" s="56">
        <f>SUMIF(Bevetel!$G$6:$G$1000,C30,Bevetel!$I$6:$I$1000)</f>
        <v>0</v>
      </c>
      <c r="O30" s="1">
        <f>SUMIF(Kiadas!$G$1006:$G$10000,C30,Kiadas!$I$1006:$I$10000)</f>
        <v>0</v>
      </c>
      <c r="R30" s="1">
        <f t="shared" si="7"/>
        <v>0</v>
      </c>
      <c r="S30" s="1">
        <f>SUMIF(Kiadas!$G$6:$G$1000,C30,Kiadas!$BA$6:$BA$1000)</f>
        <v>0</v>
      </c>
      <c r="T30" s="1">
        <f>SUMIF(Kiadas!$G$1006:$G$10000,C30,Kiadas!$BA$1006:$BA$10000)</f>
        <v>0</v>
      </c>
      <c r="U30" s="1">
        <f t="shared" si="8"/>
        <v>0</v>
      </c>
    </row>
    <row r="31" spans="1:21" ht="18" x14ac:dyDescent="0.25">
      <c r="A31" s="1">
        <f t="shared" si="0"/>
        <v>0</v>
      </c>
      <c r="B31" s="1">
        <f t="shared" si="1"/>
        <v>0</v>
      </c>
      <c r="C31" s="1" t="str">
        <f t="shared" si="2"/>
        <v>zzzzzzzzzzz</v>
      </c>
      <c r="D31" s="75">
        <v>27</v>
      </c>
      <c r="E31" s="45"/>
      <c r="F31" s="45"/>
      <c r="G31" s="46"/>
      <c r="H31" s="46"/>
      <c r="I31" s="78">
        <f t="shared" si="3"/>
        <v>0</v>
      </c>
      <c r="J31" s="78">
        <f t="shared" si="4"/>
        <v>0</v>
      </c>
      <c r="K31" s="89"/>
      <c r="L31" s="92">
        <f t="shared" si="5"/>
        <v>0</v>
      </c>
      <c r="M31" s="92" t="str">
        <f t="shared" si="6"/>
        <v>00</v>
      </c>
      <c r="N31" s="56">
        <f>SUMIF(Bevetel!$G$6:$G$1000,C31,Bevetel!$I$6:$I$1000)</f>
        <v>0</v>
      </c>
      <c r="O31" s="1">
        <f>SUMIF(Kiadas!$G$1006:$G$10000,C31,Kiadas!$I$1006:$I$10000)</f>
        <v>0</v>
      </c>
      <c r="R31" s="1">
        <f t="shared" si="7"/>
        <v>0</v>
      </c>
      <c r="S31" s="1">
        <f>SUMIF(Kiadas!$G$6:$G$1000,C31,Kiadas!$BA$6:$BA$1000)</f>
        <v>0</v>
      </c>
      <c r="T31" s="1">
        <f>SUMIF(Kiadas!$G$1006:$G$10000,C31,Kiadas!$BA$1006:$BA$10000)</f>
        <v>0</v>
      </c>
      <c r="U31" s="1">
        <f t="shared" si="8"/>
        <v>0</v>
      </c>
    </row>
    <row r="32" spans="1:21" ht="18" x14ac:dyDescent="0.25">
      <c r="A32" s="1">
        <f t="shared" si="0"/>
        <v>0</v>
      </c>
      <c r="B32" s="1">
        <f t="shared" si="1"/>
        <v>0</v>
      </c>
      <c r="C32" s="1" t="str">
        <f t="shared" si="2"/>
        <v>zzzzzzzzzzz</v>
      </c>
      <c r="D32" s="75">
        <v>28</v>
      </c>
      <c r="E32" s="45"/>
      <c r="F32" s="45"/>
      <c r="G32" s="46"/>
      <c r="H32" s="46"/>
      <c r="I32" s="78">
        <f t="shared" si="3"/>
        <v>0</v>
      </c>
      <c r="J32" s="78">
        <f t="shared" si="4"/>
        <v>0</v>
      </c>
      <c r="K32" s="89"/>
      <c r="L32" s="92">
        <f t="shared" si="5"/>
        <v>0</v>
      </c>
      <c r="M32" s="92" t="str">
        <f t="shared" si="6"/>
        <v>00</v>
      </c>
      <c r="N32" s="56">
        <f>SUMIF(Bevetel!$G$6:$G$1000,C32,Bevetel!$I$6:$I$1000)</f>
        <v>0</v>
      </c>
      <c r="O32" s="1">
        <f>SUMIF(Kiadas!$G$1006:$G$10000,C32,Kiadas!$I$1006:$I$10000)</f>
        <v>0</v>
      </c>
      <c r="R32" s="1">
        <f t="shared" si="7"/>
        <v>0</v>
      </c>
      <c r="S32" s="1">
        <f>SUMIF(Kiadas!$G$6:$G$1000,C32,Kiadas!$BA$6:$BA$1000)</f>
        <v>0</v>
      </c>
      <c r="T32" s="1">
        <f>SUMIF(Kiadas!$G$1006:$G$10000,C32,Kiadas!$BA$1006:$BA$10000)</f>
        <v>0</v>
      </c>
      <c r="U32" s="1">
        <f t="shared" si="8"/>
        <v>0</v>
      </c>
    </row>
    <row r="33" spans="1:21" ht="18" x14ac:dyDescent="0.25">
      <c r="A33" s="1">
        <f t="shared" si="0"/>
        <v>0</v>
      </c>
      <c r="B33" s="1">
        <f t="shared" si="1"/>
        <v>0</v>
      </c>
      <c r="C33" s="1" t="str">
        <f t="shared" si="2"/>
        <v>zzzzzzzzzzz</v>
      </c>
      <c r="D33" s="75">
        <v>29</v>
      </c>
      <c r="E33" s="45"/>
      <c r="F33" s="45"/>
      <c r="G33" s="46"/>
      <c r="H33" s="46"/>
      <c r="I33" s="78">
        <f t="shared" si="3"/>
        <v>0</v>
      </c>
      <c r="J33" s="78">
        <f t="shared" si="4"/>
        <v>0</v>
      </c>
      <c r="K33" s="89"/>
      <c r="L33" s="92">
        <f t="shared" si="5"/>
        <v>0</v>
      </c>
      <c r="M33" s="92" t="str">
        <f t="shared" si="6"/>
        <v>00</v>
      </c>
      <c r="N33" s="56">
        <f>SUMIF(Bevetel!$G$6:$G$1000,C33,Bevetel!$I$6:$I$1000)</f>
        <v>0</v>
      </c>
      <c r="O33" s="1">
        <f>SUMIF(Kiadas!$G$1006:$G$10000,C33,Kiadas!$I$1006:$I$10000)</f>
        <v>0</v>
      </c>
      <c r="R33" s="1">
        <f t="shared" si="7"/>
        <v>0</v>
      </c>
      <c r="S33" s="1">
        <f>SUMIF(Kiadas!$G$6:$G$1000,C33,Kiadas!$BA$6:$BA$1000)</f>
        <v>0</v>
      </c>
      <c r="T33" s="1">
        <f>SUMIF(Kiadas!$G$1006:$G$10000,C33,Kiadas!$BA$1006:$BA$10000)</f>
        <v>0</v>
      </c>
      <c r="U33" s="1">
        <f t="shared" si="8"/>
        <v>0</v>
      </c>
    </row>
    <row r="34" spans="1:21" ht="18" x14ac:dyDescent="0.25">
      <c r="A34" s="1">
        <f t="shared" si="0"/>
        <v>0</v>
      </c>
      <c r="B34" s="1">
        <f t="shared" si="1"/>
        <v>0</v>
      </c>
      <c r="C34" s="1" t="str">
        <f t="shared" si="2"/>
        <v>zzzzzzzzzzz</v>
      </c>
      <c r="D34" s="75">
        <v>30</v>
      </c>
      <c r="E34" s="45"/>
      <c r="F34" s="45"/>
      <c r="G34" s="46"/>
      <c r="H34" s="46"/>
      <c r="I34" s="78">
        <f t="shared" si="3"/>
        <v>0</v>
      </c>
      <c r="J34" s="78">
        <f t="shared" si="4"/>
        <v>0</v>
      </c>
      <c r="K34" s="89"/>
      <c r="L34" s="92">
        <f t="shared" si="5"/>
        <v>0</v>
      </c>
      <c r="M34" s="92" t="str">
        <f t="shared" si="6"/>
        <v>00</v>
      </c>
      <c r="N34" s="56">
        <f>SUMIF(Bevetel!$G$6:$G$1000,C34,Bevetel!$I$6:$I$1000)</f>
        <v>0</v>
      </c>
      <c r="O34" s="1">
        <f>SUMIF(Kiadas!$G$1006:$G$10000,C34,Kiadas!$I$1006:$I$10000)</f>
        <v>0</v>
      </c>
      <c r="R34" s="1">
        <f t="shared" si="7"/>
        <v>0</v>
      </c>
      <c r="S34" s="1">
        <f>SUMIF(Kiadas!$G$6:$G$1000,C34,Kiadas!$BA$6:$BA$1000)</f>
        <v>0</v>
      </c>
      <c r="T34" s="1">
        <f>SUMIF(Kiadas!$G$1006:$G$10000,C34,Kiadas!$BA$1006:$BA$10000)</f>
        <v>0</v>
      </c>
      <c r="U34" s="1">
        <f t="shared" si="8"/>
        <v>0</v>
      </c>
    </row>
    <row r="35" spans="1:21" ht="18" x14ac:dyDescent="0.25">
      <c r="A35" s="1">
        <f t="shared" si="0"/>
        <v>0</v>
      </c>
      <c r="B35" s="1">
        <f t="shared" si="1"/>
        <v>0</v>
      </c>
      <c r="C35" s="1" t="str">
        <f t="shared" si="2"/>
        <v>zzzzzzzzzzz</v>
      </c>
      <c r="D35" s="75">
        <v>31</v>
      </c>
      <c r="E35" s="45"/>
      <c r="F35" s="45"/>
      <c r="G35" s="46"/>
      <c r="H35" s="46"/>
      <c r="I35" s="78">
        <f t="shared" si="3"/>
        <v>0</v>
      </c>
      <c r="J35" s="78">
        <f t="shared" si="4"/>
        <v>0</v>
      </c>
      <c r="K35" s="89"/>
      <c r="L35" s="92">
        <f t="shared" si="5"/>
        <v>0</v>
      </c>
      <c r="M35" s="92" t="str">
        <f t="shared" si="6"/>
        <v>00</v>
      </c>
      <c r="N35" s="56">
        <f>SUMIF(Bevetel!$G$6:$G$1000,C35,Bevetel!$I$6:$I$1000)</f>
        <v>0</v>
      </c>
      <c r="O35" s="1">
        <f>SUMIF(Kiadas!$G$1006:$G$10000,C35,Kiadas!$I$1006:$I$10000)</f>
        <v>0</v>
      </c>
      <c r="R35" s="1">
        <f t="shared" si="7"/>
        <v>0</v>
      </c>
      <c r="S35" s="1">
        <f>SUMIF(Kiadas!$G$6:$G$1000,C35,Kiadas!$BA$6:$BA$1000)</f>
        <v>0</v>
      </c>
      <c r="T35" s="1">
        <f>SUMIF(Kiadas!$G$1006:$G$10000,C35,Kiadas!$BA$1006:$BA$10000)</f>
        <v>0</v>
      </c>
      <c r="U35" s="1">
        <f t="shared" si="8"/>
        <v>0</v>
      </c>
    </row>
    <row r="36" spans="1:21" ht="18" x14ac:dyDescent="0.25">
      <c r="A36" s="1">
        <f t="shared" si="0"/>
        <v>0</v>
      </c>
      <c r="B36" s="1">
        <f t="shared" si="1"/>
        <v>0</v>
      </c>
      <c r="C36" s="1" t="str">
        <f t="shared" si="2"/>
        <v>zzzzzzzzzzz</v>
      </c>
      <c r="D36" s="75">
        <v>32</v>
      </c>
      <c r="E36" s="45"/>
      <c r="F36" s="45"/>
      <c r="G36" s="46"/>
      <c r="H36" s="46"/>
      <c r="I36" s="78">
        <f t="shared" si="3"/>
        <v>0</v>
      </c>
      <c r="J36" s="78">
        <f t="shared" si="4"/>
        <v>0</v>
      </c>
      <c r="K36" s="89"/>
      <c r="L36" s="92">
        <f t="shared" si="5"/>
        <v>0</v>
      </c>
      <c r="M36" s="92" t="str">
        <f t="shared" si="6"/>
        <v>00</v>
      </c>
      <c r="N36" s="56">
        <f>SUMIF(Bevetel!$G$6:$G$1000,C36,Bevetel!$I$6:$I$1000)</f>
        <v>0</v>
      </c>
      <c r="O36" s="1">
        <f>SUMIF(Kiadas!$G$1006:$G$10000,C36,Kiadas!$I$1006:$I$10000)</f>
        <v>0</v>
      </c>
      <c r="R36" s="1">
        <f t="shared" si="7"/>
        <v>0</v>
      </c>
      <c r="S36" s="1">
        <f>SUMIF(Kiadas!$G$6:$G$1000,C36,Kiadas!$BA$6:$BA$1000)</f>
        <v>0</v>
      </c>
      <c r="T36" s="1">
        <f>SUMIF(Kiadas!$G$1006:$G$10000,C36,Kiadas!$BA$1006:$BA$10000)</f>
        <v>0</v>
      </c>
      <c r="U36" s="1">
        <f t="shared" si="8"/>
        <v>0</v>
      </c>
    </row>
    <row r="37" spans="1:21" ht="18" x14ac:dyDescent="0.25">
      <c r="A37" s="1">
        <f t="shared" si="0"/>
        <v>0</v>
      </c>
      <c r="B37" s="1">
        <f t="shared" si="1"/>
        <v>0</v>
      </c>
      <c r="C37" s="1" t="str">
        <f t="shared" si="2"/>
        <v>zzzzzzzzzzz</v>
      </c>
      <c r="D37" s="75">
        <v>33</v>
      </c>
      <c r="E37" s="45"/>
      <c r="F37" s="45"/>
      <c r="G37" s="46"/>
      <c r="H37" s="46"/>
      <c r="I37" s="78">
        <f t="shared" si="3"/>
        <v>0</v>
      </c>
      <c r="J37" s="78">
        <f t="shared" si="4"/>
        <v>0</v>
      </c>
      <c r="K37" s="89"/>
      <c r="L37" s="92">
        <f t="shared" si="5"/>
        <v>0</v>
      </c>
      <c r="M37" s="92" t="str">
        <f t="shared" si="6"/>
        <v>00</v>
      </c>
      <c r="N37" s="56">
        <f>SUMIF(Bevetel!$G$6:$G$1000,C37,Bevetel!$I$6:$I$1000)</f>
        <v>0</v>
      </c>
      <c r="O37" s="1">
        <f>SUMIF(Kiadas!$G$1006:$G$10000,C37,Kiadas!$I$1006:$I$10000)</f>
        <v>0</v>
      </c>
      <c r="R37" s="1">
        <f t="shared" si="7"/>
        <v>0</v>
      </c>
      <c r="S37" s="1">
        <f>SUMIF(Kiadas!$G$6:$G$1000,C37,Kiadas!$BA$6:$BA$1000)</f>
        <v>0</v>
      </c>
      <c r="T37" s="1">
        <f>SUMIF(Kiadas!$G$1006:$G$10000,C37,Kiadas!$BA$1006:$BA$10000)</f>
        <v>0</v>
      </c>
      <c r="U37" s="1">
        <f t="shared" si="8"/>
        <v>0</v>
      </c>
    </row>
    <row r="38" spans="1:21" ht="18" x14ac:dyDescent="0.25">
      <c r="A38" s="1">
        <f t="shared" si="0"/>
        <v>0</v>
      </c>
      <c r="B38" s="1">
        <f t="shared" si="1"/>
        <v>0</v>
      </c>
      <c r="C38" s="1" t="str">
        <f t="shared" si="2"/>
        <v>zzzzzzzzzzz</v>
      </c>
      <c r="D38" s="75">
        <v>34</v>
      </c>
      <c r="E38" s="45"/>
      <c r="F38" s="45"/>
      <c r="G38" s="46"/>
      <c r="H38" s="46"/>
      <c r="I38" s="78">
        <f t="shared" si="3"/>
        <v>0</v>
      </c>
      <c r="J38" s="78">
        <f t="shared" si="4"/>
        <v>0</v>
      </c>
      <c r="K38" s="89"/>
      <c r="L38" s="92">
        <f t="shared" si="5"/>
        <v>0</v>
      </c>
      <c r="M38" s="92" t="str">
        <f t="shared" si="6"/>
        <v>00</v>
      </c>
      <c r="N38" s="56">
        <f>SUMIF(Bevetel!$G$6:$G$1000,C38,Bevetel!$I$6:$I$1000)</f>
        <v>0</v>
      </c>
      <c r="O38" s="1">
        <f>SUMIF(Kiadas!$G$1006:$G$10000,C38,Kiadas!$I$1006:$I$10000)</f>
        <v>0</v>
      </c>
      <c r="R38" s="1">
        <f t="shared" si="7"/>
        <v>0</v>
      </c>
      <c r="S38" s="1">
        <f>SUMIF(Kiadas!$G$6:$G$1000,C38,Kiadas!$BA$6:$BA$1000)</f>
        <v>0</v>
      </c>
      <c r="T38" s="1">
        <f>SUMIF(Kiadas!$G$1006:$G$10000,C38,Kiadas!$BA$1006:$BA$10000)</f>
        <v>0</v>
      </c>
      <c r="U38" s="1">
        <f t="shared" si="8"/>
        <v>0</v>
      </c>
    </row>
    <row r="39" spans="1:21" ht="18" x14ac:dyDescent="0.25">
      <c r="A39" s="1">
        <f t="shared" si="0"/>
        <v>0</v>
      </c>
      <c r="B39" s="1">
        <f t="shared" si="1"/>
        <v>0</v>
      </c>
      <c r="C39" s="1" t="str">
        <f t="shared" si="2"/>
        <v>zzzzzzzzzzz</v>
      </c>
      <c r="D39" s="75">
        <v>35</v>
      </c>
      <c r="E39" s="45"/>
      <c r="F39" s="45"/>
      <c r="G39" s="46"/>
      <c r="H39" s="46"/>
      <c r="I39" s="78">
        <f t="shared" si="3"/>
        <v>0</v>
      </c>
      <c r="J39" s="78">
        <f t="shared" si="4"/>
        <v>0</v>
      </c>
      <c r="K39" s="89"/>
      <c r="L39" s="92">
        <f t="shared" si="5"/>
        <v>0</v>
      </c>
      <c r="M39" s="92" t="str">
        <f t="shared" si="6"/>
        <v>00</v>
      </c>
      <c r="N39" s="56">
        <f>SUMIF(Bevetel!$G$6:$G$1000,C39,Bevetel!$I$6:$I$1000)</f>
        <v>0</v>
      </c>
      <c r="O39" s="1">
        <f>SUMIF(Kiadas!$G$1006:$G$10000,C39,Kiadas!$I$1006:$I$10000)</f>
        <v>0</v>
      </c>
      <c r="R39" s="1">
        <f t="shared" si="7"/>
        <v>0</v>
      </c>
      <c r="S39" s="1">
        <f>SUMIF(Kiadas!$G$6:$G$1000,C39,Kiadas!$BA$6:$BA$1000)</f>
        <v>0</v>
      </c>
      <c r="T39" s="1">
        <f>SUMIF(Kiadas!$G$1006:$G$10000,C39,Kiadas!$BA$1006:$BA$10000)</f>
        <v>0</v>
      </c>
      <c r="U39" s="1">
        <f t="shared" si="8"/>
        <v>0</v>
      </c>
    </row>
    <row r="40" spans="1:21" ht="18" x14ac:dyDescent="0.25">
      <c r="A40" s="1">
        <f t="shared" si="0"/>
        <v>0</v>
      </c>
      <c r="B40" s="1">
        <f t="shared" si="1"/>
        <v>0</v>
      </c>
      <c r="C40" s="1" t="str">
        <f t="shared" si="2"/>
        <v>zzzzzzzzzzz</v>
      </c>
      <c r="D40" s="75">
        <v>36</v>
      </c>
      <c r="E40" s="45"/>
      <c r="F40" s="45"/>
      <c r="G40" s="46"/>
      <c r="H40" s="46"/>
      <c r="I40" s="78">
        <f t="shared" si="3"/>
        <v>0</v>
      </c>
      <c r="J40" s="78">
        <f t="shared" si="4"/>
        <v>0</v>
      </c>
      <c r="K40" s="89"/>
      <c r="L40" s="92">
        <f t="shared" si="5"/>
        <v>0</v>
      </c>
      <c r="M40" s="92" t="str">
        <f t="shared" si="6"/>
        <v>00</v>
      </c>
      <c r="N40" s="56">
        <f>SUMIF(Bevetel!$G$6:$G$1000,C40,Bevetel!$I$6:$I$1000)</f>
        <v>0</v>
      </c>
      <c r="O40" s="1">
        <f>SUMIF(Kiadas!$G$1006:$G$10000,C40,Kiadas!$I$1006:$I$10000)</f>
        <v>0</v>
      </c>
      <c r="R40" s="1">
        <f t="shared" si="7"/>
        <v>0</v>
      </c>
      <c r="S40" s="1">
        <f>SUMIF(Kiadas!$G$6:$G$1000,C40,Kiadas!$BA$6:$BA$1000)</f>
        <v>0</v>
      </c>
      <c r="T40" s="1">
        <f>SUMIF(Kiadas!$G$1006:$G$10000,C40,Kiadas!$BA$1006:$BA$10000)</f>
        <v>0</v>
      </c>
      <c r="U40" s="1">
        <f t="shared" si="8"/>
        <v>0</v>
      </c>
    </row>
    <row r="41" spans="1:21" ht="18" x14ac:dyDescent="0.25">
      <c r="A41" s="1">
        <f t="shared" si="0"/>
        <v>0</v>
      </c>
      <c r="B41" s="1">
        <f t="shared" si="1"/>
        <v>0</v>
      </c>
      <c r="C41" s="1" t="str">
        <f t="shared" si="2"/>
        <v>zzzzzzzzzzz</v>
      </c>
      <c r="D41" s="75">
        <v>37</v>
      </c>
      <c r="E41" s="45"/>
      <c r="F41" s="45"/>
      <c r="G41" s="46"/>
      <c r="H41" s="46"/>
      <c r="I41" s="78">
        <f t="shared" si="3"/>
        <v>0</v>
      </c>
      <c r="J41" s="78">
        <f t="shared" si="4"/>
        <v>0</v>
      </c>
      <c r="K41" s="89"/>
      <c r="L41" s="92">
        <f t="shared" si="5"/>
        <v>0</v>
      </c>
      <c r="M41" s="92" t="str">
        <f t="shared" si="6"/>
        <v>00</v>
      </c>
      <c r="N41" s="56">
        <f>SUMIF(Bevetel!$G$6:$G$1000,C41,Bevetel!$I$6:$I$1000)</f>
        <v>0</v>
      </c>
      <c r="O41" s="1">
        <f>SUMIF(Kiadas!$G$1006:$G$10000,C41,Kiadas!$I$1006:$I$10000)</f>
        <v>0</v>
      </c>
      <c r="R41" s="1">
        <f t="shared" si="7"/>
        <v>0</v>
      </c>
      <c r="S41" s="1">
        <f>SUMIF(Kiadas!$G$6:$G$1000,C41,Kiadas!$BA$6:$BA$1000)</f>
        <v>0</v>
      </c>
      <c r="T41" s="1">
        <f>SUMIF(Kiadas!$G$1006:$G$10000,C41,Kiadas!$BA$1006:$BA$10000)</f>
        <v>0</v>
      </c>
      <c r="U41" s="1">
        <f t="shared" si="8"/>
        <v>0</v>
      </c>
    </row>
    <row r="42" spans="1:21" ht="18" x14ac:dyDescent="0.25">
      <c r="A42" s="1">
        <f t="shared" si="0"/>
        <v>0</v>
      </c>
      <c r="B42" s="1">
        <f t="shared" si="1"/>
        <v>0</v>
      </c>
      <c r="C42" s="1" t="str">
        <f t="shared" si="2"/>
        <v>zzzzzzzzzzz</v>
      </c>
      <c r="D42" s="75">
        <v>38</v>
      </c>
      <c r="E42" s="45"/>
      <c r="F42" s="45"/>
      <c r="G42" s="46"/>
      <c r="H42" s="46"/>
      <c r="I42" s="78">
        <f t="shared" si="3"/>
        <v>0</v>
      </c>
      <c r="J42" s="78">
        <f t="shared" si="4"/>
        <v>0</v>
      </c>
      <c r="K42" s="89"/>
      <c r="L42" s="92">
        <f t="shared" si="5"/>
        <v>0</v>
      </c>
      <c r="M42" s="92" t="str">
        <f t="shared" si="6"/>
        <v>00</v>
      </c>
      <c r="N42" s="56">
        <f>SUMIF(Bevetel!$G$6:$G$1000,C42,Bevetel!$I$6:$I$1000)</f>
        <v>0</v>
      </c>
      <c r="O42" s="1">
        <f>SUMIF(Kiadas!$G$1006:$G$10000,C42,Kiadas!$I$1006:$I$10000)</f>
        <v>0</v>
      </c>
      <c r="R42" s="1">
        <f t="shared" si="7"/>
        <v>0</v>
      </c>
      <c r="S42" s="1">
        <f>SUMIF(Kiadas!$G$6:$G$1000,C42,Kiadas!$BA$6:$BA$1000)</f>
        <v>0</v>
      </c>
      <c r="T42" s="1">
        <f>SUMIF(Kiadas!$G$1006:$G$10000,C42,Kiadas!$BA$1006:$BA$10000)</f>
        <v>0</v>
      </c>
      <c r="U42" s="1">
        <f t="shared" si="8"/>
        <v>0</v>
      </c>
    </row>
    <row r="43" spans="1:21" ht="18" x14ac:dyDescent="0.25">
      <c r="A43" s="1">
        <f t="shared" si="0"/>
        <v>0</v>
      </c>
      <c r="B43" s="1">
        <f t="shared" si="1"/>
        <v>0</v>
      </c>
      <c r="C43" s="1" t="str">
        <f t="shared" si="2"/>
        <v>zzzzzzzzzzz</v>
      </c>
      <c r="D43" s="75">
        <v>39</v>
      </c>
      <c r="E43" s="45"/>
      <c r="F43" s="45"/>
      <c r="G43" s="46"/>
      <c r="H43" s="46"/>
      <c r="I43" s="78">
        <f t="shared" si="3"/>
        <v>0</v>
      </c>
      <c r="J43" s="78">
        <f t="shared" si="4"/>
        <v>0</v>
      </c>
      <c r="K43" s="89"/>
      <c r="L43" s="92">
        <f t="shared" si="5"/>
        <v>0</v>
      </c>
      <c r="M43" s="92" t="str">
        <f t="shared" si="6"/>
        <v>00</v>
      </c>
      <c r="N43" s="56">
        <f>SUMIF(Bevetel!$G$6:$G$1000,C43,Bevetel!$I$6:$I$1000)</f>
        <v>0</v>
      </c>
      <c r="O43" s="1">
        <f>SUMIF(Kiadas!$G$1006:$G$10000,C43,Kiadas!$I$1006:$I$10000)</f>
        <v>0</v>
      </c>
      <c r="R43" s="1">
        <f t="shared" si="7"/>
        <v>0</v>
      </c>
      <c r="S43" s="1">
        <f>SUMIF(Kiadas!$G$6:$G$1000,C43,Kiadas!$BA$6:$BA$1000)</f>
        <v>0</v>
      </c>
      <c r="T43" s="1">
        <f>SUMIF(Kiadas!$G$1006:$G$10000,C43,Kiadas!$BA$1006:$BA$10000)</f>
        <v>0</v>
      </c>
      <c r="U43" s="1">
        <f t="shared" si="8"/>
        <v>0</v>
      </c>
    </row>
    <row r="44" spans="1:21" ht="18" x14ac:dyDescent="0.25">
      <c r="A44" s="1">
        <f t="shared" si="0"/>
        <v>0</v>
      </c>
      <c r="B44" s="1">
        <f t="shared" si="1"/>
        <v>0</v>
      </c>
      <c r="C44" s="1" t="str">
        <f t="shared" si="2"/>
        <v>zzzzzzzzzzz</v>
      </c>
      <c r="D44" s="75">
        <v>40</v>
      </c>
      <c r="E44" s="45"/>
      <c r="F44" s="45"/>
      <c r="G44" s="46"/>
      <c r="H44" s="46"/>
      <c r="I44" s="78">
        <f t="shared" si="3"/>
        <v>0</v>
      </c>
      <c r="J44" s="78">
        <f t="shared" si="4"/>
        <v>0</v>
      </c>
      <c r="K44" s="89"/>
      <c r="L44" s="92">
        <f t="shared" si="5"/>
        <v>0</v>
      </c>
      <c r="M44" s="92" t="str">
        <f t="shared" si="6"/>
        <v>00</v>
      </c>
      <c r="N44" s="56">
        <f>SUMIF(Bevetel!$G$6:$G$1000,C44,Bevetel!$I$6:$I$1000)</f>
        <v>0</v>
      </c>
      <c r="O44" s="1">
        <f>SUMIF(Kiadas!$G$1006:$G$10000,C44,Kiadas!$I$1006:$I$10000)</f>
        <v>0</v>
      </c>
      <c r="R44" s="1">
        <f t="shared" si="7"/>
        <v>0</v>
      </c>
      <c r="S44" s="1">
        <f>SUMIF(Kiadas!$G$6:$G$1000,C44,Kiadas!$BA$6:$BA$1000)</f>
        <v>0</v>
      </c>
      <c r="T44" s="1">
        <f>SUMIF(Kiadas!$G$1006:$G$10000,C44,Kiadas!$BA$1006:$BA$10000)</f>
        <v>0</v>
      </c>
      <c r="U44" s="1">
        <f t="shared" si="8"/>
        <v>0</v>
      </c>
    </row>
    <row r="45" spans="1:21" ht="18" x14ac:dyDescent="0.25">
      <c r="A45" s="1">
        <f t="shared" si="0"/>
        <v>0</v>
      </c>
      <c r="B45" s="1">
        <f t="shared" si="1"/>
        <v>0</v>
      </c>
      <c r="C45" s="1" t="str">
        <f t="shared" si="2"/>
        <v>zzzzzzzzzzz</v>
      </c>
      <c r="D45" s="75">
        <v>41</v>
      </c>
      <c r="E45" s="45"/>
      <c r="F45" s="45"/>
      <c r="G45" s="46"/>
      <c r="H45" s="46"/>
      <c r="I45" s="78">
        <f t="shared" si="3"/>
        <v>0</v>
      </c>
      <c r="J45" s="78">
        <f t="shared" si="4"/>
        <v>0</v>
      </c>
      <c r="K45" s="89"/>
      <c r="L45" s="92">
        <f t="shared" si="5"/>
        <v>0</v>
      </c>
      <c r="M45" s="92" t="str">
        <f t="shared" si="6"/>
        <v>00</v>
      </c>
      <c r="N45" s="56">
        <f>SUMIF(Bevetel!$G$6:$G$1000,C45,Bevetel!$I$6:$I$1000)</f>
        <v>0</v>
      </c>
      <c r="O45" s="1">
        <f>SUMIF(Kiadas!$G$1006:$G$10000,C45,Kiadas!$I$1006:$I$10000)</f>
        <v>0</v>
      </c>
      <c r="R45" s="1">
        <f t="shared" si="7"/>
        <v>0</v>
      </c>
      <c r="S45" s="1">
        <f>SUMIF(Kiadas!$G$6:$G$1000,C45,Kiadas!$BA$6:$BA$1000)</f>
        <v>0</v>
      </c>
      <c r="T45" s="1">
        <f>SUMIF(Kiadas!$G$1006:$G$10000,C45,Kiadas!$BA$1006:$BA$10000)</f>
        <v>0</v>
      </c>
      <c r="U45" s="1">
        <f t="shared" si="8"/>
        <v>0</v>
      </c>
    </row>
    <row r="46" spans="1:21" ht="18" x14ac:dyDescent="0.25">
      <c r="A46" s="1">
        <f t="shared" si="0"/>
        <v>0</v>
      </c>
      <c r="B46" s="1">
        <f t="shared" si="1"/>
        <v>0</v>
      </c>
      <c r="C46" s="1" t="str">
        <f t="shared" si="2"/>
        <v>zzzzzzzzzzz</v>
      </c>
      <c r="D46" s="75">
        <v>42</v>
      </c>
      <c r="E46" s="45"/>
      <c r="F46" s="45"/>
      <c r="G46" s="46"/>
      <c r="H46" s="46"/>
      <c r="I46" s="78">
        <f t="shared" si="3"/>
        <v>0</v>
      </c>
      <c r="J46" s="78">
        <f t="shared" si="4"/>
        <v>0</v>
      </c>
      <c r="K46" s="89"/>
      <c r="L46" s="92">
        <f t="shared" si="5"/>
        <v>0</v>
      </c>
      <c r="M46" s="92" t="str">
        <f t="shared" si="6"/>
        <v>00</v>
      </c>
      <c r="N46" s="56">
        <f>SUMIF(Bevetel!$G$6:$G$1000,C46,Bevetel!$I$6:$I$1000)</f>
        <v>0</v>
      </c>
      <c r="O46" s="1">
        <f>SUMIF(Kiadas!$G$1006:$G$10000,C46,Kiadas!$I$1006:$I$10000)</f>
        <v>0</v>
      </c>
      <c r="R46" s="1">
        <f t="shared" si="7"/>
        <v>0</v>
      </c>
      <c r="S46" s="1">
        <f>SUMIF(Kiadas!$G$6:$G$1000,C46,Kiadas!$BA$6:$BA$1000)</f>
        <v>0</v>
      </c>
      <c r="T46" s="1">
        <f>SUMIF(Kiadas!$G$1006:$G$10000,C46,Kiadas!$BA$1006:$BA$10000)</f>
        <v>0</v>
      </c>
      <c r="U46" s="1">
        <f t="shared" si="8"/>
        <v>0</v>
      </c>
    </row>
    <row r="47" spans="1:21" ht="18" x14ac:dyDescent="0.25">
      <c r="A47" s="1">
        <f t="shared" si="0"/>
        <v>0</v>
      </c>
      <c r="B47" s="1">
        <f t="shared" si="1"/>
        <v>0</v>
      </c>
      <c r="C47" s="1" t="str">
        <f t="shared" si="2"/>
        <v>zzzzzzzzzzz</v>
      </c>
      <c r="D47" s="75">
        <v>43</v>
      </c>
      <c r="E47" s="45"/>
      <c r="F47" s="45"/>
      <c r="G47" s="46"/>
      <c r="H47" s="46"/>
      <c r="I47" s="78">
        <f t="shared" si="3"/>
        <v>0</v>
      </c>
      <c r="J47" s="78">
        <f t="shared" si="4"/>
        <v>0</v>
      </c>
      <c r="K47" s="89"/>
      <c r="L47" s="92">
        <f t="shared" si="5"/>
        <v>0</v>
      </c>
      <c r="M47" s="92" t="str">
        <f t="shared" si="6"/>
        <v>00</v>
      </c>
      <c r="N47" s="56">
        <f>SUMIF(Bevetel!$G$6:$G$1000,C47,Bevetel!$I$6:$I$1000)</f>
        <v>0</v>
      </c>
      <c r="O47" s="1">
        <f>SUMIF(Kiadas!$G$1006:$G$10000,C47,Kiadas!$I$1006:$I$10000)</f>
        <v>0</v>
      </c>
      <c r="R47" s="1">
        <f t="shared" si="7"/>
        <v>0</v>
      </c>
      <c r="S47" s="1">
        <f>SUMIF(Kiadas!$G$6:$G$1000,C47,Kiadas!$BA$6:$BA$1000)</f>
        <v>0</v>
      </c>
      <c r="T47" s="1">
        <f>SUMIF(Kiadas!$G$1006:$G$10000,C47,Kiadas!$BA$1006:$BA$10000)</f>
        <v>0</v>
      </c>
      <c r="U47" s="1">
        <f t="shared" si="8"/>
        <v>0</v>
      </c>
    </row>
    <row r="48" spans="1:21" ht="18" x14ac:dyDescent="0.25">
      <c r="A48" s="1">
        <f t="shared" si="0"/>
        <v>0</v>
      </c>
      <c r="B48" s="1">
        <f t="shared" si="1"/>
        <v>0</v>
      </c>
      <c r="C48" s="1" t="str">
        <f t="shared" si="2"/>
        <v>zzzzzzzzzzz</v>
      </c>
      <c r="D48" s="75">
        <v>44</v>
      </c>
      <c r="E48" s="45"/>
      <c r="F48" s="45"/>
      <c r="G48" s="46"/>
      <c r="H48" s="46"/>
      <c r="I48" s="78">
        <f t="shared" si="3"/>
        <v>0</v>
      </c>
      <c r="J48" s="78">
        <f t="shared" si="4"/>
        <v>0</v>
      </c>
      <c r="K48" s="89"/>
      <c r="L48" s="92">
        <f t="shared" si="5"/>
        <v>0</v>
      </c>
      <c r="M48" s="92" t="str">
        <f t="shared" si="6"/>
        <v>00</v>
      </c>
      <c r="N48" s="56">
        <f>SUMIF(Bevetel!$G$6:$G$1000,C48,Bevetel!$I$6:$I$1000)</f>
        <v>0</v>
      </c>
      <c r="O48" s="1">
        <f>SUMIF(Kiadas!$G$1006:$G$10000,C48,Kiadas!$I$1006:$I$10000)</f>
        <v>0</v>
      </c>
      <c r="R48" s="1">
        <f t="shared" si="7"/>
        <v>0</v>
      </c>
      <c r="S48" s="1">
        <f>SUMIF(Kiadas!$G$6:$G$1000,C48,Kiadas!$BA$6:$BA$1000)</f>
        <v>0</v>
      </c>
      <c r="T48" s="1">
        <f>SUMIF(Kiadas!$G$1006:$G$10000,C48,Kiadas!$BA$1006:$BA$10000)</f>
        <v>0</v>
      </c>
      <c r="U48" s="1">
        <f t="shared" si="8"/>
        <v>0</v>
      </c>
    </row>
    <row r="49" spans="1:21" ht="18" x14ac:dyDescent="0.25">
      <c r="A49" s="1">
        <f t="shared" si="0"/>
        <v>0</v>
      </c>
      <c r="B49" s="1">
        <f t="shared" si="1"/>
        <v>0</v>
      </c>
      <c r="C49" s="1" t="str">
        <f t="shared" si="2"/>
        <v>zzzzzzzzzzz</v>
      </c>
      <c r="D49" s="75">
        <v>45</v>
      </c>
      <c r="E49" s="45"/>
      <c r="F49" s="45"/>
      <c r="G49" s="46"/>
      <c r="H49" s="46"/>
      <c r="I49" s="78">
        <f t="shared" si="3"/>
        <v>0</v>
      </c>
      <c r="J49" s="78">
        <f t="shared" si="4"/>
        <v>0</v>
      </c>
      <c r="K49" s="89"/>
      <c r="L49" s="92">
        <f t="shared" si="5"/>
        <v>0</v>
      </c>
      <c r="M49" s="92" t="str">
        <f t="shared" si="6"/>
        <v>00</v>
      </c>
      <c r="N49" s="56">
        <f>SUMIF(Bevetel!$G$6:$G$1000,C49,Bevetel!$I$6:$I$1000)</f>
        <v>0</v>
      </c>
      <c r="O49" s="1">
        <f>SUMIF(Kiadas!$G$1006:$G$10000,C49,Kiadas!$I$1006:$I$10000)</f>
        <v>0</v>
      </c>
      <c r="R49" s="1">
        <f t="shared" si="7"/>
        <v>0</v>
      </c>
      <c r="S49" s="1">
        <f>SUMIF(Kiadas!$G$6:$G$1000,C49,Kiadas!$BA$6:$BA$1000)</f>
        <v>0</v>
      </c>
      <c r="T49" s="1">
        <f>SUMIF(Kiadas!$G$1006:$G$10000,C49,Kiadas!$BA$1006:$BA$10000)</f>
        <v>0</v>
      </c>
      <c r="U49" s="1">
        <f t="shared" si="8"/>
        <v>0</v>
      </c>
    </row>
    <row r="50" spans="1:21" ht="18" x14ac:dyDescent="0.25">
      <c r="A50" s="1">
        <f t="shared" si="0"/>
        <v>0</v>
      </c>
      <c r="B50" s="1">
        <f t="shared" si="1"/>
        <v>0</v>
      </c>
      <c r="C50" s="1" t="str">
        <f t="shared" si="2"/>
        <v>zzzzzzzzzzz</v>
      </c>
      <c r="D50" s="75">
        <v>46</v>
      </c>
      <c r="E50" s="45"/>
      <c r="F50" s="45"/>
      <c r="G50" s="46"/>
      <c r="H50" s="46"/>
      <c r="I50" s="78">
        <f t="shared" si="3"/>
        <v>0</v>
      </c>
      <c r="J50" s="78">
        <f t="shared" si="4"/>
        <v>0</v>
      </c>
      <c r="K50" s="89"/>
      <c r="L50" s="92">
        <f t="shared" si="5"/>
        <v>0</v>
      </c>
      <c r="M50" s="92" t="str">
        <f t="shared" si="6"/>
        <v>00</v>
      </c>
      <c r="N50" s="56">
        <f>SUMIF(Bevetel!$G$6:$G$1000,C50,Bevetel!$I$6:$I$1000)</f>
        <v>0</v>
      </c>
      <c r="O50" s="1">
        <f>SUMIF(Kiadas!$G$1006:$G$10000,C50,Kiadas!$I$1006:$I$10000)</f>
        <v>0</v>
      </c>
      <c r="R50" s="1">
        <f t="shared" si="7"/>
        <v>0</v>
      </c>
      <c r="S50" s="1">
        <f>SUMIF(Kiadas!$G$6:$G$1000,C50,Kiadas!$BA$6:$BA$1000)</f>
        <v>0</v>
      </c>
      <c r="T50" s="1">
        <f>SUMIF(Kiadas!$G$1006:$G$10000,C50,Kiadas!$BA$1006:$BA$10000)</f>
        <v>0</v>
      </c>
      <c r="U50" s="1">
        <f t="shared" si="8"/>
        <v>0</v>
      </c>
    </row>
    <row r="51" spans="1:21" ht="18" x14ac:dyDescent="0.25">
      <c r="A51" s="1">
        <f t="shared" si="0"/>
        <v>0</v>
      </c>
      <c r="B51" s="1">
        <f t="shared" si="1"/>
        <v>0</v>
      </c>
      <c r="C51" s="1" t="str">
        <f t="shared" si="2"/>
        <v>zzzzzzzzzzz</v>
      </c>
      <c r="D51" s="75">
        <v>47</v>
      </c>
      <c r="E51" s="45"/>
      <c r="F51" s="45"/>
      <c r="G51" s="46"/>
      <c r="H51" s="46"/>
      <c r="I51" s="78">
        <f t="shared" si="3"/>
        <v>0</v>
      </c>
      <c r="J51" s="78">
        <f t="shared" si="4"/>
        <v>0</v>
      </c>
      <c r="K51" s="89"/>
      <c r="L51" s="92">
        <f t="shared" si="5"/>
        <v>0</v>
      </c>
      <c r="M51" s="92" t="str">
        <f t="shared" si="6"/>
        <v>00</v>
      </c>
      <c r="N51" s="56">
        <f>SUMIF(Bevetel!$G$6:$G$1000,C51,Bevetel!$I$6:$I$1000)</f>
        <v>0</v>
      </c>
      <c r="O51" s="1">
        <f>SUMIF(Kiadas!$G$1006:$G$10000,C51,Kiadas!$I$1006:$I$10000)</f>
        <v>0</v>
      </c>
      <c r="R51" s="1">
        <f t="shared" si="7"/>
        <v>0</v>
      </c>
      <c r="S51" s="1">
        <f>SUMIF(Kiadas!$G$6:$G$1000,C51,Kiadas!$BA$6:$BA$1000)</f>
        <v>0</v>
      </c>
      <c r="T51" s="1">
        <f>SUMIF(Kiadas!$G$1006:$G$10000,C51,Kiadas!$BA$1006:$BA$10000)</f>
        <v>0</v>
      </c>
      <c r="U51" s="1">
        <f t="shared" si="8"/>
        <v>0</v>
      </c>
    </row>
    <row r="52" spans="1:21" ht="18" x14ac:dyDescent="0.25">
      <c r="A52" s="1">
        <f t="shared" si="0"/>
        <v>0</v>
      </c>
      <c r="B52" s="1">
        <f t="shared" si="1"/>
        <v>0</v>
      </c>
      <c r="C52" s="1" t="str">
        <f t="shared" si="2"/>
        <v>zzzzzzzzzzz</v>
      </c>
      <c r="D52" s="75">
        <v>48</v>
      </c>
      <c r="E52" s="45"/>
      <c r="F52" s="45"/>
      <c r="G52" s="46"/>
      <c r="H52" s="46"/>
      <c r="I52" s="78">
        <f t="shared" si="3"/>
        <v>0</v>
      </c>
      <c r="J52" s="78">
        <f t="shared" si="4"/>
        <v>0</v>
      </c>
      <c r="K52" s="89"/>
      <c r="L52" s="92">
        <f t="shared" si="5"/>
        <v>0</v>
      </c>
      <c r="M52" s="92" t="str">
        <f t="shared" si="6"/>
        <v>00</v>
      </c>
      <c r="N52" s="56">
        <f>SUMIF(Bevetel!$G$6:$G$1000,C52,Bevetel!$I$6:$I$1000)</f>
        <v>0</v>
      </c>
      <c r="O52" s="1">
        <f>SUMIF(Kiadas!$G$1006:$G$10000,C52,Kiadas!$I$1006:$I$10000)</f>
        <v>0</v>
      </c>
      <c r="R52" s="1">
        <f t="shared" si="7"/>
        <v>0</v>
      </c>
      <c r="S52" s="1">
        <f>SUMIF(Kiadas!$G$6:$G$1000,C52,Kiadas!$BA$6:$BA$1000)</f>
        <v>0</v>
      </c>
      <c r="T52" s="1">
        <f>SUMIF(Kiadas!$G$1006:$G$10000,C52,Kiadas!$BA$1006:$BA$10000)</f>
        <v>0</v>
      </c>
      <c r="U52" s="1">
        <f t="shared" si="8"/>
        <v>0</v>
      </c>
    </row>
    <row r="53" spans="1:21" ht="18" x14ac:dyDescent="0.25">
      <c r="A53" s="1">
        <f t="shared" si="0"/>
        <v>0</v>
      </c>
      <c r="B53" s="1">
        <f t="shared" si="1"/>
        <v>0</v>
      </c>
      <c r="C53" s="1" t="str">
        <f t="shared" si="2"/>
        <v>zzzzzzzzzzz</v>
      </c>
      <c r="D53" s="75">
        <v>49</v>
      </c>
      <c r="E53" s="45"/>
      <c r="F53" s="45"/>
      <c r="G53" s="46"/>
      <c r="H53" s="46"/>
      <c r="I53" s="78">
        <f t="shared" si="3"/>
        <v>0</v>
      </c>
      <c r="J53" s="78">
        <f t="shared" si="4"/>
        <v>0</v>
      </c>
      <c r="K53" s="89"/>
      <c r="L53" s="92">
        <f t="shared" si="5"/>
        <v>0</v>
      </c>
      <c r="M53" s="92" t="str">
        <f t="shared" si="6"/>
        <v>00</v>
      </c>
      <c r="N53" s="56">
        <f>SUMIF(Bevetel!$G$6:$G$1000,C53,Bevetel!$I$6:$I$1000)</f>
        <v>0</v>
      </c>
      <c r="O53" s="1">
        <f>SUMIF(Kiadas!$G$1006:$G$10000,C53,Kiadas!$I$1006:$I$10000)</f>
        <v>0</v>
      </c>
      <c r="R53" s="1">
        <f t="shared" si="7"/>
        <v>0</v>
      </c>
      <c r="S53" s="1">
        <f>SUMIF(Kiadas!$G$6:$G$1000,C53,Kiadas!$BA$6:$BA$1000)</f>
        <v>0</v>
      </c>
      <c r="T53" s="1">
        <f>SUMIF(Kiadas!$G$1006:$G$10000,C53,Kiadas!$BA$1006:$BA$10000)</f>
        <v>0</v>
      </c>
      <c r="U53" s="1">
        <f t="shared" si="8"/>
        <v>0</v>
      </c>
    </row>
    <row r="54" spans="1:21" ht="18" x14ac:dyDescent="0.25">
      <c r="A54" s="1">
        <f t="shared" si="0"/>
        <v>0</v>
      </c>
      <c r="B54" s="1">
        <f t="shared" si="1"/>
        <v>0</v>
      </c>
      <c r="C54" s="1" t="str">
        <f t="shared" si="2"/>
        <v>zzzzzzzzzzz</v>
      </c>
      <c r="D54" s="75">
        <v>50</v>
      </c>
      <c r="E54" s="45"/>
      <c r="F54" s="45"/>
      <c r="G54" s="46"/>
      <c r="H54" s="46"/>
      <c r="I54" s="78">
        <f t="shared" si="3"/>
        <v>0</v>
      </c>
      <c r="J54" s="78">
        <f t="shared" si="4"/>
        <v>0</v>
      </c>
      <c r="K54" s="89"/>
      <c r="L54" s="92">
        <f t="shared" si="5"/>
        <v>0</v>
      </c>
      <c r="M54" s="92" t="str">
        <f t="shared" si="6"/>
        <v>00</v>
      </c>
      <c r="N54" s="56">
        <f>SUMIF(Bevetel!$G$6:$G$1000,C54,Bevetel!$I$6:$I$1000)</f>
        <v>0</v>
      </c>
      <c r="O54" s="1">
        <f>SUMIF(Kiadas!$G$1006:$G$10000,C54,Kiadas!$I$1006:$I$10000)</f>
        <v>0</v>
      </c>
      <c r="R54" s="1">
        <f t="shared" si="7"/>
        <v>0</v>
      </c>
      <c r="S54" s="1">
        <f>SUMIF(Kiadas!$G$6:$G$1000,C54,Kiadas!$BA$6:$BA$1000)</f>
        <v>0</v>
      </c>
      <c r="T54" s="1">
        <f>SUMIF(Kiadas!$G$1006:$G$10000,C54,Kiadas!$BA$1006:$BA$10000)</f>
        <v>0</v>
      </c>
      <c r="U54" s="1">
        <f t="shared" si="8"/>
        <v>0</v>
      </c>
    </row>
    <row r="55" spans="1:21" ht="18" x14ac:dyDescent="0.25">
      <c r="A55" s="1">
        <f t="shared" si="0"/>
        <v>0</v>
      </c>
      <c r="B55" s="1">
        <f t="shared" si="1"/>
        <v>0</v>
      </c>
      <c r="C55" s="1" t="str">
        <f t="shared" si="2"/>
        <v>zzzzzzzzzzz</v>
      </c>
      <c r="D55" s="75">
        <v>51</v>
      </c>
      <c r="E55" s="45"/>
      <c r="F55" s="45"/>
      <c r="G55" s="46"/>
      <c r="H55" s="46"/>
      <c r="I55" s="78">
        <f t="shared" si="3"/>
        <v>0</v>
      </c>
      <c r="J55" s="78">
        <f t="shared" si="4"/>
        <v>0</v>
      </c>
      <c r="K55" s="89"/>
      <c r="L55" s="92">
        <f t="shared" si="5"/>
        <v>0</v>
      </c>
      <c r="M55" s="92" t="str">
        <f t="shared" si="6"/>
        <v>00</v>
      </c>
      <c r="N55" s="56">
        <f>SUMIF(Bevetel!$G$6:$G$1000,C55,Bevetel!$I$6:$I$1000)</f>
        <v>0</v>
      </c>
      <c r="O55" s="1">
        <f>SUMIF(Kiadas!$G$1006:$G$10000,C55,Kiadas!$I$1006:$I$10000)</f>
        <v>0</v>
      </c>
      <c r="R55" s="1">
        <f t="shared" si="7"/>
        <v>0</v>
      </c>
      <c r="S55" s="1">
        <f>SUMIF(Kiadas!$G$6:$G$1000,C55,Kiadas!$BA$6:$BA$1000)</f>
        <v>0</v>
      </c>
      <c r="T55" s="1">
        <f>SUMIF(Kiadas!$G$1006:$G$10000,C55,Kiadas!$BA$1006:$BA$10000)</f>
        <v>0</v>
      </c>
      <c r="U55" s="1">
        <f t="shared" si="8"/>
        <v>0</v>
      </c>
    </row>
    <row r="56" spans="1:21" ht="18" x14ac:dyDescent="0.25">
      <c r="A56" s="1">
        <f t="shared" si="0"/>
        <v>0</v>
      </c>
      <c r="B56" s="1">
        <f t="shared" si="1"/>
        <v>0</v>
      </c>
      <c r="C56" s="1" t="str">
        <f t="shared" si="2"/>
        <v>zzzzzzzzzzz</v>
      </c>
      <c r="D56" s="75">
        <v>52</v>
      </c>
      <c r="E56" s="45"/>
      <c r="F56" s="45"/>
      <c r="G56" s="46"/>
      <c r="H56" s="46"/>
      <c r="I56" s="78">
        <f t="shared" si="3"/>
        <v>0</v>
      </c>
      <c r="J56" s="78">
        <f t="shared" si="4"/>
        <v>0</v>
      </c>
      <c r="K56" s="89"/>
      <c r="L56" s="92">
        <f t="shared" si="5"/>
        <v>0</v>
      </c>
      <c r="M56" s="92" t="str">
        <f t="shared" si="6"/>
        <v>00</v>
      </c>
      <c r="N56" s="56">
        <f>SUMIF(Bevetel!$G$6:$G$1000,C56,Bevetel!$I$6:$I$1000)</f>
        <v>0</v>
      </c>
      <c r="O56" s="1">
        <f>SUMIF(Kiadas!$G$1006:$G$10000,C56,Kiadas!$I$1006:$I$10000)</f>
        <v>0</v>
      </c>
      <c r="R56" s="1">
        <f t="shared" si="7"/>
        <v>0</v>
      </c>
      <c r="S56" s="1">
        <f>SUMIF(Kiadas!$G$6:$G$1000,C56,Kiadas!$BA$6:$BA$1000)</f>
        <v>0</v>
      </c>
      <c r="T56" s="1">
        <f>SUMIF(Kiadas!$G$1006:$G$10000,C56,Kiadas!$BA$1006:$BA$10000)</f>
        <v>0</v>
      </c>
      <c r="U56" s="1">
        <f t="shared" si="8"/>
        <v>0</v>
      </c>
    </row>
    <row r="57" spans="1:21" ht="18" x14ac:dyDescent="0.25">
      <c r="A57" s="1">
        <f t="shared" si="0"/>
        <v>0</v>
      </c>
      <c r="B57" s="1">
        <f t="shared" si="1"/>
        <v>0</v>
      </c>
      <c r="C57" s="1" t="str">
        <f t="shared" si="2"/>
        <v>zzzzzzzzzzz</v>
      </c>
      <c r="D57" s="75">
        <v>53</v>
      </c>
      <c r="E57" s="45"/>
      <c r="F57" s="45"/>
      <c r="G57" s="46"/>
      <c r="H57" s="46"/>
      <c r="I57" s="78">
        <f t="shared" si="3"/>
        <v>0</v>
      </c>
      <c r="J57" s="78">
        <f t="shared" si="4"/>
        <v>0</v>
      </c>
      <c r="K57" s="89"/>
      <c r="L57" s="92">
        <f t="shared" si="5"/>
        <v>0</v>
      </c>
      <c r="M57" s="92" t="str">
        <f t="shared" si="6"/>
        <v>00</v>
      </c>
      <c r="N57" s="56">
        <f>SUMIF(Bevetel!$G$6:$G$1000,C57,Bevetel!$I$6:$I$1000)</f>
        <v>0</v>
      </c>
      <c r="O57" s="1">
        <f>SUMIF(Kiadas!$G$1006:$G$10000,C57,Kiadas!$I$1006:$I$10000)</f>
        <v>0</v>
      </c>
      <c r="R57" s="1">
        <f t="shared" si="7"/>
        <v>0</v>
      </c>
      <c r="S57" s="1">
        <f>SUMIF(Kiadas!$G$6:$G$1000,C57,Kiadas!$BA$6:$BA$1000)</f>
        <v>0</v>
      </c>
      <c r="T57" s="1">
        <f>SUMIF(Kiadas!$G$1006:$G$10000,C57,Kiadas!$BA$1006:$BA$10000)</f>
        <v>0</v>
      </c>
      <c r="U57" s="1">
        <f t="shared" si="8"/>
        <v>0</v>
      </c>
    </row>
    <row r="58" spans="1:21" ht="18" x14ac:dyDescent="0.25">
      <c r="A58" s="1">
        <f t="shared" si="0"/>
        <v>0</v>
      </c>
      <c r="B58" s="1">
        <f t="shared" si="1"/>
        <v>0</v>
      </c>
      <c r="C58" s="1" t="str">
        <f t="shared" si="2"/>
        <v>zzzzzzzzzzz</v>
      </c>
      <c r="D58" s="75">
        <v>54</v>
      </c>
      <c r="E58" s="45"/>
      <c r="F58" s="45"/>
      <c r="G58" s="46"/>
      <c r="H58" s="46"/>
      <c r="I58" s="78">
        <f t="shared" si="3"/>
        <v>0</v>
      </c>
      <c r="J58" s="78">
        <f t="shared" si="4"/>
        <v>0</v>
      </c>
      <c r="K58" s="89"/>
      <c r="L58" s="92">
        <f t="shared" si="5"/>
        <v>0</v>
      </c>
      <c r="M58" s="92" t="str">
        <f t="shared" si="6"/>
        <v>00</v>
      </c>
      <c r="N58" s="56">
        <f>SUMIF(Bevetel!$G$6:$G$1000,C58,Bevetel!$I$6:$I$1000)</f>
        <v>0</v>
      </c>
      <c r="O58" s="1">
        <f>SUMIF(Kiadas!$G$1006:$G$10000,C58,Kiadas!$I$1006:$I$10000)</f>
        <v>0</v>
      </c>
      <c r="R58" s="1">
        <f t="shared" si="7"/>
        <v>0</v>
      </c>
      <c r="S58" s="1">
        <f>SUMIF(Kiadas!$G$6:$G$1000,C58,Kiadas!$BA$6:$BA$1000)</f>
        <v>0</v>
      </c>
      <c r="T58" s="1">
        <f>SUMIF(Kiadas!$G$1006:$G$10000,C58,Kiadas!$BA$1006:$BA$10000)</f>
        <v>0</v>
      </c>
      <c r="U58" s="1">
        <f t="shared" si="8"/>
        <v>0</v>
      </c>
    </row>
    <row r="59" spans="1:21" ht="18" x14ac:dyDescent="0.25">
      <c r="A59" s="1">
        <f t="shared" si="0"/>
        <v>0</v>
      </c>
      <c r="B59" s="1">
        <f t="shared" si="1"/>
        <v>0</v>
      </c>
      <c r="C59" s="1" t="str">
        <f t="shared" si="2"/>
        <v>zzzzzzzzzzz</v>
      </c>
      <c r="D59" s="75">
        <v>55</v>
      </c>
      <c r="E59" s="45"/>
      <c r="F59" s="45"/>
      <c r="G59" s="46"/>
      <c r="H59" s="46"/>
      <c r="I59" s="78">
        <f t="shared" si="3"/>
        <v>0</v>
      </c>
      <c r="J59" s="78">
        <f t="shared" si="4"/>
        <v>0</v>
      </c>
      <c r="K59" s="89"/>
      <c r="L59" s="92">
        <f t="shared" si="5"/>
        <v>0</v>
      </c>
      <c r="M59" s="92" t="str">
        <f t="shared" si="6"/>
        <v>00</v>
      </c>
      <c r="N59" s="56">
        <f>SUMIF(Bevetel!$G$6:$G$1000,C59,Bevetel!$I$6:$I$1000)</f>
        <v>0</v>
      </c>
      <c r="O59" s="1">
        <f>SUMIF(Kiadas!$G$1006:$G$10000,C59,Kiadas!$I$1006:$I$10000)</f>
        <v>0</v>
      </c>
      <c r="R59" s="1">
        <f t="shared" si="7"/>
        <v>0</v>
      </c>
      <c r="S59" s="1">
        <f>SUMIF(Kiadas!$G$6:$G$1000,C59,Kiadas!$BA$6:$BA$1000)</f>
        <v>0</v>
      </c>
      <c r="T59" s="1">
        <f>SUMIF(Kiadas!$G$1006:$G$10000,C59,Kiadas!$BA$1006:$BA$10000)</f>
        <v>0</v>
      </c>
      <c r="U59" s="1">
        <f t="shared" si="8"/>
        <v>0</v>
      </c>
    </row>
    <row r="60" spans="1:21" ht="18" x14ac:dyDescent="0.25">
      <c r="A60" s="1">
        <f t="shared" si="0"/>
        <v>0</v>
      </c>
      <c r="B60" s="1">
        <f t="shared" si="1"/>
        <v>0</v>
      </c>
      <c r="C60" s="1" t="str">
        <f t="shared" si="2"/>
        <v>zzzzzzzzzzz</v>
      </c>
      <c r="D60" s="75">
        <v>56</v>
      </c>
      <c r="E60" s="45"/>
      <c r="F60" s="45"/>
      <c r="G60" s="46"/>
      <c r="H60" s="46"/>
      <c r="I60" s="78">
        <f t="shared" si="3"/>
        <v>0</v>
      </c>
      <c r="J60" s="78">
        <f t="shared" si="4"/>
        <v>0</v>
      </c>
      <c r="K60" s="89"/>
      <c r="L60" s="92">
        <f t="shared" si="5"/>
        <v>0</v>
      </c>
      <c r="M60" s="92" t="str">
        <f t="shared" si="6"/>
        <v>00</v>
      </c>
      <c r="N60" s="56">
        <f>SUMIF(Bevetel!$G$6:$G$1000,C60,Bevetel!$I$6:$I$1000)</f>
        <v>0</v>
      </c>
      <c r="O60" s="1">
        <f>SUMIF(Kiadas!$G$1006:$G$10000,C60,Kiadas!$I$1006:$I$10000)</f>
        <v>0</v>
      </c>
      <c r="R60" s="1">
        <f t="shared" si="7"/>
        <v>0</v>
      </c>
      <c r="S60" s="1">
        <f>SUMIF(Kiadas!$G$6:$G$1000,C60,Kiadas!$BA$6:$BA$1000)</f>
        <v>0</v>
      </c>
      <c r="T60" s="1">
        <f>SUMIF(Kiadas!$G$1006:$G$10000,C60,Kiadas!$BA$1006:$BA$10000)</f>
        <v>0</v>
      </c>
      <c r="U60" s="1">
        <f t="shared" si="8"/>
        <v>0</v>
      </c>
    </row>
    <row r="61" spans="1:21" ht="18" x14ac:dyDescent="0.25">
      <c r="A61" s="1">
        <f t="shared" si="0"/>
        <v>0</v>
      </c>
      <c r="B61" s="1">
        <f t="shared" si="1"/>
        <v>0</v>
      </c>
      <c r="C61" s="1" t="str">
        <f t="shared" si="2"/>
        <v>zzzzzzzzzzz</v>
      </c>
      <c r="D61" s="75">
        <v>57</v>
      </c>
      <c r="E61" s="45"/>
      <c r="F61" s="45"/>
      <c r="G61" s="46"/>
      <c r="H61" s="46"/>
      <c r="I61" s="78">
        <f t="shared" si="3"/>
        <v>0</v>
      </c>
      <c r="J61" s="78">
        <f t="shared" si="4"/>
        <v>0</v>
      </c>
      <c r="K61" s="89"/>
      <c r="L61" s="92">
        <f t="shared" si="5"/>
        <v>0</v>
      </c>
      <c r="M61" s="92" t="str">
        <f t="shared" si="6"/>
        <v>00</v>
      </c>
      <c r="N61" s="56">
        <f>SUMIF(Bevetel!$G$6:$G$1000,C61,Bevetel!$I$6:$I$1000)</f>
        <v>0</v>
      </c>
      <c r="O61" s="1">
        <f>SUMIF(Kiadas!$G$1006:$G$10000,C61,Kiadas!$I$1006:$I$10000)</f>
        <v>0</v>
      </c>
      <c r="R61" s="1">
        <f t="shared" si="7"/>
        <v>0</v>
      </c>
      <c r="S61" s="1">
        <f>SUMIF(Kiadas!$G$6:$G$1000,C61,Kiadas!$BA$6:$BA$1000)</f>
        <v>0</v>
      </c>
      <c r="T61" s="1">
        <f>SUMIF(Kiadas!$G$1006:$G$10000,C61,Kiadas!$BA$1006:$BA$10000)</f>
        <v>0</v>
      </c>
      <c r="U61" s="1">
        <f t="shared" si="8"/>
        <v>0</v>
      </c>
    </row>
    <row r="62" spans="1:21" ht="18" x14ac:dyDescent="0.25">
      <c r="A62" s="1">
        <f t="shared" si="0"/>
        <v>0</v>
      </c>
      <c r="B62" s="1">
        <f t="shared" si="1"/>
        <v>0</v>
      </c>
      <c r="C62" s="1" t="str">
        <f t="shared" si="2"/>
        <v>zzzzzzzzzzz</v>
      </c>
      <c r="D62" s="75">
        <v>58</v>
      </c>
      <c r="E62" s="45"/>
      <c r="F62" s="45"/>
      <c r="G62" s="46"/>
      <c r="H62" s="46"/>
      <c r="I62" s="78">
        <f t="shared" si="3"/>
        <v>0</v>
      </c>
      <c r="J62" s="78">
        <f t="shared" si="4"/>
        <v>0</v>
      </c>
      <c r="K62" s="89"/>
      <c r="L62" s="92">
        <f t="shared" si="5"/>
        <v>0</v>
      </c>
      <c r="M62" s="92" t="str">
        <f t="shared" si="6"/>
        <v>00</v>
      </c>
      <c r="N62" s="56">
        <f>SUMIF(Bevetel!$G$6:$G$1000,C62,Bevetel!$I$6:$I$1000)</f>
        <v>0</v>
      </c>
      <c r="O62" s="1">
        <f>SUMIF(Kiadas!$G$1006:$G$10000,C62,Kiadas!$I$1006:$I$10000)</f>
        <v>0</v>
      </c>
      <c r="R62" s="1">
        <f t="shared" si="7"/>
        <v>0</v>
      </c>
      <c r="S62" s="1">
        <f>SUMIF(Kiadas!$G$6:$G$1000,C62,Kiadas!$BA$6:$BA$1000)</f>
        <v>0</v>
      </c>
      <c r="T62" s="1">
        <f>SUMIF(Kiadas!$G$1006:$G$10000,C62,Kiadas!$BA$1006:$BA$10000)</f>
        <v>0</v>
      </c>
      <c r="U62" s="1">
        <f t="shared" si="8"/>
        <v>0</v>
      </c>
    </row>
    <row r="63" spans="1:21" ht="18" x14ac:dyDescent="0.25">
      <c r="A63" s="1">
        <f t="shared" si="0"/>
        <v>0</v>
      </c>
      <c r="B63" s="1">
        <f t="shared" si="1"/>
        <v>0</v>
      </c>
      <c r="C63" s="1" t="str">
        <f t="shared" si="2"/>
        <v>zzzzzzzzzzz</v>
      </c>
      <c r="D63" s="75">
        <v>59</v>
      </c>
      <c r="E63" s="45"/>
      <c r="F63" s="45"/>
      <c r="G63" s="46"/>
      <c r="H63" s="46"/>
      <c r="I63" s="78">
        <f t="shared" si="3"/>
        <v>0</v>
      </c>
      <c r="J63" s="78">
        <f t="shared" si="4"/>
        <v>0</v>
      </c>
      <c r="K63" s="89"/>
      <c r="L63" s="92">
        <f t="shared" si="5"/>
        <v>0</v>
      </c>
      <c r="M63" s="92" t="str">
        <f t="shared" si="6"/>
        <v>00</v>
      </c>
      <c r="N63" s="56">
        <f>SUMIF(Bevetel!$G$6:$G$1000,C63,Bevetel!$I$6:$I$1000)</f>
        <v>0</v>
      </c>
      <c r="O63" s="1">
        <f>SUMIF(Kiadas!$G$1006:$G$10000,C63,Kiadas!$I$1006:$I$10000)</f>
        <v>0</v>
      </c>
      <c r="R63" s="1">
        <f t="shared" si="7"/>
        <v>0</v>
      </c>
      <c r="S63" s="1">
        <f>SUMIF(Kiadas!$G$6:$G$1000,C63,Kiadas!$BA$6:$BA$1000)</f>
        <v>0</v>
      </c>
      <c r="T63" s="1">
        <f>SUMIF(Kiadas!$G$1006:$G$10000,C63,Kiadas!$BA$1006:$BA$10000)</f>
        <v>0</v>
      </c>
      <c r="U63" s="1">
        <f t="shared" si="8"/>
        <v>0</v>
      </c>
    </row>
    <row r="64" spans="1:21" ht="18" x14ac:dyDescent="0.25">
      <c r="A64" s="1">
        <f t="shared" si="0"/>
        <v>0</v>
      </c>
      <c r="B64" s="1">
        <f t="shared" si="1"/>
        <v>0</v>
      </c>
      <c r="C64" s="1" t="str">
        <f t="shared" si="2"/>
        <v>zzzzzzzzzzz</v>
      </c>
      <c r="D64" s="75">
        <v>60</v>
      </c>
      <c r="E64" s="45"/>
      <c r="F64" s="45"/>
      <c r="G64" s="46"/>
      <c r="H64" s="46"/>
      <c r="I64" s="78">
        <f t="shared" si="3"/>
        <v>0</v>
      </c>
      <c r="J64" s="78">
        <f t="shared" si="4"/>
        <v>0</v>
      </c>
      <c r="K64" s="89"/>
      <c r="L64" s="92">
        <f t="shared" si="5"/>
        <v>0</v>
      </c>
      <c r="M64" s="92" t="str">
        <f t="shared" si="6"/>
        <v>00</v>
      </c>
      <c r="N64" s="56">
        <f>SUMIF(Bevetel!$G$6:$G$1000,C64,Bevetel!$I$6:$I$1000)</f>
        <v>0</v>
      </c>
      <c r="O64" s="1">
        <f>SUMIF(Kiadas!$G$1006:$G$10000,C64,Kiadas!$I$1006:$I$10000)</f>
        <v>0</v>
      </c>
      <c r="R64" s="1">
        <f t="shared" si="7"/>
        <v>0</v>
      </c>
      <c r="S64" s="1">
        <f>SUMIF(Kiadas!$G$6:$G$1000,C64,Kiadas!$BA$6:$BA$1000)</f>
        <v>0</v>
      </c>
      <c r="T64" s="1">
        <f>SUMIF(Kiadas!$G$1006:$G$10000,C64,Kiadas!$BA$1006:$BA$10000)</f>
        <v>0</v>
      </c>
      <c r="U64" s="1">
        <f t="shared" si="8"/>
        <v>0</v>
      </c>
    </row>
    <row r="65" spans="1:21" ht="18" x14ac:dyDescent="0.25">
      <c r="A65" s="1">
        <f t="shared" si="0"/>
        <v>0</v>
      </c>
      <c r="B65" s="1">
        <f t="shared" si="1"/>
        <v>0</v>
      </c>
      <c r="C65" s="1" t="str">
        <f t="shared" si="2"/>
        <v>zzzzzzzzzzz</v>
      </c>
      <c r="D65" s="75">
        <v>61</v>
      </c>
      <c r="E65" s="45"/>
      <c r="F65" s="45"/>
      <c r="G65" s="46"/>
      <c r="H65" s="46"/>
      <c r="I65" s="78">
        <f t="shared" si="3"/>
        <v>0</v>
      </c>
      <c r="J65" s="78">
        <f t="shared" si="4"/>
        <v>0</v>
      </c>
      <c r="K65" s="89"/>
      <c r="L65" s="92">
        <f t="shared" si="5"/>
        <v>0</v>
      </c>
      <c r="M65" s="92" t="str">
        <f t="shared" si="6"/>
        <v>00</v>
      </c>
      <c r="N65" s="56">
        <f>SUMIF(Bevetel!$G$6:$G$1000,C65,Bevetel!$I$6:$I$1000)</f>
        <v>0</v>
      </c>
      <c r="O65" s="1">
        <f>SUMIF(Kiadas!$G$1006:$G$10000,C65,Kiadas!$I$1006:$I$10000)</f>
        <v>0</v>
      </c>
      <c r="R65" s="1">
        <f t="shared" si="7"/>
        <v>0</v>
      </c>
      <c r="S65" s="1">
        <f>SUMIF(Kiadas!$G$6:$G$1000,C65,Kiadas!$BA$6:$BA$1000)</f>
        <v>0</v>
      </c>
      <c r="T65" s="1">
        <f>SUMIF(Kiadas!$G$1006:$G$10000,C65,Kiadas!$BA$1006:$BA$10000)</f>
        <v>0</v>
      </c>
      <c r="U65" s="1">
        <f t="shared" si="8"/>
        <v>0</v>
      </c>
    </row>
    <row r="66" spans="1:21" ht="18" x14ac:dyDescent="0.25">
      <c r="A66" s="1">
        <f t="shared" si="0"/>
        <v>0</v>
      </c>
      <c r="B66" s="1">
        <f t="shared" si="1"/>
        <v>0</v>
      </c>
      <c r="C66" s="1" t="str">
        <f t="shared" si="2"/>
        <v>zzzzzzzzzzz</v>
      </c>
      <c r="D66" s="75">
        <v>62</v>
      </c>
      <c r="E66" s="45"/>
      <c r="F66" s="45"/>
      <c r="G66" s="46"/>
      <c r="H66" s="46"/>
      <c r="I66" s="78">
        <f t="shared" si="3"/>
        <v>0</v>
      </c>
      <c r="J66" s="78">
        <f t="shared" si="4"/>
        <v>0</v>
      </c>
      <c r="K66" s="89"/>
      <c r="L66" s="92">
        <f t="shared" si="5"/>
        <v>0</v>
      </c>
      <c r="M66" s="92" t="str">
        <f t="shared" si="6"/>
        <v>00</v>
      </c>
      <c r="N66" s="56">
        <f>SUMIF(Bevetel!$G$6:$G$1000,C66,Bevetel!$I$6:$I$1000)</f>
        <v>0</v>
      </c>
      <c r="O66" s="1">
        <f>SUMIF(Kiadas!$G$1006:$G$10000,C66,Kiadas!$I$1006:$I$10000)</f>
        <v>0</v>
      </c>
      <c r="R66" s="1">
        <f t="shared" si="7"/>
        <v>0</v>
      </c>
      <c r="S66" s="1">
        <f>SUMIF(Kiadas!$G$6:$G$1000,C66,Kiadas!$BA$6:$BA$1000)</f>
        <v>0</v>
      </c>
      <c r="T66" s="1">
        <f>SUMIF(Kiadas!$G$1006:$G$10000,C66,Kiadas!$BA$1006:$BA$10000)</f>
        <v>0</v>
      </c>
      <c r="U66" s="1">
        <f t="shared" si="8"/>
        <v>0</v>
      </c>
    </row>
    <row r="67" spans="1:21" ht="18" x14ac:dyDescent="0.25">
      <c r="A67" s="1">
        <f t="shared" si="0"/>
        <v>0</v>
      </c>
      <c r="B67" s="1">
        <f t="shared" si="1"/>
        <v>0</v>
      </c>
      <c r="C67" s="1" t="str">
        <f t="shared" si="2"/>
        <v>zzzzzzzzzzz</v>
      </c>
      <c r="D67" s="75">
        <v>63</v>
      </c>
      <c r="E67" s="45"/>
      <c r="F67" s="45"/>
      <c r="G67" s="46"/>
      <c r="H67" s="46"/>
      <c r="I67" s="78">
        <f t="shared" si="3"/>
        <v>0</v>
      </c>
      <c r="J67" s="78">
        <f t="shared" si="4"/>
        <v>0</v>
      </c>
      <c r="K67" s="89"/>
      <c r="L67" s="92">
        <f t="shared" si="5"/>
        <v>0</v>
      </c>
      <c r="M67" s="92" t="str">
        <f t="shared" si="6"/>
        <v>00</v>
      </c>
      <c r="N67" s="56">
        <f>SUMIF(Bevetel!$G$6:$G$1000,C67,Bevetel!$I$6:$I$1000)</f>
        <v>0</v>
      </c>
      <c r="O67" s="1">
        <f>SUMIF(Kiadas!$G$1006:$G$10000,C67,Kiadas!$I$1006:$I$10000)</f>
        <v>0</v>
      </c>
      <c r="R67" s="1">
        <f t="shared" si="7"/>
        <v>0</v>
      </c>
      <c r="S67" s="1">
        <f>SUMIF(Kiadas!$G$6:$G$1000,C67,Kiadas!$BA$6:$BA$1000)</f>
        <v>0</v>
      </c>
      <c r="T67" s="1">
        <f>SUMIF(Kiadas!$G$1006:$G$10000,C67,Kiadas!$BA$1006:$BA$10000)</f>
        <v>0</v>
      </c>
      <c r="U67" s="1">
        <f t="shared" si="8"/>
        <v>0</v>
      </c>
    </row>
    <row r="68" spans="1:21" ht="18" x14ac:dyDescent="0.25">
      <c r="A68" s="1">
        <f t="shared" si="0"/>
        <v>0</v>
      </c>
      <c r="B68" s="1">
        <f t="shared" si="1"/>
        <v>0</v>
      </c>
      <c r="C68" s="1" t="str">
        <f t="shared" si="2"/>
        <v>zzzzzzzzzzz</v>
      </c>
      <c r="D68" s="75">
        <v>64</v>
      </c>
      <c r="E68" s="45"/>
      <c r="F68" s="45"/>
      <c r="G68" s="46"/>
      <c r="H68" s="46"/>
      <c r="I68" s="78">
        <f t="shared" si="3"/>
        <v>0</v>
      </c>
      <c r="J68" s="78">
        <f t="shared" si="4"/>
        <v>0</v>
      </c>
      <c r="K68" s="89"/>
      <c r="L68" s="92">
        <f t="shared" si="5"/>
        <v>0</v>
      </c>
      <c r="M68" s="92" t="str">
        <f t="shared" si="6"/>
        <v>00</v>
      </c>
      <c r="N68" s="56">
        <f>SUMIF(Bevetel!$G$6:$G$1000,C68,Bevetel!$I$6:$I$1000)</f>
        <v>0</v>
      </c>
      <c r="O68" s="1">
        <f>SUMIF(Kiadas!$G$1006:$G$10000,C68,Kiadas!$I$1006:$I$10000)</f>
        <v>0</v>
      </c>
      <c r="R68" s="1">
        <f t="shared" si="7"/>
        <v>0</v>
      </c>
      <c r="S68" s="1">
        <f>SUMIF(Kiadas!$G$6:$G$1000,C68,Kiadas!$BA$6:$BA$1000)</f>
        <v>0</v>
      </c>
      <c r="T68" s="1">
        <f>SUMIF(Kiadas!$G$1006:$G$10000,C68,Kiadas!$BA$1006:$BA$10000)</f>
        <v>0</v>
      </c>
      <c r="U68" s="1">
        <f t="shared" si="8"/>
        <v>0</v>
      </c>
    </row>
    <row r="69" spans="1:21" ht="18" x14ac:dyDescent="0.25">
      <c r="A69" s="1">
        <f t="shared" si="0"/>
        <v>0</v>
      </c>
      <c r="B69" s="1">
        <f t="shared" si="1"/>
        <v>0</v>
      </c>
      <c r="C69" s="1" t="str">
        <f t="shared" si="2"/>
        <v>zzzzzzzzzzz</v>
      </c>
      <c r="D69" s="75">
        <v>65</v>
      </c>
      <c r="E69" s="45"/>
      <c r="F69" s="45"/>
      <c r="G69" s="46"/>
      <c r="H69" s="46"/>
      <c r="I69" s="78">
        <f t="shared" si="3"/>
        <v>0</v>
      </c>
      <c r="J69" s="78">
        <f t="shared" si="4"/>
        <v>0</v>
      </c>
      <c r="K69" s="89"/>
      <c r="L69" s="92">
        <f t="shared" si="5"/>
        <v>0</v>
      </c>
      <c r="M69" s="92" t="str">
        <f t="shared" si="6"/>
        <v>00</v>
      </c>
      <c r="N69" s="56">
        <f>SUMIF(Bevetel!$G$6:$G$1000,C69,Bevetel!$I$6:$I$1000)</f>
        <v>0</v>
      </c>
      <c r="O69" s="1">
        <f>SUMIF(Kiadas!$G$1006:$G$10000,C69,Kiadas!$I$1006:$I$10000)</f>
        <v>0</v>
      </c>
      <c r="R69" s="1">
        <f t="shared" si="7"/>
        <v>0</v>
      </c>
      <c r="S69" s="1">
        <f>SUMIF(Kiadas!$G$6:$G$1000,C69,Kiadas!$BA$6:$BA$1000)</f>
        <v>0</v>
      </c>
      <c r="T69" s="1">
        <f>SUMIF(Kiadas!$G$1006:$G$10000,C69,Kiadas!$BA$1006:$BA$10000)</f>
        <v>0</v>
      </c>
      <c r="U69" s="1">
        <f t="shared" si="8"/>
        <v>0</v>
      </c>
    </row>
    <row r="70" spans="1:21" ht="18" x14ac:dyDescent="0.25">
      <c r="A70" s="1">
        <f t="shared" ref="A70:A133" si="9">IF(C70&lt;&gt;$C$3,A69+1,A69)</f>
        <v>0</v>
      </c>
      <c r="B70" s="1">
        <f t="shared" ref="B70:B133" si="10">IF(AND(R70&lt;&gt;0,R70&lt;&gt;""),B69+1,B69)</f>
        <v>0</v>
      </c>
      <c r="C70" s="1" t="str">
        <f t="shared" ref="C70:C133" si="11">IF(E70&lt;&gt;0,TRIM(D70&amp;" - "&amp;E70&amp;IF(F70&lt;&gt;0," - "&amp;F70,"")&amp;" - "&amp;L70&amp;","&amp;M70&amp;" lej/"&amp;H70),$C$3)</f>
        <v>zzzzzzzzzzz</v>
      </c>
      <c r="D70" s="75">
        <v>66</v>
      </c>
      <c r="E70" s="45"/>
      <c r="F70" s="45"/>
      <c r="G70" s="46"/>
      <c r="H70" s="46"/>
      <c r="I70" s="78">
        <f t="shared" ref="I70:I133" si="12">IF(C70&lt;&gt;"",N70-O70,"")</f>
        <v>0</v>
      </c>
      <c r="J70" s="78">
        <f t="shared" ref="J70:J133" si="13">IF(I70&lt;&gt;"",G70*I70,"")</f>
        <v>0</v>
      </c>
      <c r="K70" s="89"/>
      <c r="L70" s="92">
        <f t="shared" ref="L70:L133" si="14">ROUNDDOWN(G70,0)</f>
        <v>0</v>
      </c>
      <c r="M70" s="92" t="str">
        <f t="shared" ref="M70:M133" si="15">IF(SUM(G70,-L70)*100&lt;=9,"0"&amp;SUM(G70,-L70)*100,SUM(G70,-L70)*100)</f>
        <v>00</v>
      </c>
      <c r="N70" s="56">
        <f>SUMIF(Bevetel!$G$6:$G$1000,C70,Bevetel!$I$6:$I$1000)</f>
        <v>0</v>
      </c>
      <c r="O70" s="1">
        <f>SUMIF(Kiadas!$G$1006:$G$10000,C70,Kiadas!$I$1006:$I$10000)</f>
        <v>0</v>
      </c>
      <c r="R70" s="1">
        <f t="shared" ref="R70:R133" si="16">IF(C70&lt;&gt;"",S70-T70,"")</f>
        <v>0</v>
      </c>
      <c r="S70" s="1">
        <f>SUMIF(Kiadas!$G$6:$G$1000,C70,Kiadas!$BA$6:$BA$1000)</f>
        <v>0</v>
      </c>
      <c r="T70" s="1">
        <f>SUMIF(Kiadas!$G$1006:$G$10000,C70,Kiadas!$BA$1006:$BA$10000)</f>
        <v>0</v>
      </c>
      <c r="U70" s="1">
        <f t="shared" ref="U70:U133" si="17">PRODUCT(G70*R70)</f>
        <v>0</v>
      </c>
    </row>
    <row r="71" spans="1:21" ht="18" x14ac:dyDescent="0.25">
      <c r="A71" s="1">
        <f t="shared" si="9"/>
        <v>0</v>
      </c>
      <c r="B71" s="1">
        <f t="shared" si="10"/>
        <v>0</v>
      </c>
      <c r="C71" s="1" t="str">
        <f t="shared" si="11"/>
        <v>zzzzzzzzzzz</v>
      </c>
      <c r="D71" s="75">
        <v>67</v>
      </c>
      <c r="E71" s="45"/>
      <c r="F71" s="45"/>
      <c r="G71" s="46"/>
      <c r="H71" s="46"/>
      <c r="I71" s="78">
        <f t="shared" si="12"/>
        <v>0</v>
      </c>
      <c r="J71" s="78">
        <f t="shared" si="13"/>
        <v>0</v>
      </c>
      <c r="K71" s="89"/>
      <c r="L71" s="92">
        <f t="shared" si="14"/>
        <v>0</v>
      </c>
      <c r="M71" s="92" t="str">
        <f t="shared" si="15"/>
        <v>00</v>
      </c>
      <c r="N71" s="56">
        <f>SUMIF(Bevetel!$G$6:$G$1000,C71,Bevetel!$I$6:$I$1000)</f>
        <v>0</v>
      </c>
      <c r="O71" s="1">
        <f>SUMIF(Kiadas!$G$1006:$G$10000,C71,Kiadas!$I$1006:$I$10000)</f>
        <v>0</v>
      </c>
      <c r="R71" s="1">
        <f t="shared" si="16"/>
        <v>0</v>
      </c>
      <c r="S71" s="1">
        <f>SUMIF(Kiadas!$G$6:$G$1000,C71,Kiadas!$BA$6:$BA$1000)</f>
        <v>0</v>
      </c>
      <c r="T71" s="1">
        <f>SUMIF(Kiadas!$G$1006:$G$10000,C71,Kiadas!$BA$1006:$BA$10000)</f>
        <v>0</v>
      </c>
      <c r="U71" s="1">
        <f t="shared" si="17"/>
        <v>0</v>
      </c>
    </row>
    <row r="72" spans="1:21" ht="18" x14ac:dyDescent="0.25">
      <c r="A72" s="1">
        <f t="shared" si="9"/>
        <v>0</v>
      </c>
      <c r="B72" s="1">
        <f t="shared" si="10"/>
        <v>0</v>
      </c>
      <c r="C72" s="1" t="str">
        <f t="shared" si="11"/>
        <v>zzzzzzzzzzz</v>
      </c>
      <c r="D72" s="75">
        <v>68</v>
      </c>
      <c r="E72" s="45"/>
      <c r="F72" s="45"/>
      <c r="G72" s="46"/>
      <c r="H72" s="46"/>
      <c r="I72" s="78">
        <f t="shared" si="12"/>
        <v>0</v>
      </c>
      <c r="J72" s="78">
        <f t="shared" si="13"/>
        <v>0</v>
      </c>
      <c r="K72" s="89"/>
      <c r="L72" s="92">
        <f t="shared" si="14"/>
        <v>0</v>
      </c>
      <c r="M72" s="92" t="str">
        <f t="shared" si="15"/>
        <v>00</v>
      </c>
      <c r="N72" s="56">
        <f>SUMIF(Bevetel!$G$6:$G$1000,C72,Bevetel!$I$6:$I$1000)</f>
        <v>0</v>
      </c>
      <c r="O72" s="1">
        <f>SUMIF(Kiadas!$G$1006:$G$10000,C72,Kiadas!$I$1006:$I$10000)</f>
        <v>0</v>
      </c>
      <c r="R72" s="1">
        <f t="shared" si="16"/>
        <v>0</v>
      </c>
      <c r="S72" s="1">
        <f>SUMIF(Kiadas!$G$6:$G$1000,C72,Kiadas!$BA$6:$BA$1000)</f>
        <v>0</v>
      </c>
      <c r="T72" s="1">
        <f>SUMIF(Kiadas!$G$1006:$G$10000,C72,Kiadas!$BA$1006:$BA$10000)</f>
        <v>0</v>
      </c>
      <c r="U72" s="1">
        <f t="shared" si="17"/>
        <v>0</v>
      </c>
    </row>
    <row r="73" spans="1:21" ht="18" x14ac:dyDescent="0.25">
      <c r="A73" s="1">
        <f t="shared" si="9"/>
        <v>0</v>
      </c>
      <c r="B73" s="1">
        <f t="shared" si="10"/>
        <v>0</v>
      </c>
      <c r="C73" s="1" t="str">
        <f t="shared" si="11"/>
        <v>zzzzzzzzzzz</v>
      </c>
      <c r="D73" s="75">
        <v>69</v>
      </c>
      <c r="E73" s="45"/>
      <c r="F73" s="45"/>
      <c r="G73" s="46"/>
      <c r="H73" s="46"/>
      <c r="I73" s="78">
        <f t="shared" si="12"/>
        <v>0</v>
      </c>
      <c r="J73" s="78">
        <f t="shared" si="13"/>
        <v>0</v>
      </c>
      <c r="K73" s="89"/>
      <c r="L73" s="92">
        <f t="shared" si="14"/>
        <v>0</v>
      </c>
      <c r="M73" s="92" t="str">
        <f t="shared" si="15"/>
        <v>00</v>
      </c>
      <c r="N73" s="56">
        <f>SUMIF(Bevetel!$G$6:$G$1000,C73,Bevetel!$I$6:$I$1000)</f>
        <v>0</v>
      </c>
      <c r="O73" s="1">
        <f>SUMIF(Kiadas!$G$1006:$G$10000,C73,Kiadas!$I$1006:$I$10000)</f>
        <v>0</v>
      </c>
      <c r="R73" s="1">
        <f t="shared" si="16"/>
        <v>0</v>
      </c>
      <c r="S73" s="1">
        <f>SUMIF(Kiadas!$G$6:$G$1000,C73,Kiadas!$BA$6:$BA$1000)</f>
        <v>0</v>
      </c>
      <c r="T73" s="1">
        <f>SUMIF(Kiadas!$G$1006:$G$10000,C73,Kiadas!$BA$1006:$BA$10000)</f>
        <v>0</v>
      </c>
      <c r="U73" s="1">
        <f t="shared" si="17"/>
        <v>0</v>
      </c>
    </row>
    <row r="74" spans="1:21" ht="18" x14ac:dyDescent="0.25">
      <c r="A74" s="1">
        <f t="shared" si="9"/>
        <v>0</v>
      </c>
      <c r="B74" s="1">
        <f t="shared" si="10"/>
        <v>0</v>
      </c>
      <c r="C74" s="1" t="str">
        <f t="shared" si="11"/>
        <v>zzzzzzzzzzz</v>
      </c>
      <c r="D74" s="75">
        <v>70</v>
      </c>
      <c r="E74" s="45"/>
      <c r="F74" s="45"/>
      <c r="G74" s="46"/>
      <c r="H74" s="46"/>
      <c r="I74" s="78">
        <f t="shared" si="12"/>
        <v>0</v>
      </c>
      <c r="J74" s="78">
        <f t="shared" si="13"/>
        <v>0</v>
      </c>
      <c r="K74" s="89"/>
      <c r="L74" s="92">
        <f t="shared" si="14"/>
        <v>0</v>
      </c>
      <c r="M74" s="92" t="str">
        <f t="shared" si="15"/>
        <v>00</v>
      </c>
      <c r="N74" s="56">
        <f>SUMIF(Bevetel!$G$6:$G$1000,C74,Bevetel!$I$6:$I$1000)</f>
        <v>0</v>
      </c>
      <c r="O74" s="1">
        <f>SUMIF(Kiadas!$G$1006:$G$10000,C74,Kiadas!$I$1006:$I$10000)</f>
        <v>0</v>
      </c>
      <c r="R74" s="1">
        <f t="shared" si="16"/>
        <v>0</v>
      </c>
      <c r="S74" s="1">
        <f>SUMIF(Kiadas!$G$6:$G$1000,C74,Kiadas!$BA$6:$BA$1000)</f>
        <v>0</v>
      </c>
      <c r="T74" s="1">
        <f>SUMIF(Kiadas!$G$1006:$G$10000,C74,Kiadas!$BA$1006:$BA$10000)</f>
        <v>0</v>
      </c>
      <c r="U74" s="1">
        <f t="shared" si="17"/>
        <v>0</v>
      </c>
    </row>
    <row r="75" spans="1:21" ht="18" x14ac:dyDescent="0.25">
      <c r="A75" s="1">
        <f t="shared" si="9"/>
        <v>0</v>
      </c>
      <c r="B75" s="1">
        <f t="shared" si="10"/>
        <v>0</v>
      </c>
      <c r="C75" s="1" t="str">
        <f t="shared" si="11"/>
        <v>zzzzzzzzzzz</v>
      </c>
      <c r="D75" s="75">
        <v>71</v>
      </c>
      <c r="E75" s="45"/>
      <c r="F75" s="45"/>
      <c r="G75" s="46"/>
      <c r="H75" s="46"/>
      <c r="I75" s="78">
        <f t="shared" si="12"/>
        <v>0</v>
      </c>
      <c r="J75" s="78">
        <f t="shared" si="13"/>
        <v>0</v>
      </c>
      <c r="K75" s="89"/>
      <c r="L75" s="92">
        <f t="shared" si="14"/>
        <v>0</v>
      </c>
      <c r="M75" s="92" t="str">
        <f t="shared" si="15"/>
        <v>00</v>
      </c>
      <c r="N75" s="56">
        <f>SUMIF(Bevetel!$G$6:$G$1000,C75,Bevetel!$I$6:$I$1000)</f>
        <v>0</v>
      </c>
      <c r="O75" s="1">
        <f>SUMIF(Kiadas!$G$1006:$G$10000,C75,Kiadas!$I$1006:$I$10000)</f>
        <v>0</v>
      </c>
      <c r="R75" s="1">
        <f t="shared" si="16"/>
        <v>0</v>
      </c>
      <c r="S75" s="1">
        <f>SUMIF(Kiadas!$G$6:$G$1000,C75,Kiadas!$BA$6:$BA$1000)</f>
        <v>0</v>
      </c>
      <c r="T75" s="1">
        <f>SUMIF(Kiadas!$G$1006:$G$10000,C75,Kiadas!$BA$1006:$BA$10000)</f>
        <v>0</v>
      </c>
      <c r="U75" s="1">
        <f t="shared" si="17"/>
        <v>0</v>
      </c>
    </row>
    <row r="76" spans="1:21" ht="18" x14ac:dyDescent="0.25">
      <c r="A76" s="1">
        <f t="shared" si="9"/>
        <v>0</v>
      </c>
      <c r="B76" s="1">
        <f t="shared" si="10"/>
        <v>0</v>
      </c>
      <c r="C76" s="1" t="str">
        <f t="shared" si="11"/>
        <v>zzzzzzzzzzz</v>
      </c>
      <c r="D76" s="75">
        <v>72</v>
      </c>
      <c r="E76" s="45"/>
      <c r="F76" s="45"/>
      <c r="G76" s="46"/>
      <c r="H76" s="46"/>
      <c r="I76" s="78">
        <f t="shared" si="12"/>
        <v>0</v>
      </c>
      <c r="J76" s="78">
        <f t="shared" si="13"/>
        <v>0</v>
      </c>
      <c r="K76" s="89"/>
      <c r="L76" s="92">
        <f t="shared" si="14"/>
        <v>0</v>
      </c>
      <c r="M76" s="92" t="str">
        <f t="shared" si="15"/>
        <v>00</v>
      </c>
      <c r="N76" s="56">
        <f>SUMIF(Bevetel!$G$6:$G$1000,C76,Bevetel!$I$6:$I$1000)</f>
        <v>0</v>
      </c>
      <c r="O76" s="1">
        <f>SUMIF(Kiadas!$G$1006:$G$10000,C76,Kiadas!$I$1006:$I$10000)</f>
        <v>0</v>
      </c>
      <c r="R76" s="1">
        <f t="shared" si="16"/>
        <v>0</v>
      </c>
      <c r="S76" s="1">
        <f>SUMIF(Kiadas!$G$6:$G$1000,C76,Kiadas!$BA$6:$BA$1000)</f>
        <v>0</v>
      </c>
      <c r="T76" s="1">
        <f>SUMIF(Kiadas!$G$1006:$G$10000,C76,Kiadas!$BA$1006:$BA$10000)</f>
        <v>0</v>
      </c>
      <c r="U76" s="1">
        <f t="shared" si="17"/>
        <v>0</v>
      </c>
    </row>
    <row r="77" spans="1:21" ht="18" x14ac:dyDescent="0.25">
      <c r="A77" s="1">
        <f t="shared" si="9"/>
        <v>0</v>
      </c>
      <c r="B77" s="1">
        <f t="shared" si="10"/>
        <v>0</v>
      </c>
      <c r="C77" s="1" t="str">
        <f t="shared" si="11"/>
        <v>zzzzzzzzzzz</v>
      </c>
      <c r="D77" s="75">
        <v>73</v>
      </c>
      <c r="E77" s="45"/>
      <c r="F77" s="45"/>
      <c r="G77" s="46"/>
      <c r="H77" s="46"/>
      <c r="I77" s="78">
        <f t="shared" si="12"/>
        <v>0</v>
      </c>
      <c r="J77" s="78">
        <f t="shared" si="13"/>
        <v>0</v>
      </c>
      <c r="K77" s="89"/>
      <c r="L77" s="92">
        <f t="shared" si="14"/>
        <v>0</v>
      </c>
      <c r="M77" s="92" t="str">
        <f t="shared" si="15"/>
        <v>00</v>
      </c>
      <c r="N77" s="56">
        <f>SUMIF(Bevetel!$G$6:$G$1000,C77,Bevetel!$I$6:$I$1000)</f>
        <v>0</v>
      </c>
      <c r="O77" s="1">
        <f>SUMIF(Kiadas!$G$1006:$G$10000,C77,Kiadas!$I$1006:$I$10000)</f>
        <v>0</v>
      </c>
      <c r="R77" s="1">
        <f t="shared" si="16"/>
        <v>0</v>
      </c>
      <c r="S77" s="1">
        <f>SUMIF(Kiadas!$G$6:$G$1000,C77,Kiadas!$BA$6:$BA$1000)</f>
        <v>0</v>
      </c>
      <c r="T77" s="1">
        <f>SUMIF(Kiadas!$G$1006:$G$10000,C77,Kiadas!$BA$1006:$BA$10000)</f>
        <v>0</v>
      </c>
      <c r="U77" s="1">
        <f t="shared" si="17"/>
        <v>0</v>
      </c>
    </row>
    <row r="78" spans="1:21" ht="18" x14ac:dyDescent="0.25">
      <c r="A78" s="1">
        <f t="shared" si="9"/>
        <v>0</v>
      </c>
      <c r="B78" s="1">
        <f t="shared" si="10"/>
        <v>0</v>
      </c>
      <c r="C78" s="1" t="str">
        <f t="shared" si="11"/>
        <v>zzzzzzzzzzz</v>
      </c>
      <c r="D78" s="75">
        <v>74</v>
      </c>
      <c r="E78" s="45"/>
      <c r="F78" s="45"/>
      <c r="G78" s="46"/>
      <c r="H78" s="46"/>
      <c r="I78" s="78">
        <f t="shared" si="12"/>
        <v>0</v>
      </c>
      <c r="J78" s="78">
        <f t="shared" si="13"/>
        <v>0</v>
      </c>
      <c r="K78" s="89"/>
      <c r="L78" s="92">
        <f t="shared" si="14"/>
        <v>0</v>
      </c>
      <c r="M78" s="92" t="str">
        <f t="shared" si="15"/>
        <v>00</v>
      </c>
      <c r="N78" s="56">
        <f>SUMIF(Bevetel!$G$6:$G$1000,C78,Bevetel!$I$6:$I$1000)</f>
        <v>0</v>
      </c>
      <c r="O78" s="1">
        <f>SUMIF(Kiadas!$G$1006:$G$10000,C78,Kiadas!$I$1006:$I$10000)</f>
        <v>0</v>
      </c>
      <c r="R78" s="1">
        <f t="shared" si="16"/>
        <v>0</v>
      </c>
      <c r="S78" s="1">
        <f>SUMIF(Kiadas!$G$6:$G$1000,C78,Kiadas!$BA$6:$BA$1000)</f>
        <v>0</v>
      </c>
      <c r="T78" s="1">
        <f>SUMIF(Kiadas!$G$1006:$G$10000,C78,Kiadas!$BA$1006:$BA$10000)</f>
        <v>0</v>
      </c>
      <c r="U78" s="1">
        <f t="shared" si="17"/>
        <v>0</v>
      </c>
    </row>
    <row r="79" spans="1:21" ht="18" x14ac:dyDescent="0.25">
      <c r="A79" s="1">
        <f t="shared" si="9"/>
        <v>0</v>
      </c>
      <c r="B79" s="1">
        <f t="shared" si="10"/>
        <v>0</v>
      </c>
      <c r="C79" s="1" t="str">
        <f t="shared" si="11"/>
        <v>zzzzzzzzzzz</v>
      </c>
      <c r="D79" s="75">
        <v>75</v>
      </c>
      <c r="E79" s="45"/>
      <c r="F79" s="45"/>
      <c r="G79" s="46"/>
      <c r="H79" s="46"/>
      <c r="I79" s="78">
        <f t="shared" si="12"/>
        <v>0</v>
      </c>
      <c r="J79" s="78">
        <f t="shared" si="13"/>
        <v>0</v>
      </c>
      <c r="K79" s="89"/>
      <c r="L79" s="92">
        <f t="shared" si="14"/>
        <v>0</v>
      </c>
      <c r="M79" s="92" t="str">
        <f t="shared" si="15"/>
        <v>00</v>
      </c>
      <c r="N79" s="56">
        <f>SUMIF(Bevetel!$G$6:$G$1000,C79,Bevetel!$I$6:$I$1000)</f>
        <v>0</v>
      </c>
      <c r="O79" s="1">
        <f>SUMIF(Kiadas!$G$1006:$G$10000,C79,Kiadas!$I$1006:$I$10000)</f>
        <v>0</v>
      </c>
      <c r="R79" s="1">
        <f t="shared" si="16"/>
        <v>0</v>
      </c>
      <c r="S79" s="1">
        <f>SUMIF(Kiadas!$G$6:$G$1000,C79,Kiadas!$BA$6:$BA$1000)</f>
        <v>0</v>
      </c>
      <c r="T79" s="1">
        <f>SUMIF(Kiadas!$G$1006:$G$10000,C79,Kiadas!$BA$1006:$BA$10000)</f>
        <v>0</v>
      </c>
      <c r="U79" s="1">
        <f t="shared" si="17"/>
        <v>0</v>
      </c>
    </row>
    <row r="80" spans="1:21" ht="18" x14ac:dyDescent="0.25">
      <c r="A80" s="1">
        <f t="shared" si="9"/>
        <v>0</v>
      </c>
      <c r="B80" s="1">
        <f t="shared" si="10"/>
        <v>0</v>
      </c>
      <c r="C80" s="1" t="str">
        <f t="shared" si="11"/>
        <v>zzzzzzzzzzz</v>
      </c>
      <c r="D80" s="75">
        <v>76</v>
      </c>
      <c r="E80" s="45"/>
      <c r="F80" s="45"/>
      <c r="G80" s="46"/>
      <c r="H80" s="46"/>
      <c r="I80" s="78">
        <f t="shared" si="12"/>
        <v>0</v>
      </c>
      <c r="J80" s="78">
        <f t="shared" si="13"/>
        <v>0</v>
      </c>
      <c r="K80" s="89"/>
      <c r="L80" s="92">
        <f t="shared" si="14"/>
        <v>0</v>
      </c>
      <c r="M80" s="92" t="str">
        <f t="shared" si="15"/>
        <v>00</v>
      </c>
      <c r="N80" s="56">
        <f>SUMIF(Bevetel!$G$6:$G$1000,C80,Bevetel!$I$6:$I$1000)</f>
        <v>0</v>
      </c>
      <c r="O80" s="1">
        <f>SUMIF(Kiadas!$G$1006:$G$10000,C80,Kiadas!$I$1006:$I$10000)</f>
        <v>0</v>
      </c>
      <c r="R80" s="1">
        <f t="shared" si="16"/>
        <v>0</v>
      </c>
      <c r="S80" s="1">
        <f>SUMIF(Kiadas!$G$6:$G$1000,C80,Kiadas!$BA$6:$BA$1000)</f>
        <v>0</v>
      </c>
      <c r="T80" s="1">
        <f>SUMIF(Kiadas!$G$1006:$G$10000,C80,Kiadas!$BA$1006:$BA$10000)</f>
        <v>0</v>
      </c>
      <c r="U80" s="1">
        <f t="shared" si="17"/>
        <v>0</v>
      </c>
    </row>
    <row r="81" spans="1:21" ht="18" x14ac:dyDescent="0.25">
      <c r="A81" s="1">
        <f t="shared" si="9"/>
        <v>0</v>
      </c>
      <c r="B81" s="1">
        <f t="shared" si="10"/>
        <v>0</v>
      </c>
      <c r="C81" s="1" t="str">
        <f t="shared" si="11"/>
        <v>zzzzzzzzzzz</v>
      </c>
      <c r="D81" s="75">
        <v>77</v>
      </c>
      <c r="E81" s="45"/>
      <c r="F81" s="45"/>
      <c r="G81" s="46"/>
      <c r="H81" s="46"/>
      <c r="I81" s="78">
        <f t="shared" si="12"/>
        <v>0</v>
      </c>
      <c r="J81" s="78">
        <f t="shared" si="13"/>
        <v>0</v>
      </c>
      <c r="K81" s="89"/>
      <c r="L81" s="92">
        <f t="shared" si="14"/>
        <v>0</v>
      </c>
      <c r="M81" s="92" t="str">
        <f t="shared" si="15"/>
        <v>00</v>
      </c>
      <c r="N81" s="56">
        <f>SUMIF(Bevetel!$G$6:$G$1000,C81,Bevetel!$I$6:$I$1000)</f>
        <v>0</v>
      </c>
      <c r="O81" s="1">
        <f>SUMIF(Kiadas!$G$1006:$G$10000,C81,Kiadas!$I$1006:$I$10000)</f>
        <v>0</v>
      </c>
      <c r="R81" s="1">
        <f t="shared" si="16"/>
        <v>0</v>
      </c>
      <c r="S81" s="1">
        <f>SUMIF(Kiadas!$G$6:$G$1000,C81,Kiadas!$BA$6:$BA$1000)</f>
        <v>0</v>
      </c>
      <c r="T81" s="1">
        <f>SUMIF(Kiadas!$G$1006:$G$10000,C81,Kiadas!$BA$1006:$BA$10000)</f>
        <v>0</v>
      </c>
      <c r="U81" s="1">
        <f t="shared" si="17"/>
        <v>0</v>
      </c>
    </row>
    <row r="82" spans="1:21" ht="18" x14ac:dyDescent="0.25">
      <c r="A82" s="1">
        <f t="shared" si="9"/>
        <v>0</v>
      </c>
      <c r="B82" s="1">
        <f t="shared" si="10"/>
        <v>0</v>
      </c>
      <c r="C82" s="1" t="str">
        <f t="shared" si="11"/>
        <v>zzzzzzzzzzz</v>
      </c>
      <c r="D82" s="75">
        <v>78</v>
      </c>
      <c r="E82" s="45"/>
      <c r="F82" s="45"/>
      <c r="G82" s="46"/>
      <c r="H82" s="46"/>
      <c r="I82" s="78">
        <f t="shared" si="12"/>
        <v>0</v>
      </c>
      <c r="J82" s="78">
        <f t="shared" si="13"/>
        <v>0</v>
      </c>
      <c r="K82" s="89"/>
      <c r="L82" s="92">
        <f t="shared" si="14"/>
        <v>0</v>
      </c>
      <c r="M82" s="92" t="str">
        <f t="shared" si="15"/>
        <v>00</v>
      </c>
      <c r="N82" s="56">
        <f>SUMIF(Bevetel!$G$6:$G$1000,C82,Bevetel!$I$6:$I$1000)</f>
        <v>0</v>
      </c>
      <c r="O82" s="1">
        <f>SUMIF(Kiadas!$G$1006:$G$10000,C82,Kiadas!$I$1006:$I$10000)</f>
        <v>0</v>
      </c>
      <c r="R82" s="1">
        <f t="shared" si="16"/>
        <v>0</v>
      </c>
      <c r="S82" s="1">
        <f>SUMIF(Kiadas!$G$6:$G$1000,C82,Kiadas!$BA$6:$BA$1000)</f>
        <v>0</v>
      </c>
      <c r="T82" s="1">
        <f>SUMIF(Kiadas!$G$1006:$G$10000,C82,Kiadas!$BA$1006:$BA$10000)</f>
        <v>0</v>
      </c>
      <c r="U82" s="1">
        <f t="shared" si="17"/>
        <v>0</v>
      </c>
    </row>
    <row r="83" spans="1:21" ht="18" x14ac:dyDescent="0.25">
      <c r="A83" s="1">
        <f t="shared" si="9"/>
        <v>0</v>
      </c>
      <c r="B83" s="1">
        <f t="shared" si="10"/>
        <v>0</v>
      </c>
      <c r="C83" s="1" t="str">
        <f t="shared" si="11"/>
        <v>zzzzzzzzzzz</v>
      </c>
      <c r="D83" s="75">
        <v>79</v>
      </c>
      <c r="E83" s="45"/>
      <c r="F83" s="45"/>
      <c r="G83" s="46"/>
      <c r="H83" s="46"/>
      <c r="I83" s="78">
        <f t="shared" si="12"/>
        <v>0</v>
      </c>
      <c r="J83" s="78">
        <f t="shared" si="13"/>
        <v>0</v>
      </c>
      <c r="K83" s="89"/>
      <c r="L83" s="92">
        <f t="shared" si="14"/>
        <v>0</v>
      </c>
      <c r="M83" s="92" t="str">
        <f t="shared" si="15"/>
        <v>00</v>
      </c>
      <c r="N83" s="56">
        <f>SUMIF(Bevetel!$G$6:$G$1000,C83,Bevetel!$I$6:$I$1000)</f>
        <v>0</v>
      </c>
      <c r="O83" s="1">
        <f>SUMIF(Kiadas!$G$1006:$G$10000,C83,Kiadas!$I$1006:$I$10000)</f>
        <v>0</v>
      </c>
      <c r="R83" s="1">
        <f t="shared" si="16"/>
        <v>0</v>
      </c>
      <c r="S83" s="1">
        <f>SUMIF(Kiadas!$G$6:$G$1000,C83,Kiadas!$BA$6:$BA$1000)</f>
        <v>0</v>
      </c>
      <c r="T83" s="1">
        <f>SUMIF(Kiadas!$G$1006:$G$10000,C83,Kiadas!$BA$1006:$BA$10000)</f>
        <v>0</v>
      </c>
      <c r="U83" s="1">
        <f t="shared" si="17"/>
        <v>0</v>
      </c>
    </row>
    <row r="84" spans="1:21" ht="18" x14ac:dyDescent="0.25">
      <c r="A84" s="1">
        <f t="shared" si="9"/>
        <v>0</v>
      </c>
      <c r="B84" s="1">
        <f t="shared" si="10"/>
        <v>0</v>
      </c>
      <c r="C84" s="1" t="str">
        <f t="shared" si="11"/>
        <v>zzzzzzzzzzz</v>
      </c>
      <c r="D84" s="75">
        <v>80</v>
      </c>
      <c r="E84" s="45"/>
      <c r="F84" s="45"/>
      <c r="G84" s="46"/>
      <c r="H84" s="46"/>
      <c r="I84" s="78">
        <f t="shared" si="12"/>
        <v>0</v>
      </c>
      <c r="J84" s="78">
        <f t="shared" si="13"/>
        <v>0</v>
      </c>
      <c r="K84" s="89"/>
      <c r="L84" s="92">
        <f t="shared" si="14"/>
        <v>0</v>
      </c>
      <c r="M84" s="92" t="str">
        <f t="shared" si="15"/>
        <v>00</v>
      </c>
      <c r="N84" s="56">
        <f>SUMIF(Bevetel!$G$6:$G$1000,C84,Bevetel!$I$6:$I$1000)</f>
        <v>0</v>
      </c>
      <c r="O84" s="1">
        <f>SUMIF(Kiadas!$G$1006:$G$10000,C84,Kiadas!$I$1006:$I$10000)</f>
        <v>0</v>
      </c>
      <c r="R84" s="1">
        <f t="shared" si="16"/>
        <v>0</v>
      </c>
      <c r="S84" s="1">
        <f>SUMIF(Kiadas!$G$6:$G$1000,C84,Kiadas!$BA$6:$BA$1000)</f>
        <v>0</v>
      </c>
      <c r="T84" s="1">
        <f>SUMIF(Kiadas!$G$1006:$G$10000,C84,Kiadas!$BA$1006:$BA$10000)</f>
        <v>0</v>
      </c>
      <c r="U84" s="1">
        <f t="shared" si="17"/>
        <v>0</v>
      </c>
    </row>
    <row r="85" spans="1:21" ht="18" x14ac:dyDescent="0.25">
      <c r="A85" s="1">
        <f t="shared" si="9"/>
        <v>0</v>
      </c>
      <c r="B85" s="1">
        <f t="shared" si="10"/>
        <v>0</v>
      </c>
      <c r="C85" s="1" t="str">
        <f t="shared" si="11"/>
        <v>zzzzzzzzzzz</v>
      </c>
      <c r="D85" s="75">
        <v>81</v>
      </c>
      <c r="E85" s="45"/>
      <c r="F85" s="45"/>
      <c r="G85" s="46"/>
      <c r="H85" s="46"/>
      <c r="I85" s="78">
        <f t="shared" si="12"/>
        <v>0</v>
      </c>
      <c r="J85" s="78">
        <f t="shared" si="13"/>
        <v>0</v>
      </c>
      <c r="K85" s="89"/>
      <c r="L85" s="92">
        <f t="shared" si="14"/>
        <v>0</v>
      </c>
      <c r="M85" s="92" t="str">
        <f t="shared" si="15"/>
        <v>00</v>
      </c>
      <c r="N85" s="56">
        <f>SUMIF(Bevetel!$G$6:$G$1000,C85,Bevetel!$I$6:$I$1000)</f>
        <v>0</v>
      </c>
      <c r="O85" s="1">
        <f>SUMIF(Kiadas!$G$1006:$G$10000,C85,Kiadas!$I$1006:$I$10000)</f>
        <v>0</v>
      </c>
      <c r="R85" s="1">
        <f t="shared" si="16"/>
        <v>0</v>
      </c>
      <c r="S85" s="1">
        <f>SUMIF(Kiadas!$G$6:$G$1000,C85,Kiadas!$BA$6:$BA$1000)</f>
        <v>0</v>
      </c>
      <c r="T85" s="1">
        <f>SUMIF(Kiadas!$G$1006:$G$10000,C85,Kiadas!$BA$1006:$BA$10000)</f>
        <v>0</v>
      </c>
      <c r="U85" s="1">
        <f t="shared" si="17"/>
        <v>0</v>
      </c>
    </row>
    <row r="86" spans="1:21" ht="18" x14ac:dyDescent="0.25">
      <c r="A86" s="1">
        <f t="shared" si="9"/>
        <v>0</v>
      </c>
      <c r="B86" s="1">
        <f t="shared" si="10"/>
        <v>0</v>
      </c>
      <c r="C86" s="1" t="str">
        <f t="shared" si="11"/>
        <v>zzzzzzzzzzz</v>
      </c>
      <c r="D86" s="75">
        <v>82</v>
      </c>
      <c r="E86" s="45"/>
      <c r="F86" s="45"/>
      <c r="G86" s="46"/>
      <c r="H86" s="46"/>
      <c r="I86" s="78">
        <f t="shared" si="12"/>
        <v>0</v>
      </c>
      <c r="J86" s="78">
        <f t="shared" si="13"/>
        <v>0</v>
      </c>
      <c r="K86" s="89"/>
      <c r="L86" s="92">
        <f t="shared" si="14"/>
        <v>0</v>
      </c>
      <c r="M86" s="92" t="str">
        <f t="shared" si="15"/>
        <v>00</v>
      </c>
      <c r="N86" s="56">
        <f>SUMIF(Bevetel!$G$6:$G$1000,C86,Bevetel!$I$6:$I$1000)</f>
        <v>0</v>
      </c>
      <c r="O86" s="1">
        <f>SUMIF(Kiadas!$G$1006:$G$10000,C86,Kiadas!$I$1006:$I$10000)</f>
        <v>0</v>
      </c>
      <c r="R86" s="1">
        <f t="shared" si="16"/>
        <v>0</v>
      </c>
      <c r="S86" s="1">
        <f>SUMIF(Kiadas!$G$6:$G$1000,C86,Kiadas!$BA$6:$BA$1000)</f>
        <v>0</v>
      </c>
      <c r="T86" s="1">
        <f>SUMIF(Kiadas!$G$1006:$G$10000,C86,Kiadas!$BA$1006:$BA$10000)</f>
        <v>0</v>
      </c>
      <c r="U86" s="1">
        <f t="shared" si="17"/>
        <v>0</v>
      </c>
    </row>
    <row r="87" spans="1:21" ht="18" x14ac:dyDescent="0.25">
      <c r="A87" s="1">
        <f t="shared" si="9"/>
        <v>0</v>
      </c>
      <c r="B87" s="1">
        <f t="shared" si="10"/>
        <v>0</v>
      </c>
      <c r="C87" s="1" t="str">
        <f t="shared" si="11"/>
        <v>zzzzzzzzzzz</v>
      </c>
      <c r="D87" s="75">
        <v>83</v>
      </c>
      <c r="E87" s="45"/>
      <c r="F87" s="45"/>
      <c r="G87" s="46"/>
      <c r="H87" s="46"/>
      <c r="I87" s="78">
        <f t="shared" si="12"/>
        <v>0</v>
      </c>
      <c r="J87" s="78">
        <f t="shared" si="13"/>
        <v>0</v>
      </c>
      <c r="K87" s="89"/>
      <c r="L87" s="92">
        <f t="shared" si="14"/>
        <v>0</v>
      </c>
      <c r="M87" s="92" t="str">
        <f t="shared" si="15"/>
        <v>00</v>
      </c>
      <c r="N87" s="56">
        <f>SUMIF(Bevetel!$G$6:$G$1000,C87,Bevetel!$I$6:$I$1000)</f>
        <v>0</v>
      </c>
      <c r="O87" s="1">
        <f>SUMIF(Kiadas!$G$1006:$G$10000,C87,Kiadas!$I$1006:$I$10000)</f>
        <v>0</v>
      </c>
      <c r="R87" s="1">
        <f t="shared" si="16"/>
        <v>0</v>
      </c>
      <c r="S87" s="1">
        <f>SUMIF(Kiadas!$G$6:$G$1000,C87,Kiadas!$BA$6:$BA$1000)</f>
        <v>0</v>
      </c>
      <c r="T87" s="1">
        <f>SUMIF(Kiadas!$G$1006:$G$10000,C87,Kiadas!$BA$1006:$BA$10000)</f>
        <v>0</v>
      </c>
      <c r="U87" s="1">
        <f t="shared" si="17"/>
        <v>0</v>
      </c>
    </row>
    <row r="88" spans="1:21" ht="18" x14ac:dyDescent="0.25">
      <c r="A88" s="1">
        <f t="shared" si="9"/>
        <v>0</v>
      </c>
      <c r="B88" s="1">
        <f t="shared" si="10"/>
        <v>0</v>
      </c>
      <c r="C88" s="1" t="str">
        <f t="shared" si="11"/>
        <v>zzzzzzzzzzz</v>
      </c>
      <c r="D88" s="75">
        <v>84</v>
      </c>
      <c r="E88" s="45"/>
      <c r="F88" s="45"/>
      <c r="G88" s="46"/>
      <c r="H88" s="46"/>
      <c r="I88" s="78">
        <f t="shared" si="12"/>
        <v>0</v>
      </c>
      <c r="J88" s="78">
        <f t="shared" si="13"/>
        <v>0</v>
      </c>
      <c r="K88" s="89"/>
      <c r="L88" s="92">
        <f t="shared" si="14"/>
        <v>0</v>
      </c>
      <c r="M88" s="92" t="str">
        <f t="shared" si="15"/>
        <v>00</v>
      </c>
      <c r="N88" s="56">
        <f>SUMIF(Bevetel!$G$6:$G$1000,C88,Bevetel!$I$6:$I$1000)</f>
        <v>0</v>
      </c>
      <c r="O88" s="1">
        <f>SUMIF(Kiadas!$G$1006:$G$10000,C88,Kiadas!$I$1006:$I$10000)</f>
        <v>0</v>
      </c>
      <c r="R88" s="1">
        <f t="shared" si="16"/>
        <v>0</v>
      </c>
      <c r="S88" s="1">
        <f>SUMIF(Kiadas!$G$6:$G$1000,C88,Kiadas!$BA$6:$BA$1000)</f>
        <v>0</v>
      </c>
      <c r="T88" s="1">
        <f>SUMIF(Kiadas!$G$1006:$G$10000,C88,Kiadas!$BA$1006:$BA$10000)</f>
        <v>0</v>
      </c>
      <c r="U88" s="1">
        <f t="shared" si="17"/>
        <v>0</v>
      </c>
    </row>
    <row r="89" spans="1:21" ht="18" x14ac:dyDescent="0.25">
      <c r="A89" s="1">
        <f t="shared" si="9"/>
        <v>0</v>
      </c>
      <c r="B89" s="1">
        <f t="shared" si="10"/>
        <v>0</v>
      </c>
      <c r="C89" s="1" t="str">
        <f t="shared" si="11"/>
        <v>zzzzzzzzzzz</v>
      </c>
      <c r="D89" s="75">
        <v>85</v>
      </c>
      <c r="E89" s="45"/>
      <c r="F89" s="45"/>
      <c r="G89" s="46"/>
      <c r="H89" s="46"/>
      <c r="I89" s="78">
        <f t="shared" si="12"/>
        <v>0</v>
      </c>
      <c r="J89" s="78">
        <f t="shared" si="13"/>
        <v>0</v>
      </c>
      <c r="K89" s="89"/>
      <c r="L89" s="92">
        <f t="shared" si="14"/>
        <v>0</v>
      </c>
      <c r="M89" s="92" t="str">
        <f t="shared" si="15"/>
        <v>00</v>
      </c>
      <c r="N89" s="56">
        <f>SUMIF(Bevetel!$G$6:$G$1000,C89,Bevetel!$I$6:$I$1000)</f>
        <v>0</v>
      </c>
      <c r="O89" s="1">
        <f>SUMIF(Kiadas!$G$1006:$G$10000,C89,Kiadas!$I$1006:$I$10000)</f>
        <v>0</v>
      </c>
      <c r="R89" s="1">
        <f t="shared" si="16"/>
        <v>0</v>
      </c>
      <c r="S89" s="1">
        <f>SUMIF(Kiadas!$G$6:$G$1000,C89,Kiadas!$BA$6:$BA$1000)</f>
        <v>0</v>
      </c>
      <c r="T89" s="1">
        <f>SUMIF(Kiadas!$G$1006:$G$10000,C89,Kiadas!$BA$1006:$BA$10000)</f>
        <v>0</v>
      </c>
      <c r="U89" s="1">
        <f t="shared" si="17"/>
        <v>0</v>
      </c>
    </row>
    <row r="90" spans="1:21" ht="18" x14ac:dyDescent="0.25">
      <c r="A90" s="1">
        <f t="shared" si="9"/>
        <v>0</v>
      </c>
      <c r="B90" s="1">
        <f t="shared" si="10"/>
        <v>0</v>
      </c>
      <c r="C90" s="1" t="str">
        <f t="shared" si="11"/>
        <v>zzzzzzzzzzz</v>
      </c>
      <c r="D90" s="75">
        <v>86</v>
      </c>
      <c r="E90" s="45"/>
      <c r="F90" s="45"/>
      <c r="G90" s="46"/>
      <c r="H90" s="46"/>
      <c r="I90" s="78">
        <f t="shared" si="12"/>
        <v>0</v>
      </c>
      <c r="J90" s="78">
        <f t="shared" si="13"/>
        <v>0</v>
      </c>
      <c r="K90" s="89"/>
      <c r="L90" s="92">
        <f t="shared" si="14"/>
        <v>0</v>
      </c>
      <c r="M90" s="92" t="str">
        <f t="shared" si="15"/>
        <v>00</v>
      </c>
      <c r="N90" s="56">
        <f>SUMIF(Bevetel!$G$6:$G$1000,C90,Bevetel!$I$6:$I$1000)</f>
        <v>0</v>
      </c>
      <c r="O90" s="1">
        <f>SUMIF(Kiadas!$G$1006:$G$10000,C90,Kiadas!$I$1006:$I$10000)</f>
        <v>0</v>
      </c>
      <c r="R90" s="1">
        <f t="shared" si="16"/>
        <v>0</v>
      </c>
      <c r="S90" s="1">
        <f>SUMIF(Kiadas!$G$6:$G$1000,C90,Kiadas!$BA$6:$BA$1000)</f>
        <v>0</v>
      </c>
      <c r="T90" s="1">
        <f>SUMIF(Kiadas!$G$1006:$G$10000,C90,Kiadas!$BA$1006:$BA$10000)</f>
        <v>0</v>
      </c>
      <c r="U90" s="1">
        <f t="shared" si="17"/>
        <v>0</v>
      </c>
    </row>
    <row r="91" spans="1:21" ht="18" x14ac:dyDescent="0.25">
      <c r="A91" s="1">
        <f t="shared" si="9"/>
        <v>0</v>
      </c>
      <c r="B91" s="1">
        <f t="shared" si="10"/>
        <v>0</v>
      </c>
      <c r="C91" s="1" t="str">
        <f t="shared" si="11"/>
        <v>zzzzzzzzzzz</v>
      </c>
      <c r="D91" s="75">
        <v>87</v>
      </c>
      <c r="E91" s="45"/>
      <c r="F91" s="45"/>
      <c r="G91" s="46"/>
      <c r="H91" s="46"/>
      <c r="I91" s="78">
        <f t="shared" si="12"/>
        <v>0</v>
      </c>
      <c r="J91" s="78">
        <f t="shared" si="13"/>
        <v>0</v>
      </c>
      <c r="K91" s="89"/>
      <c r="L91" s="92">
        <f t="shared" si="14"/>
        <v>0</v>
      </c>
      <c r="M91" s="92" t="str">
        <f t="shared" si="15"/>
        <v>00</v>
      </c>
      <c r="N91" s="56">
        <f>SUMIF(Bevetel!$G$6:$G$1000,C91,Bevetel!$I$6:$I$1000)</f>
        <v>0</v>
      </c>
      <c r="O91" s="1">
        <f>SUMIF(Kiadas!$G$1006:$G$10000,C91,Kiadas!$I$1006:$I$10000)</f>
        <v>0</v>
      </c>
      <c r="R91" s="1">
        <f t="shared" si="16"/>
        <v>0</v>
      </c>
      <c r="S91" s="1">
        <f>SUMIF(Kiadas!$G$6:$G$1000,C91,Kiadas!$BA$6:$BA$1000)</f>
        <v>0</v>
      </c>
      <c r="T91" s="1">
        <f>SUMIF(Kiadas!$G$1006:$G$10000,C91,Kiadas!$BA$1006:$BA$10000)</f>
        <v>0</v>
      </c>
      <c r="U91" s="1">
        <f t="shared" si="17"/>
        <v>0</v>
      </c>
    </row>
    <row r="92" spans="1:21" ht="18" x14ac:dyDescent="0.25">
      <c r="A92" s="1">
        <f t="shared" si="9"/>
        <v>0</v>
      </c>
      <c r="B92" s="1">
        <f t="shared" si="10"/>
        <v>0</v>
      </c>
      <c r="C92" s="1" t="str">
        <f t="shared" si="11"/>
        <v>zzzzzzzzzzz</v>
      </c>
      <c r="D92" s="75">
        <v>88</v>
      </c>
      <c r="E92" s="45"/>
      <c r="F92" s="45"/>
      <c r="G92" s="46"/>
      <c r="H92" s="46"/>
      <c r="I92" s="78">
        <f t="shared" si="12"/>
        <v>0</v>
      </c>
      <c r="J92" s="78">
        <f t="shared" si="13"/>
        <v>0</v>
      </c>
      <c r="K92" s="89"/>
      <c r="L92" s="92">
        <f t="shared" si="14"/>
        <v>0</v>
      </c>
      <c r="M92" s="92" t="str">
        <f t="shared" si="15"/>
        <v>00</v>
      </c>
      <c r="N92" s="56">
        <f>SUMIF(Bevetel!$G$6:$G$1000,C92,Bevetel!$I$6:$I$1000)</f>
        <v>0</v>
      </c>
      <c r="O92" s="1">
        <f>SUMIF(Kiadas!$G$1006:$G$10000,C92,Kiadas!$I$1006:$I$10000)</f>
        <v>0</v>
      </c>
      <c r="R92" s="1">
        <f t="shared" si="16"/>
        <v>0</v>
      </c>
      <c r="S92" s="1">
        <f>SUMIF(Kiadas!$G$6:$G$1000,C92,Kiadas!$BA$6:$BA$1000)</f>
        <v>0</v>
      </c>
      <c r="T92" s="1">
        <f>SUMIF(Kiadas!$G$1006:$G$10000,C92,Kiadas!$BA$1006:$BA$10000)</f>
        <v>0</v>
      </c>
      <c r="U92" s="1">
        <f t="shared" si="17"/>
        <v>0</v>
      </c>
    </row>
    <row r="93" spans="1:21" ht="18" x14ac:dyDescent="0.25">
      <c r="A93" s="1">
        <f t="shared" si="9"/>
        <v>0</v>
      </c>
      <c r="B93" s="1">
        <f t="shared" si="10"/>
        <v>0</v>
      </c>
      <c r="C93" s="1" t="str">
        <f t="shared" si="11"/>
        <v>zzzzzzzzzzz</v>
      </c>
      <c r="D93" s="75">
        <v>89</v>
      </c>
      <c r="E93" s="45"/>
      <c r="F93" s="45"/>
      <c r="G93" s="46"/>
      <c r="H93" s="46"/>
      <c r="I93" s="78">
        <f t="shared" si="12"/>
        <v>0</v>
      </c>
      <c r="J93" s="78">
        <f t="shared" si="13"/>
        <v>0</v>
      </c>
      <c r="K93" s="89"/>
      <c r="L93" s="92">
        <f t="shared" si="14"/>
        <v>0</v>
      </c>
      <c r="M93" s="92" t="str">
        <f t="shared" si="15"/>
        <v>00</v>
      </c>
      <c r="N93" s="56">
        <f>SUMIF(Bevetel!$G$6:$G$1000,C93,Bevetel!$I$6:$I$1000)</f>
        <v>0</v>
      </c>
      <c r="O93" s="1">
        <f>SUMIF(Kiadas!$G$1006:$G$10000,C93,Kiadas!$I$1006:$I$10000)</f>
        <v>0</v>
      </c>
      <c r="R93" s="1">
        <f t="shared" si="16"/>
        <v>0</v>
      </c>
      <c r="S93" s="1">
        <f>SUMIF(Kiadas!$G$6:$G$1000,C93,Kiadas!$BA$6:$BA$1000)</f>
        <v>0</v>
      </c>
      <c r="T93" s="1">
        <f>SUMIF(Kiadas!$G$1006:$G$10000,C93,Kiadas!$BA$1006:$BA$10000)</f>
        <v>0</v>
      </c>
      <c r="U93" s="1">
        <f t="shared" si="17"/>
        <v>0</v>
      </c>
    </row>
    <row r="94" spans="1:21" ht="18" x14ac:dyDescent="0.25">
      <c r="A94" s="1">
        <f t="shared" si="9"/>
        <v>0</v>
      </c>
      <c r="B94" s="1">
        <f t="shared" si="10"/>
        <v>0</v>
      </c>
      <c r="C94" s="1" t="str">
        <f t="shared" si="11"/>
        <v>zzzzzzzzzzz</v>
      </c>
      <c r="D94" s="75">
        <v>90</v>
      </c>
      <c r="E94" s="45"/>
      <c r="F94" s="45"/>
      <c r="G94" s="46"/>
      <c r="H94" s="46"/>
      <c r="I94" s="78">
        <f t="shared" si="12"/>
        <v>0</v>
      </c>
      <c r="J94" s="78">
        <f t="shared" si="13"/>
        <v>0</v>
      </c>
      <c r="K94" s="89"/>
      <c r="L94" s="92">
        <f t="shared" si="14"/>
        <v>0</v>
      </c>
      <c r="M94" s="92" t="str">
        <f t="shared" si="15"/>
        <v>00</v>
      </c>
      <c r="N94" s="56">
        <f>SUMIF(Bevetel!$G$6:$G$1000,C94,Bevetel!$I$6:$I$1000)</f>
        <v>0</v>
      </c>
      <c r="O94" s="1">
        <f>SUMIF(Kiadas!$G$1006:$G$10000,C94,Kiadas!$I$1006:$I$10000)</f>
        <v>0</v>
      </c>
      <c r="R94" s="1">
        <f t="shared" si="16"/>
        <v>0</v>
      </c>
      <c r="S94" s="1">
        <f>SUMIF(Kiadas!$G$6:$G$1000,C94,Kiadas!$BA$6:$BA$1000)</f>
        <v>0</v>
      </c>
      <c r="T94" s="1">
        <f>SUMIF(Kiadas!$G$1006:$G$10000,C94,Kiadas!$BA$1006:$BA$10000)</f>
        <v>0</v>
      </c>
      <c r="U94" s="1">
        <f t="shared" si="17"/>
        <v>0</v>
      </c>
    </row>
    <row r="95" spans="1:21" ht="18" x14ac:dyDescent="0.25">
      <c r="A95" s="1">
        <f t="shared" si="9"/>
        <v>0</v>
      </c>
      <c r="B95" s="1">
        <f t="shared" si="10"/>
        <v>0</v>
      </c>
      <c r="C95" s="1" t="str">
        <f t="shared" si="11"/>
        <v>zzzzzzzzzzz</v>
      </c>
      <c r="D95" s="75">
        <v>91</v>
      </c>
      <c r="E95" s="45"/>
      <c r="F95" s="45"/>
      <c r="G95" s="46"/>
      <c r="H95" s="46"/>
      <c r="I95" s="78">
        <f t="shared" si="12"/>
        <v>0</v>
      </c>
      <c r="J95" s="78">
        <f t="shared" si="13"/>
        <v>0</v>
      </c>
      <c r="K95" s="89"/>
      <c r="L95" s="92">
        <f t="shared" si="14"/>
        <v>0</v>
      </c>
      <c r="M95" s="92" t="str">
        <f t="shared" si="15"/>
        <v>00</v>
      </c>
      <c r="N95" s="56">
        <f>SUMIF(Bevetel!$G$6:$G$1000,C95,Bevetel!$I$6:$I$1000)</f>
        <v>0</v>
      </c>
      <c r="O95" s="1">
        <f>SUMIF(Kiadas!$G$1006:$G$10000,C95,Kiadas!$I$1006:$I$10000)</f>
        <v>0</v>
      </c>
      <c r="R95" s="1">
        <f t="shared" si="16"/>
        <v>0</v>
      </c>
      <c r="S95" s="1">
        <f>SUMIF(Kiadas!$G$6:$G$1000,C95,Kiadas!$BA$6:$BA$1000)</f>
        <v>0</v>
      </c>
      <c r="T95" s="1">
        <f>SUMIF(Kiadas!$G$1006:$G$10000,C95,Kiadas!$BA$1006:$BA$10000)</f>
        <v>0</v>
      </c>
      <c r="U95" s="1">
        <f t="shared" si="17"/>
        <v>0</v>
      </c>
    </row>
    <row r="96" spans="1:21" ht="18" x14ac:dyDescent="0.25">
      <c r="A96" s="1">
        <f t="shared" si="9"/>
        <v>0</v>
      </c>
      <c r="B96" s="1">
        <f t="shared" si="10"/>
        <v>0</v>
      </c>
      <c r="C96" s="1" t="str">
        <f t="shared" si="11"/>
        <v>zzzzzzzzzzz</v>
      </c>
      <c r="D96" s="75">
        <v>92</v>
      </c>
      <c r="E96" s="45"/>
      <c r="F96" s="45"/>
      <c r="G96" s="46"/>
      <c r="H96" s="46"/>
      <c r="I96" s="78">
        <f t="shared" si="12"/>
        <v>0</v>
      </c>
      <c r="J96" s="78">
        <f t="shared" si="13"/>
        <v>0</v>
      </c>
      <c r="K96" s="89"/>
      <c r="L96" s="92">
        <f t="shared" si="14"/>
        <v>0</v>
      </c>
      <c r="M96" s="92" t="str">
        <f t="shared" si="15"/>
        <v>00</v>
      </c>
      <c r="N96" s="56">
        <f>SUMIF(Bevetel!$G$6:$G$1000,C96,Bevetel!$I$6:$I$1000)</f>
        <v>0</v>
      </c>
      <c r="O96" s="1">
        <f>SUMIF(Kiadas!$G$1006:$G$10000,C96,Kiadas!$I$1006:$I$10000)</f>
        <v>0</v>
      </c>
      <c r="R96" s="1">
        <f t="shared" si="16"/>
        <v>0</v>
      </c>
      <c r="S96" s="1">
        <f>SUMIF(Kiadas!$G$6:$G$1000,C96,Kiadas!$BA$6:$BA$1000)</f>
        <v>0</v>
      </c>
      <c r="T96" s="1">
        <f>SUMIF(Kiadas!$G$1006:$G$10000,C96,Kiadas!$BA$1006:$BA$10000)</f>
        <v>0</v>
      </c>
      <c r="U96" s="1">
        <f t="shared" si="17"/>
        <v>0</v>
      </c>
    </row>
    <row r="97" spans="1:21" ht="18" x14ac:dyDescent="0.25">
      <c r="A97" s="1">
        <f t="shared" si="9"/>
        <v>0</v>
      </c>
      <c r="B97" s="1">
        <f t="shared" si="10"/>
        <v>0</v>
      </c>
      <c r="C97" s="1" t="str">
        <f t="shared" si="11"/>
        <v>zzzzzzzzzzz</v>
      </c>
      <c r="D97" s="75">
        <v>93</v>
      </c>
      <c r="E97" s="45"/>
      <c r="F97" s="45"/>
      <c r="G97" s="46"/>
      <c r="H97" s="46"/>
      <c r="I97" s="78">
        <f t="shared" si="12"/>
        <v>0</v>
      </c>
      <c r="J97" s="78">
        <f t="shared" si="13"/>
        <v>0</v>
      </c>
      <c r="K97" s="89"/>
      <c r="L97" s="92">
        <f t="shared" si="14"/>
        <v>0</v>
      </c>
      <c r="M97" s="92" t="str">
        <f t="shared" si="15"/>
        <v>00</v>
      </c>
      <c r="N97" s="56">
        <f>SUMIF(Bevetel!$G$6:$G$1000,C97,Bevetel!$I$6:$I$1000)</f>
        <v>0</v>
      </c>
      <c r="O97" s="1">
        <f>SUMIF(Kiadas!$G$1006:$G$10000,C97,Kiadas!$I$1006:$I$10000)</f>
        <v>0</v>
      </c>
      <c r="R97" s="1">
        <f t="shared" si="16"/>
        <v>0</v>
      </c>
      <c r="S97" s="1">
        <f>SUMIF(Kiadas!$G$6:$G$1000,C97,Kiadas!$BA$6:$BA$1000)</f>
        <v>0</v>
      </c>
      <c r="T97" s="1">
        <f>SUMIF(Kiadas!$G$1006:$G$10000,C97,Kiadas!$BA$1006:$BA$10000)</f>
        <v>0</v>
      </c>
      <c r="U97" s="1">
        <f t="shared" si="17"/>
        <v>0</v>
      </c>
    </row>
    <row r="98" spans="1:21" ht="18" x14ac:dyDescent="0.25">
      <c r="A98" s="1">
        <f t="shared" si="9"/>
        <v>0</v>
      </c>
      <c r="B98" s="1">
        <f t="shared" si="10"/>
        <v>0</v>
      </c>
      <c r="C98" s="1" t="str">
        <f t="shared" si="11"/>
        <v>zzzzzzzzzzz</v>
      </c>
      <c r="D98" s="75">
        <v>94</v>
      </c>
      <c r="E98" s="45"/>
      <c r="F98" s="45"/>
      <c r="G98" s="46"/>
      <c r="H98" s="46"/>
      <c r="I98" s="78">
        <f t="shared" si="12"/>
        <v>0</v>
      </c>
      <c r="J98" s="78">
        <f t="shared" si="13"/>
        <v>0</v>
      </c>
      <c r="K98" s="89"/>
      <c r="L98" s="92">
        <f t="shared" si="14"/>
        <v>0</v>
      </c>
      <c r="M98" s="92" t="str">
        <f t="shared" si="15"/>
        <v>00</v>
      </c>
      <c r="N98" s="56">
        <f>SUMIF(Bevetel!$G$6:$G$1000,C98,Bevetel!$I$6:$I$1000)</f>
        <v>0</v>
      </c>
      <c r="O98" s="1">
        <f>SUMIF(Kiadas!$G$1006:$G$10000,C98,Kiadas!$I$1006:$I$10000)</f>
        <v>0</v>
      </c>
      <c r="R98" s="1">
        <f t="shared" si="16"/>
        <v>0</v>
      </c>
      <c r="S98" s="1">
        <f>SUMIF(Kiadas!$G$6:$G$1000,C98,Kiadas!$BA$6:$BA$1000)</f>
        <v>0</v>
      </c>
      <c r="T98" s="1">
        <f>SUMIF(Kiadas!$G$1006:$G$10000,C98,Kiadas!$BA$1006:$BA$10000)</f>
        <v>0</v>
      </c>
      <c r="U98" s="1">
        <f t="shared" si="17"/>
        <v>0</v>
      </c>
    </row>
    <row r="99" spans="1:21" ht="18" x14ac:dyDescent="0.25">
      <c r="A99" s="1">
        <f t="shared" si="9"/>
        <v>0</v>
      </c>
      <c r="B99" s="1">
        <f t="shared" si="10"/>
        <v>0</v>
      </c>
      <c r="C99" s="1" t="str">
        <f t="shared" si="11"/>
        <v>zzzzzzzzzzz</v>
      </c>
      <c r="D99" s="75">
        <v>95</v>
      </c>
      <c r="E99" s="45"/>
      <c r="F99" s="45"/>
      <c r="G99" s="46"/>
      <c r="H99" s="46"/>
      <c r="I99" s="78">
        <f t="shared" si="12"/>
        <v>0</v>
      </c>
      <c r="J99" s="78">
        <f t="shared" si="13"/>
        <v>0</v>
      </c>
      <c r="K99" s="89"/>
      <c r="L99" s="92">
        <f t="shared" si="14"/>
        <v>0</v>
      </c>
      <c r="M99" s="92" t="str">
        <f t="shared" si="15"/>
        <v>00</v>
      </c>
      <c r="N99" s="56">
        <f>SUMIF(Bevetel!$G$6:$G$1000,C99,Bevetel!$I$6:$I$1000)</f>
        <v>0</v>
      </c>
      <c r="O99" s="1">
        <f>SUMIF(Kiadas!$G$1006:$G$10000,C99,Kiadas!$I$1006:$I$10000)</f>
        <v>0</v>
      </c>
      <c r="R99" s="1">
        <f t="shared" si="16"/>
        <v>0</v>
      </c>
      <c r="S99" s="1">
        <f>SUMIF(Kiadas!$G$6:$G$1000,C99,Kiadas!$BA$6:$BA$1000)</f>
        <v>0</v>
      </c>
      <c r="T99" s="1">
        <f>SUMIF(Kiadas!$G$1006:$G$10000,C99,Kiadas!$BA$1006:$BA$10000)</f>
        <v>0</v>
      </c>
      <c r="U99" s="1">
        <f t="shared" si="17"/>
        <v>0</v>
      </c>
    </row>
    <row r="100" spans="1:21" ht="18" x14ac:dyDescent="0.25">
      <c r="A100" s="1">
        <f t="shared" si="9"/>
        <v>0</v>
      </c>
      <c r="B100" s="1">
        <f t="shared" si="10"/>
        <v>0</v>
      </c>
      <c r="C100" s="1" t="str">
        <f t="shared" si="11"/>
        <v>zzzzzzzzzzz</v>
      </c>
      <c r="D100" s="75">
        <v>96</v>
      </c>
      <c r="E100" s="45"/>
      <c r="F100" s="45"/>
      <c r="G100" s="46"/>
      <c r="H100" s="46"/>
      <c r="I100" s="78">
        <f t="shared" si="12"/>
        <v>0</v>
      </c>
      <c r="J100" s="78">
        <f t="shared" si="13"/>
        <v>0</v>
      </c>
      <c r="K100" s="89"/>
      <c r="L100" s="92">
        <f t="shared" si="14"/>
        <v>0</v>
      </c>
      <c r="M100" s="92" t="str">
        <f t="shared" si="15"/>
        <v>00</v>
      </c>
      <c r="N100" s="56">
        <f>SUMIF(Bevetel!$G$6:$G$1000,C100,Bevetel!$I$6:$I$1000)</f>
        <v>0</v>
      </c>
      <c r="O100" s="1">
        <f>SUMIF(Kiadas!$G$1006:$G$10000,C100,Kiadas!$I$1006:$I$10000)</f>
        <v>0</v>
      </c>
      <c r="R100" s="1">
        <f t="shared" si="16"/>
        <v>0</v>
      </c>
      <c r="S100" s="1">
        <f>SUMIF(Kiadas!$G$6:$G$1000,C100,Kiadas!$BA$6:$BA$1000)</f>
        <v>0</v>
      </c>
      <c r="T100" s="1">
        <f>SUMIF(Kiadas!$G$1006:$G$10000,C100,Kiadas!$BA$1006:$BA$10000)</f>
        <v>0</v>
      </c>
      <c r="U100" s="1">
        <f t="shared" si="17"/>
        <v>0</v>
      </c>
    </row>
    <row r="101" spans="1:21" ht="18" x14ac:dyDescent="0.25">
      <c r="A101" s="1">
        <f t="shared" si="9"/>
        <v>0</v>
      </c>
      <c r="B101" s="1">
        <f t="shared" si="10"/>
        <v>0</v>
      </c>
      <c r="C101" s="1" t="str">
        <f t="shared" si="11"/>
        <v>zzzzzzzzzzz</v>
      </c>
      <c r="D101" s="75">
        <v>97</v>
      </c>
      <c r="E101" s="45"/>
      <c r="F101" s="45"/>
      <c r="G101" s="46"/>
      <c r="H101" s="46"/>
      <c r="I101" s="78">
        <f t="shared" si="12"/>
        <v>0</v>
      </c>
      <c r="J101" s="78">
        <f t="shared" si="13"/>
        <v>0</v>
      </c>
      <c r="K101" s="89"/>
      <c r="L101" s="92">
        <f t="shared" si="14"/>
        <v>0</v>
      </c>
      <c r="M101" s="92" t="str">
        <f t="shared" si="15"/>
        <v>00</v>
      </c>
      <c r="N101" s="56">
        <f>SUMIF(Bevetel!$G$6:$G$1000,C101,Bevetel!$I$6:$I$1000)</f>
        <v>0</v>
      </c>
      <c r="O101" s="1">
        <f>SUMIF(Kiadas!$G$1006:$G$10000,C101,Kiadas!$I$1006:$I$10000)</f>
        <v>0</v>
      </c>
      <c r="R101" s="1">
        <f t="shared" si="16"/>
        <v>0</v>
      </c>
      <c r="S101" s="1">
        <f>SUMIF(Kiadas!$G$6:$G$1000,C101,Kiadas!$BA$6:$BA$1000)</f>
        <v>0</v>
      </c>
      <c r="T101" s="1">
        <f>SUMIF(Kiadas!$G$1006:$G$10000,C101,Kiadas!$BA$1006:$BA$10000)</f>
        <v>0</v>
      </c>
      <c r="U101" s="1">
        <f t="shared" si="17"/>
        <v>0</v>
      </c>
    </row>
    <row r="102" spans="1:21" ht="18" x14ac:dyDescent="0.25">
      <c r="A102" s="1">
        <f t="shared" si="9"/>
        <v>0</v>
      </c>
      <c r="B102" s="1">
        <f t="shared" si="10"/>
        <v>0</v>
      </c>
      <c r="C102" s="1" t="str">
        <f t="shared" si="11"/>
        <v>zzzzzzzzzzz</v>
      </c>
      <c r="D102" s="75">
        <v>98</v>
      </c>
      <c r="E102" s="45"/>
      <c r="F102" s="45"/>
      <c r="G102" s="46"/>
      <c r="H102" s="46"/>
      <c r="I102" s="78">
        <f t="shared" si="12"/>
        <v>0</v>
      </c>
      <c r="J102" s="78">
        <f t="shared" si="13"/>
        <v>0</v>
      </c>
      <c r="K102" s="89"/>
      <c r="L102" s="92">
        <f t="shared" si="14"/>
        <v>0</v>
      </c>
      <c r="M102" s="92" t="str">
        <f t="shared" si="15"/>
        <v>00</v>
      </c>
      <c r="N102" s="56">
        <f>SUMIF(Bevetel!$G$6:$G$1000,C102,Bevetel!$I$6:$I$1000)</f>
        <v>0</v>
      </c>
      <c r="O102" s="1">
        <f>SUMIF(Kiadas!$G$1006:$G$10000,C102,Kiadas!$I$1006:$I$10000)</f>
        <v>0</v>
      </c>
      <c r="R102" s="1">
        <f t="shared" si="16"/>
        <v>0</v>
      </c>
      <c r="S102" s="1">
        <f>SUMIF(Kiadas!$G$6:$G$1000,C102,Kiadas!$BA$6:$BA$1000)</f>
        <v>0</v>
      </c>
      <c r="T102" s="1">
        <f>SUMIF(Kiadas!$G$1006:$G$10000,C102,Kiadas!$BA$1006:$BA$10000)</f>
        <v>0</v>
      </c>
      <c r="U102" s="1">
        <f t="shared" si="17"/>
        <v>0</v>
      </c>
    </row>
    <row r="103" spans="1:21" ht="18" x14ac:dyDescent="0.25">
      <c r="A103" s="1">
        <f t="shared" si="9"/>
        <v>0</v>
      </c>
      <c r="B103" s="1">
        <f t="shared" si="10"/>
        <v>0</v>
      </c>
      <c r="C103" s="1" t="str">
        <f t="shared" si="11"/>
        <v>zzzzzzzzzzz</v>
      </c>
      <c r="D103" s="75">
        <v>99</v>
      </c>
      <c r="E103" s="45"/>
      <c r="F103" s="45"/>
      <c r="G103" s="46"/>
      <c r="H103" s="46"/>
      <c r="I103" s="78">
        <f t="shared" si="12"/>
        <v>0</v>
      </c>
      <c r="J103" s="78">
        <f t="shared" si="13"/>
        <v>0</v>
      </c>
      <c r="K103" s="89"/>
      <c r="L103" s="92">
        <f t="shared" si="14"/>
        <v>0</v>
      </c>
      <c r="M103" s="92" t="str">
        <f t="shared" si="15"/>
        <v>00</v>
      </c>
      <c r="N103" s="56">
        <f>SUMIF(Bevetel!$G$6:$G$1000,C103,Bevetel!$I$6:$I$1000)</f>
        <v>0</v>
      </c>
      <c r="O103" s="1">
        <f>SUMIF(Kiadas!$G$1006:$G$10000,C103,Kiadas!$I$1006:$I$10000)</f>
        <v>0</v>
      </c>
      <c r="R103" s="1">
        <f t="shared" si="16"/>
        <v>0</v>
      </c>
      <c r="S103" s="1">
        <f>SUMIF(Kiadas!$G$6:$G$1000,C103,Kiadas!$BA$6:$BA$1000)</f>
        <v>0</v>
      </c>
      <c r="T103" s="1">
        <f>SUMIF(Kiadas!$G$1006:$G$10000,C103,Kiadas!$BA$1006:$BA$10000)</f>
        <v>0</v>
      </c>
      <c r="U103" s="1">
        <f t="shared" si="17"/>
        <v>0</v>
      </c>
    </row>
    <row r="104" spans="1:21" ht="18" x14ac:dyDescent="0.25">
      <c r="A104" s="1">
        <f t="shared" si="9"/>
        <v>0</v>
      </c>
      <c r="B104" s="1">
        <f t="shared" si="10"/>
        <v>0</v>
      </c>
      <c r="C104" s="1" t="str">
        <f t="shared" si="11"/>
        <v>zzzzzzzzzzz</v>
      </c>
      <c r="D104" s="75">
        <v>100</v>
      </c>
      <c r="E104" s="45"/>
      <c r="F104" s="45"/>
      <c r="G104" s="46"/>
      <c r="H104" s="46"/>
      <c r="I104" s="78">
        <f t="shared" si="12"/>
        <v>0</v>
      </c>
      <c r="J104" s="78">
        <f t="shared" si="13"/>
        <v>0</v>
      </c>
      <c r="K104" s="89"/>
      <c r="L104" s="92">
        <f t="shared" si="14"/>
        <v>0</v>
      </c>
      <c r="M104" s="92" t="str">
        <f t="shared" si="15"/>
        <v>00</v>
      </c>
      <c r="N104" s="56">
        <f>SUMIF(Bevetel!$G$6:$G$1000,C104,Bevetel!$I$6:$I$1000)</f>
        <v>0</v>
      </c>
      <c r="O104" s="1">
        <f>SUMIF(Kiadas!$G$1006:$G$10000,C104,Kiadas!$I$1006:$I$10000)</f>
        <v>0</v>
      </c>
      <c r="R104" s="1">
        <f t="shared" si="16"/>
        <v>0</v>
      </c>
      <c r="S104" s="1">
        <f>SUMIF(Kiadas!$G$6:$G$1000,C104,Kiadas!$BA$6:$BA$1000)</f>
        <v>0</v>
      </c>
      <c r="T104" s="1">
        <f>SUMIF(Kiadas!$G$1006:$G$10000,C104,Kiadas!$BA$1006:$BA$10000)</f>
        <v>0</v>
      </c>
      <c r="U104" s="1">
        <f t="shared" si="17"/>
        <v>0</v>
      </c>
    </row>
    <row r="105" spans="1:21" ht="18" x14ac:dyDescent="0.25">
      <c r="A105" s="1">
        <f t="shared" si="9"/>
        <v>0</v>
      </c>
      <c r="B105" s="1">
        <f t="shared" si="10"/>
        <v>0</v>
      </c>
      <c r="C105" s="1" t="str">
        <f t="shared" si="11"/>
        <v>zzzzzzzzzzz</v>
      </c>
      <c r="D105" s="75">
        <v>101</v>
      </c>
      <c r="E105" s="45"/>
      <c r="F105" s="45"/>
      <c r="G105" s="46"/>
      <c r="H105" s="46"/>
      <c r="I105" s="78">
        <f t="shared" si="12"/>
        <v>0</v>
      </c>
      <c r="J105" s="78">
        <f t="shared" si="13"/>
        <v>0</v>
      </c>
      <c r="K105" s="89"/>
      <c r="L105" s="92">
        <f t="shared" si="14"/>
        <v>0</v>
      </c>
      <c r="M105" s="92" t="str">
        <f t="shared" si="15"/>
        <v>00</v>
      </c>
      <c r="N105" s="56">
        <f>SUMIF(Bevetel!$G$6:$G$1000,C105,Bevetel!$I$6:$I$1000)</f>
        <v>0</v>
      </c>
      <c r="O105" s="1">
        <f>SUMIF(Kiadas!$G$1006:$G$10000,C105,Kiadas!$I$1006:$I$10000)</f>
        <v>0</v>
      </c>
      <c r="R105" s="1">
        <f t="shared" si="16"/>
        <v>0</v>
      </c>
      <c r="S105" s="1">
        <f>SUMIF(Kiadas!$G$6:$G$1000,C105,Kiadas!$BA$6:$BA$1000)</f>
        <v>0</v>
      </c>
      <c r="T105" s="1">
        <f>SUMIF(Kiadas!$G$1006:$G$10000,C105,Kiadas!$BA$1006:$BA$10000)</f>
        <v>0</v>
      </c>
      <c r="U105" s="1">
        <f t="shared" si="17"/>
        <v>0</v>
      </c>
    </row>
    <row r="106" spans="1:21" ht="18" x14ac:dyDescent="0.25">
      <c r="A106" s="1">
        <f t="shared" si="9"/>
        <v>0</v>
      </c>
      <c r="B106" s="1">
        <f t="shared" si="10"/>
        <v>0</v>
      </c>
      <c r="C106" s="1" t="str">
        <f t="shared" si="11"/>
        <v>zzzzzzzzzzz</v>
      </c>
      <c r="D106" s="75">
        <v>102</v>
      </c>
      <c r="E106" s="45"/>
      <c r="F106" s="45"/>
      <c r="G106" s="46"/>
      <c r="H106" s="46"/>
      <c r="I106" s="78">
        <f t="shared" si="12"/>
        <v>0</v>
      </c>
      <c r="J106" s="78">
        <f t="shared" si="13"/>
        <v>0</v>
      </c>
      <c r="K106" s="89"/>
      <c r="L106" s="92">
        <f t="shared" si="14"/>
        <v>0</v>
      </c>
      <c r="M106" s="92" t="str">
        <f t="shared" si="15"/>
        <v>00</v>
      </c>
      <c r="N106" s="56">
        <f>SUMIF(Bevetel!$G$6:$G$1000,C106,Bevetel!$I$6:$I$1000)</f>
        <v>0</v>
      </c>
      <c r="O106" s="1">
        <f>SUMIF(Kiadas!$G$1006:$G$10000,C106,Kiadas!$I$1006:$I$10000)</f>
        <v>0</v>
      </c>
      <c r="R106" s="1">
        <f t="shared" si="16"/>
        <v>0</v>
      </c>
      <c r="S106" s="1">
        <f>SUMIF(Kiadas!$G$6:$G$1000,C106,Kiadas!$BA$6:$BA$1000)</f>
        <v>0</v>
      </c>
      <c r="T106" s="1">
        <f>SUMIF(Kiadas!$G$1006:$G$10000,C106,Kiadas!$BA$1006:$BA$10000)</f>
        <v>0</v>
      </c>
      <c r="U106" s="1">
        <f t="shared" si="17"/>
        <v>0</v>
      </c>
    </row>
    <row r="107" spans="1:21" ht="18" x14ac:dyDescent="0.25">
      <c r="A107" s="1">
        <f t="shared" si="9"/>
        <v>0</v>
      </c>
      <c r="B107" s="1">
        <f t="shared" si="10"/>
        <v>0</v>
      </c>
      <c r="C107" s="1" t="str">
        <f t="shared" si="11"/>
        <v>zzzzzzzzzzz</v>
      </c>
      <c r="D107" s="75">
        <v>103</v>
      </c>
      <c r="E107" s="45"/>
      <c r="F107" s="45"/>
      <c r="G107" s="46"/>
      <c r="H107" s="46"/>
      <c r="I107" s="78">
        <f t="shared" si="12"/>
        <v>0</v>
      </c>
      <c r="J107" s="78">
        <f t="shared" si="13"/>
        <v>0</v>
      </c>
      <c r="K107" s="89"/>
      <c r="L107" s="92">
        <f t="shared" si="14"/>
        <v>0</v>
      </c>
      <c r="M107" s="92" t="str">
        <f t="shared" si="15"/>
        <v>00</v>
      </c>
      <c r="N107" s="56">
        <f>SUMIF(Bevetel!$G$6:$G$1000,C107,Bevetel!$I$6:$I$1000)</f>
        <v>0</v>
      </c>
      <c r="O107" s="1">
        <f>SUMIF(Kiadas!$G$1006:$G$10000,C107,Kiadas!$I$1006:$I$10000)</f>
        <v>0</v>
      </c>
      <c r="R107" s="1">
        <f t="shared" si="16"/>
        <v>0</v>
      </c>
      <c r="S107" s="1">
        <f>SUMIF(Kiadas!$G$6:$G$1000,C107,Kiadas!$BA$6:$BA$1000)</f>
        <v>0</v>
      </c>
      <c r="T107" s="1">
        <f>SUMIF(Kiadas!$G$1006:$G$10000,C107,Kiadas!$BA$1006:$BA$10000)</f>
        <v>0</v>
      </c>
      <c r="U107" s="1">
        <f t="shared" si="17"/>
        <v>0</v>
      </c>
    </row>
    <row r="108" spans="1:21" ht="18" x14ac:dyDescent="0.25">
      <c r="A108" s="1">
        <f t="shared" si="9"/>
        <v>0</v>
      </c>
      <c r="B108" s="1">
        <f t="shared" si="10"/>
        <v>0</v>
      </c>
      <c r="C108" s="1" t="str">
        <f t="shared" si="11"/>
        <v>zzzzzzzzzzz</v>
      </c>
      <c r="D108" s="75">
        <v>104</v>
      </c>
      <c r="E108" s="45"/>
      <c r="F108" s="45"/>
      <c r="G108" s="46"/>
      <c r="H108" s="46"/>
      <c r="I108" s="78">
        <f t="shared" si="12"/>
        <v>0</v>
      </c>
      <c r="J108" s="78">
        <f t="shared" si="13"/>
        <v>0</v>
      </c>
      <c r="K108" s="89"/>
      <c r="L108" s="92">
        <f t="shared" si="14"/>
        <v>0</v>
      </c>
      <c r="M108" s="92" t="str">
        <f t="shared" si="15"/>
        <v>00</v>
      </c>
      <c r="N108" s="56">
        <f>SUMIF(Bevetel!$G$6:$G$1000,C108,Bevetel!$I$6:$I$1000)</f>
        <v>0</v>
      </c>
      <c r="O108" s="1">
        <f>SUMIF(Kiadas!$G$1006:$G$10000,C108,Kiadas!$I$1006:$I$10000)</f>
        <v>0</v>
      </c>
      <c r="R108" s="1">
        <f t="shared" si="16"/>
        <v>0</v>
      </c>
      <c r="S108" s="1">
        <f>SUMIF(Kiadas!$G$6:$G$1000,C108,Kiadas!$BA$6:$BA$1000)</f>
        <v>0</v>
      </c>
      <c r="T108" s="1">
        <f>SUMIF(Kiadas!$G$1006:$G$10000,C108,Kiadas!$BA$1006:$BA$10000)</f>
        <v>0</v>
      </c>
      <c r="U108" s="1">
        <f t="shared" si="17"/>
        <v>0</v>
      </c>
    </row>
    <row r="109" spans="1:21" ht="18" x14ac:dyDescent="0.25">
      <c r="A109" s="1">
        <f t="shared" si="9"/>
        <v>0</v>
      </c>
      <c r="B109" s="1">
        <f t="shared" si="10"/>
        <v>0</v>
      </c>
      <c r="C109" s="1" t="str">
        <f t="shared" si="11"/>
        <v>zzzzzzzzzzz</v>
      </c>
      <c r="D109" s="75">
        <v>105</v>
      </c>
      <c r="E109" s="45"/>
      <c r="F109" s="45"/>
      <c r="G109" s="46"/>
      <c r="H109" s="46"/>
      <c r="I109" s="78">
        <f t="shared" si="12"/>
        <v>0</v>
      </c>
      <c r="J109" s="78">
        <f t="shared" si="13"/>
        <v>0</v>
      </c>
      <c r="K109" s="89"/>
      <c r="L109" s="92">
        <f t="shared" si="14"/>
        <v>0</v>
      </c>
      <c r="M109" s="92" t="str">
        <f t="shared" si="15"/>
        <v>00</v>
      </c>
      <c r="N109" s="56">
        <f>SUMIF(Bevetel!$G$6:$G$1000,C109,Bevetel!$I$6:$I$1000)</f>
        <v>0</v>
      </c>
      <c r="O109" s="1">
        <f>SUMIF(Kiadas!$G$1006:$G$10000,C109,Kiadas!$I$1006:$I$10000)</f>
        <v>0</v>
      </c>
      <c r="R109" s="1">
        <f t="shared" si="16"/>
        <v>0</v>
      </c>
      <c r="S109" s="1">
        <f>SUMIF(Kiadas!$G$6:$G$1000,C109,Kiadas!$BA$6:$BA$1000)</f>
        <v>0</v>
      </c>
      <c r="T109" s="1">
        <f>SUMIF(Kiadas!$G$1006:$G$10000,C109,Kiadas!$BA$1006:$BA$10000)</f>
        <v>0</v>
      </c>
      <c r="U109" s="1">
        <f t="shared" si="17"/>
        <v>0</v>
      </c>
    </row>
    <row r="110" spans="1:21" ht="18" x14ac:dyDescent="0.25">
      <c r="A110" s="1">
        <f t="shared" si="9"/>
        <v>0</v>
      </c>
      <c r="B110" s="1">
        <f t="shared" si="10"/>
        <v>0</v>
      </c>
      <c r="C110" s="1" t="str">
        <f t="shared" si="11"/>
        <v>zzzzzzzzzzz</v>
      </c>
      <c r="D110" s="75">
        <v>106</v>
      </c>
      <c r="E110" s="45"/>
      <c r="F110" s="45"/>
      <c r="G110" s="46"/>
      <c r="H110" s="46"/>
      <c r="I110" s="78">
        <f t="shared" si="12"/>
        <v>0</v>
      </c>
      <c r="J110" s="78">
        <f t="shared" si="13"/>
        <v>0</v>
      </c>
      <c r="K110" s="89"/>
      <c r="L110" s="92">
        <f t="shared" si="14"/>
        <v>0</v>
      </c>
      <c r="M110" s="92" t="str">
        <f t="shared" si="15"/>
        <v>00</v>
      </c>
      <c r="N110" s="56">
        <f>SUMIF(Bevetel!$G$6:$G$1000,C110,Bevetel!$I$6:$I$1000)</f>
        <v>0</v>
      </c>
      <c r="O110" s="1">
        <f>SUMIF(Kiadas!$G$1006:$G$10000,C110,Kiadas!$I$1006:$I$10000)</f>
        <v>0</v>
      </c>
      <c r="R110" s="1">
        <f t="shared" si="16"/>
        <v>0</v>
      </c>
      <c r="S110" s="1">
        <f>SUMIF(Kiadas!$G$6:$G$1000,C110,Kiadas!$BA$6:$BA$1000)</f>
        <v>0</v>
      </c>
      <c r="T110" s="1">
        <f>SUMIF(Kiadas!$G$1006:$G$10000,C110,Kiadas!$BA$1006:$BA$10000)</f>
        <v>0</v>
      </c>
      <c r="U110" s="1">
        <f t="shared" si="17"/>
        <v>0</v>
      </c>
    </row>
    <row r="111" spans="1:21" ht="18" x14ac:dyDescent="0.25">
      <c r="A111" s="1">
        <f t="shared" si="9"/>
        <v>0</v>
      </c>
      <c r="B111" s="1">
        <f t="shared" si="10"/>
        <v>0</v>
      </c>
      <c r="C111" s="1" t="str">
        <f t="shared" si="11"/>
        <v>zzzzzzzzzzz</v>
      </c>
      <c r="D111" s="75">
        <v>107</v>
      </c>
      <c r="E111" s="45"/>
      <c r="F111" s="45"/>
      <c r="G111" s="46"/>
      <c r="H111" s="46"/>
      <c r="I111" s="78">
        <f t="shared" si="12"/>
        <v>0</v>
      </c>
      <c r="J111" s="78">
        <f t="shared" si="13"/>
        <v>0</v>
      </c>
      <c r="K111" s="89"/>
      <c r="L111" s="92">
        <f t="shared" si="14"/>
        <v>0</v>
      </c>
      <c r="M111" s="92" t="str">
        <f t="shared" si="15"/>
        <v>00</v>
      </c>
      <c r="N111" s="56">
        <f>SUMIF(Bevetel!$G$6:$G$1000,C111,Bevetel!$I$6:$I$1000)</f>
        <v>0</v>
      </c>
      <c r="O111" s="1">
        <f>SUMIF(Kiadas!$G$1006:$G$10000,C111,Kiadas!$I$1006:$I$10000)</f>
        <v>0</v>
      </c>
      <c r="R111" s="1">
        <f t="shared" si="16"/>
        <v>0</v>
      </c>
      <c r="S111" s="1">
        <f>SUMIF(Kiadas!$G$6:$G$1000,C111,Kiadas!$BA$6:$BA$1000)</f>
        <v>0</v>
      </c>
      <c r="T111" s="1">
        <f>SUMIF(Kiadas!$G$1006:$G$10000,C111,Kiadas!$BA$1006:$BA$10000)</f>
        <v>0</v>
      </c>
      <c r="U111" s="1">
        <f t="shared" si="17"/>
        <v>0</v>
      </c>
    </row>
    <row r="112" spans="1:21" ht="18" x14ac:dyDescent="0.25">
      <c r="A112" s="1">
        <f t="shared" si="9"/>
        <v>0</v>
      </c>
      <c r="B112" s="1">
        <f t="shared" si="10"/>
        <v>0</v>
      </c>
      <c r="C112" s="1" t="str">
        <f t="shared" si="11"/>
        <v>zzzzzzzzzzz</v>
      </c>
      <c r="D112" s="75">
        <v>108</v>
      </c>
      <c r="E112" s="45"/>
      <c r="F112" s="45"/>
      <c r="G112" s="46"/>
      <c r="H112" s="46"/>
      <c r="I112" s="78">
        <f t="shared" si="12"/>
        <v>0</v>
      </c>
      <c r="J112" s="78">
        <f t="shared" si="13"/>
        <v>0</v>
      </c>
      <c r="K112" s="89"/>
      <c r="L112" s="92">
        <f t="shared" si="14"/>
        <v>0</v>
      </c>
      <c r="M112" s="92" t="str">
        <f t="shared" si="15"/>
        <v>00</v>
      </c>
      <c r="N112" s="56">
        <f>SUMIF(Bevetel!$G$6:$G$1000,C112,Bevetel!$I$6:$I$1000)</f>
        <v>0</v>
      </c>
      <c r="O112" s="1">
        <f>SUMIF(Kiadas!$G$1006:$G$10000,C112,Kiadas!$I$1006:$I$10000)</f>
        <v>0</v>
      </c>
      <c r="R112" s="1">
        <f t="shared" si="16"/>
        <v>0</v>
      </c>
      <c r="S112" s="1">
        <f>SUMIF(Kiadas!$G$6:$G$1000,C112,Kiadas!$BA$6:$BA$1000)</f>
        <v>0</v>
      </c>
      <c r="T112" s="1">
        <f>SUMIF(Kiadas!$G$1006:$G$10000,C112,Kiadas!$BA$1006:$BA$10000)</f>
        <v>0</v>
      </c>
      <c r="U112" s="1">
        <f t="shared" si="17"/>
        <v>0</v>
      </c>
    </row>
    <row r="113" spans="1:21" ht="18" x14ac:dyDescent="0.25">
      <c r="A113" s="1">
        <f t="shared" si="9"/>
        <v>0</v>
      </c>
      <c r="B113" s="1">
        <f t="shared" si="10"/>
        <v>0</v>
      </c>
      <c r="C113" s="1" t="str">
        <f t="shared" si="11"/>
        <v>zzzzzzzzzzz</v>
      </c>
      <c r="D113" s="75">
        <v>109</v>
      </c>
      <c r="E113" s="45"/>
      <c r="F113" s="45"/>
      <c r="G113" s="46"/>
      <c r="H113" s="46"/>
      <c r="I113" s="78">
        <f t="shared" si="12"/>
        <v>0</v>
      </c>
      <c r="J113" s="78">
        <f t="shared" si="13"/>
        <v>0</v>
      </c>
      <c r="K113" s="89"/>
      <c r="L113" s="92">
        <f t="shared" si="14"/>
        <v>0</v>
      </c>
      <c r="M113" s="92" t="str">
        <f t="shared" si="15"/>
        <v>00</v>
      </c>
      <c r="N113" s="56">
        <f>SUMIF(Bevetel!$G$6:$G$1000,C113,Bevetel!$I$6:$I$1000)</f>
        <v>0</v>
      </c>
      <c r="O113" s="1">
        <f>SUMIF(Kiadas!$G$1006:$G$10000,C113,Kiadas!$I$1006:$I$10000)</f>
        <v>0</v>
      </c>
      <c r="R113" s="1">
        <f t="shared" si="16"/>
        <v>0</v>
      </c>
      <c r="S113" s="1">
        <f>SUMIF(Kiadas!$G$6:$G$1000,C113,Kiadas!$BA$6:$BA$1000)</f>
        <v>0</v>
      </c>
      <c r="T113" s="1">
        <f>SUMIF(Kiadas!$G$1006:$G$10000,C113,Kiadas!$BA$1006:$BA$10000)</f>
        <v>0</v>
      </c>
      <c r="U113" s="1">
        <f t="shared" si="17"/>
        <v>0</v>
      </c>
    </row>
    <row r="114" spans="1:21" ht="18" x14ac:dyDescent="0.25">
      <c r="A114" s="1">
        <f t="shared" si="9"/>
        <v>0</v>
      </c>
      <c r="B114" s="1">
        <f t="shared" si="10"/>
        <v>0</v>
      </c>
      <c r="C114" s="1" t="str">
        <f t="shared" si="11"/>
        <v>zzzzzzzzzzz</v>
      </c>
      <c r="D114" s="75">
        <v>110</v>
      </c>
      <c r="E114" s="45"/>
      <c r="F114" s="45"/>
      <c r="G114" s="46"/>
      <c r="H114" s="46"/>
      <c r="I114" s="78">
        <f t="shared" si="12"/>
        <v>0</v>
      </c>
      <c r="J114" s="78">
        <f t="shared" si="13"/>
        <v>0</v>
      </c>
      <c r="K114" s="89"/>
      <c r="L114" s="92">
        <f t="shared" si="14"/>
        <v>0</v>
      </c>
      <c r="M114" s="92" t="str">
        <f t="shared" si="15"/>
        <v>00</v>
      </c>
      <c r="N114" s="56">
        <f>SUMIF(Bevetel!$G$6:$G$1000,C114,Bevetel!$I$6:$I$1000)</f>
        <v>0</v>
      </c>
      <c r="O114" s="1">
        <f>SUMIF(Kiadas!$G$1006:$G$10000,C114,Kiadas!$I$1006:$I$10000)</f>
        <v>0</v>
      </c>
      <c r="R114" s="1">
        <f t="shared" si="16"/>
        <v>0</v>
      </c>
      <c r="S114" s="1">
        <f>SUMIF(Kiadas!$G$6:$G$1000,C114,Kiadas!$BA$6:$BA$1000)</f>
        <v>0</v>
      </c>
      <c r="T114" s="1">
        <f>SUMIF(Kiadas!$G$1006:$G$10000,C114,Kiadas!$BA$1006:$BA$10000)</f>
        <v>0</v>
      </c>
      <c r="U114" s="1">
        <f t="shared" si="17"/>
        <v>0</v>
      </c>
    </row>
    <row r="115" spans="1:21" ht="18" x14ac:dyDescent="0.25">
      <c r="A115" s="1">
        <f t="shared" si="9"/>
        <v>0</v>
      </c>
      <c r="B115" s="1">
        <f t="shared" si="10"/>
        <v>0</v>
      </c>
      <c r="C115" s="1" t="str">
        <f t="shared" si="11"/>
        <v>zzzzzzzzzzz</v>
      </c>
      <c r="D115" s="75">
        <v>111</v>
      </c>
      <c r="E115" s="45"/>
      <c r="F115" s="45"/>
      <c r="G115" s="46"/>
      <c r="H115" s="46"/>
      <c r="I115" s="78">
        <f t="shared" si="12"/>
        <v>0</v>
      </c>
      <c r="J115" s="78">
        <f t="shared" si="13"/>
        <v>0</v>
      </c>
      <c r="K115" s="89"/>
      <c r="L115" s="92">
        <f t="shared" si="14"/>
        <v>0</v>
      </c>
      <c r="M115" s="92" t="str">
        <f t="shared" si="15"/>
        <v>00</v>
      </c>
      <c r="N115" s="56">
        <f>SUMIF(Bevetel!$G$6:$G$1000,C115,Bevetel!$I$6:$I$1000)</f>
        <v>0</v>
      </c>
      <c r="O115" s="1">
        <f>SUMIF(Kiadas!$G$1006:$G$10000,C115,Kiadas!$I$1006:$I$10000)</f>
        <v>0</v>
      </c>
      <c r="R115" s="1">
        <f t="shared" si="16"/>
        <v>0</v>
      </c>
      <c r="S115" s="1">
        <f>SUMIF(Kiadas!$G$6:$G$1000,C115,Kiadas!$BA$6:$BA$1000)</f>
        <v>0</v>
      </c>
      <c r="T115" s="1">
        <f>SUMIF(Kiadas!$G$1006:$G$10000,C115,Kiadas!$BA$1006:$BA$10000)</f>
        <v>0</v>
      </c>
      <c r="U115" s="1">
        <f t="shared" si="17"/>
        <v>0</v>
      </c>
    </row>
    <row r="116" spans="1:21" ht="18" x14ac:dyDescent="0.25">
      <c r="A116" s="1">
        <f t="shared" si="9"/>
        <v>0</v>
      </c>
      <c r="B116" s="1">
        <f t="shared" si="10"/>
        <v>0</v>
      </c>
      <c r="C116" s="1" t="str">
        <f t="shared" si="11"/>
        <v>zzzzzzzzzzz</v>
      </c>
      <c r="D116" s="75">
        <v>112</v>
      </c>
      <c r="E116" s="45"/>
      <c r="F116" s="45"/>
      <c r="G116" s="46"/>
      <c r="H116" s="46"/>
      <c r="I116" s="78">
        <f t="shared" si="12"/>
        <v>0</v>
      </c>
      <c r="J116" s="78">
        <f t="shared" si="13"/>
        <v>0</v>
      </c>
      <c r="K116" s="89"/>
      <c r="L116" s="92">
        <f t="shared" si="14"/>
        <v>0</v>
      </c>
      <c r="M116" s="92" t="str">
        <f t="shared" si="15"/>
        <v>00</v>
      </c>
      <c r="N116" s="56">
        <f>SUMIF(Bevetel!$G$6:$G$1000,C116,Bevetel!$I$6:$I$1000)</f>
        <v>0</v>
      </c>
      <c r="O116" s="1">
        <f>SUMIF(Kiadas!$G$1006:$G$10000,C116,Kiadas!$I$1006:$I$10000)</f>
        <v>0</v>
      </c>
      <c r="R116" s="1">
        <f t="shared" si="16"/>
        <v>0</v>
      </c>
      <c r="S116" s="1">
        <f>SUMIF(Kiadas!$G$6:$G$1000,C116,Kiadas!$BA$6:$BA$1000)</f>
        <v>0</v>
      </c>
      <c r="T116" s="1">
        <f>SUMIF(Kiadas!$G$1006:$G$10000,C116,Kiadas!$BA$1006:$BA$10000)</f>
        <v>0</v>
      </c>
      <c r="U116" s="1">
        <f t="shared" si="17"/>
        <v>0</v>
      </c>
    </row>
    <row r="117" spans="1:21" ht="18" x14ac:dyDescent="0.25">
      <c r="A117" s="1">
        <f t="shared" si="9"/>
        <v>0</v>
      </c>
      <c r="B117" s="1">
        <f t="shared" si="10"/>
        <v>0</v>
      </c>
      <c r="C117" s="1" t="str">
        <f t="shared" si="11"/>
        <v>zzzzzzzzzzz</v>
      </c>
      <c r="D117" s="75">
        <v>113</v>
      </c>
      <c r="E117" s="45"/>
      <c r="F117" s="45"/>
      <c r="G117" s="46"/>
      <c r="H117" s="46"/>
      <c r="I117" s="78">
        <f t="shared" si="12"/>
        <v>0</v>
      </c>
      <c r="J117" s="78">
        <f t="shared" si="13"/>
        <v>0</v>
      </c>
      <c r="K117" s="89"/>
      <c r="L117" s="92">
        <f t="shared" si="14"/>
        <v>0</v>
      </c>
      <c r="M117" s="92" t="str">
        <f t="shared" si="15"/>
        <v>00</v>
      </c>
      <c r="N117" s="56">
        <f>SUMIF(Bevetel!$G$6:$G$1000,C117,Bevetel!$I$6:$I$1000)</f>
        <v>0</v>
      </c>
      <c r="O117" s="1">
        <f>SUMIF(Kiadas!$G$1006:$G$10000,C117,Kiadas!$I$1006:$I$10000)</f>
        <v>0</v>
      </c>
      <c r="R117" s="1">
        <f t="shared" si="16"/>
        <v>0</v>
      </c>
      <c r="S117" s="1">
        <f>SUMIF(Kiadas!$G$6:$G$1000,C117,Kiadas!$BA$6:$BA$1000)</f>
        <v>0</v>
      </c>
      <c r="T117" s="1">
        <f>SUMIF(Kiadas!$G$1006:$G$10000,C117,Kiadas!$BA$1006:$BA$10000)</f>
        <v>0</v>
      </c>
      <c r="U117" s="1">
        <f t="shared" si="17"/>
        <v>0</v>
      </c>
    </row>
    <row r="118" spans="1:21" ht="18" x14ac:dyDescent="0.25">
      <c r="A118" s="1">
        <f t="shared" si="9"/>
        <v>0</v>
      </c>
      <c r="B118" s="1">
        <f t="shared" si="10"/>
        <v>0</v>
      </c>
      <c r="C118" s="1" t="str">
        <f t="shared" si="11"/>
        <v>zzzzzzzzzzz</v>
      </c>
      <c r="D118" s="75">
        <v>114</v>
      </c>
      <c r="E118" s="45"/>
      <c r="F118" s="45"/>
      <c r="G118" s="46"/>
      <c r="H118" s="46"/>
      <c r="I118" s="78">
        <f t="shared" si="12"/>
        <v>0</v>
      </c>
      <c r="J118" s="78">
        <f t="shared" si="13"/>
        <v>0</v>
      </c>
      <c r="K118" s="89"/>
      <c r="L118" s="92">
        <f t="shared" si="14"/>
        <v>0</v>
      </c>
      <c r="M118" s="92" t="str">
        <f t="shared" si="15"/>
        <v>00</v>
      </c>
      <c r="N118" s="56">
        <f>SUMIF(Bevetel!$G$6:$G$1000,C118,Bevetel!$I$6:$I$1000)</f>
        <v>0</v>
      </c>
      <c r="O118" s="1">
        <f>SUMIF(Kiadas!$G$1006:$G$10000,C118,Kiadas!$I$1006:$I$10000)</f>
        <v>0</v>
      </c>
      <c r="R118" s="1">
        <f t="shared" si="16"/>
        <v>0</v>
      </c>
      <c r="S118" s="1">
        <f>SUMIF(Kiadas!$G$6:$G$1000,C118,Kiadas!$BA$6:$BA$1000)</f>
        <v>0</v>
      </c>
      <c r="T118" s="1">
        <f>SUMIF(Kiadas!$G$1006:$G$10000,C118,Kiadas!$BA$1006:$BA$10000)</f>
        <v>0</v>
      </c>
      <c r="U118" s="1">
        <f t="shared" si="17"/>
        <v>0</v>
      </c>
    </row>
    <row r="119" spans="1:21" ht="18" x14ac:dyDescent="0.25">
      <c r="A119" s="1">
        <f t="shared" si="9"/>
        <v>0</v>
      </c>
      <c r="B119" s="1">
        <f t="shared" si="10"/>
        <v>0</v>
      </c>
      <c r="C119" s="1" t="str">
        <f t="shared" si="11"/>
        <v>zzzzzzzzzzz</v>
      </c>
      <c r="D119" s="75">
        <v>115</v>
      </c>
      <c r="E119" s="45"/>
      <c r="F119" s="45"/>
      <c r="G119" s="46"/>
      <c r="H119" s="46"/>
      <c r="I119" s="78">
        <f t="shared" si="12"/>
        <v>0</v>
      </c>
      <c r="J119" s="78">
        <f t="shared" si="13"/>
        <v>0</v>
      </c>
      <c r="K119" s="89"/>
      <c r="L119" s="92">
        <f t="shared" si="14"/>
        <v>0</v>
      </c>
      <c r="M119" s="92" t="str">
        <f t="shared" si="15"/>
        <v>00</v>
      </c>
      <c r="N119" s="56">
        <f>SUMIF(Bevetel!$G$6:$G$1000,C119,Bevetel!$I$6:$I$1000)</f>
        <v>0</v>
      </c>
      <c r="O119" s="1">
        <f>SUMIF(Kiadas!$G$1006:$G$10000,C119,Kiadas!$I$1006:$I$10000)</f>
        <v>0</v>
      </c>
      <c r="R119" s="1">
        <f t="shared" si="16"/>
        <v>0</v>
      </c>
      <c r="S119" s="1">
        <f>SUMIF(Kiadas!$G$6:$G$1000,C119,Kiadas!$BA$6:$BA$1000)</f>
        <v>0</v>
      </c>
      <c r="T119" s="1">
        <f>SUMIF(Kiadas!$G$1006:$G$10000,C119,Kiadas!$BA$1006:$BA$10000)</f>
        <v>0</v>
      </c>
      <c r="U119" s="1">
        <f t="shared" si="17"/>
        <v>0</v>
      </c>
    </row>
    <row r="120" spans="1:21" ht="18" x14ac:dyDescent="0.25">
      <c r="A120" s="1">
        <f t="shared" si="9"/>
        <v>0</v>
      </c>
      <c r="B120" s="1">
        <f t="shared" si="10"/>
        <v>0</v>
      </c>
      <c r="C120" s="1" t="str">
        <f t="shared" si="11"/>
        <v>zzzzzzzzzzz</v>
      </c>
      <c r="D120" s="75">
        <v>116</v>
      </c>
      <c r="E120" s="45"/>
      <c r="F120" s="45"/>
      <c r="G120" s="46"/>
      <c r="H120" s="46"/>
      <c r="I120" s="78">
        <f t="shared" si="12"/>
        <v>0</v>
      </c>
      <c r="J120" s="78">
        <f t="shared" si="13"/>
        <v>0</v>
      </c>
      <c r="K120" s="89"/>
      <c r="L120" s="92">
        <f t="shared" si="14"/>
        <v>0</v>
      </c>
      <c r="M120" s="92" t="str">
        <f t="shared" si="15"/>
        <v>00</v>
      </c>
      <c r="N120" s="56">
        <f>SUMIF(Bevetel!$G$6:$G$1000,C120,Bevetel!$I$6:$I$1000)</f>
        <v>0</v>
      </c>
      <c r="O120" s="1">
        <f>SUMIF(Kiadas!$G$1006:$G$10000,C120,Kiadas!$I$1006:$I$10000)</f>
        <v>0</v>
      </c>
      <c r="R120" s="1">
        <f t="shared" si="16"/>
        <v>0</v>
      </c>
      <c r="S120" s="1">
        <f>SUMIF(Kiadas!$G$6:$G$1000,C120,Kiadas!$BA$6:$BA$1000)</f>
        <v>0</v>
      </c>
      <c r="T120" s="1">
        <f>SUMIF(Kiadas!$G$1006:$G$10000,C120,Kiadas!$BA$1006:$BA$10000)</f>
        <v>0</v>
      </c>
      <c r="U120" s="1">
        <f t="shared" si="17"/>
        <v>0</v>
      </c>
    </row>
    <row r="121" spans="1:21" ht="18" x14ac:dyDescent="0.25">
      <c r="A121" s="1">
        <f t="shared" si="9"/>
        <v>0</v>
      </c>
      <c r="B121" s="1">
        <f t="shared" si="10"/>
        <v>0</v>
      </c>
      <c r="C121" s="1" t="str">
        <f t="shared" si="11"/>
        <v>zzzzzzzzzzz</v>
      </c>
      <c r="D121" s="75">
        <v>117</v>
      </c>
      <c r="E121" s="45"/>
      <c r="F121" s="45"/>
      <c r="G121" s="46"/>
      <c r="H121" s="46"/>
      <c r="I121" s="78">
        <f t="shared" si="12"/>
        <v>0</v>
      </c>
      <c r="J121" s="78">
        <f t="shared" si="13"/>
        <v>0</v>
      </c>
      <c r="K121" s="89"/>
      <c r="L121" s="92">
        <f t="shared" si="14"/>
        <v>0</v>
      </c>
      <c r="M121" s="92" t="str">
        <f t="shared" si="15"/>
        <v>00</v>
      </c>
      <c r="N121" s="56">
        <f>SUMIF(Bevetel!$G$6:$G$1000,C121,Bevetel!$I$6:$I$1000)</f>
        <v>0</v>
      </c>
      <c r="O121" s="1">
        <f>SUMIF(Kiadas!$G$1006:$G$10000,C121,Kiadas!$I$1006:$I$10000)</f>
        <v>0</v>
      </c>
      <c r="R121" s="1">
        <f t="shared" si="16"/>
        <v>0</v>
      </c>
      <c r="S121" s="1">
        <f>SUMIF(Kiadas!$G$6:$G$1000,C121,Kiadas!$BA$6:$BA$1000)</f>
        <v>0</v>
      </c>
      <c r="T121" s="1">
        <f>SUMIF(Kiadas!$G$1006:$G$10000,C121,Kiadas!$BA$1006:$BA$10000)</f>
        <v>0</v>
      </c>
      <c r="U121" s="1">
        <f t="shared" si="17"/>
        <v>0</v>
      </c>
    </row>
    <row r="122" spans="1:21" ht="18" x14ac:dyDescent="0.25">
      <c r="A122" s="1">
        <f t="shared" si="9"/>
        <v>0</v>
      </c>
      <c r="B122" s="1">
        <f t="shared" si="10"/>
        <v>0</v>
      </c>
      <c r="C122" s="1" t="str">
        <f t="shared" si="11"/>
        <v>zzzzzzzzzzz</v>
      </c>
      <c r="D122" s="75">
        <v>118</v>
      </c>
      <c r="E122" s="45"/>
      <c r="F122" s="45"/>
      <c r="G122" s="46"/>
      <c r="H122" s="46"/>
      <c r="I122" s="78">
        <f t="shared" si="12"/>
        <v>0</v>
      </c>
      <c r="J122" s="78">
        <f t="shared" si="13"/>
        <v>0</v>
      </c>
      <c r="K122" s="89"/>
      <c r="L122" s="92">
        <f t="shared" si="14"/>
        <v>0</v>
      </c>
      <c r="M122" s="92" t="str">
        <f t="shared" si="15"/>
        <v>00</v>
      </c>
      <c r="N122" s="56">
        <f>SUMIF(Bevetel!$G$6:$G$1000,C122,Bevetel!$I$6:$I$1000)</f>
        <v>0</v>
      </c>
      <c r="O122" s="1">
        <f>SUMIF(Kiadas!$G$1006:$G$10000,C122,Kiadas!$I$1006:$I$10000)</f>
        <v>0</v>
      </c>
      <c r="R122" s="1">
        <f t="shared" si="16"/>
        <v>0</v>
      </c>
      <c r="S122" s="1">
        <f>SUMIF(Kiadas!$G$6:$G$1000,C122,Kiadas!$BA$6:$BA$1000)</f>
        <v>0</v>
      </c>
      <c r="T122" s="1">
        <f>SUMIF(Kiadas!$G$1006:$G$10000,C122,Kiadas!$BA$1006:$BA$10000)</f>
        <v>0</v>
      </c>
      <c r="U122" s="1">
        <f t="shared" si="17"/>
        <v>0</v>
      </c>
    </row>
    <row r="123" spans="1:21" ht="18" x14ac:dyDescent="0.25">
      <c r="A123" s="1">
        <f t="shared" si="9"/>
        <v>0</v>
      </c>
      <c r="B123" s="1">
        <f t="shared" si="10"/>
        <v>0</v>
      </c>
      <c r="C123" s="1" t="str">
        <f t="shared" si="11"/>
        <v>zzzzzzzzzzz</v>
      </c>
      <c r="D123" s="75">
        <v>119</v>
      </c>
      <c r="E123" s="45"/>
      <c r="F123" s="45"/>
      <c r="G123" s="46"/>
      <c r="H123" s="46"/>
      <c r="I123" s="78">
        <f t="shared" si="12"/>
        <v>0</v>
      </c>
      <c r="J123" s="78">
        <f t="shared" si="13"/>
        <v>0</v>
      </c>
      <c r="K123" s="89"/>
      <c r="L123" s="92">
        <f t="shared" si="14"/>
        <v>0</v>
      </c>
      <c r="M123" s="92" t="str">
        <f t="shared" si="15"/>
        <v>00</v>
      </c>
      <c r="N123" s="56">
        <f>SUMIF(Bevetel!$G$6:$G$1000,C123,Bevetel!$I$6:$I$1000)</f>
        <v>0</v>
      </c>
      <c r="O123" s="1">
        <f>SUMIF(Kiadas!$G$1006:$G$10000,C123,Kiadas!$I$1006:$I$10000)</f>
        <v>0</v>
      </c>
      <c r="R123" s="1">
        <f t="shared" si="16"/>
        <v>0</v>
      </c>
      <c r="S123" s="1">
        <f>SUMIF(Kiadas!$G$6:$G$1000,C123,Kiadas!$BA$6:$BA$1000)</f>
        <v>0</v>
      </c>
      <c r="T123" s="1">
        <f>SUMIF(Kiadas!$G$1006:$G$10000,C123,Kiadas!$BA$1006:$BA$10000)</f>
        <v>0</v>
      </c>
      <c r="U123" s="1">
        <f t="shared" si="17"/>
        <v>0</v>
      </c>
    </row>
    <row r="124" spans="1:21" ht="18" x14ac:dyDescent="0.25">
      <c r="A124" s="1">
        <f t="shared" si="9"/>
        <v>0</v>
      </c>
      <c r="B124" s="1">
        <f t="shared" si="10"/>
        <v>0</v>
      </c>
      <c r="C124" s="1" t="str">
        <f t="shared" si="11"/>
        <v>zzzzzzzzzzz</v>
      </c>
      <c r="D124" s="75">
        <v>120</v>
      </c>
      <c r="E124" s="45"/>
      <c r="F124" s="45"/>
      <c r="G124" s="46"/>
      <c r="H124" s="46"/>
      <c r="I124" s="78">
        <f t="shared" si="12"/>
        <v>0</v>
      </c>
      <c r="J124" s="78">
        <f t="shared" si="13"/>
        <v>0</v>
      </c>
      <c r="K124" s="89"/>
      <c r="L124" s="92">
        <f t="shared" si="14"/>
        <v>0</v>
      </c>
      <c r="M124" s="92" t="str">
        <f t="shared" si="15"/>
        <v>00</v>
      </c>
      <c r="N124" s="56">
        <f>SUMIF(Bevetel!$G$6:$G$1000,C124,Bevetel!$I$6:$I$1000)</f>
        <v>0</v>
      </c>
      <c r="O124" s="1">
        <f>SUMIF(Kiadas!$G$1006:$G$10000,C124,Kiadas!$I$1006:$I$10000)</f>
        <v>0</v>
      </c>
      <c r="R124" s="1">
        <f t="shared" si="16"/>
        <v>0</v>
      </c>
      <c r="S124" s="1">
        <f>SUMIF(Kiadas!$G$6:$G$1000,C124,Kiadas!$BA$6:$BA$1000)</f>
        <v>0</v>
      </c>
      <c r="T124" s="1">
        <f>SUMIF(Kiadas!$G$1006:$G$10000,C124,Kiadas!$BA$1006:$BA$10000)</f>
        <v>0</v>
      </c>
      <c r="U124" s="1">
        <f t="shared" si="17"/>
        <v>0</v>
      </c>
    </row>
    <row r="125" spans="1:21" ht="18" x14ac:dyDescent="0.25">
      <c r="A125" s="1">
        <f t="shared" si="9"/>
        <v>0</v>
      </c>
      <c r="B125" s="1">
        <f t="shared" si="10"/>
        <v>0</v>
      </c>
      <c r="C125" s="1" t="str">
        <f t="shared" si="11"/>
        <v>zzzzzzzzzzz</v>
      </c>
      <c r="D125" s="75">
        <v>121</v>
      </c>
      <c r="E125" s="45"/>
      <c r="F125" s="45"/>
      <c r="G125" s="46"/>
      <c r="H125" s="46"/>
      <c r="I125" s="78">
        <f t="shared" si="12"/>
        <v>0</v>
      </c>
      <c r="J125" s="78">
        <f t="shared" si="13"/>
        <v>0</v>
      </c>
      <c r="K125" s="89"/>
      <c r="L125" s="92">
        <f t="shared" si="14"/>
        <v>0</v>
      </c>
      <c r="M125" s="92" t="str">
        <f t="shared" si="15"/>
        <v>00</v>
      </c>
      <c r="N125" s="56">
        <f>SUMIF(Bevetel!$G$6:$G$1000,C125,Bevetel!$I$6:$I$1000)</f>
        <v>0</v>
      </c>
      <c r="O125" s="1">
        <f>SUMIF(Kiadas!$G$1006:$G$10000,C125,Kiadas!$I$1006:$I$10000)</f>
        <v>0</v>
      </c>
      <c r="R125" s="1">
        <f t="shared" si="16"/>
        <v>0</v>
      </c>
      <c r="S125" s="1">
        <f>SUMIF(Kiadas!$G$6:$G$1000,C125,Kiadas!$BA$6:$BA$1000)</f>
        <v>0</v>
      </c>
      <c r="T125" s="1">
        <f>SUMIF(Kiadas!$G$1006:$G$10000,C125,Kiadas!$BA$1006:$BA$10000)</f>
        <v>0</v>
      </c>
      <c r="U125" s="1">
        <f t="shared" si="17"/>
        <v>0</v>
      </c>
    </row>
    <row r="126" spans="1:21" ht="18" x14ac:dyDescent="0.25">
      <c r="A126" s="1">
        <f t="shared" si="9"/>
        <v>0</v>
      </c>
      <c r="B126" s="1">
        <f t="shared" si="10"/>
        <v>0</v>
      </c>
      <c r="C126" s="1" t="str">
        <f t="shared" si="11"/>
        <v>zzzzzzzzzzz</v>
      </c>
      <c r="D126" s="75">
        <v>122</v>
      </c>
      <c r="E126" s="45"/>
      <c r="F126" s="45"/>
      <c r="G126" s="46"/>
      <c r="H126" s="46"/>
      <c r="I126" s="78">
        <f t="shared" si="12"/>
        <v>0</v>
      </c>
      <c r="J126" s="78">
        <f t="shared" si="13"/>
        <v>0</v>
      </c>
      <c r="K126" s="89"/>
      <c r="L126" s="92">
        <f t="shared" si="14"/>
        <v>0</v>
      </c>
      <c r="M126" s="92" t="str">
        <f t="shared" si="15"/>
        <v>00</v>
      </c>
      <c r="N126" s="56">
        <f>SUMIF(Bevetel!$G$6:$G$1000,C126,Bevetel!$I$6:$I$1000)</f>
        <v>0</v>
      </c>
      <c r="O126" s="1">
        <f>SUMIF(Kiadas!$G$1006:$G$10000,C126,Kiadas!$I$1006:$I$10000)</f>
        <v>0</v>
      </c>
      <c r="R126" s="1">
        <f t="shared" si="16"/>
        <v>0</v>
      </c>
      <c r="S126" s="1">
        <f>SUMIF(Kiadas!$G$6:$G$1000,C126,Kiadas!$BA$6:$BA$1000)</f>
        <v>0</v>
      </c>
      <c r="T126" s="1">
        <f>SUMIF(Kiadas!$G$1006:$G$10000,C126,Kiadas!$BA$1006:$BA$10000)</f>
        <v>0</v>
      </c>
      <c r="U126" s="1">
        <f t="shared" si="17"/>
        <v>0</v>
      </c>
    </row>
    <row r="127" spans="1:21" ht="18" x14ac:dyDescent="0.25">
      <c r="A127" s="1">
        <f t="shared" si="9"/>
        <v>0</v>
      </c>
      <c r="B127" s="1">
        <f t="shared" si="10"/>
        <v>0</v>
      </c>
      <c r="C127" s="1" t="str">
        <f t="shared" si="11"/>
        <v>zzzzzzzzzzz</v>
      </c>
      <c r="D127" s="75">
        <v>123</v>
      </c>
      <c r="E127" s="45"/>
      <c r="F127" s="45"/>
      <c r="G127" s="46"/>
      <c r="H127" s="46"/>
      <c r="I127" s="78">
        <f t="shared" si="12"/>
        <v>0</v>
      </c>
      <c r="J127" s="78">
        <f t="shared" si="13"/>
        <v>0</v>
      </c>
      <c r="K127" s="89"/>
      <c r="L127" s="92">
        <f t="shared" si="14"/>
        <v>0</v>
      </c>
      <c r="M127" s="92" t="str">
        <f t="shared" si="15"/>
        <v>00</v>
      </c>
      <c r="N127" s="56">
        <f>SUMIF(Bevetel!$G$6:$G$1000,C127,Bevetel!$I$6:$I$1000)</f>
        <v>0</v>
      </c>
      <c r="O127" s="1">
        <f>SUMIF(Kiadas!$G$1006:$G$10000,C127,Kiadas!$I$1006:$I$10000)</f>
        <v>0</v>
      </c>
      <c r="R127" s="1">
        <f t="shared" si="16"/>
        <v>0</v>
      </c>
      <c r="S127" s="1">
        <f>SUMIF(Kiadas!$G$6:$G$1000,C127,Kiadas!$BA$6:$BA$1000)</f>
        <v>0</v>
      </c>
      <c r="T127" s="1">
        <f>SUMIF(Kiadas!$G$1006:$G$10000,C127,Kiadas!$BA$1006:$BA$10000)</f>
        <v>0</v>
      </c>
      <c r="U127" s="1">
        <f t="shared" si="17"/>
        <v>0</v>
      </c>
    </row>
    <row r="128" spans="1:21" ht="18" x14ac:dyDescent="0.25">
      <c r="A128" s="1">
        <f t="shared" si="9"/>
        <v>0</v>
      </c>
      <c r="B128" s="1">
        <f t="shared" si="10"/>
        <v>0</v>
      </c>
      <c r="C128" s="1" t="str">
        <f t="shared" si="11"/>
        <v>zzzzzzzzzzz</v>
      </c>
      <c r="D128" s="75">
        <v>124</v>
      </c>
      <c r="E128" s="45"/>
      <c r="F128" s="45"/>
      <c r="G128" s="46"/>
      <c r="H128" s="46"/>
      <c r="I128" s="78">
        <f t="shared" si="12"/>
        <v>0</v>
      </c>
      <c r="J128" s="78">
        <f t="shared" si="13"/>
        <v>0</v>
      </c>
      <c r="K128" s="89"/>
      <c r="L128" s="92">
        <f t="shared" si="14"/>
        <v>0</v>
      </c>
      <c r="M128" s="92" t="str">
        <f t="shared" si="15"/>
        <v>00</v>
      </c>
      <c r="N128" s="56">
        <f>SUMIF(Bevetel!$G$6:$G$1000,C128,Bevetel!$I$6:$I$1000)</f>
        <v>0</v>
      </c>
      <c r="O128" s="1">
        <f>SUMIF(Kiadas!$G$1006:$G$10000,C128,Kiadas!$I$1006:$I$10000)</f>
        <v>0</v>
      </c>
      <c r="R128" s="1">
        <f t="shared" si="16"/>
        <v>0</v>
      </c>
      <c r="S128" s="1">
        <f>SUMIF(Kiadas!$G$6:$G$1000,C128,Kiadas!$BA$6:$BA$1000)</f>
        <v>0</v>
      </c>
      <c r="T128" s="1">
        <f>SUMIF(Kiadas!$G$1006:$G$10000,C128,Kiadas!$BA$1006:$BA$10000)</f>
        <v>0</v>
      </c>
      <c r="U128" s="1">
        <f t="shared" si="17"/>
        <v>0</v>
      </c>
    </row>
    <row r="129" spans="1:21" ht="18" x14ac:dyDescent="0.25">
      <c r="A129" s="1">
        <f t="shared" si="9"/>
        <v>0</v>
      </c>
      <c r="B129" s="1">
        <f t="shared" si="10"/>
        <v>0</v>
      </c>
      <c r="C129" s="1" t="str">
        <f t="shared" si="11"/>
        <v>zzzzzzzzzzz</v>
      </c>
      <c r="D129" s="75">
        <v>125</v>
      </c>
      <c r="E129" s="45"/>
      <c r="F129" s="45"/>
      <c r="G129" s="46"/>
      <c r="H129" s="46"/>
      <c r="I129" s="78">
        <f t="shared" si="12"/>
        <v>0</v>
      </c>
      <c r="J129" s="78">
        <f t="shared" si="13"/>
        <v>0</v>
      </c>
      <c r="K129" s="89"/>
      <c r="L129" s="92">
        <f t="shared" si="14"/>
        <v>0</v>
      </c>
      <c r="M129" s="92" t="str">
        <f t="shared" si="15"/>
        <v>00</v>
      </c>
      <c r="N129" s="56">
        <f>SUMIF(Bevetel!$G$6:$G$1000,C129,Bevetel!$I$6:$I$1000)</f>
        <v>0</v>
      </c>
      <c r="O129" s="1">
        <f>SUMIF(Kiadas!$G$1006:$G$10000,C129,Kiadas!$I$1006:$I$10000)</f>
        <v>0</v>
      </c>
      <c r="R129" s="1">
        <f t="shared" si="16"/>
        <v>0</v>
      </c>
      <c r="S129" s="1">
        <f>SUMIF(Kiadas!$G$6:$G$1000,C129,Kiadas!$BA$6:$BA$1000)</f>
        <v>0</v>
      </c>
      <c r="T129" s="1">
        <f>SUMIF(Kiadas!$G$1006:$G$10000,C129,Kiadas!$BA$1006:$BA$10000)</f>
        <v>0</v>
      </c>
      <c r="U129" s="1">
        <f t="shared" si="17"/>
        <v>0</v>
      </c>
    </row>
    <row r="130" spans="1:21" ht="18" x14ac:dyDescent="0.25">
      <c r="A130" s="1">
        <f t="shared" si="9"/>
        <v>0</v>
      </c>
      <c r="B130" s="1">
        <f t="shared" si="10"/>
        <v>0</v>
      </c>
      <c r="C130" s="1" t="str">
        <f t="shared" si="11"/>
        <v>zzzzzzzzzzz</v>
      </c>
      <c r="D130" s="75">
        <v>126</v>
      </c>
      <c r="E130" s="45"/>
      <c r="F130" s="45"/>
      <c r="G130" s="46"/>
      <c r="H130" s="46"/>
      <c r="I130" s="78">
        <f t="shared" si="12"/>
        <v>0</v>
      </c>
      <c r="J130" s="78">
        <f t="shared" si="13"/>
        <v>0</v>
      </c>
      <c r="K130" s="89"/>
      <c r="L130" s="92">
        <f t="shared" si="14"/>
        <v>0</v>
      </c>
      <c r="M130" s="92" t="str">
        <f t="shared" si="15"/>
        <v>00</v>
      </c>
      <c r="N130" s="56">
        <f>SUMIF(Bevetel!$G$6:$G$1000,C130,Bevetel!$I$6:$I$1000)</f>
        <v>0</v>
      </c>
      <c r="O130" s="1">
        <f>SUMIF(Kiadas!$G$1006:$G$10000,C130,Kiadas!$I$1006:$I$10000)</f>
        <v>0</v>
      </c>
      <c r="R130" s="1">
        <f t="shared" si="16"/>
        <v>0</v>
      </c>
      <c r="S130" s="1">
        <f>SUMIF(Kiadas!$G$6:$G$1000,C130,Kiadas!$BA$6:$BA$1000)</f>
        <v>0</v>
      </c>
      <c r="T130" s="1">
        <f>SUMIF(Kiadas!$G$1006:$G$10000,C130,Kiadas!$BA$1006:$BA$10000)</f>
        <v>0</v>
      </c>
      <c r="U130" s="1">
        <f t="shared" si="17"/>
        <v>0</v>
      </c>
    </row>
    <row r="131" spans="1:21" ht="18" x14ac:dyDescent="0.25">
      <c r="A131" s="1">
        <f t="shared" si="9"/>
        <v>0</v>
      </c>
      <c r="B131" s="1">
        <f t="shared" si="10"/>
        <v>0</v>
      </c>
      <c r="C131" s="1" t="str">
        <f t="shared" si="11"/>
        <v>zzzzzzzzzzz</v>
      </c>
      <c r="D131" s="75">
        <v>127</v>
      </c>
      <c r="E131" s="45"/>
      <c r="F131" s="45"/>
      <c r="G131" s="46"/>
      <c r="H131" s="46"/>
      <c r="I131" s="78">
        <f t="shared" si="12"/>
        <v>0</v>
      </c>
      <c r="J131" s="78">
        <f t="shared" si="13"/>
        <v>0</v>
      </c>
      <c r="K131" s="89"/>
      <c r="L131" s="92">
        <f t="shared" si="14"/>
        <v>0</v>
      </c>
      <c r="M131" s="92" t="str">
        <f t="shared" si="15"/>
        <v>00</v>
      </c>
      <c r="N131" s="56">
        <f>SUMIF(Bevetel!$G$6:$G$1000,C131,Bevetel!$I$6:$I$1000)</f>
        <v>0</v>
      </c>
      <c r="O131" s="1">
        <f>SUMIF(Kiadas!$G$1006:$G$10000,C131,Kiadas!$I$1006:$I$10000)</f>
        <v>0</v>
      </c>
      <c r="R131" s="1">
        <f t="shared" si="16"/>
        <v>0</v>
      </c>
      <c r="S131" s="1">
        <f>SUMIF(Kiadas!$G$6:$G$1000,C131,Kiadas!$BA$6:$BA$1000)</f>
        <v>0</v>
      </c>
      <c r="T131" s="1">
        <f>SUMIF(Kiadas!$G$1006:$G$10000,C131,Kiadas!$BA$1006:$BA$10000)</f>
        <v>0</v>
      </c>
      <c r="U131" s="1">
        <f t="shared" si="17"/>
        <v>0</v>
      </c>
    </row>
    <row r="132" spans="1:21" ht="18" x14ac:dyDescent="0.25">
      <c r="A132" s="1">
        <f t="shared" si="9"/>
        <v>0</v>
      </c>
      <c r="B132" s="1">
        <f t="shared" si="10"/>
        <v>0</v>
      </c>
      <c r="C132" s="1" t="str">
        <f t="shared" si="11"/>
        <v>zzzzzzzzzzz</v>
      </c>
      <c r="D132" s="75">
        <v>128</v>
      </c>
      <c r="E132" s="45"/>
      <c r="F132" s="45"/>
      <c r="G132" s="46"/>
      <c r="H132" s="46"/>
      <c r="I132" s="78">
        <f t="shared" si="12"/>
        <v>0</v>
      </c>
      <c r="J132" s="78">
        <f t="shared" si="13"/>
        <v>0</v>
      </c>
      <c r="K132" s="89"/>
      <c r="L132" s="92">
        <f t="shared" si="14"/>
        <v>0</v>
      </c>
      <c r="M132" s="92" t="str">
        <f t="shared" si="15"/>
        <v>00</v>
      </c>
      <c r="N132" s="56">
        <f>SUMIF(Bevetel!$G$6:$G$1000,C132,Bevetel!$I$6:$I$1000)</f>
        <v>0</v>
      </c>
      <c r="O132" s="1">
        <f>SUMIF(Kiadas!$G$1006:$G$10000,C132,Kiadas!$I$1006:$I$10000)</f>
        <v>0</v>
      </c>
      <c r="R132" s="1">
        <f t="shared" si="16"/>
        <v>0</v>
      </c>
      <c r="S132" s="1">
        <f>SUMIF(Kiadas!$G$6:$G$1000,C132,Kiadas!$BA$6:$BA$1000)</f>
        <v>0</v>
      </c>
      <c r="T132" s="1">
        <f>SUMIF(Kiadas!$G$1006:$G$10000,C132,Kiadas!$BA$1006:$BA$10000)</f>
        <v>0</v>
      </c>
      <c r="U132" s="1">
        <f t="shared" si="17"/>
        <v>0</v>
      </c>
    </row>
    <row r="133" spans="1:21" ht="18" x14ac:dyDescent="0.25">
      <c r="A133" s="1">
        <f t="shared" si="9"/>
        <v>0</v>
      </c>
      <c r="B133" s="1">
        <f t="shared" si="10"/>
        <v>0</v>
      </c>
      <c r="C133" s="1" t="str">
        <f t="shared" si="11"/>
        <v>zzzzzzzzzzz</v>
      </c>
      <c r="D133" s="75">
        <v>129</v>
      </c>
      <c r="E133" s="45"/>
      <c r="F133" s="45"/>
      <c r="G133" s="46"/>
      <c r="H133" s="46"/>
      <c r="I133" s="78">
        <f t="shared" si="12"/>
        <v>0</v>
      </c>
      <c r="J133" s="78">
        <f t="shared" si="13"/>
        <v>0</v>
      </c>
      <c r="K133" s="89"/>
      <c r="L133" s="92">
        <f t="shared" si="14"/>
        <v>0</v>
      </c>
      <c r="M133" s="92" t="str">
        <f t="shared" si="15"/>
        <v>00</v>
      </c>
      <c r="N133" s="56">
        <f>SUMIF(Bevetel!$G$6:$G$1000,C133,Bevetel!$I$6:$I$1000)</f>
        <v>0</v>
      </c>
      <c r="O133" s="1">
        <f>SUMIF(Kiadas!$G$1006:$G$10000,C133,Kiadas!$I$1006:$I$10000)</f>
        <v>0</v>
      </c>
      <c r="R133" s="1">
        <f t="shared" si="16"/>
        <v>0</v>
      </c>
      <c r="S133" s="1">
        <f>SUMIF(Kiadas!$G$6:$G$1000,C133,Kiadas!$BA$6:$BA$1000)</f>
        <v>0</v>
      </c>
      <c r="T133" s="1">
        <f>SUMIF(Kiadas!$G$1006:$G$10000,C133,Kiadas!$BA$1006:$BA$10000)</f>
        <v>0</v>
      </c>
      <c r="U133" s="1">
        <f t="shared" si="17"/>
        <v>0</v>
      </c>
    </row>
    <row r="134" spans="1:21" ht="18" x14ac:dyDescent="0.25">
      <c r="A134" s="1">
        <f t="shared" ref="A134:A197" si="18">IF(C134&lt;&gt;$C$3,A133+1,A133)</f>
        <v>0</v>
      </c>
      <c r="B134" s="1">
        <f t="shared" ref="B134:B197" si="19">IF(AND(R134&lt;&gt;0,R134&lt;&gt;""),B133+1,B133)</f>
        <v>0</v>
      </c>
      <c r="C134" s="1" t="str">
        <f t="shared" ref="C134:C197" si="20">IF(E134&lt;&gt;0,TRIM(D134&amp;" - "&amp;E134&amp;IF(F134&lt;&gt;0," - "&amp;F134,"")&amp;" - "&amp;L134&amp;","&amp;M134&amp;" lej/"&amp;H134),$C$3)</f>
        <v>zzzzzzzzzzz</v>
      </c>
      <c r="D134" s="75">
        <v>130</v>
      </c>
      <c r="E134" s="45"/>
      <c r="F134" s="45"/>
      <c r="G134" s="46"/>
      <c r="H134" s="46"/>
      <c r="I134" s="78">
        <f t="shared" ref="I134:I197" si="21">IF(C134&lt;&gt;"",N134-O134,"")</f>
        <v>0</v>
      </c>
      <c r="J134" s="78">
        <f t="shared" ref="J134:J197" si="22">IF(I134&lt;&gt;"",G134*I134,"")</f>
        <v>0</v>
      </c>
      <c r="K134" s="89"/>
      <c r="L134" s="92">
        <f t="shared" ref="L134:L197" si="23">ROUNDDOWN(G134,0)</f>
        <v>0</v>
      </c>
      <c r="M134" s="92" t="str">
        <f t="shared" ref="M134:M197" si="24">IF(SUM(G134,-L134)*100&lt;=9,"0"&amp;SUM(G134,-L134)*100,SUM(G134,-L134)*100)</f>
        <v>00</v>
      </c>
      <c r="N134" s="56">
        <f>SUMIF(Bevetel!$G$6:$G$1000,C134,Bevetel!$I$6:$I$1000)</f>
        <v>0</v>
      </c>
      <c r="O134" s="1">
        <f>SUMIF(Kiadas!$G$1006:$G$10000,C134,Kiadas!$I$1006:$I$10000)</f>
        <v>0</v>
      </c>
      <c r="R134" s="1">
        <f t="shared" ref="R134:R197" si="25">IF(C134&lt;&gt;"",S134-T134,"")</f>
        <v>0</v>
      </c>
      <c r="S134" s="1">
        <f>SUMIF(Kiadas!$G$6:$G$1000,C134,Kiadas!$BA$6:$BA$1000)</f>
        <v>0</v>
      </c>
      <c r="T134" s="1">
        <f>SUMIF(Kiadas!$G$1006:$G$10000,C134,Kiadas!$BA$1006:$BA$10000)</f>
        <v>0</v>
      </c>
      <c r="U134" s="1">
        <f t="shared" ref="U134:U197" si="26">PRODUCT(G134*R134)</f>
        <v>0</v>
      </c>
    </row>
    <row r="135" spans="1:21" ht="18" x14ac:dyDescent="0.25">
      <c r="A135" s="1">
        <f t="shared" si="18"/>
        <v>0</v>
      </c>
      <c r="B135" s="1">
        <f t="shared" si="19"/>
        <v>0</v>
      </c>
      <c r="C135" s="1" t="str">
        <f t="shared" si="20"/>
        <v>zzzzzzzzzzz</v>
      </c>
      <c r="D135" s="75">
        <v>131</v>
      </c>
      <c r="E135" s="45"/>
      <c r="F135" s="45"/>
      <c r="G135" s="46"/>
      <c r="H135" s="46"/>
      <c r="I135" s="78">
        <f t="shared" si="21"/>
        <v>0</v>
      </c>
      <c r="J135" s="78">
        <f t="shared" si="22"/>
        <v>0</v>
      </c>
      <c r="K135" s="89"/>
      <c r="L135" s="92">
        <f t="shared" si="23"/>
        <v>0</v>
      </c>
      <c r="M135" s="92" t="str">
        <f t="shared" si="24"/>
        <v>00</v>
      </c>
      <c r="N135" s="56">
        <f>SUMIF(Bevetel!$G$6:$G$1000,C135,Bevetel!$I$6:$I$1000)</f>
        <v>0</v>
      </c>
      <c r="O135" s="1">
        <f>SUMIF(Kiadas!$G$1006:$G$10000,C135,Kiadas!$I$1006:$I$10000)</f>
        <v>0</v>
      </c>
      <c r="R135" s="1">
        <f t="shared" si="25"/>
        <v>0</v>
      </c>
      <c r="S135" s="1">
        <f>SUMIF(Kiadas!$G$6:$G$1000,C135,Kiadas!$BA$6:$BA$1000)</f>
        <v>0</v>
      </c>
      <c r="T135" s="1">
        <f>SUMIF(Kiadas!$G$1006:$G$10000,C135,Kiadas!$BA$1006:$BA$10000)</f>
        <v>0</v>
      </c>
      <c r="U135" s="1">
        <f t="shared" si="26"/>
        <v>0</v>
      </c>
    </row>
    <row r="136" spans="1:21" ht="18" x14ac:dyDescent="0.25">
      <c r="A136" s="1">
        <f t="shared" si="18"/>
        <v>0</v>
      </c>
      <c r="B136" s="1">
        <f t="shared" si="19"/>
        <v>0</v>
      </c>
      <c r="C136" s="1" t="str">
        <f t="shared" si="20"/>
        <v>zzzzzzzzzzz</v>
      </c>
      <c r="D136" s="75">
        <v>132</v>
      </c>
      <c r="E136" s="45"/>
      <c r="F136" s="45"/>
      <c r="G136" s="46"/>
      <c r="H136" s="46"/>
      <c r="I136" s="78">
        <f t="shared" si="21"/>
        <v>0</v>
      </c>
      <c r="J136" s="78">
        <f t="shared" si="22"/>
        <v>0</v>
      </c>
      <c r="K136" s="89"/>
      <c r="L136" s="92">
        <f t="shared" si="23"/>
        <v>0</v>
      </c>
      <c r="M136" s="92" t="str">
        <f t="shared" si="24"/>
        <v>00</v>
      </c>
      <c r="N136" s="56">
        <f>SUMIF(Bevetel!$G$6:$G$1000,C136,Bevetel!$I$6:$I$1000)</f>
        <v>0</v>
      </c>
      <c r="O136" s="1">
        <f>SUMIF(Kiadas!$G$1006:$G$10000,C136,Kiadas!$I$1006:$I$10000)</f>
        <v>0</v>
      </c>
      <c r="R136" s="1">
        <f t="shared" si="25"/>
        <v>0</v>
      </c>
      <c r="S136" s="1">
        <f>SUMIF(Kiadas!$G$6:$G$1000,C136,Kiadas!$BA$6:$BA$1000)</f>
        <v>0</v>
      </c>
      <c r="T136" s="1">
        <f>SUMIF(Kiadas!$G$1006:$G$10000,C136,Kiadas!$BA$1006:$BA$10000)</f>
        <v>0</v>
      </c>
      <c r="U136" s="1">
        <f t="shared" si="26"/>
        <v>0</v>
      </c>
    </row>
    <row r="137" spans="1:21" ht="18" x14ac:dyDescent="0.25">
      <c r="A137" s="1">
        <f t="shared" si="18"/>
        <v>0</v>
      </c>
      <c r="B137" s="1">
        <f t="shared" si="19"/>
        <v>0</v>
      </c>
      <c r="C137" s="1" t="str">
        <f t="shared" si="20"/>
        <v>zzzzzzzzzzz</v>
      </c>
      <c r="D137" s="75">
        <v>133</v>
      </c>
      <c r="E137" s="45"/>
      <c r="F137" s="45"/>
      <c r="G137" s="46"/>
      <c r="H137" s="46"/>
      <c r="I137" s="78">
        <f t="shared" si="21"/>
        <v>0</v>
      </c>
      <c r="J137" s="78">
        <f t="shared" si="22"/>
        <v>0</v>
      </c>
      <c r="K137" s="89"/>
      <c r="L137" s="92">
        <f t="shared" si="23"/>
        <v>0</v>
      </c>
      <c r="M137" s="92" t="str">
        <f t="shared" si="24"/>
        <v>00</v>
      </c>
      <c r="N137" s="56">
        <f>SUMIF(Bevetel!$G$6:$G$1000,C137,Bevetel!$I$6:$I$1000)</f>
        <v>0</v>
      </c>
      <c r="O137" s="1">
        <f>SUMIF(Kiadas!$G$1006:$G$10000,C137,Kiadas!$I$1006:$I$10000)</f>
        <v>0</v>
      </c>
      <c r="R137" s="1">
        <f t="shared" si="25"/>
        <v>0</v>
      </c>
      <c r="S137" s="1">
        <f>SUMIF(Kiadas!$G$6:$G$1000,C137,Kiadas!$BA$6:$BA$1000)</f>
        <v>0</v>
      </c>
      <c r="T137" s="1">
        <f>SUMIF(Kiadas!$G$1006:$G$10000,C137,Kiadas!$BA$1006:$BA$10000)</f>
        <v>0</v>
      </c>
      <c r="U137" s="1">
        <f t="shared" si="26"/>
        <v>0</v>
      </c>
    </row>
    <row r="138" spans="1:21" ht="18" x14ac:dyDescent="0.25">
      <c r="A138" s="1">
        <f t="shared" si="18"/>
        <v>0</v>
      </c>
      <c r="B138" s="1">
        <f t="shared" si="19"/>
        <v>0</v>
      </c>
      <c r="C138" s="1" t="str">
        <f t="shared" si="20"/>
        <v>zzzzzzzzzzz</v>
      </c>
      <c r="D138" s="75">
        <v>134</v>
      </c>
      <c r="E138" s="45"/>
      <c r="F138" s="45"/>
      <c r="G138" s="46"/>
      <c r="H138" s="46"/>
      <c r="I138" s="78">
        <f t="shared" si="21"/>
        <v>0</v>
      </c>
      <c r="J138" s="78">
        <f t="shared" si="22"/>
        <v>0</v>
      </c>
      <c r="K138" s="89"/>
      <c r="L138" s="92">
        <f t="shared" si="23"/>
        <v>0</v>
      </c>
      <c r="M138" s="92" t="str">
        <f t="shared" si="24"/>
        <v>00</v>
      </c>
      <c r="N138" s="56">
        <f>SUMIF(Bevetel!$G$6:$G$1000,C138,Bevetel!$I$6:$I$1000)</f>
        <v>0</v>
      </c>
      <c r="O138" s="1">
        <f>SUMIF(Kiadas!$G$1006:$G$10000,C138,Kiadas!$I$1006:$I$10000)</f>
        <v>0</v>
      </c>
      <c r="R138" s="1">
        <f t="shared" si="25"/>
        <v>0</v>
      </c>
      <c r="S138" s="1">
        <f>SUMIF(Kiadas!$G$6:$G$1000,C138,Kiadas!$BA$6:$BA$1000)</f>
        <v>0</v>
      </c>
      <c r="T138" s="1">
        <f>SUMIF(Kiadas!$G$1006:$G$10000,C138,Kiadas!$BA$1006:$BA$10000)</f>
        <v>0</v>
      </c>
      <c r="U138" s="1">
        <f t="shared" si="26"/>
        <v>0</v>
      </c>
    </row>
    <row r="139" spans="1:21" ht="18" x14ac:dyDescent="0.25">
      <c r="A139" s="1">
        <f t="shared" si="18"/>
        <v>0</v>
      </c>
      <c r="B139" s="1">
        <f t="shared" si="19"/>
        <v>0</v>
      </c>
      <c r="C139" s="1" t="str">
        <f t="shared" si="20"/>
        <v>zzzzzzzzzzz</v>
      </c>
      <c r="D139" s="75">
        <v>135</v>
      </c>
      <c r="E139" s="45"/>
      <c r="F139" s="45"/>
      <c r="G139" s="46"/>
      <c r="H139" s="46"/>
      <c r="I139" s="78">
        <f t="shared" si="21"/>
        <v>0</v>
      </c>
      <c r="J139" s="78">
        <f t="shared" si="22"/>
        <v>0</v>
      </c>
      <c r="K139" s="89"/>
      <c r="L139" s="92">
        <f t="shared" si="23"/>
        <v>0</v>
      </c>
      <c r="M139" s="92" t="str">
        <f t="shared" si="24"/>
        <v>00</v>
      </c>
      <c r="N139" s="56">
        <f>SUMIF(Bevetel!$G$6:$G$1000,C139,Bevetel!$I$6:$I$1000)</f>
        <v>0</v>
      </c>
      <c r="O139" s="1">
        <f>SUMIF(Kiadas!$G$1006:$G$10000,C139,Kiadas!$I$1006:$I$10000)</f>
        <v>0</v>
      </c>
      <c r="R139" s="1">
        <f t="shared" si="25"/>
        <v>0</v>
      </c>
      <c r="S139" s="1">
        <f>SUMIF(Kiadas!$G$6:$G$1000,C139,Kiadas!$BA$6:$BA$1000)</f>
        <v>0</v>
      </c>
      <c r="T139" s="1">
        <f>SUMIF(Kiadas!$G$1006:$G$10000,C139,Kiadas!$BA$1006:$BA$10000)</f>
        <v>0</v>
      </c>
      <c r="U139" s="1">
        <f t="shared" si="26"/>
        <v>0</v>
      </c>
    </row>
    <row r="140" spans="1:21" ht="18" x14ac:dyDescent="0.25">
      <c r="A140" s="1">
        <f t="shared" si="18"/>
        <v>0</v>
      </c>
      <c r="B140" s="1">
        <f t="shared" si="19"/>
        <v>0</v>
      </c>
      <c r="C140" s="1" t="str">
        <f t="shared" si="20"/>
        <v>zzzzzzzzzzz</v>
      </c>
      <c r="D140" s="75">
        <v>136</v>
      </c>
      <c r="E140" s="45"/>
      <c r="F140" s="45"/>
      <c r="G140" s="46"/>
      <c r="H140" s="46"/>
      <c r="I140" s="78">
        <f t="shared" si="21"/>
        <v>0</v>
      </c>
      <c r="J140" s="78">
        <f t="shared" si="22"/>
        <v>0</v>
      </c>
      <c r="K140" s="89"/>
      <c r="L140" s="92">
        <f t="shared" si="23"/>
        <v>0</v>
      </c>
      <c r="M140" s="92" t="str">
        <f t="shared" si="24"/>
        <v>00</v>
      </c>
      <c r="N140" s="56">
        <f>SUMIF(Bevetel!$G$6:$G$1000,C140,Bevetel!$I$6:$I$1000)</f>
        <v>0</v>
      </c>
      <c r="O140" s="1">
        <f>SUMIF(Kiadas!$G$1006:$G$10000,C140,Kiadas!$I$1006:$I$10000)</f>
        <v>0</v>
      </c>
      <c r="R140" s="1">
        <f t="shared" si="25"/>
        <v>0</v>
      </c>
      <c r="S140" s="1">
        <f>SUMIF(Kiadas!$G$6:$G$1000,C140,Kiadas!$BA$6:$BA$1000)</f>
        <v>0</v>
      </c>
      <c r="T140" s="1">
        <f>SUMIF(Kiadas!$G$1006:$G$10000,C140,Kiadas!$BA$1006:$BA$10000)</f>
        <v>0</v>
      </c>
      <c r="U140" s="1">
        <f t="shared" si="26"/>
        <v>0</v>
      </c>
    </row>
    <row r="141" spans="1:21" ht="18" x14ac:dyDescent="0.25">
      <c r="A141" s="1">
        <f t="shared" si="18"/>
        <v>0</v>
      </c>
      <c r="B141" s="1">
        <f t="shared" si="19"/>
        <v>0</v>
      </c>
      <c r="C141" s="1" t="str">
        <f t="shared" si="20"/>
        <v>zzzzzzzzzzz</v>
      </c>
      <c r="D141" s="75">
        <v>137</v>
      </c>
      <c r="E141" s="45"/>
      <c r="F141" s="45"/>
      <c r="G141" s="46"/>
      <c r="H141" s="46"/>
      <c r="I141" s="78">
        <f t="shared" si="21"/>
        <v>0</v>
      </c>
      <c r="J141" s="78">
        <f t="shared" si="22"/>
        <v>0</v>
      </c>
      <c r="K141" s="89"/>
      <c r="L141" s="92">
        <f t="shared" si="23"/>
        <v>0</v>
      </c>
      <c r="M141" s="92" t="str">
        <f t="shared" si="24"/>
        <v>00</v>
      </c>
      <c r="N141" s="56">
        <f>SUMIF(Bevetel!$G$6:$G$1000,C141,Bevetel!$I$6:$I$1000)</f>
        <v>0</v>
      </c>
      <c r="O141" s="1">
        <f>SUMIF(Kiadas!$G$1006:$G$10000,C141,Kiadas!$I$1006:$I$10000)</f>
        <v>0</v>
      </c>
      <c r="R141" s="1">
        <f t="shared" si="25"/>
        <v>0</v>
      </c>
      <c r="S141" s="1">
        <f>SUMIF(Kiadas!$G$6:$G$1000,C141,Kiadas!$BA$6:$BA$1000)</f>
        <v>0</v>
      </c>
      <c r="T141" s="1">
        <f>SUMIF(Kiadas!$G$1006:$G$10000,C141,Kiadas!$BA$1006:$BA$10000)</f>
        <v>0</v>
      </c>
      <c r="U141" s="1">
        <f t="shared" si="26"/>
        <v>0</v>
      </c>
    </row>
    <row r="142" spans="1:21" ht="18" x14ac:dyDescent="0.25">
      <c r="A142" s="1">
        <f t="shared" si="18"/>
        <v>0</v>
      </c>
      <c r="B142" s="1">
        <f t="shared" si="19"/>
        <v>0</v>
      </c>
      <c r="C142" s="1" t="str">
        <f t="shared" si="20"/>
        <v>zzzzzzzzzzz</v>
      </c>
      <c r="D142" s="75">
        <v>138</v>
      </c>
      <c r="E142" s="45"/>
      <c r="F142" s="45"/>
      <c r="G142" s="46"/>
      <c r="H142" s="46"/>
      <c r="I142" s="78">
        <f t="shared" si="21"/>
        <v>0</v>
      </c>
      <c r="J142" s="78">
        <f t="shared" si="22"/>
        <v>0</v>
      </c>
      <c r="K142" s="89"/>
      <c r="L142" s="92">
        <f t="shared" si="23"/>
        <v>0</v>
      </c>
      <c r="M142" s="92" t="str">
        <f t="shared" si="24"/>
        <v>00</v>
      </c>
      <c r="N142" s="56">
        <f>SUMIF(Bevetel!$G$6:$G$1000,C142,Bevetel!$I$6:$I$1000)</f>
        <v>0</v>
      </c>
      <c r="O142" s="1">
        <f>SUMIF(Kiadas!$G$1006:$G$10000,C142,Kiadas!$I$1006:$I$10000)</f>
        <v>0</v>
      </c>
      <c r="R142" s="1">
        <f t="shared" si="25"/>
        <v>0</v>
      </c>
      <c r="S142" s="1">
        <f>SUMIF(Kiadas!$G$6:$G$1000,C142,Kiadas!$BA$6:$BA$1000)</f>
        <v>0</v>
      </c>
      <c r="T142" s="1">
        <f>SUMIF(Kiadas!$G$1006:$G$10000,C142,Kiadas!$BA$1006:$BA$10000)</f>
        <v>0</v>
      </c>
      <c r="U142" s="1">
        <f t="shared" si="26"/>
        <v>0</v>
      </c>
    </row>
    <row r="143" spans="1:21" ht="18" x14ac:dyDescent="0.25">
      <c r="A143" s="1">
        <f t="shared" si="18"/>
        <v>0</v>
      </c>
      <c r="B143" s="1">
        <f t="shared" si="19"/>
        <v>0</v>
      </c>
      <c r="C143" s="1" t="str">
        <f t="shared" si="20"/>
        <v>zzzzzzzzzzz</v>
      </c>
      <c r="D143" s="75">
        <v>139</v>
      </c>
      <c r="E143" s="45"/>
      <c r="F143" s="45"/>
      <c r="G143" s="46"/>
      <c r="H143" s="46"/>
      <c r="I143" s="78">
        <f t="shared" si="21"/>
        <v>0</v>
      </c>
      <c r="J143" s="78">
        <f t="shared" si="22"/>
        <v>0</v>
      </c>
      <c r="K143" s="89"/>
      <c r="L143" s="92">
        <f t="shared" si="23"/>
        <v>0</v>
      </c>
      <c r="M143" s="92" t="str">
        <f t="shared" si="24"/>
        <v>00</v>
      </c>
      <c r="N143" s="56">
        <f>SUMIF(Bevetel!$G$6:$G$1000,C143,Bevetel!$I$6:$I$1000)</f>
        <v>0</v>
      </c>
      <c r="O143" s="1">
        <f>SUMIF(Kiadas!$G$1006:$G$10000,C143,Kiadas!$I$1006:$I$10000)</f>
        <v>0</v>
      </c>
      <c r="R143" s="1">
        <f t="shared" si="25"/>
        <v>0</v>
      </c>
      <c r="S143" s="1">
        <f>SUMIF(Kiadas!$G$6:$G$1000,C143,Kiadas!$BA$6:$BA$1000)</f>
        <v>0</v>
      </c>
      <c r="T143" s="1">
        <f>SUMIF(Kiadas!$G$1006:$G$10000,C143,Kiadas!$BA$1006:$BA$10000)</f>
        <v>0</v>
      </c>
      <c r="U143" s="1">
        <f t="shared" si="26"/>
        <v>0</v>
      </c>
    </row>
    <row r="144" spans="1:21" ht="18" x14ac:dyDescent="0.25">
      <c r="A144" s="1">
        <f t="shared" si="18"/>
        <v>0</v>
      </c>
      <c r="B144" s="1">
        <f t="shared" si="19"/>
        <v>0</v>
      </c>
      <c r="C144" s="1" t="str">
        <f t="shared" si="20"/>
        <v>zzzzzzzzzzz</v>
      </c>
      <c r="D144" s="75">
        <v>140</v>
      </c>
      <c r="E144" s="45"/>
      <c r="F144" s="45"/>
      <c r="G144" s="46"/>
      <c r="H144" s="46"/>
      <c r="I144" s="78">
        <f t="shared" si="21"/>
        <v>0</v>
      </c>
      <c r="J144" s="78">
        <f t="shared" si="22"/>
        <v>0</v>
      </c>
      <c r="K144" s="89"/>
      <c r="L144" s="92">
        <f t="shared" si="23"/>
        <v>0</v>
      </c>
      <c r="M144" s="92" t="str">
        <f t="shared" si="24"/>
        <v>00</v>
      </c>
      <c r="N144" s="56">
        <f>SUMIF(Bevetel!$G$6:$G$1000,C144,Bevetel!$I$6:$I$1000)</f>
        <v>0</v>
      </c>
      <c r="O144" s="1">
        <f>SUMIF(Kiadas!$G$1006:$G$10000,C144,Kiadas!$I$1006:$I$10000)</f>
        <v>0</v>
      </c>
      <c r="R144" s="1">
        <f t="shared" si="25"/>
        <v>0</v>
      </c>
      <c r="S144" s="1">
        <f>SUMIF(Kiadas!$G$6:$G$1000,C144,Kiadas!$BA$6:$BA$1000)</f>
        <v>0</v>
      </c>
      <c r="T144" s="1">
        <f>SUMIF(Kiadas!$G$1006:$G$10000,C144,Kiadas!$BA$1006:$BA$10000)</f>
        <v>0</v>
      </c>
      <c r="U144" s="1">
        <f t="shared" si="26"/>
        <v>0</v>
      </c>
    </row>
    <row r="145" spans="1:21" ht="18" x14ac:dyDescent="0.25">
      <c r="A145" s="1">
        <f t="shared" si="18"/>
        <v>0</v>
      </c>
      <c r="B145" s="1">
        <f t="shared" si="19"/>
        <v>0</v>
      </c>
      <c r="C145" s="1" t="str">
        <f t="shared" si="20"/>
        <v>zzzzzzzzzzz</v>
      </c>
      <c r="D145" s="75">
        <v>141</v>
      </c>
      <c r="E145" s="45"/>
      <c r="F145" s="45"/>
      <c r="G145" s="46"/>
      <c r="H145" s="46"/>
      <c r="I145" s="78">
        <f t="shared" si="21"/>
        <v>0</v>
      </c>
      <c r="J145" s="78">
        <f t="shared" si="22"/>
        <v>0</v>
      </c>
      <c r="K145" s="89"/>
      <c r="L145" s="92">
        <f t="shared" si="23"/>
        <v>0</v>
      </c>
      <c r="M145" s="92" t="str">
        <f t="shared" si="24"/>
        <v>00</v>
      </c>
      <c r="N145" s="56">
        <f>SUMIF(Bevetel!$G$6:$G$1000,C145,Bevetel!$I$6:$I$1000)</f>
        <v>0</v>
      </c>
      <c r="O145" s="1">
        <f>SUMIF(Kiadas!$G$1006:$G$10000,C145,Kiadas!$I$1006:$I$10000)</f>
        <v>0</v>
      </c>
      <c r="R145" s="1">
        <f t="shared" si="25"/>
        <v>0</v>
      </c>
      <c r="S145" s="1">
        <f>SUMIF(Kiadas!$G$6:$G$1000,C145,Kiadas!$BA$6:$BA$1000)</f>
        <v>0</v>
      </c>
      <c r="T145" s="1">
        <f>SUMIF(Kiadas!$G$1006:$G$10000,C145,Kiadas!$BA$1006:$BA$10000)</f>
        <v>0</v>
      </c>
      <c r="U145" s="1">
        <f t="shared" si="26"/>
        <v>0</v>
      </c>
    </row>
    <row r="146" spans="1:21" ht="18" x14ac:dyDescent="0.25">
      <c r="A146" s="1">
        <f t="shared" si="18"/>
        <v>0</v>
      </c>
      <c r="B146" s="1">
        <f t="shared" si="19"/>
        <v>0</v>
      </c>
      <c r="C146" s="1" t="str">
        <f t="shared" si="20"/>
        <v>zzzzzzzzzzz</v>
      </c>
      <c r="D146" s="75">
        <v>142</v>
      </c>
      <c r="E146" s="45"/>
      <c r="F146" s="45"/>
      <c r="G146" s="46"/>
      <c r="H146" s="46"/>
      <c r="I146" s="78">
        <f t="shared" si="21"/>
        <v>0</v>
      </c>
      <c r="J146" s="78">
        <f t="shared" si="22"/>
        <v>0</v>
      </c>
      <c r="K146" s="89"/>
      <c r="L146" s="92">
        <f t="shared" si="23"/>
        <v>0</v>
      </c>
      <c r="M146" s="92" t="str">
        <f t="shared" si="24"/>
        <v>00</v>
      </c>
      <c r="N146" s="56">
        <f>SUMIF(Bevetel!$G$6:$G$1000,C146,Bevetel!$I$6:$I$1000)</f>
        <v>0</v>
      </c>
      <c r="O146" s="1">
        <f>SUMIF(Kiadas!$G$1006:$G$10000,C146,Kiadas!$I$1006:$I$10000)</f>
        <v>0</v>
      </c>
      <c r="R146" s="1">
        <f t="shared" si="25"/>
        <v>0</v>
      </c>
      <c r="S146" s="1">
        <f>SUMIF(Kiadas!$G$6:$G$1000,C146,Kiadas!$BA$6:$BA$1000)</f>
        <v>0</v>
      </c>
      <c r="T146" s="1">
        <f>SUMIF(Kiadas!$G$1006:$G$10000,C146,Kiadas!$BA$1006:$BA$10000)</f>
        <v>0</v>
      </c>
      <c r="U146" s="1">
        <f t="shared" si="26"/>
        <v>0</v>
      </c>
    </row>
    <row r="147" spans="1:21" ht="18" x14ac:dyDescent="0.25">
      <c r="A147" s="1">
        <f t="shared" si="18"/>
        <v>0</v>
      </c>
      <c r="B147" s="1">
        <f t="shared" si="19"/>
        <v>0</v>
      </c>
      <c r="C147" s="1" t="str">
        <f t="shared" si="20"/>
        <v>zzzzzzzzzzz</v>
      </c>
      <c r="D147" s="75">
        <v>143</v>
      </c>
      <c r="E147" s="45"/>
      <c r="F147" s="45"/>
      <c r="G147" s="46"/>
      <c r="H147" s="46"/>
      <c r="I147" s="78">
        <f t="shared" si="21"/>
        <v>0</v>
      </c>
      <c r="J147" s="78">
        <f t="shared" si="22"/>
        <v>0</v>
      </c>
      <c r="K147" s="89"/>
      <c r="L147" s="92">
        <f t="shared" si="23"/>
        <v>0</v>
      </c>
      <c r="M147" s="92" t="str">
        <f t="shared" si="24"/>
        <v>00</v>
      </c>
      <c r="N147" s="56">
        <f>SUMIF(Bevetel!$G$6:$G$1000,C147,Bevetel!$I$6:$I$1000)</f>
        <v>0</v>
      </c>
      <c r="O147" s="1">
        <f>SUMIF(Kiadas!$G$1006:$G$10000,C147,Kiadas!$I$1006:$I$10000)</f>
        <v>0</v>
      </c>
      <c r="R147" s="1">
        <f t="shared" si="25"/>
        <v>0</v>
      </c>
      <c r="S147" s="1">
        <f>SUMIF(Kiadas!$G$6:$G$1000,C147,Kiadas!$BA$6:$BA$1000)</f>
        <v>0</v>
      </c>
      <c r="T147" s="1">
        <f>SUMIF(Kiadas!$G$1006:$G$10000,C147,Kiadas!$BA$1006:$BA$10000)</f>
        <v>0</v>
      </c>
      <c r="U147" s="1">
        <f t="shared" si="26"/>
        <v>0</v>
      </c>
    </row>
    <row r="148" spans="1:21" ht="18" x14ac:dyDescent="0.25">
      <c r="A148" s="1">
        <f t="shared" si="18"/>
        <v>0</v>
      </c>
      <c r="B148" s="1">
        <f t="shared" si="19"/>
        <v>0</v>
      </c>
      <c r="C148" s="1" t="str">
        <f t="shared" si="20"/>
        <v>zzzzzzzzzzz</v>
      </c>
      <c r="D148" s="75">
        <v>144</v>
      </c>
      <c r="E148" s="45"/>
      <c r="F148" s="45"/>
      <c r="G148" s="46"/>
      <c r="H148" s="46"/>
      <c r="I148" s="78">
        <f t="shared" si="21"/>
        <v>0</v>
      </c>
      <c r="J148" s="78">
        <f t="shared" si="22"/>
        <v>0</v>
      </c>
      <c r="K148" s="89"/>
      <c r="L148" s="92">
        <f t="shared" si="23"/>
        <v>0</v>
      </c>
      <c r="M148" s="92" t="str">
        <f t="shared" si="24"/>
        <v>00</v>
      </c>
      <c r="N148" s="56">
        <f>SUMIF(Bevetel!$G$6:$G$1000,C148,Bevetel!$I$6:$I$1000)</f>
        <v>0</v>
      </c>
      <c r="O148" s="1">
        <f>SUMIF(Kiadas!$G$1006:$G$10000,C148,Kiadas!$I$1006:$I$10000)</f>
        <v>0</v>
      </c>
      <c r="R148" s="1">
        <f t="shared" si="25"/>
        <v>0</v>
      </c>
      <c r="S148" s="1">
        <f>SUMIF(Kiadas!$G$6:$G$1000,C148,Kiadas!$BA$6:$BA$1000)</f>
        <v>0</v>
      </c>
      <c r="T148" s="1">
        <f>SUMIF(Kiadas!$G$1006:$G$10000,C148,Kiadas!$BA$1006:$BA$10000)</f>
        <v>0</v>
      </c>
      <c r="U148" s="1">
        <f t="shared" si="26"/>
        <v>0</v>
      </c>
    </row>
    <row r="149" spans="1:21" ht="18" x14ac:dyDescent="0.25">
      <c r="A149" s="1">
        <f t="shared" si="18"/>
        <v>0</v>
      </c>
      <c r="B149" s="1">
        <f t="shared" si="19"/>
        <v>0</v>
      </c>
      <c r="C149" s="1" t="str">
        <f t="shared" si="20"/>
        <v>zzzzzzzzzzz</v>
      </c>
      <c r="D149" s="75">
        <v>145</v>
      </c>
      <c r="E149" s="45"/>
      <c r="F149" s="45"/>
      <c r="G149" s="46"/>
      <c r="H149" s="46"/>
      <c r="I149" s="78">
        <f t="shared" si="21"/>
        <v>0</v>
      </c>
      <c r="J149" s="78">
        <f t="shared" si="22"/>
        <v>0</v>
      </c>
      <c r="K149" s="89"/>
      <c r="L149" s="92">
        <f t="shared" si="23"/>
        <v>0</v>
      </c>
      <c r="M149" s="92" t="str">
        <f t="shared" si="24"/>
        <v>00</v>
      </c>
      <c r="N149" s="56">
        <f>SUMIF(Bevetel!$G$6:$G$1000,C149,Bevetel!$I$6:$I$1000)</f>
        <v>0</v>
      </c>
      <c r="O149" s="1">
        <f>SUMIF(Kiadas!$G$1006:$G$10000,C149,Kiadas!$I$1006:$I$10000)</f>
        <v>0</v>
      </c>
      <c r="R149" s="1">
        <f t="shared" si="25"/>
        <v>0</v>
      </c>
      <c r="S149" s="1">
        <f>SUMIF(Kiadas!$G$6:$G$1000,C149,Kiadas!$BA$6:$BA$1000)</f>
        <v>0</v>
      </c>
      <c r="T149" s="1">
        <f>SUMIF(Kiadas!$G$1006:$G$10000,C149,Kiadas!$BA$1006:$BA$10000)</f>
        <v>0</v>
      </c>
      <c r="U149" s="1">
        <f t="shared" si="26"/>
        <v>0</v>
      </c>
    </row>
    <row r="150" spans="1:21" ht="18" x14ac:dyDescent="0.25">
      <c r="A150" s="1">
        <f t="shared" si="18"/>
        <v>0</v>
      </c>
      <c r="B150" s="1">
        <f t="shared" si="19"/>
        <v>0</v>
      </c>
      <c r="C150" s="1" t="str">
        <f t="shared" si="20"/>
        <v>zzzzzzzzzzz</v>
      </c>
      <c r="D150" s="75">
        <v>146</v>
      </c>
      <c r="E150" s="45"/>
      <c r="F150" s="45"/>
      <c r="G150" s="46"/>
      <c r="H150" s="46"/>
      <c r="I150" s="78">
        <f t="shared" si="21"/>
        <v>0</v>
      </c>
      <c r="J150" s="78">
        <f t="shared" si="22"/>
        <v>0</v>
      </c>
      <c r="K150" s="89"/>
      <c r="L150" s="92">
        <f t="shared" si="23"/>
        <v>0</v>
      </c>
      <c r="M150" s="92" t="str">
        <f t="shared" si="24"/>
        <v>00</v>
      </c>
      <c r="N150" s="56">
        <f>SUMIF(Bevetel!$G$6:$G$1000,C150,Bevetel!$I$6:$I$1000)</f>
        <v>0</v>
      </c>
      <c r="O150" s="1">
        <f>SUMIF(Kiadas!$G$1006:$G$10000,C150,Kiadas!$I$1006:$I$10000)</f>
        <v>0</v>
      </c>
      <c r="R150" s="1">
        <f t="shared" si="25"/>
        <v>0</v>
      </c>
      <c r="S150" s="1">
        <f>SUMIF(Kiadas!$G$6:$G$1000,C150,Kiadas!$BA$6:$BA$1000)</f>
        <v>0</v>
      </c>
      <c r="T150" s="1">
        <f>SUMIF(Kiadas!$G$1006:$G$10000,C150,Kiadas!$BA$1006:$BA$10000)</f>
        <v>0</v>
      </c>
      <c r="U150" s="1">
        <f t="shared" si="26"/>
        <v>0</v>
      </c>
    </row>
    <row r="151" spans="1:21" ht="18" x14ac:dyDescent="0.25">
      <c r="A151" s="1">
        <f t="shared" si="18"/>
        <v>0</v>
      </c>
      <c r="B151" s="1">
        <f t="shared" si="19"/>
        <v>0</v>
      </c>
      <c r="C151" s="1" t="str">
        <f t="shared" si="20"/>
        <v>zzzzzzzzzzz</v>
      </c>
      <c r="D151" s="75">
        <v>147</v>
      </c>
      <c r="E151" s="45"/>
      <c r="F151" s="45"/>
      <c r="G151" s="46"/>
      <c r="H151" s="46"/>
      <c r="I151" s="78">
        <f t="shared" si="21"/>
        <v>0</v>
      </c>
      <c r="J151" s="78">
        <f t="shared" si="22"/>
        <v>0</v>
      </c>
      <c r="K151" s="89"/>
      <c r="L151" s="92">
        <f t="shared" si="23"/>
        <v>0</v>
      </c>
      <c r="M151" s="92" t="str">
        <f t="shared" si="24"/>
        <v>00</v>
      </c>
      <c r="N151" s="56">
        <f>SUMIF(Bevetel!$G$6:$G$1000,C151,Bevetel!$I$6:$I$1000)</f>
        <v>0</v>
      </c>
      <c r="O151" s="1">
        <f>SUMIF(Kiadas!$G$1006:$G$10000,C151,Kiadas!$I$1006:$I$10000)</f>
        <v>0</v>
      </c>
      <c r="R151" s="1">
        <f t="shared" si="25"/>
        <v>0</v>
      </c>
      <c r="S151" s="1">
        <f>SUMIF(Kiadas!$G$6:$G$1000,C151,Kiadas!$BA$6:$BA$1000)</f>
        <v>0</v>
      </c>
      <c r="T151" s="1">
        <f>SUMIF(Kiadas!$G$1006:$G$10000,C151,Kiadas!$BA$1006:$BA$10000)</f>
        <v>0</v>
      </c>
      <c r="U151" s="1">
        <f t="shared" si="26"/>
        <v>0</v>
      </c>
    </row>
    <row r="152" spans="1:21" ht="18" x14ac:dyDescent="0.25">
      <c r="A152" s="1">
        <f t="shared" si="18"/>
        <v>0</v>
      </c>
      <c r="B152" s="1">
        <f t="shared" si="19"/>
        <v>0</v>
      </c>
      <c r="C152" s="1" t="str">
        <f t="shared" si="20"/>
        <v>zzzzzzzzzzz</v>
      </c>
      <c r="D152" s="75">
        <v>148</v>
      </c>
      <c r="E152" s="45"/>
      <c r="F152" s="45"/>
      <c r="G152" s="46"/>
      <c r="H152" s="46"/>
      <c r="I152" s="78">
        <f t="shared" si="21"/>
        <v>0</v>
      </c>
      <c r="J152" s="78">
        <f t="shared" si="22"/>
        <v>0</v>
      </c>
      <c r="K152" s="89"/>
      <c r="L152" s="92">
        <f t="shared" si="23"/>
        <v>0</v>
      </c>
      <c r="M152" s="92" t="str">
        <f t="shared" si="24"/>
        <v>00</v>
      </c>
      <c r="N152" s="56">
        <f>SUMIF(Bevetel!$G$6:$G$1000,C152,Bevetel!$I$6:$I$1000)</f>
        <v>0</v>
      </c>
      <c r="O152" s="1">
        <f>SUMIF(Kiadas!$G$1006:$G$10000,C152,Kiadas!$I$1006:$I$10000)</f>
        <v>0</v>
      </c>
      <c r="R152" s="1">
        <f t="shared" si="25"/>
        <v>0</v>
      </c>
      <c r="S152" s="1">
        <f>SUMIF(Kiadas!$G$6:$G$1000,C152,Kiadas!$BA$6:$BA$1000)</f>
        <v>0</v>
      </c>
      <c r="T152" s="1">
        <f>SUMIF(Kiadas!$G$1006:$G$10000,C152,Kiadas!$BA$1006:$BA$10000)</f>
        <v>0</v>
      </c>
      <c r="U152" s="1">
        <f t="shared" si="26"/>
        <v>0</v>
      </c>
    </row>
    <row r="153" spans="1:21" ht="18" x14ac:dyDescent="0.25">
      <c r="A153" s="1">
        <f t="shared" si="18"/>
        <v>0</v>
      </c>
      <c r="B153" s="1">
        <f t="shared" si="19"/>
        <v>0</v>
      </c>
      <c r="C153" s="1" t="str">
        <f t="shared" si="20"/>
        <v>zzzzzzzzzzz</v>
      </c>
      <c r="D153" s="75">
        <v>149</v>
      </c>
      <c r="E153" s="45"/>
      <c r="F153" s="45"/>
      <c r="G153" s="46"/>
      <c r="H153" s="46"/>
      <c r="I153" s="78">
        <f t="shared" si="21"/>
        <v>0</v>
      </c>
      <c r="J153" s="78">
        <f t="shared" si="22"/>
        <v>0</v>
      </c>
      <c r="K153" s="89"/>
      <c r="L153" s="92">
        <f t="shared" si="23"/>
        <v>0</v>
      </c>
      <c r="M153" s="92" t="str">
        <f t="shared" si="24"/>
        <v>00</v>
      </c>
      <c r="N153" s="56">
        <f>SUMIF(Bevetel!$G$6:$G$1000,C153,Bevetel!$I$6:$I$1000)</f>
        <v>0</v>
      </c>
      <c r="O153" s="1">
        <f>SUMIF(Kiadas!$G$1006:$G$10000,C153,Kiadas!$I$1006:$I$10000)</f>
        <v>0</v>
      </c>
      <c r="R153" s="1">
        <f t="shared" si="25"/>
        <v>0</v>
      </c>
      <c r="S153" s="1">
        <f>SUMIF(Kiadas!$G$6:$G$1000,C153,Kiadas!$BA$6:$BA$1000)</f>
        <v>0</v>
      </c>
      <c r="T153" s="1">
        <f>SUMIF(Kiadas!$G$1006:$G$10000,C153,Kiadas!$BA$1006:$BA$10000)</f>
        <v>0</v>
      </c>
      <c r="U153" s="1">
        <f t="shared" si="26"/>
        <v>0</v>
      </c>
    </row>
    <row r="154" spans="1:21" ht="18" x14ac:dyDescent="0.25">
      <c r="A154" s="1">
        <f t="shared" si="18"/>
        <v>0</v>
      </c>
      <c r="B154" s="1">
        <f t="shared" si="19"/>
        <v>0</v>
      </c>
      <c r="C154" s="1" t="str">
        <f t="shared" si="20"/>
        <v>zzzzzzzzzzz</v>
      </c>
      <c r="D154" s="75">
        <v>150</v>
      </c>
      <c r="E154" s="45"/>
      <c r="F154" s="45"/>
      <c r="G154" s="46"/>
      <c r="H154" s="46"/>
      <c r="I154" s="78">
        <f t="shared" si="21"/>
        <v>0</v>
      </c>
      <c r="J154" s="78">
        <f t="shared" si="22"/>
        <v>0</v>
      </c>
      <c r="K154" s="89"/>
      <c r="L154" s="92">
        <f t="shared" si="23"/>
        <v>0</v>
      </c>
      <c r="M154" s="92" t="str">
        <f t="shared" si="24"/>
        <v>00</v>
      </c>
      <c r="N154" s="56">
        <f>SUMIF(Bevetel!$G$6:$G$1000,C154,Bevetel!$I$6:$I$1000)</f>
        <v>0</v>
      </c>
      <c r="O154" s="1">
        <f>SUMIF(Kiadas!$G$1006:$G$10000,C154,Kiadas!$I$1006:$I$10000)</f>
        <v>0</v>
      </c>
      <c r="R154" s="1">
        <f t="shared" si="25"/>
        <v>0</v>
      </c>
      <c r="S154" s="1">
        <f>SUMIF(Kiadas!$G$6:$G$1000,C154,Kiadas!$BA$6:$BA$1000)</f>
        <v>0</v>
      </c>
      <c r="T154" s="1">
        <f>SUMIF(Kiadas!$G$1006:$G$10000,C154,Kiadas!$BA$1006:$BA$10000)</f>
        <v>0</v>
      </c>
      <c r="U154" s="1">
        <f t="shared" si="26"/>
        <v>0</v>
      </c>
    </row>
    <row r="155" spans="1:21" ht="18" x14ac:dyDescent="0.25">
      <c r="A155" s="1">
        <f t="shared" si="18"/>
        <v>0</v>
      </c>
      <c r="B155" s="1">
        <f t="shared" si="19"/>
        <v>0</v>
      </c>
      <c r="C155" s="1" t="str">
        <f t="shared" si="20"/>
        <v>zzzzzzzzzzz</v>
      </c>
      <c r="D155" s="75">
        <v>151</v>
      </c>
      <c r="E155" s="45"/>
      <c r="F155" s="45"/>
      <c r="G155" s="46"/>
      <c r="H155" s="46"/>
      <c r="I155" s="78">
        <f t="shared" si="21"/>
        <v>0</v>
      </c>
      <c r="J155" s="78">
        <f t="shared" si="22"/>
        <v>0</v>
      </c>
      <c r="K155" s="89"/>
      <c r="L155" s="92">
        <f t="shared" si="23"/>
        <v>0</v>
      </c>
      <c r="M155" s="92" t="str">
        <f t="shared" si="24"/>
        <v>00</v>
      </c>
      <c r="N155" s="56">
        <f>SUMIF(Bevetel!$G$6:$G$1000,C155,Bevetel!$I$6:$I$1000)</f>
        <v>0</v>
      </c>
      <c r="O155" s="1">
        <f>SUMIF(Kiadas!$G$1006:$G$10000,C155,Kiadas!$I$1006:$I$10000)</f>
        <v>0</v>
      </c>
      <c r="R155" s="1">
        <f t="shared" si="25"/>
        <v>0</v>
      </c>
      <c r="S155" s="1">
        <f>SUMIF(Kiadas!$G$6:$G$1000,C155,Kiadas!$BA$6:$BA$1000)</f>
        <v>0</v>
      </c>
      <c r="T155" s="1">
        <f>SUMIF(Kiadas!$G$1006:$G$10000,C155,Kiadas!$BA$1006:$BA$10000)</f>
        <v>0</v>
      </c>
      <c r="U155" s="1">
        <f t="shared" si="26"/>
        <v>0</v>
      </c>
    </row>
    <row r="156" spans="1:21" ht="18" x14ac:dyDescent="0.25">
      <c r="A156" s="1">
        <f t="shared" si="18"/>
        <v>0</v>
      </c>
      <c r="B156" s="1">
        <f t="shared" si="19"/>
        <v>0</v>
      </c>
      <c r="C156" s="1" t="str">
        <f t="shared" si="20"/>
        <v>zzzzzzzzzzz</v>
      </c>
      <c r="D156" s="75">
        <v>152</v>
      </c>
      <c r="E156" s="45"/>
      <c r="F156" s="45"/>
      <c r="G156" s="46"/>
      <c r="H156" s="46"/>
      <c r="I156" s="78">
        <f t="shared" si="21"/>
        <v>0</v>
      </c>
      <c r="J156" s="78">
        <f t="shared" si="22"/>
        <v>0</v>
      </c>
      <c r="K156" s="89"/>
      <c r="L156" s="92">
        <f t="shared" si="23"/>
        <v>0</v>
      </c>
      <c r="M156" s="92" t="str">
        <f t="shared" si="24"/>
        <v>00</v>
      </c>
      <c r="N156" s="56">
        <f>SUMIF(Bevetel!$G$6:$G$1000,C156,Bevetel!$I$6:$I$1000)</f>
        <v>0</v>
      </c>
      <c r="O156" s="1">
        <f>SUMIF(Kiadas!$G$1006:$G$10000,C156,Kiadas!$I$1006:$I$10000)</f>
        <v>0</v>
      </c>
      <c r="R156" s="1">
        <f t="shared" si="25"/>
        <v>0</v>
      </c>
      <c r="S156" s="1">
        <f>SUMIF(Kiadas!$G$6:$G$1000,C156,Kiadas!$BA$6:$BA$1000)</f>
        <v>0</v>
      </c>
      <c r="T156" s="1">
        <f>SUMIF(Kiadas!$G$1006:$G$10000,C156,Kiadas!$BA$1006:$BA$10000)</f>
        <v>0</v>
      </c>
      <c r="U156" s="1">
        <f t="shared" si="26"/>
        <v>0</v>
      </c>
    </row>
    <row r="157" spans="1:21" ht="18" x14ac:dyDescent="0.25">
      <c r="A157" s="1">
        <f t="shared" si="18"/>
        <v>0</v>
      </c>
      <c r="B157" s="1">
        <f t="shared" si="19"/>
        <v>0</v>
      </c>
      <c r="C157" s="1" t="str">
        <f t="shared" si="20"/>
        <v>zzzzzzzzzzz</v>
      </c>
      <c r="D157" s="75">
        <v>153</v>
      </c>
      <c r="E157" s="45"/>
      <c r="F157" s="45"/>
      <c r="G157" s="46"/>
      <c r="H157" s="46"/>
      <c r="I157" s="78">
        <f t="shared" si="21"/>
        <v>0</v>
      </c>
      <c r="J157" s="78">
        <f t="shared" si="22"/>
        <v>0</v>
      </c>
      <c r="K157" s="89"/>
      <c r="L157" s="92">
        <f t="shared" si="23"/>
        <v>0</v>
      </c>
      <c r="M157" s="92" t="str">
        <f t="shared" si="24"/>
        <v>00</v>
      </c>
      <c r="N157" s="56">
        <f>SUMIF(Bevetel!$G$6:$G$1000,C157,Bevetel!$I$6:$I$1000)</f>
        <v>0</v>
      </c>
      <c r="O157" s="1">
        <f>SUMIF(Kiadas!$G$1006:$G$10000,C157,Kiadas!$I$1006:$I$10000)</f>
        <v>0</v>
      </c>
      <c r="R157" s="1">
        <f t="shared" si="25"/>
        <v>0</v>
      </c>
      <c r="S157" s="1">
        <f>SUMIF(Kiadas!$G$6:$G$1000,C157,Kiadas!$BA$6:$BA$1000)</f>
        <v>0</v>
      </c>
      <c r="T157" s="1">
        <f>SUMIF(Kiadas!$G$1006:$G$10000,C157,Kiadas!$BA$1006:$BA$10000)</f>
        <v>0</v>
      </c>
      <c r="U157" s="1">
        <f t="shared" si="26"/>
        <v>0</v>
      </c>
    </row>
    <row r="158" spans="1:21" ht="18" x14ac:dyDescent="0.25">
      <c r="A158" s="1">
        <f t="shared" si="18"/>
        <v>0</v>
      </c>
      <c r="B158" s="1">
        <f t="shared" si="19"/>
        <v>0</v>
      </c>
      <c r="C158" s="1" t="str">
        <f t="shared" si="20"/>
        <v>zzzzzzzzzzz</v>
      </c>
      <c r="D158" s="75">
        <v>154</v>
      </c>
      <c r="E158" s="45"/>
      <c r="F158" s="45"/>
      <c r="G158" s="46"/>
      <c r="H158" s="46"/>
      <c r="I158" s="78">
        <f t="shared" si="21"/>
        <v>0</v>
      </c>
      <c r="J158" s="78">
        <f t="shared" si="22"/>
        <v>0</v>
      </c>
      <c r="K158" s="89"/>
      <c r="L158" s="92">
        <f t="shared" si="23"/>
        <v>0</v>
      </c>
      <c r="M158" s="92" t="str">
        <f t="shared" si="24"/>
        <v>00</v>
      </c>
      <c r="N158" s="56">
        <f>SUMIF(Bevetel!$G$6:$G$1000,C158,Bevetel!$I$6:$I$1000)</f>
        <v>0</v>
      </c>
      <c r="O158" s="1">
        <f>SUMIF(Kiadas!$G$1006:$G$10000,C158,Kiadas!$I$1006:$I$10000)</f>
        <v>0</v>
      </c>
      <c r="R158" s="1">
        <f t="shared" si="25"/>
        <v>0</v>
      </c>
      <c r="S158" s="1">
        <f>SUMIF(Kiadas!$G$6:$G$1000,C158,Kiadas!$BA$6:$BA$1000)</f>
        <v>0</v>
      </c>
      <c r="T158" s="1">
        <f>SUMIF(Kiadas!$G$1006:$G$10000,C158,Kiadas!$BA$1006:$BA$10000)</f>
        <v>0</v>
      </c>
      <c r="U158" s="1">
        <f t="shared" si="26"/>
        <v>0</v>
      </c>
    </row>
    <row r="159" spans="1:21" ht="18" x14ac:dyDescent="0.25">
      <c r="A159" s="1">
        <f t="shared" si="18"/>
        <v>0</v>
      </c>
      <c r="B159" s="1">
        <f t="shared" si="19"/>
        <v>0</v>
      </c>
      <c r="C159" s="1" t="str">
        <f t="shared" si="20"/>
        <v>zzzzzzzzzzz</v>
      </c>
      <c r="D159" s="75">
        <v>155</v>
      </c>
      <c r="E159" s="45"/>
      <c r="F159" s="45"/>
      <c r="G159" s="46"/>
      <c r="H159" s="46"/>
      <c r="I159" s="78">
        <f t="shared" si="21"/>
        <v>0</v>
      </c>
      <c r="J159" s="78">
        <f t="shared" si="22"/>
        <v>0</v>
      </c>
      <c r="K159" s="89"/>
      <c r="L159" s="92">
        <f t="shared" si="23"/>
        <v>0</v>
      </c>
      <c r="M159" s="92" t="str">
        <f t="shared" si="24"/>
        <v>00</v>
      </c>
      <c r="N159" s="56">
        <f>SUMIF(Bevetel!$G$6:$G$1000,C159,Bevetel!$I$6:$I$1000)</f>
        <v>0</v>
      </c>
      <c r="O159" s="1">
        <f>SUMIF(Kiadas!$G$1006:$G$10000,C159,Kiadas!$I$1006:$I$10000)</f>
        <v>0</v>
      </c>
      <c r="R159" s="1">
        <f t="shared" si="25"/>
        <v>0</v>
      </c>
      <c r="S159" s="1">
        <f>SUMIF(Kiadas!$G$6:$G$1000,C159,Kiadas!$BA$6:$BA$1000)</f>
        <v>0</v>
      </c>
      <c r="T159" s="1">
        <f>SUMIF(Kiadas!$G$1006:$G$10000,C159,Kiadas!$BA$1006:$BA$10000)</f>
        <v>0</v>
      </c>
      <c r="U159" s="1">
        <f t="shared" si="26"/>
        <v>0</v>
      </c>
    </row>
    <row r="160" spans="1:21" ht="18" x14ac:dyDescent="0.25">
      <c r="A160" s="1">
        <f t="shared" si="18"/>
        <v>0</v>
      </c>
      <c r="B160" s="1">
        <f t="shared" si="19"/>
        <v>0</v>
      </c>
      <c r="C160" s="1" t="str">
        <f t="shared" si="20"/>
        <v>zzzzzzzzzzz</v>
      </c>
      <c r="D160" s="75">
        <v>156</v>
      </c>
      <c r="E160" s="45"/>
      <c r="F160" s="45"/>
      <c r="G160" s="46"/>
      <c r="H160" s="46"/>
      <c r="I160" s="78">
        <f t="shared" si="21"/>
        <v>0</v>
      </c>
      <c r="J160" s="78">
        <f t="shared" si="22"/>
        <v>0</v>
      </c>
      <c r="K160" s="89"/>
      <c r="L160" s="92">
        <f t="shared" si="23"/>
        <v>0</v>
      </c>
      <c r="M160" s="92" t="str">
        <f t="shared" si="24"/>
        <v>00</v>
      </c>
      <c r="N160" s="56">
        <f>SUMIF(Bevetel!$G$6:$G$1000,C160,Bevetel!$I$6:$I$1000)</f>
        <v>0</v>
      </c>
      <c r="O160" s="1">
        <f>SUMIF(Kiadas!$G$1006:$G$10000,C160,Kiadas!$I$1006:$I$10000)</f>
        <v>0</v>
      </c>
      <c r="R160" s="1">
        <f t="shared" si="25"/>
        <v>0</v>
      </c>
      <c r="S160" s="1">
        <f>SUMIF(Kiadas!$G$6:$G$1000,C160,Kiadas!$BA$6:$BA$1000)</f>
        <v>0</v>
      </c>
      <c r="T160" s="1">
        <f>SUMIF(Kiadas!$G$1006:$G$10000,C160,Kiadas!$BA$1006:$BA$10000)</f>
        <v>0</v>
      </c>
      <c r="U160" s="1">
        <f t="shared" si="26"/>
        <v>0</v>
      </c>
    </row>
    <row r="161" spans="1:21" ht="18" x14ac:dyDescent="0.25">
      <c r="A161" s="1">
        <f t="shared" si="18"/>
        <v>0</v>
      </c>
      <c r="B161" s="1">
        <f t="shared" si="19"/>
        <v>0</v>
      </c>
      <c r="C161" s="1" t="str">
        <f t="shared" si="20"/>
        <v>zzzzzzzzzzz</v>
      </c>
      <c r="D161" s="75">
        <v>157</v>
      </c>
      <c r="E161" s="45"/>
      <c r="F161" s="45"/>
      <c r="G161" s="46"/>
      <c r="H161" s="46"/>
      <c r="I161" s="78">
        <f t="shared" si="21"/>
        <v>0</v>
      </c>
      <c r="J161" s="78">
        <f t="shared" si="22"/>
        <v>0</v>
      </c>
      <c r="K161" s="89"/>
      <c r="L161" s="92">
        <f t="shared" si="23"/>
        <v>0</v>
      </c>
      <c r="M161" s="92" t="str">
        <f t="shared" si="24"/>
        <v>00</v>
      </c>
      <c r="N161" s="56">
        <f>SUMIF(Bevetel!$G$6:$G$1000,C161,Bevetel!$I$6:$I$1000)</f>
        <v>0</v>
      </c>
      <c r="O161" s="1">
        <f>SUMIF(Kiadas!$G$1006:$G$10000,C161,Kiadas!$I$1006:$I$10000)</f>
        <v>0</v>
      </c>
      <c r="R161" s="1">
        <f t="shared" si="25"/>
        <v>0</v>
      </c>
      <c r="S161" s="1">
        <f>SUMIF(Kiadas!$G$6:$G$1000,C161,Kiadas!$BA$6:$BA$1000)</f>
        <v>0</v>
      </c>
      <c r="T161" s="1">
        <f>SUMIF(Kiadas!$G$1006:$G$10000,C161,Kiadas!$BA$1006:$BA$10000)</f>
        <v>0</v>
      </c>
      <c r="U161" s="1">
        <f t="shared" si="26"/>
        <v>0</v>
      </c>
    </row>
    <row r="162" spans="1:21" ht="18" x14ac:dyDescent="0.25">
      <c r="A162" s="1">
        <f t="shared" si="18"/>
        <v>0</v>
      </c>
      <c r="B162" s="1">
        <f t="shared" si="19"/>
        <v>0</v>
      </c>
      <c r="C162" s="1" t="str">
        <f t="shared" si="20"/>
        <v>zzzzzzzzzzz</v>
      </c>
      <c r="D162" s="75">
        <v>158</v>
      </c>
      <c r="E162" s="45"/>
      <c r="F162" s="45"/>
      <c r="G162" s="46"/>
      <c r="H162" s="46"/>
      <c r="I162" s="78">
        <f t="shared" si="21"/>
        <v>0</v>
      </c>
      <c r="J162" s="78">
        <f t="shared" si="22"/>
        <v>0</v>
      </c>
      <c r="K162" s="89"/>
      <c r="L162" s="92">
        <f t="shared" si="23"/>
        <v>0</v>
      </c>
      <c r="M162" s="92" t="str">
        <f t="shared" si="24"/>
        <v>00</v>
      </c>
      <c r="N162" s="56">
        <f>SUMIF(Bevetel!$G$6:$G$1000,C162,Bevetel!$I$6:$I$1000)</f>
        <v>0</v>
      </c>
      <c r="O162" s="1">
        <f>SUMIF(Kiadas!$G$1006:$G$10000,C162,Kiadas!$I$1006:$I$10000)</f>
        <v>0</v>
      </c>
      <c r="R162" s="1">
        <f t="shared" si="25"/>
        <v>0</v>
      </c>
      <c r="S162" s="1">
        <f>SUMIF(Kiadas!$G$6:$G$1000,C162,Kiadas!$BA$6:$BA$1000)</f>
        <v>0</v>
      </c>
      <c r="T162" s="1">
        <f>SUMIF(Kiadas!$G$1006:$G$10000,C162,Kiadas!$BA$1006:$BA$10000)</f>
        <v>0</v>
      </c>
      <c r="U162" s="1">
        <f t="shared" si="26"/>
        <v>0</v>
      </c>
    </row>
    <row r="163" spans="1:21" ht="18" x14ac:dyDescent="0.25">
      <c r="A163" s="1">
        <f t="shared" si="18"/>
        <v>0</v>
      </c>
      <c r="B163" s="1">
        <f t="shared" si="19"/>
        <v>0</v>
      </c>
      <c r="C163" s="1" t="str">
        <f t="shared" si="20"/>
        <v>zzzzzzzzzzz</v>
      </c>
      <c r="D163" s="75">
        <v>159</v>
      </c>
      <c r="E163" s="45"/>
      <c r="F163" s="45"/>
      <c r="G163" s="46"/>
      <c r="H163" s="46"/>
      <c r="I163" s="78">
        <f t="shared" si="21"/>
        <v>0</v>
      </c>
      <c r="J163" s="78">
        <f t="shared" si="22"/>
        <v>0</v>
      </c>
      <c r="K163" s="89"/>
      <c r="L163" s="92">
        <f t="shared" si="23"/>
        <v>0</v>
      </c>
      <c r="M163" s="92" t="str">
        <f t="shared" si="24"/>
        <v>00</v>
      </c>
      <c r="N163" s="56">
        <f>SUMIF(Bevetel!$G$6:$G$1000,C163,Bevetel!$I$6:$I$1000)</f>
        <v>0</v>
      </c>
      <c r="O163" s="1">
        <f>SUMIF(Kiadas!$G$1006:$G$10000,C163,Kiadas!$I$1006:$I$10000)</f>
        <v>0</v>
      </c>
      <c r="R163" s="1">
        <f t="shared" si="25"/>
        <v>0</v>
      </c>
      <c r="S163" s="1">
        <f>SUMIF(Kiadas!$G$6:$G$1000,C163,Kiadas!$BA$6:$BA$1000)</f>
        <v>0</v>
      </c>
      <c r="T163" s="1">
        <f>SUMIF(Kiadas!$G$1006:$G$10000,C163,Kiadas!$BA$1006:$BA$10000)</f>
        <v>0</v>
      </c>
      <c r="U163" s="1">
        <f t="shared" si="26"/>
        <v>0</v>
      </c>
    </row>
    <row r="164" spans="1:21" ht="18" x14ac:dyDescent="0.25">
      <c r="A164" s="1">
        <f t="shared" si="18"/>
        <v>0</v>
      </c>
      <c r="B164" s="1">
        <f t="shared" si="19"/>
        <v>0</v>
      </c>
      <c r="C164" s="1" t="str">
        <f t="shared" si="20"/>
        <v>zzzzzzzzzzz</v>
      </c>
      <c r="D164" s="75">
        <v>160</v>
      </c>
      <c r="E164" s="45"/>
      <c r="F164" s="45"/>
      <c r="G164" s="46"/>
      <c r="H164" s="46"/>
      <c r="I164" s="78">
        <f t="shared" si="21"/>
        <v>0</v>
      </c>
      <c r="J164" s="78">
        <f t="shared" si="22"/>
        <v>0</v>
      </c>
      <c r="K164" s="89"/>
      <c r="L164" s="92">
        <f t="shared" si="23"/>
        <v>0</v>
      </c>
      <c r="M164" s="92" t="str">
        <f t="shared" si="24"/>
        <v>00</v>
      </c>
      <c r="N164" s="56">
        <f>SUMIF(Bevetel!$G$6:$G$1000,C164,Bevetel!$I$6:$I$1000)</f>
        <v>0</v>
      </c>
      <c r="O164" s="1">
        <f>SUMIF(Kiadas!$G$1006:$G$10000,C164,Kiadas!$I$1006:$I$10000)</f>
        <v>0</v>
      </c>
      <c r="R164" s="1">
        <f t="shared" si="25"/>
        <v>0</v>
      </c>
      <c r="S164" s="1">
        <f>SUMIF(Kiadas!$G$6:$G$1000,C164,Kiadas!$BA$6:$BA$1000)</f>
        <v>0</v>
      </c>
      <c r="T164" s="1">
        <f>SUMIF(Kiadas!$G$1006:$G$10000,C164,Kiadas!$BA$1006:$BA$10000)</f>
        <v>0</v>
      </c>
      <c r="U164" s="1">
        <f t="shared" si="26"/>
        <v>0</v>
      </c>
    </row>
    <row r="165" spans="1:21" ht="18" x14ac:dyDescent="0.25">
      <c r="A165" s="1">
        <f t="shared" si="18"/>
        <v>0</v>
      </c>
      <c r="B165" s="1">
        <f t="shared" si="19"/>
        <v>0</v>
      </c>
      <c r="C165" s="1" t="str">
        <f t="shared" si="20"/>
        <v>zzzzzzzzzzz</v>
      </c>
      <c r="D165" s="75">
        <v>161</v>
      </c>
      <c r="E165" s="45"/>
      <c r="F165" s="45"/>
      <c r="G165" s="46"/>
      <c r="H165" s="46"/>
      <c r="I165" s="78">
        <f t="shared" si="21"/>
        <v>0</v>
      </c>
      <c r="J165" s="78">
        <f t="shared" si="22"/>
        <v>0</v>
      </c>
      <c r="K165" s="89"/>
      <c r="L165" s="92">
        <f t="shared" si="23"/>
        <v>0</v>
      </c>
      <c r="M165" s="92" t="str">
        <f t="shared" si="24"/>
        <v>00</v>
      </c>
      <c r="N165" s="56">
        <f>SUMIF(Bevetel!$G$6:$G$1000,C165,Bevetel!$I$6:$I$1000)</f>
        <v>0</v>
      </c>
      <c r="O165" s="1">
        <f>SUMIF(Kiadas!$G$1006:$G$10000,C165,Kiadas!$I$1006:$I$10000)</f>
        <v>0</v>
      </c>
      <c r="R165" s="1">
        <f t="shared" si="25"/>
        <v>0</v>
      </c>
      <c r="S165" s="1">
        <f>SUMIF(Kiadas!$G$6:$G$1000,C165,Kiadas!$BA$6:$BA$1000)</f>
        <v>0</v>
      </c>
      <c r="T165" s="1">
        <f>SUMIF(Kiadas!$G$1006:$G$10000,C165,Kiadas!$BA$1006:$BA$10000)</f>
        <v>0</v>
      </c>
      <c r="U165" s="1">
        <f t="shared" si="26"/>
        <v>0</v>
      </c>
    </row>
    <row r="166" spans="1:21" ht="18" x14ac:dyDescent="0.25">
      <c r="A166" s="1">
        <f t="shared" si="18"/>
        <v>0</v>
      </c>
      <c r="B166" s="1">
        <f t="shared" si="19"/>
        <v>0</v>
      </c>
      <c r="C166" s="1" t="str">
        <f t="shared" si="20"/>
        <v>zzzzzzzzzzz</v>
      </c>
      <c r="D166" s="75">
        <v>162</v>
      </c>
      <c r="E166" s="45"/>
      <c r="F166" s="45"/>
      <c r="G166" s="46"/>
      <c r="H166" s="46"/>
      <c r="I166" s="78">
        <f t="shared" si="21"/>
        <v>0</v>
      </c>
      <c r="J166" s="78">
        <f t="shared" si="22"/>
        <v>0</v>
      </c>
      <c r="K166" s="89"/>
      <c r="L166" s="92">
        <f t="shared" si="23"/>
        <v>0</v>
      </c>
      <c r="M166" s="92" t="str">
        <f t="shared" si="24"/>
        <v>00</v>
      </c>
      <c r="N166" s="56">
        <f>SUMIF(Bevetel!$G$6:$G$1000,C166,Bevetel!$I$6:$I$1000)</f>
        <v>0</v>
      </c>
      <c r="O166" s="1">
        <f>SUMIF(Kiadas!$G$1006:$G$10000,C166,Kiadas!$I$1006:$I$10000)</f>
        <v>0</v>
      </c>
      <c r="R166" s="1">
        <f t="shared" si="25"/>
        <v>0</v>
      </c>
      <c r="S166" s="1">
        <f>SUMIF(Kiadas!$G$6:$G$1000,C166,Kiadas!$BA$6:$BA$1000)</f>
        <v>0</v>
      </c>
      <c r="T166" s="1">
        <f>SUMIF(Kiadas!$G$1006:$G$10000,C166,Kiadas!$BA$1006:$BA$10000)</f>
        <v>0</v>
      </c>
      <c r="U166" s="1">
        <f t="shared" si="26"/>
        <v>0</v>
      </c>
    </row>
    <row r="167" spans="1:21" ht="18" x14ac:dyDescent="0.25">
      <c r="A167" s="1">
        <f t="shared" si="18"/>
        <v>0</v>
      </c>
      <c r="B167" s="1">
        <f t="shared" si="19"/>
        <v>0</v>
      </c>
      <c r="C167" s="1" t="str">
        <f t="shared" si="20"/>
        <v>zzzzzzzzzzz</v>
      </c>
      <c r="D167" s="75">
        <v>163</v>
      </c>
      <c r="E167" s="45"/>
      <c r="F167" s="45"/>
      <c r="G167" s="46"/>
      <c r="H167" s="46"/>
      <c r="I167" s="78">
        <f t="shared" si="21"/>
        <v>0</v>
      </c>
      <c r="J167" s="78">
        <f t="shared" si="22"/>
        <v>0</v>
      </c>
      <c r="K167" s="89"/>
      <c r="L167" s="92">
        <f t="shared" si="23"/>
        <v>0</v>
      </c>
      <c r="M167" s="92" t="str">
        <f t="shared" si="24"/>
        <v>00</v>
      </c>
      <c r="N167" s="56">
        <f>SUMIF(Bevetel!$G$6:$G$1000,C167,Bevetel!$I$6:$I$1000)</f>
        <v>0</v>
      </c>
      <c r="O167" s="1">
        <f>SUMIF(Kiadas!$G$1006:$G$10000,C167,Kiadas!$I$1006:$I$10000)</f>
        <v>0</v>
      </c>
      <c r="R167" s="1">
        <f t="shared" si="25"/>
        <v>0</v>
      </c>
      <c r="S167" s="1">
        <f>SUMIF(Kiadas!$G$6:$G$1000,C167,Kiadas!$BA$6:$BA$1000)</f>
        <v>0</v>
      </c>
      <c r="T167" s="1">
        <f>SUMIF(Kiadas!$G$1006:$G$10000,C167,Kiadas!$BA$1006:$BA$10000)</f>
        <v>0</v>
      </c>
      <c r="U167" s="1">
        <f t="shared" si="26"/>
        <v>0</v>
      </c>
    </row>
    <row r="168" spans="1:21" ht="18" x14ac:dyDescent="0.25">
      <c r="A168" s="1">
        <f t="shared" si="18"/>
        <v>0</v>
      </c>
      <c r="B168" s="1">
        <f t="shared" si="19"/>
        <v>0</v>
      </c>
      <c r="C168" s="1" t="str">
        <f t="shared" si="20"/>
        <v>zzzzzzzzzzz</v>
      </c>
      <c r="D168" s="75">
        <v>164</v>
      </c>
      <c r="E168" s="45"/>
      <c r="F168" s="45"/>
      <c r="G168" s="46"/>
      <c r="H168" s="46"/>
      <c r="I168" s="78">
        <f t="shared" si="21"/>
        <v>0</v>
      </c>
      <c r="J168" s="78">
        <f t="shared" si="22"/>
        <v>0</v>
      </c>
      <c r="K168" s="89"/>
      <c r="L168" s="92">
        <f t="shared" si="23"/>
        <v>0</v>
      </c>
      <c r="M168" s="92" t="str">
        <f t="shared" si="24"/>
        <v>00</v>
      </c>
      <c r="N168" s="56">
        <f>SUMIF(Bevetel!$G$6:$G$1000,C168,Bevetel!$I$6:$I$1000)</f>
        <v>0</v>
      </c>
      <c r="O168" s="1">
        <f>SUMIF(Kiadas!$G$1006:$G$10000,C168,Kiadas!$I$1006:$I$10000)</f>
        <v>0</v>
      </c>
      <c r="R168" s="1">
        <f t="shared" si="25"/>
        <v>0</v>
      </c>
      <c r="S168" s="1">
        <f>SUMIF(Kiadas!$G$6:$G$1000,C168,Kiadas!$BA$6:$BA$1000)</f>
        <v>0</v>
      </c>
      <c r="T168" s="1">
        <f>SUMIF(Kiadas!$G$1006:$G$10000,C168,Kiadas!$BA$1006:$BA$10000)</f>
        <v>0</v>
      </c>
      <c r="U168" s="1">
        <f t="shared" si="26"/>
        <v>0</v>
      </c>
    </row>
    <row r="169" spans="1:21" ht="18" x14ac:dyDescent="0.25">
      <c r="A169" s="1">
        <f t="shared" si="18"/>
        <v>0</v>
      </c>
      <c r="B169" s="1">
        <f t="shared" si="19"/>
        <v>0</v>
      </c>
      <c r="C169" s="1" t="str">
        <f t="shared" si="20"/>
        <v>zzzzzzzzzzz</v>
      </c>
      <c r="D169" s="75">
        <v>165</v>
      </c>
      <c r="E169" s="45"/>
      <c r="F169" s="45"/>
      <c r="G169" s="46"/>
      <c r="H169" s="46"/>
      <c r="I169" s="78">
        <f t="shared" si="21"/>
        <v>0</v>
      </c>
      <c r="J169" s="78">
        <f t="shared" si="22"/>
        <v>0</v>
      </c>
      <c r="K169" s="89"/>
      <c r="L169" s="92">
        <f t="shared" si="23"/>
        <v>0</v>
      </c>
      <c r="M169" s="92" t="str">
        <f t="shared" si="24"/>
        <v>00</v>
      </c>
      <c r="N169" s="56">
        <f>SUMIF(Bevetel!$G$6:$G$1000,C169,Bevetel!$I$6:$I$1000)</f>
        <v>0</v>
      </c>
      <c r="O169" s="1">
        <f>SUMIF(Kiadas!$G$1006:$G$10000,C169,Kiadas!$I$1006:$I$10000)</f>
        <v>0</v>
      </c>
      <c r="R169" s="1">
        <f t="shared" si="25"/>
        <v>0</v>
      </c>
      <c r="S169" s="1">
        <f>SUMIF(Kiadas!$G$6:$G$1000,C169,Kiadas!$BA$6:$BA$1000)</f>
        <v>0</v>
      </c>
      <c r="T169" s="1">
        <f>SUMIF(Kiadas!$G$1006:$G$10000,C169,Kiadas!$BA$1006:$BA$10000)</f>
        <v>0</v>
      </c>
      <c r="U169" s="1">
        <f t="shared" si="26"/>
        <v>0</v>
      </c>
    </row>
    <row r="170" spans="1:21" ht="18" x14ac:dyDescent="0.25">
      <c r="A170" s="1">
        <f t="shared" si="18"/>
        <v>0</v>
      </c>
      <c r="B170" s="1">
        <f t="shared" si="19"/>
        <v>0</v>
      </c>
      <c r="C170" s="1" t="str">
        <f t="shared" si="20"/>
        <v>zzzzzzzzzzz</v>
      </c>
      <c r="D170" s="75">
        <v>166</v>
      </c>
      <c r="E170" s="45"/>
      <c r="F170" s="45"/>
      <c r="G170" s="46"/>
      <c r="H170" s="46"/>
      <c r="I170" s="78">
        <f t="shared" si="21"/>
        <v>0</v>
      </c>
      <c r="J170" s="78">
        <f t="shared" si="22"/>
        <v>0</v>
      </c>
      <c r="K170" s="89"/>
      <c r="L170" s="92">
        <f t="shared" si="23"/>
        <v>0</v>
      </c>
      <c r="M170" s="92" t="str">
        <f t="shared" si="24"/>
        <v>00</v>
      </c>
      <c r="N170" s="56">
        <f>SUMIF(Bevetel!$G$6:$G$1000,C170,Bevetel!$I$6:$I$1000)</f>
        <v>0</v>
      </c>
      <c r="O170" s="1">
        <f>SUMIF(Kiadas!$G$1006:$G$10000,C170,Kiadas!$I$1006:$I$10000)</f>
        <v>0</v>
      </c>
      <c r="R170" s="1">
        <f t="shared" si="25"/>
        <v>0</v>
      </c>
      <c r="S170" s="1">
        <f>SUMIF(Kiadas!$G$6:$G$1000,C170,Kiadas!$BA$6:$BA$1000)</f>
        <v>0</v>
      </c>
      <c r="T170" s="1">
        <f>SUMIF(Kiadas!$G$1006:$G$10000,C170,Kiadas!$BA$1006:$BA$10000)</f>
        <v>0</v>
      </c>
      <c r="U170" s="1">
        <f t="shared" si="26"/>
        <v>0</v>
      </c>
    </row>
    <row r="171" spans="1:21" ht="18" x14ac:dyDescent="0.25">
      <c r="A171" s="1">
        <f t="shared" si="18"/>
        <v>0</v>
      </c>
      <c r="B171" s="1">
        <f t="shared" si="19"/>
        <v>0</v>
      </c>
      <c r="C171" s="1" t="str">
        <f t="shared" si="20"/>
        <v>zzzzzzzzzzz</v>
      </c>
      <c r="D171" s="75">
        <v>167</v>
      </c>
      <c r="E171" s="45"/>
      <c r="F171" s="45"/>
      <c r="G171" s="46"/>
      <c r="H171" s="46"/>
      <c r="I171" s="78">
        <f t="shared" si="21"/>
        <v>0</v>
      </c>
      <c r="J171" s="78">
        <f t="shared" si="22"/>
        <v>0</v>
      </c>
      <c r="K171" s="89"/>
      <c r="L171" s="92">
        <f t="shared" si="23"/>
        <v>0</v>
      </c>
      <c r="M171" s="92" t="str">
        <f t="shared" si="24"/>
        <v>00</v>
      </c>
      <c r="N171" s="56">
        <f>SUMIF(Bevetel!$G$6:$G$1000,C171,Bevetel!$I$6:$I$1000)</f>
        <v>0</v>
      </c>
      <c r="O171" s="1">
        <f>SUMIF(Kiadas!$G$1006:$G$10000,C171,Kiadas!$I$1006:$I$10000)</f>
        <v>0</v>
      </c>
      <c r="R171" s="1">
        <f t="shared" si="25"/>
        <v>0</v>
      </c>
      <c r="S171" s="1">
        <f>SUMIF(Kiadas!$G$6:$G$1000,C171,Kiadas!$BA$6:$BA$1000)</f>
        <v>0</v>
      </c>
      <c r="T171" s="1">
        <f>SUMIF(Kiadas!$G$1006:$G$10000,C171,Kiadas!$BA$1006:$BA$10000)</f>
        <v>0</v>
      </c>
      <c r="U171" s="1">
        <f t="shared" si="26"/>
        <v>0</v>
      </c>
    </row>
    <row r="172" spans="1:21" ht="18" x14ac:dyDescent="0.25">
      <c r="A172" s="1">
        <f t="shared" si="18"/>
        <v>0</v>
      </c>
      <c r="B172" s="1">
        <f t="shared" si="19"/>
        <v>0</v>
      </c>
      <c r="C172" s="1" t="str">
        <f t="shared" si="20"/>
        <v>zzzzzzzzzzz</v>
      </c>
      <c r="D172" s="75">
        <v>168</v>
      </c>
      <c r="E172" s="45"/>
      <c r="F172" s="45"/>
      <c r="G172" s="46"/>
      <c r="H172" s="46"/>
      <c r="I172" s="78">
        <f t="shared" si="21"/>
        <v>0</v>
      </c>
      <c r="J172" s="78">
        <f t="shared" si="22"/>
        <v>0</v>
      </c>
      <c r="K172" s="89"/>
      <c r="L172" s="92">
        <f t="shared" si="23"/>
        <v>0</v>
      </c>
      <c r="M172" s="92" t="str">
        <f t="shared" si="24"/>
        <v>00</v>
      </c>
      <c r="N172" s="56">
        <f>SUMIF(Bevetel!$G$6:$G$1000,C172,Bevetel!$I$6:$I$1000)</f>
        <v>0</v>
      </c>
      <c r="O172" s="1">
        <f>SUMIF(Kiadas!$G$1006:$G$10000,C172,Kiadas!$I$1006:$I$10000)</f>
        <v>0</v>
      </c>
      <c r="R172" s="1">
        <f t="shared" si="25"/>
        <v>0</v>
      </c>
      <c r="S172" s="1">
        <f>SUMIF(Kiadas!$G$6:$G$1000,C172,Kiadas!$BA$6:$BA$1000)</f>
        <v>0</v>
      </c>
      <c r="T172" s="1">
        <f>SUMIF(Kiadas!$G$1006:$G$10000,C172,Kiadas!$BA$1006:$BA$10000)</f>
        <v>0</v>
      </c>
      <c r="U172" s="1">
        <f t="shared" si="26"/>
        <v>0</v>
      </c>
    </row>
    <row r="173" spans="1:21" ht="18" x14ac:dyDescent="0.25">
      <c r="A173" s="1">
        <f t="shared" si="18"/>
        <v>0</v>
      </c>
      <c r="B173" s="1">
        <f t="shared" si="19"/>
        <v>0</v>
      </c>
      <c r="C173" s="1" t="str">
        <f t="shared" si="20"/>
        <v>zzzzzzzzzzz</v>
      </c>
      <c r="D173" s="75">
        <v>169</v>
      </c>
      <c r="E173" s="45"/>
      <c r="F173" s="45"/>
      <c r="G173" s="46"/>
      <c r="H173" s="46"/>
      <c r="I173" s="78">
        <f t="shared" si="21"/>
        <v>0</v>
      </c>
      <c r="J173" s="78">
        <f t="shared" si="22"/>
        <v>0</v>
      </c>
      <c r="K173" s="89"/>
      <c r="L173" s="92">
        <f t="shared" si="23"/>
        <v>0</v>
      </c>
      <c r="M173" s="92" t="str">
        <f t="shared" si="24"/>
        <v>00</v>
      </c>
      <c r="N173" s="56">
        <f>SUMIF(Bevetel!$G$6:$G$1000,C173,Bevetel!$I$6:$I$1000)</f>
        <v>0</v>
      </c>
      <c r="O173" s="1">
        <f>SUMIF(Kiadas!$G$1006:$G$10000,C173,Kiadas!$I$1006:$I$10000)</f>
        <v>0</v>
      </c>
      <c r="R173" s="1">
        <f t="shared" si="25"/>
        <v>0</v>
      </c>
      <c r="S173" s="1">
        <f>SUMIF(Kiadas!$G$6:$G$1000,C173,Kiadas!$BA$6:$BA$1000)</f>
        <v>0</v>
      </c>
      <c r="T173" s="1">
        <f>SUMIF(Kiadas!$G$1006:$G$10000,C173,Kiadas!$BA$1006:$BA$10000)</f>
        <v>0</v>
      </c>
      <c r="U173" s="1">
        <f t="shared" si="26"/>
        <v>0</v>
      </c>
    </row>
    <row r="174" spans="1:21" ht="18" x14ac:dyDescent="0.25">
      <c r="A174" s="1">
        <f t="shared" si="18"/>
        <v>0</v>
      </c>
      <c r="B174" s="1">
        <f t="shared" si="19"/>
        <v>0</v>
      </c>
      <c r="C174" s="1" t="str">
        <f t="shared" si="20"/>
        <v>zzzzzzzzzzz</v>
      </c>
      <c r="D174" s="75">
        <v>170</v>
      </c>
      <c r="E174" s="45"/>
      <c r="F174" s="45"/>
      <c r="G174" s="46"/>
      <c r="H174" s="46"/>
      <c r="I174" s="78">
        <f t="shared" si="21"/>
        <v>0</v>
      </c>
      <c r="J174" s="78">
        <f t="shared" si="22"/>
        <v>0</v>
      </c>
      <c r="K174" s="89"/>
      <c r="L174" s="92">
        <f t="shared" si="23"/>
        <v>0</v>
      </c>
      <c r="M174" s="92" t="str">
        <f t="shared" si="24"/>
        <v>00</v>
      </c>
      <c r="N174" s="56">
        <f>SUMIF(Bevetel!$G$6:$G$1000,C174,Bevetel!$I$6:$I$1000)</f>
        <v>0</v>
      </c>
      <c r="O174" s="1">
        <f>SUMIF(Kiadas!$G$1006:$G$10000,C174,Kiadas!$I$1006:$I$10000)</f>
        <v>0</v>
      </c>
      <c r="R174" s="1">
        <f t="shared" si="25"/>
        <v>0</v>
      </c>
      <c r="S174" s="1">
        <f>SUMIF(Kiadas!$G$6:$G$1000,C174,Kiadas!$BA$6:$BA$1000)</f>
        <v>0</v>
      </c>
      <c r="T174" s="1">
        <f>SUMIF(Kiadas!$G$1006:$G$10000,C174,Kiadas!$BA$1006:$BA$10000)</f>
        <v>0</v>
      </c>
      <c r="U174" s="1">
        <f t="shared" si="26"/>
        <v>0</v>
      </c>
    </row>
    <row r="175" spans="1:21" ht="18" x14ac:dyDescent="0.25">
      <c r="A175" s="1">
        <f t="shared" si="18"/>
        <v>0</v>
      </c>
      <c r="B175" s="1">
        <f t="shared" si="19"/>
        <v>0</v>
      </c>
      <c r="C175" s="1" t="str">
        <f t="shared" si="20"/>
        <v>zzzzzzzzzzz</v>
      </c>
      <c r="D175" s="75">
        <v>171</v>
      </c>
      <c r="E175" s="45"/>
      <c r="F175" s="45"/>
      <c r="G175" s="46"/>
      <c r="H175" s="46"/>
      <c r="I175" s="78">
        <f t="shared" si="21"/>
        <v>0</v>
      </c>
      <c r="J175" s="78">
        <f t="shared" si="22"/>
        <v>0</v>
      </c>
      <c r="K175" s="89"/>
      <c r="L175" s="92">
        <f t="shared" si="23"/>
        <v>0</v>
      </c>
      <c r="M175" s="92" t="str">
        <f t="shared" si="24"/>
        <v>00</v>
      </c>
      <c r="N175" s="56">
        <f>SUMIF(Bevetel!$G$6:$G$1000,C175,Bevetel!$I$6:$I$1000)</f>
        <v>0</v>
      </c>
      <c r="O175" s="1">
        <f>SUMIF(Kiadas!$G$1006:$G$10000,C175,Kiadas!$I$1006:$I$10000)</f>
        <v>0</v>
      </c>
      <c r="R175" s="1">
        <f t="shared" si="25"/>
        <v>0</v>
      </c>
      <c r="S175" s="1">
        <f>SUMIF(Kiadas!$G$6:$G$1000,C175,Kiadas!$BA$6:$BA$1000)</f>
        <v>0</v>
      </c>
      <c r="T175" s="1">
        <f>SUMIF(Kiadas!$G$1006:$G$10000,C175,Kiadas!$BA$1006:$BA$10000)</f>
        <v>0</v>
      </c>
      <c r="U175" s="1">
        <f t="shared" si="26"/>
        <v>0</v>
      </c>
    </row>
    <row r="176" spans="1:21" ht="18" x14ac:dyDescent="0.25">
      <c r="A176" s="1">
        <f t="shared" si="18"/>
        <v>0</v>
      </c>
      <c r="B176" s="1">
        <f t="shared" si="19"/>
        <v>0</v>
      </c>
      <c r="C176" s="1" t="str">
        <f t="shared" si="20"/>
        <v>zzzzzzzzzzz</v>
      </c>
      <c r="D176" s="75">
        <v>172</v>
      </c>
      <c r="E176" s="45"/>
      <c r="F176" s="45"/>
      <c r="G176" s="46"/>
      <c r="H176" s="46"/>
      <c r="I176" s="78">
        <f t="shared" si="21"/>
        <v>0</v>
      </c>
      <c r="J176" s="78">
        <f t="shared" si="22"/>
        <v>0</v>
      </c>
      <c r="K176" s="89"/>
      <c r="L176" s="92">
        <f t="shared" si="23"/>
        <v>0</v>
      </c>
      <c r="M176" s="92" t="str">
        <f t="shared" si="24"/>
        <v>00</v>
      </c>
      <c r="N176" s="56">
        <f>SUMIF(Bevetel!$G$6:$G$1000,C176,Bevetel!$I$6:$I$1000)</f>
        <v>0</v>
      </c>
      <c r="O176" s="1">
        <f>SUMIF(Kiadas!$G$1006:$G$10000,C176,Kiadas!$I$1006:$I$10000)</f>
        <v>0</v>
      </c>
      <c r="R176" s="1">
        <f t="shared" si="25"/>
        <v>0</v>
      </c>
      <c r="S176" s="1">
        <f>SUMIF(Kiadas!$G$6:$G$1000,C176,Kiadas!$BA$6:$BA$1000)</f>
        <v>0</v>
      </c>
      <c r="T176" s="1">
        <f>SUMIF(Kiadas!$G$1006:$G$10000,C176,Kiadas!$BA$1006:$BA$10000)</f>
        <v>0</v>
      </c>
      <c r="U176" s="1">
        <f t="shared" si="26"/>
        <v>0</v>
      </c>
    </row>
    <row r="177" spans="1:21" ht="18" x14ac:dyDescent="0.25">
      <c r="A177" s="1">
        <f t="shared" si="18"/>
        <v>0</v>
      </c>
      <c r="B177" s="1">
        <f t="shared" si="19"/>
        <v>0</v>
      </c>
      <c r="C177" s="1" t="str">
        <f t="shared" si="20"/>
        <v>zzzzzzzzzzz</v>
      </c>
      <c r="D177" s="75">
        <v>173</v>
      </c>
      <c r="E177" s="45"/>
      <c r="F177" s="45"/>
      <c r="G177" s="46"/>
      <c r="H177" s="46"/>
      <c r="I177" s="78">
        <f t="shared" si="21"/>
        <v>0</v>
      </c>
      <c r="J177" s="78">
        <f t="shared" si="22"/>
        <v>0</v>
      </c>
      <c r="K177" s="89"/>
      <c r="L177" s="92">
        <f t="shared" si="23"/>
        <v>0</v>
      </c>
      <c r="M177" s="92" t="str">
        <f t="shared" si="24"/>
        <v>00</v>
      </c>
      <c r="N177" s="56">
        <f>SUMIF(Bevetel!$G$6:$G$1000,C177,Bevetel!$I$6:$I$1000)</f>
        <v>0</v>
      </c>
      <c r="O177" s="1">
        <f>SUMIF(Kiadas!$G$1006:$G$10000,C177,Kiadas!$I$1006:$I$10000)</f>
        <v>0</v>
      </c>
      <c r="R177" s="1">
        <f t="shared" si="25"/>
        <v>0</v>
      </c>
      <c r="S177" s="1">
        <f>SUMIF(Kiadas!$G$6:$G$1000,C177,Kiadas!$BA$6:$BA$1000)</f>
        <v>0</v>
      </c>
      <c r="T177" s="1">
        <f>SUMIF(Kiadas!$G$1006:$G$10000,C177,Kiadas!$BA$1006:$BA$10000)</f>
        <v>0</v>
      </c>
      <c r="U177" s="1">
        <f t="shared" si="26"/>
        <v>0</v>
      </c>
    </row>
    <row r="178" spans="1:21" ht="18" x14ac:dyDescent="0.25">
      <c r="A178" s="1">
        <f t="shared" si="18"/>
        <v>0</v>
      </c>
      <c r="B178" s="1">
        <f t="shared" si="19"/>
        <v>0</v>
      </c>
      <c r="C178" s="1" t="str">
        <f t="shared" si="20"/>
        <v>zzzzzzzzzzz</v>
      </c>
      <c r="D178" s="75">
        <v>174</v>
      </c>
      <c r="E178" s="45"/>
      <c r="F178" s="45"/>
      <c r="G178" s="46"/>
      <c r="H178" s="46"/>
      <c r="I178" s="78">
        <f t="shared" si="21"/>
        <v>0</v>
      </c>
      <c r="J178" s="78">
        <f t="shared" si="22"/>
        <v>0</v>
      </c>
      <c r="K178" s="89"/>
      <c r="L178" s="92">
        <f t="shared" si="23"/>
        <v>0</v>
      </c>
      <c r="M178" s="92" t="str">
        <f t="shared" si="24"/>
        <v>00</v>
      </c>
      <c r="N178" s="56">
        <f>SUMIF(Bevetel!$G$6:$G$1000,C178,Bevetel!$I$6:$I$1000)</f>
        <v>0</v>
      </c>
      <c r="O178" s="1">
        <f>SUMIF(Kiadas!$G$1006:$G$10000,C178,Kiadas!$I$1006:$I$10000)</f>
        <v>0</v>
      </c>
      <c r="R178" s="1">
        <f t="shared" si="25"/>
        <v>0</v>
      </c>
      <c r="S178" s="1">
        <f>SUMIF(Kiadas!$G$6:$G$1000,C178,Kiadas!$BA$6:$BA$1000)</f>
        <v>0</v>
      </c>
      <c r="T178" s="1">
        <f>SUMIF(Kiadas!$G$1006:$G$10000,C178,Kiadas!$BA$1006:$BA$10000)</f>
        <v>0</v>
      </c>
      <c r="U178" s="1">
        <f t="shared" si="26"/>
        <v>0</v>
      </c>
    </row>
    <row r="179" spans="1:21" ht="18" x14ac:dyDescent="0.25">
      <c r="A179" s="1">
        <f t="shared" si="18"/>
        <v>0</v>
      </c>
      <c r="B179" s="1">
        <f t="shared" si="19"/>
        <v>0</v>
      </c>
      <c r="C179" s="1" t="str">
        <f t="shared" si="20"/>
        <v>zzzzzzzzzzz</v>
      </c>
      <c r="D179" s="75">
        <v>175</v>
      </c>
      <c r="E179" s="45"/>
      <c r="F179" s="45"/>
      <c r="G179" s="46"/>
      <c r="H179" s="46"/>
      <c r="I179" s="78">
        <f t="shared" si="21"/>
        <v>0</v>
      </c>
      <c r="J179" s="78">
        <f t="shared" si="22"/>
        <v>0</v>
      </c>
      <c r="K179" s="89"/>
      <c r="L179" s="92">
        <f t="shared" si="23"/>
        <v>0</v>
      </c>
      <c r="M179" s="92" t="str">
        <f t="shared" si="24"/>
        <v>00</v>
      </c>
      <c r="N179" s="56">
        <f>SUMIF(Bevetel!$G$6:$G$1000,C179,Bevetel!$I$6:$I$1000)</f>
        <v>0</v>
      </c>
      <c r="O179" s="1">
        <f>SUMIF(Kiadas!$G$1006:$G$10000,C179,Kiadas!$I$1006:$I$10000)</f>
        <v>0</v>
      </c>
      <c r="R179" s="1">
        <f t="shared" si="25"/>
        <v>0</v>
      </c>
      <c r="S179" s="1">
        <f>SUMIF(Kiadas!$G$6:$G$1000,C179,Kiadas!$BA$6:$BA$1000)</f>
        <v>0</v>
      </c>
      <c r="T179" s="1">
        <f>SUMIF(Kiadas!$G$1006:$G$10000,C179,Kiadas!$BA$1006:$BA$10000)</f>
        <v>0</v>
      </c>
      <c r="U179" s="1">
        <f t="shared" si="26"/>
        <v>0</v>
      </c>
    </row>
    <row r="180" spans="1:21" ht="18" x14ac:dyDescent="0.25">
      <c r="A180" s="1">
        <f t="shared" si="18"/>
        <v>0</v>
      </c>
      <c r="B180" s="1">
        <f t="shared" si="19"/>
        <v>0</v>
      </c>
      <c r="C180" s="1" t="str">
        <f t="shared" si="20"/>
        <v>zzzzzzzzzzz</v>
      </c>
      <c r="D180" s="75">
        <v>176</v>
      </c>
      <c r="E180" s="45"/>
      <c r="F180" s="45"/>
      <c r="G180" s="46"/>
      <c r="H180" s="46"/>
      <c r="I180" s="78">
        <f t="shared" si="21"/>
        <v>0</v>
      </c>
      <c r="J180" s="78">
        <f t="shared" si="22"/>
        <v>0</v>
      </c>
      <c r="K180" s="89"/>
      <c r="L180" s="92">
        <f t="shared" si="23"/>
        <v>0</v>
      </c>
      <c r="M180" s="92" t="str">
        <f t="shared" si="24"/>
        <v>00</v>
      </c>
      <c r="N180" s="56">
        <f>SUMIF(Bevetel!$G$6:$G$1000,C180,Bevetel!$I$6:$I$1000)</f>
        <v>0</v>
      </c>
      <c r="O180" s="1">
        <f>SUMIF(Kiadas!$G$1006:$G$10000,C180,Kiadas!$I$1006:$I$10000)</f>
        <v>0</v>
      </c>
      <c r="R180" s="1">
        <f t="shared" si="25"/>
        <v>0</v>
      </c>
      <c r="S180" s="1">
        <f>SUMIF(Kiadas!$G$6:$G$1000,C180,Kiadas!$BA$6:$BA$1000)</f>
        <v>0</v>
      </c>
      <c r="T180" s="1">
        <f>SUMIF(Kiadas!$G$1006:$G$10000,C180,Kiadas!$BA$1006:$BA$10000)</f>
        <v>0</v>
      </c>
      <c r="U180" s="1">
        <f t="shared" si="26"/>
        <v>0</v>
      </c>
    </row>
    <row r="181" spans="1:21" ht="18" x14ac:dyDescent="0.25">
      <c r="A181" s="1">
        <f t="shared" si="18"/>
        <v>0</v>
      </c>
      <c r="B181" s="1">
        <f t="shared" si="19"/>
        <v>0</v>
      </c>
      <c r="C181" s="1" t="str">
        <f t="shared" si="20"/>
        <v>zzzzzzzzzzz</v>
      </c>
      <c r="D181" s="75">
        <v>177</v>
      </c>
      <c r="E181" s="45"/>
      <c r="F181" s="45"/>
      <c r="G181" s="46"/>
      <c r="H181" s="46"/>
      <c r="I181" s="78">
        <f t="shared" si="21"/>
        <v>0</v>
      </c>
      <c r="J181" s="78">
        <f t="shared" si="22"/>
        <v>0</v>
      </c>
      <c r="K181" s="89"/>
      <c r="L181" s="92">
        <f t="shared" si="23"/>
        <v>0</v>
      </c>
      <c r="M181" s="92" t="str">
        <f t="shared" si="24"/>
        <v>00</v>
      </c>
      <c r="N181" s="56">
        <f>SUMIF(Bevetel!$G$6:$G$1000,C181,Bevetel!$I$6:$I$1000)</f>
        <v>0</v>
      </c>
      <c r="O181" s="1">
        <f>SUMIF(Kiadas!$G$1006:$G$10000,C181,Kiadas!$I$1006:$I$10000)</f>
        <v>0</v>
      </c>
      <c r="R181" s="1">
        <f t="shared" si="25"/>
        <v>0</v>
      </c>
      <c r="S181" s="1">
        <f>SUMIF(Kiadas!$G$6:$G$1000,C181,Kiadas!$BA$6:$BA$1000)</f>
        <v>0</v>
      </c>
      <c r="T181" s="1">
        <f>SUMIF(Kiadas!$G$1006:$G$10000,C181,Kiadas!$BA$1006:$BA$10000)</f>
        <v>0</v>
      </c>
      <c r="U181" s="1">
        <f t="shared" si="26"/>
        <v>0</v>
      </c>
    </row>
    <row r="182" spans="1:21" ht="18" x14ac:dyDescent="0.25">
      <c r="A182" s="1">
        <f t="shared" si="18"/>
        <v>0</v>
      </c>
      <c r="B182" s="1">
        <f t="shared" si="19"/>
        <v>0</v>
      </c>
      <c r="C182" s="1" t="str">
        <f t="shared" si="20"/>
        <v>zzzzzzzzzzz</v>
      </c>
      <c r="D182" s="75">
        <v>178</v>
      </c>
      <c r="E182" s="45"/>
      <c r="F182" s="45"/>
      <c r="G182" s="46"/>
      <c r="H182" s="46"/>
      <c r="I182" s="78">
        <f t="shared" si="21"/>
        <v>0</v>
      </c>
      <c r="J182" s="78">
        <f t="shared" si="22"/>
        <v>0</v>
      </c>
      <c r="K182" s="89"/>
      <c r="L182" s="92">
        <f t="shared" si="23"/>
        <v>0</v>
      </c>
      <c r="M182" s="92" t="str">
        <f t="shared" si="24"/>
        <v>00</v>
      </c>
      <c r="N182" s="56">
        <f>SUMIF(Bevetel!$G$6:$G$1000,C182,Bevetel!$I$6:$I$1000)</f>
        <v>0</v>
      </c>
      <c r="O182" s="1">
        <f>SUMIF(Kiadas!$G$1006:$G$10000,C182,Kiadas!$I$1006:$I$10000)</f>
        <v>0</v>
      </c>
      <c r="R182" s="1">
        <f t="shared" si="25"/>
        <v>0</v>
      </c>
      <c r="S182" s="1">
        <f>SUMIF(Kiadas!$G$6:$G$1000,C182,Kiadas!$BA$6:$BA$1000)</f>
        <v>0</v>
      </c>
      <c r="T182" s="1">
        <f>SUMIF(Kiadas!$G$1006:$G$10000,C182,Kiadas!$BA$1006:$BA$10000)</f>
        <v>0</v>
      </c>
      <c r="U182" s="1">
        <f t="shared" si="26"/>
        <v>0</v>
      </c>
    </row>
    <row r="183" spans="1:21" ht="18" x14ac:dyDescent="0.25">
      <c r="A183" s="1">
        <f t="shared" si="18"/>
        <v>0</v>
      </c>
      <c r="B183" s="1">
        <f t="shared" si="19"/>
        <v>0</v>
      </c>
      <c r="C183" s="1" t="str">
        <f t="shared" si="20"/>
        <v>zzzzzzzzzzz</v>
      </c>
      <c r="D183" s="75">
        <v>179</v>
      </c>
      <c r="E183" s="45"/>
      <c r="F183" s="45"/>
      <c r="G183" s="46"/>
      <c r="H183" s="46"/>
      <c r="I183" s="78">
        <f t="shared" si="21"/>
        <v>0</v>
      </c>
      <c r="J183" s="78">
        <f t="shared" si="22"/>
        <v>0</v>
      </c>
      <c r="K183" s="89"/>
      <c r="L183" s="92">
        <f t="shared" si="23"/>
        <v>0</v>
      </c>
      <c r="M183" s="92" t="str">
        <f t="shared" si="24"/>
        <v>00</v>
      </c>
      <c r="N183" s="56">
        <f>SUMIF(Bevetel!$G$6:$G$1000,C183,Bevetel!$I$6:$I$1000)</f>
        <v>0</v>
      </c>
      <c r="O183" s="1">
        <f>SUMIF(Kiadas!$G$1006:$G$10000,C183,Kiadas!$I$1006:$I$10000)</f>
        <v>0</v>
      </c>
      <c r="R183" s="1">
        <f t="shared" si="25"/>
        <v>0</v>
      </c>
      <c r="S183" s="1">
        <f>SUMIF(Kiadas!$G$6:$G$1000,C183,Kiadas!$BA$6:$BA$1000)</f>
        <v>0</v>
      </c>
      <c r="T183" s="1">
        <f>SUMIF(Kiadas!$G$1006:$G$10000,C183,Kiadas!$BA$1006:$BA$10000)</f>
        <v>0</v>
      </c>
      <c r="U183" s="1">
        <f t="shared" si="26"/>
        <v>0</v>
      </c>
    </row>
    <row r="184" spans="1:21" ht="18" x14ac:dyDescent="0.25">
      <c r="A184" s="1">
        <f t="shared" si="18"/>
        <v>0</v>
      </c>
      <c r="B184" s="1">
        <f t="shared" si="19"/>
        <v>0</v>
      </c>
      <c r="C184" s="1" t="str">
        <f t="shared" si="20"/>
        <v>zzzzzzzzzzz</v>
      </c>
      <c r="D184" s="75">
        <v>180</v>
      </c>
      <c r="E184" s="45"/>
      <c r="F184" s="45"/>
      <c r="G184" s="46"/>
      <c r="H184" s="46"/>
      <c r="I184" s="78">
        <f t="shared" si="21"/>
        <v>0</v>
      </c>
      <c r="J184" s="78">
        <f t="shared" si="22"/>
        <v>0</v>
      </c>
      <c r="K184" s="89"/>
      <c r="L184" s="92">
        <f t="shared" si="23"/>
        <v>0</v>
      </c>
      <c r="M184" s="92" t="str">
        <f t="shared" si="24"/>
        <v>00</v>
      </c>
      <c r="N184" s="56">
        <f>SUMIF(Bevetel!$G$6:$G$1000,C184,Bevetel!$I$6:$I$1000)</f>
        <v>0</v>
      </c>
      <c r="O184" s="1">
        <f>SUMIF(Kiadas!$G$1006:$G$10000,C184,Kiadas!$I$1006:$I$10000)</f>
        <v>0</v>
      </c>
      <c r="R184" s="1">
        <f t="shared" si="25"/>
        <v>0</v>
      </c>
      <c r="S184" s="1">
        <f>SUMIF(Kiadas!$G$6:$G$1000,C184,Kiadas!$BA$6:$BA$1000)</f>
        <v>0</v>
      </c>
      <c r="T184" s="1">
        <f>SUMIF(Kiadas!$G$1006:$G$10000,C184,Kiadas!$BA$1006:$BA$10000)</f>
        <v>0</v>
      </c>
      <c r="U184" s="1">
        <f t="shared" si="26"/>
        <v>0</v>
      </c>
    </row>
    <row r="185" spans="1:21" ht="18" x14ac:dyDescent="0.25">
      <c r="A185" s="1">
        <f t="shared" si="18"/>
        <v>0</v>
      </c>
      <c r="B185" s="1">
        <f t="shared" si="19"/>
        <v>0</v>
      </c>
      <c r="C185" s="1" t="str">
        <f t="shared" si="20"/>
        <v>zzzzzzzzzzz</v>
      </c>
      <c r="D185" s="75">
        <v>181</v>
      </c>
      <c r="E185" s="45"/>
      <c r="F185" s="45"/>
      <c r="G185" s="46"/>
      <c r="H185" s="46"/>
      <c r="I185" s="78">
        <f t="shared" si="21"/>
        <v>0</v>
      </c>
      <c r="J185" s="78">
        <f t="shared" si="22"/>
        <v>0</v>
      </c>
      <c r="K185" s="89"/>
      <c r="L185" s="92">
        <f t="shared" si="23"/>
        <v>0</v>
      </c>
      <c r="M185" s="92" t="str">
        <f t="shared" si="24"/>
        <v>00</v>
      </c>
      <c r="N185" s="56">
        <f>SUMIF(Bevetel!$G$6:$G$1000,C185,Bevetel!$I$6:$I$1000)</f>
        <v>0</v>
      </c>
      <c r="O185" s="1">
        <f>SUMIF(Kiadas!$G$1006:$G$10000,C185,Kiadas!$I$1006:$I$10000)</f>
        <v>0</v>
      </c>
      <c r="R185" s="1">
        <f t="shared" si="25"/>
        <v>0</v>
      </c>
      <c r="S185" s="1">
        <f>SUMIF(Kiadas!$G$6:$G$1000,C185,Kiadas!$BA$6:$BA$1000)</f>
        <v>0</v>
      </c>
      <c r="T185" s="1">
        <f>SUMIF(Kiadas!$G$1006:$G$10000,C185,Kiadas!$BA$1006:$BA$10000)</f>
        <v>0</v>
      </c>
      <c r="U185" s="1">
        <f t="shared" si="26"/>
        <v>0</v>
      </c>
    </row>
    <row r="186" spans="1:21" ht="18" x14ac:dyDescent="0.25">
      <c r="A186" s="1">
        <f t="shared" si="18"/>
        <v>0</v>
      </c>
      <c r="B186" s="1">
        <f t="shared" si="19"/>
        <v>0</v>
      </c>
      <c r="C186" s="1" t="str">
        <f t="shared" si="20"/>
        <v>zzzzzzzzzzz</v>
      </c>
      <c r="D186" s="75">
        <v>182</v>
      </c>
      <c r="E186" s="45"/>
      <c r="F186" s="45"/>
      <c r="G186" s="46"/>
      <c r="H186" s="46"/>
      <c r="I186" s="78">
        <f t="shared" si="21"/>
        <v>0</v>
      </c>
      <c r="J186" s="78">
        <f t="shared" si="22"/>
        <v>0</v>
      </c>
      <c r="K186" s="89"/>
      <c r="L186" s="92">
        <f t="shared" si="23"/>
        <v>0</v>
      </c>
      <c r="M186" s="92" t="str">
        <f t="shared" si="24"/>
        <v>00</v>
      </c>
      <c r="N186" s="56">
        <f>SUMIF(Bevetel!$G$6:$G$1000,C186,Bevetel!$I$6:$I$1000)</f>
        <v>0</v>
      </c>
      <c r="O186" s="1">
        <f>SUMIF(Kiadas!$G$1006:$G$10000,C186,Kiadas!$I$1006:$I$10000)</f>
        <v>0</v>
      </c>
      <c r="R186" s="1">
        <f t="shared" si="25"/>
        <v>0</v>
      </c>
      <c r="S186" s="1">
        <f>SUMIF(Kiadas!$G$6:$G$1000,C186,Kiadas!$BA$6:$BA$1000)</f>
        <v>0</v>
      </c>
      <c r="T186" s="1">
        <f>SUMIF(Kiadas!$G$1006:$G$10000,C186,Kiadas!$BA$1006:$BA$10000)</f>
        <v>0</v>
      </c>
      <c r="U186" s="1">
        <f t="shared" si="26"/>
        <v>0</v>
      </c>
    </row>
    <row r="187" spans="1:21" ht="18" x14ac:dyDescent="0.25">
      <c r="A187" s="1">
        <f t="shared" si="18"/>
        <v>0</v>
      </c>
      <c r="B187" s="1">
        <f t="shared" si="19"/>
        <v>0</v>
      </c>
      <c r="C187" s="1" t="str">
        <f t="shared" si="20"/>
        <v>zzzzzzzzzzz</v>
      </c>
      <c r="D187" s="75">
        <v>183</v>
      </c>
      <c r="E187" s="45"/>
      <c r="F187" s="45"/>
      <c r="G187" s="46"/>
      <c r="H187" s="46"/>
      <c r="I187" s="78">
        <f t="shared" si="21"/>
        <v>0</v>
      </c>
      <c r="J187" s="78">
        <f t="shared" si="22"/>
        <v>0</v>
      </c>
      <c r="K187" s="89"/>
      <c r="L187" s="92">
        <f t="shared" si="23"/>
        <v>0</v>
      </c>
      <c r="M187" s="92" t="str">
        <f t="shared" si="24"/>
        <v>00</v>
      </c>
      <c r="N187" s="56">
        <f>SUMIF(Bevetel!$G$6:$G$1000,C187,Bevetel!$I$6:$I$1000)</f>
        <v>0</v>
      </c>
      <c r="O187" s="1">
        <f>SUMIF(Kiadas!$G$1006:$G$10000,C187,Kiadas!$I$1006:$I$10000)</f>
        <v>0</v>
      </c>
      <c r="R187" s="1">
        <f t="shared" si="25"/>
        <v>0</v>
      </c>
      <c r="S187" s="1">
        <f>SUMIF(Kiadas!$G$6:$G$1000,C187,Kiadas!$BA$6:$BA$1000)</f>
        <v>0</v>
      </c>
      <c r="T187" s="1">
        <f>SUMIF(Kiadas!$G$1006:$G$10000,C187,Kiadas!$BA$1006:$BA$10000)</f>
        <v>0</v>
      </c>
      <c r="U187" s="1">
        <f t="shared" si="26"/>
        <v>0</v>
      </c>
    </row>
    <row r="188" spans="1:21" ht="18" x14ac:dyDescent="0.25">
      <c r="A188" s="1">
        <f t="shared" si="18"/>
        <v>0</v>
      </c>
      <c r="B188" s="1">
        <f t="shared" si="19"/>
        <v>0</v>
      </c>
      <c r="C188" s="1" t="str">
        <f t="shared" si="20"/>
        <v>zzzzzzzzzzz</v>
      </c>
      <c r="D188" s="75">
        <v>184</v>
      </c>
      <c r="E188" s="45"/>
      <c r="F188" s="45"/>
      <c r="G188" s="46"/>
      <c r="H188" s="46"/>
      <c r="I188" s="78">
        <f t="shared" si="21"/>
        <v>0</v>
      </c>
      <c r="J188" s="78">
        <f t="shared" si="22"/>
        <v>0</v>
      </c>
      <c r="K188" s="89"/>
      <c r="L188" s="92">
        <f t="shared" si="23"/>
        <v>0</v>
      </c>
      <c r="M188" s="92" t="str">
        <f t="shared" si="24"/>
        <v>00</v>
      </c>
      <c r="N188" s="56">
        <f>SUMIF(Bevetel!$G$6:$G$1000,C188,Bevetel!$I$6:$I$1000)</f>
        <v>0</v>
      </c>
      <c r="O188" s="1">
        <f>SUMIF(Kiadas!$G$1006:$G$10000,C188,Kiadas!$I$1006:$I$10000)</f>
        <v>0</v>
      </c>
      <c r="R188" s="1">
        <f t="shared" si="25"/>
        <v>0</v>
      </c>
      <c r="S188" s="1">
        <f>SUMIF(Kiadas!$G$6:$G$1000,C188,Kiadas!$BA$6:$BA$1000)</f>
        <v>0</v>
      </c>
      <c r="T188" s="1">
        <f>SUMIF(Kiadas!$G$1006:$G$10000,C188,Kiadas!$BA$1006:$BA$10000)</f>
        <v>0</v>
      </c>
      <c r="U188" s="1">
        <f t="shared" si="26"/>
        <v>0</v>
      </c>
    </row>
    <row r="189" spans="1:21" ht="18" x14ac:dyDescent="0.25">
      <c r="A189" s="1">
        <f t="shared" si="18"/>
        <v>0</v>
      </c>
      <c r="B189" s="1">
        <f t="shared" si="19"/>
        <v>0</v>
      </c>
      <c r="C189" s="1" t="str">
        <f t="shared" si="20"/>
        <v>zzzzzzzzzzz</v>
      </c>
      <c r="D189" s="75">
        <v>185</v>
      </c>
      <c r="E189" s="45"/>
      <c r="F189" s="45"/>
      <c r="G189" s="46"/>
      <c r="H189" s="46"/>
      <c r="I189" s="78">
        <f t="shared" si="21"/>
        <v>0</v>
      </c>
      <c r="J189" s="78">
        <f t="shared" si="22"/>
        <v>0</v>
      </c>
      <c r="K189" s="89"/>
      <c r="L189" s="92">
        <f t="shared" si="23"/>
        <v>0</v>
      </c>
      <c r="M189" s="92" t="str">
        <f t="shared" si="24"/>
        <v>00</v>
      </c>
      <c r="N189" s="56">
        <f>SUMIF(Bevetel!$G$6:$G$1000,C189,Bevetel!$I$6:$I$1000)</f>
        <v>0</v>
      </c>
      <c r="O189" s="1">
        <f>SUMIF(Kiadas!$G$1006:$G$10000,C189,Kiadas!$I$1006:$I$10000)</f>
        <v>0</v>
      </c>
      <c r="R189" s="1">
        <f t="shared" si="25"/>
        <v>0</v>
      </c>
      <c r="S189" s="1">
        <f>SUMIF(Kiadas!$G$6:$G$1000,C189,Kiadas!$BA$6:$BA$1000)</f>
        <v>0</v>
      </c>
      <c r="T189" s="1">
        <f>SUMIF(Kiadas!$G$1006:$G$10000,C189,Kiadas!$BA$1006:$BA$10000)</f>
        <v>0</v>
      </c>
      <c r="U189" s="1">
        <f t="shared" si="26"/>
        <v>0</v>
      </c>
    </row>
    <row r="190" spans="1:21" ht="18" x14ac:dyDescent="0.25">
      <c r="A190" s="1">
        <f t="shared" si="18"/>
        <v>0</v>
      </c>
      <c r="B190" s="1">
        <f t="shared" si="19"/>
        <v>0</v>
      </c>
      <c r="C190" s="1" t="str">
        <f t="shared" si="20"/>
        <v>zzzzzzzzzzz</v>
      </c>
      <c r="D190" s="75">
        <v>186</v>
      </c>
      <c r="E190" s="45"/>
      <c r="F190" s="45"/>
      <c r="G190" s="46"/>
      <c r="H190" s="46"/>
      <c r="I190" s="78">
        <f t="shared" si="21"/>
        <v>0</v>
      </c>
      <c r="J190" s="78">
        <f t="shared" si="22"/>
        <v>0</v>
      </c>
      <c r="K190" s="89"/>
      <c r="L190" s="92">
        <f t="shared" si="23"/>
        <v>0</v>
      </c>
      <c r="M190" s="92" t="str">
        <f t="shared" si="24"/>
        <v>00</v>
      </c>
      <c r="N190" s="56">
        <f>SUMIF(Bevetel!$G$6:$G$1000,C190,Bevetel!$I$6:$I$1000)</f>
        <v>0</v>
      </c>
      <c r="O190" s="1">
        <f>SUMIF(Kiadas!$G$1006:$G$10000,C190,Kiadas!$I$1006:$I$10000)</f>
        <v>0</v>
      </c>
      <c r="R190" s="1">
        <f t="shared" si="25"/>
        <v>0</v>
      </c>
      <c r="S190" s="1">
        <f>SUMIF(Kiadas!$G$6:$G$1000,C190,Kiadas!$BA$6:$BA$1000)</f>
        <v>0</v>
      </c>
      <c r="T190" s="1">
        <f>SUMIF(Kiadas!$G$1006:$G$10000,C190,Kiadas!$BA$1006:$BA$10000)</f>
        <v>0</v>
      </c>
      <c r="U190" s="1">
        <f t="shared" si="26"/>
        <v>0</v>
      </c>
    </row>
    <row r="191" spans="1:21" ht="18" x14ac:dyDescent="0.25">
      <c r="A191" s="1">
        <f t="shared" si="18"/>
        <v>0</v>
      </c>
      <c r="B191" s="1">
        <f t="shared" si="19"/>
        <v>0</v>
      </c>
      <c r="C191" s="1" t="str">
        <f t="shared" si="20"/>
        <v>zzzzzzzzzzz</v>
      </c>
      <c r="D191" s="75">
        <v>187</v>
      </c>
      <c r="E191" s="45"/>
      <c r="F191" s="45"/>
      <c r="G191" s="46"/>
      <c r="H191" s="46"/>
      <c r="I191" s="78">
        <f t="shared" si="21"/>
        <v>0</v>
      </c>
      <c r="J191" s="78">
        <f t="shared" si="22"/>
        <v>0</v>
      </c>
      <c r="K191" s="89"/>
      <c r="L191" s="92">
        <f t="shared" si="23"/>
        <v>0</v>
      </c>
      <c r="M191" s="92" t="str">
        <f t="shared" si="24"/>
        <v>00</v>
      </c>
      <c r="N191" s="56">
        <f>SUMIF(Bevetel!$G$6:$G$1000,C191,Bevetel!$I$6:$I$1000)</f>
        <v>0</v>
      </c>
      <c r="O191" s="1">
        <f>SUMIF(Kiadas!$G$1006:$G$10000,C191,Kiadas!$I$1006:$I$10000)</f>
        <v>0</v>
      </c>
      <c r="R191" s="1">
        <f t="shared" si="25"/>
        <v>0</v>
      </c>
      <c r="S191" s="1">
        <f>SUMIF(Kiadas!$G$6:$G$1000,C191,Kiadas!$BA$6:$BA$1000)</f>
        <v>0</v>
      </c>
      <c r="T191" s="1">
        <f>SUMIF(Kiadas!$G$1006:$G$10000,C191,Kiadas!$BA$1006:$BA$10000)</f>
        <v>0</v>
      </c>
      <c r="U191" s="1">
        <f t="shared" si="26"/>
        <v>0</v>
      </c>
    </row>
    <row r="192" spans="1:21" ht="18" x14ac:dyDescent="0.25">
      <c r="A192" s="1">
        <f t="shared" si="18"/>
        <v>0</v>
      </c>
      <c r="B192" s="1">
        <f t="shared" si="19"/>
        <v>0</v>
      </c>
      <c r="C192" s="1" t="str">
        <f t="shared" si="20"/>
        <v>zzzzzzzzzzz</v>
      </c>
      <c r="D192" s="75">
        <v>188</v>
      </c>
      <c r="E192" s="45"/>
      <c r="F192" s="45"/>
      <c r="G192" s="46"/>
      <c r="H192" s="46"/>
      <c r="I192" s="78">
        <f t="shared" si="21"/>
        <v>0</v>
      </c>
      <c r="J192" s="78">
        <f t="shared" si="22"/>
        <v>0</v>
      </c>
      <c r="K192" s="89"/>
      <c r="L192" s="92">
        <f t="shared" si="23"/>
        <v>0</v>
      </c>
      <c r="M192" s="92" t="str">
        <f t="shared" si="24"/>
        <v>00</v>
      </c>
      <c r="N192" s="56">
        <f>SUMIF(Bevetel!$G$6:$G$1000,C192,Bevetel!$I$6:$I$1000)</f>
        <v>0</v>
      </c>
      <c r="O192" s="1">
        <f>SUMIF(Kiadas!$G$1006:$G$10000,C192,Kiadas!$I$1006:$I$10000)</f>
        <v>0</v>
      </c>
      <c r="R192" s="1">
        <f t="shared" si="25"/>
        <v>0</v>
      </c>
      <c r="S192" s="1">
        <f>SUMIF(Kiadas!$G$6:$G$1000,C192,Kiadas!$BA$6:$BA$1000)</f>
        <v>0</v>
      </c>
      <c r="T192" s="1">
        <f>SUMIF(Kiadas!$G$1006:$G$10000,C192,Kiadas!$BA$1006:$BA$10000)</f>
        <v>0</v>
      </c>
      <c r="U192" s="1">
        <f t="shared" si="26"/>
        <v>0</v>
      </c>
    </row>
    <row r="193" spans="1:21" ht="18" x14ac:dyDescent="0.25">
      <c r="A193" s="1">
        <f t="shared" si="18"/>
        <v>0</v>
      </c>
      <c r="B193" s="1">
        <f t="shared" si="19"/>
        <v>0</v>
      </c>
      <c r="C193" s="1" t="str">
        <f t="shared" si="20"/>
        <v>zzzzzzzzzzz</v>
      </c>
      <c r="D193" s="75">
        <v>189</v>
      </c>
      <c r="E193" s="45"/>
      <c r="F193" s="45"/>
      <c r="G193" s="46"/>
      <c r="H193" s="46"/>
      <c r="I193" s="78">
        <f t="shared" si="21"/>
        <v>0</v>
      </c>
      <c r="J193" s="78">
        <f t="shared" si="22"/>
        <v>0</v>
      </c>
      <c r="K193" s="89"/>
      <c r="L193" s="92">
        <f t="shared" si="23"/>
        <v>0</v>
      </c>
      <c r="M193" s="92" t="str">
        <f t="shared" si="24"/>
        <v>00</v>
      </c>
      <c r="N193" s="56">
        <f>SUMIF(Bevetel!$G$6:$G$1000,C193,Bevetel!$I$6:$I$1000)</f>
        <v>0</v>
      </c>
      <c r="O193" s="1">
        <f>SUMIF(Kiadas!$G$1006:$G$10000,C193,Kiadas!$I$1006:$I$10000)</f>
        <v>0</v>
      </c>
      <c r="R193" s="1">
        <f t="shared" si="25"/>
        <v>0</v>
      </c>
      <c r="S193" s="1">
        <f>SUMIF(Kiadas!$G$6:$G$1000,C193,Kiadas!$BA$6:$BA$1000)</f>
        <v>0</v>
      </c>
      <c r="T193" s="1">
        <f>SUMIF(Kiadas!$G$1006:$G$10000,C193,Kiadas!$BA$1006:$BA$10000)</f>
        <v>0</v>
      </c>
      <c r="U193" s="1">
        <f t="shared" si="26"/>
        <v>0</v>
      </c>
    </row>
    <row r="194" spans="1:21" ht="18" x14ac:dyDescent="0.25">
      <c r="A194" s="1">
        <f t="shared" si="18"/>
        <v>0</v>
      </c>
      <c r="B194" s="1">
        <f t="shared" si="19"/>
        <v>0</v>
      </c>
      <c r="C194" s="1" t="str">
        <f t="shared" si="20"/>
        <v>zzzzzzzzzzz</v>
      </c>
      <c r="D194" s="75">
        <v>190</v>
      </c>
      <c r="E194" s="45"/>
      <c r="F194" s="45"/>
      <c r="G194" s="46"/>
      <c r="H194" s="46"/>
      <c r="I194" s="78">
        <f t="shared" si="21"/>
        <v>0</v>
      </c>
      <c r="J194" s="78">
        <f t="shared" si="22"/>
        <v>0</v>
      </c>
      <c r="K194" s="89"/>
      <c r="L194" s="92">
        <f t="shared" si="23"/>
        <v>0</v>
      </c>
      <c r="M194" s="92" t="str">
        <f t="shared" si="24"/>
        <v>00</v>
      </c>
      <c r="N194" s="56">
        <f>SUMIF(Bevetel!$G$6:$G$1000,C194,Bevetel!$I$6:$I$1000)</f>
        <v>0</v>
      </c>
      <c r="O194" s="1">
        <f>SUMIF(Kiadas!$G$1006:$G$10000,C194,Kiadas!$I$1006:$I$10000)</f>
        <v>0</v>
      </c>
      <c r="R194" s="1">
        <f t="shared" si="25"/>
        <v>0</v>
      </c>
      <c r="S194" s="1">
        <f>SUMIF(Kiadas!$G$6:$G$1000,C194,Kiadas!$BA$6:$BA$1000)</f>
        <v>0</v>
      </c>
      <c r="T194" s="1">
        <f>SUMIF(Kiadas!$G$1006:$G$10000,C194,Kiadas!$BA$1006:$BA$10000)</f>
        <v>0</v>
      </c>
      <c r="U194" s="1">
        <f t="shared" si="26"/>
        <v>0</v>
      </c>
    </row>
    <row r="195" spans="1:21" ht="18" x14ac:dyDescent="0.25">
      <c r="A195" s="1">
        <f t="shared" si="18"/>
        <v>0</v>
      </c>
      <c r="B195" s="1">
        <f t="shared" si="19"/>
        <v>0</v>
      </c>
      <c r="C195" s="1" t="str">
        <f t="shared" si="20"/>
        <v>zzzzzzzzzzz</v>
      </c>
      <c r="D195" s="75">
        <v>191</v>
      </c>
      <c r="E195" s="45"/>
      <c r="F195" s="45"/>
      <c r="G195" s="46"/>
      <c r="H195" s="46"/>
      <c r="I195" s="78">
        <f t="shared" si="21"/>
        <v>0</v>
      </c>
      <c r="J195" s="78">
        <f t="shared" si="22"/>
        <v>0</v>
      </c>
      <c r="K195" s="89"/>
      <c r="L195" s="92">
        <f t="shared" si="23"/>
        <v>0</v>
      </c>
      <c r="M195" s="92" t="str">
        <f t="shared" si="24"/>
        <v>00</v>
      </c>
      <c r="N195" s="56">
        <f>SUMIF(Bevetel!$G$6:$G$1000,C195,Bevetel!$I$6:$I$1000)</f>
        <v>0</v>
      </c>
      <c r="O195" s="1">
        <f>SUMIF(Kiadas!$G$1006:$G$10000,C195,Kiadas!$I$1006:$I$10000)</f>
        <v>0</v>
      </c>
      <c r="R195" s="1">
        <f t="shared" si="25"/>
        <v>0</v>
      </c>
      <c r="S195" s="1">
        <f>SUMIF(Kiadas!$G$6:$G$1000,C195,Kiadas!$BA$6:$BA$1000)</f>
        <v>0</v>
      </c>
      <c r="T195" s="1">
        <f>SUMIF(Kiadas!$G$1006:$G$10000,C195,Kiadas!$BA$1006:$BA$10000)</f>
        <v>0</v>
      </c>
      <c r="U195" s="1">
        <f t="shared" si="26"/>
        <v>0</v>
      </c>
    </row>
    <row r="196" spans="1:21" ht="18" x14ac:dyDescent="0.25">
      <c r="A196" s="1">
        <f t="shared" si="18"/>
        <v>0</v>
      </c>
      <c r="B196" s="1">
        <f t="shared" si="19"/>
        <v>0</v>
      </c>
      <c r="C196" s="1" t="str">
        <f t="shared" si="20"/>
        <v>zzzzzzzzzzz</v>
      </c>
      <c r="D196" s="75">
        <v>192</v>
      </c>
      <c r="E196" s="45"/>
      <c r="F196" s="45"/>
      <c r="G196" s="46"/>
      <c r="H196" s="46"/>
      <c r="I196" s="78">
        <f t="shared" si="21"/>
        <v>0</v>
      </c>
      <c r="J196" s="78">
        <f t="shared" si="22"/>
        <v>0</v>
      </c>
      <c r="K196" s="89"/>
      <c r="L196" s="92">
        <f t="shared" si="23"/>
        <v>0</v>
      </c>
      <c r="M196" s="92" t="str">
        <f t="shared" si="24"/>
        <v>00</v>
      </c>
      <c r="N196" s="56">
        <f>SUMIF(Bevetel!$G$6:$G$1000,C196,Bevetel!$I$6:$I$1000)</f>
        <v>0</v>
      </c>
      <c r="O196" s="1">
        <f>SUMIF(Kiadas!$G$1006:$G$10000,C196,Kiadas!$I$1006:$I$10000)</f>
        <v>0</v>
      </c>
      <c r="R196" s="1">
        <f t="shared" si="25"/>
        <v>0</v>
      </c>
      <c r="S196" s="1">
        <f>SUMIF(Kiadas!$G$6:$G$1000,C196,Kiadas!$BA$6:$BA$1000)</f>
        <v>0</v>
      </c>
      <c r="T196" s="1">
        <f>SUMIF(Kiadas!$G$1006:$G$10000,C196,Kiadas!$BA$1006:$BA$10000)</f>
        <v>0</v>
      </c>
      <c r="U196" s="1">
        <f t="shared" si="26"/>
        <v>0</v>
      </c>
    </row>
    <row r="197" spans="1:21" ht="18" x14ac:dyDescent="0.25">
      <c r="A197" s="1">
        <f t="shared" si="18"/>
        <v>0</v>
      </c>
      <c r="B197" s="1">
        <f t="shared" si="19"/>
        <v>0</v>
      </c>
      <c r="C197" s="1" t="str">
        <f t="shared" si="20"/>
        <v>zzzzzzzzzzz</v>
      </c>
      <c r="D197" s="75">
        <v>193</v>
      </c>
      <c r="E197" s="45"/>
      <c r="F197" s="45"/>
      <c r="G197" s="46"/>
      <c r="H197" s="46"/>
      <c r="I197" s="78">
        <f t="shared" si="21"/>
        <v>0</v>
      </c>
      <c r="J197" s="78">
        <f t="shared" si="22"/>
        <v>0</v>
      </c>
      <c r="K197" s="89"/>
      <c r="L197" s="92">
        <f t="shared" si="23"/>
        <v>0</v>
      </c>
      <c r="M197" s="92" t="str">
        <f t="shared" si="24"/>
        <v>00</v>
      </c>
      <c r="N197" s="56">
        <f>SUMIF(Bevetel!$G$6:$G$1000,C197,Bevetel!$I$6:$I$1000)</f>
        <v>0</v>
      </c>
      <c r="O197" s="1">
        <f>SUMIF(Kiadas!$G$1006:$G$10000,C197,Kiadas!$I$1006:$I$10000)</f>
        <v>0</v>
      </c>
      <c r="R197" s="1">
        <f t="shared" si="25"/>
        <v>0</v>
      </c>
      <c r="S197" s="1">
        <f>SUMIF(Kiadas!$G$6:$G$1000,C197,Kiadas!$BA$6:$BA$1000)</f>
        <v>0</v>
      </c>
      <c r="T197" s="1">
        <f>SUMIF(Kiadas!$G$1006:$G$10000,C197,Kiadas!$BA$1006:$BA$10000)</f>
        <v>0</v>
      </c>
      <c r="U197" s="1">
        <f t="shared" si="26"/>
        <v>0</v>
      </c>
    </row>
    <row r="198" spans="1:21" ht="18" x14ac:dyDescent="0.25">
      <c r="A198" s="1">
        <f t="shared" ref="A198:A201" si="27">IF(C198&lt;&gt;$C$3,A197+1,A197)</f>
        <v>0</v>
      </c>
      <c r="B198" s="1">
        <f t="shared" ref="B198:B200" si="28">IF(AND(R198&lt;&gt;0,R198&lt;&gt;""),B197+1,B197)</f>
        <v>0</v>
      </c>
      <c r="C198" s="1" t="str">
        <f t="shared" ref="C198:C200" si="29">IF(E198&lt;&gt;0,TRIM(D198&amp;" - "&amp;E198&amp;IF(F198&lt;&gt;0," - "&amp;F198,"")&amp;" - "&amp;L198&amp;","&amp;M198&amp;" lej/"&amp;H198),$C$3)</f>
        <v>zzzzzzzzzzz</v>
      </c>
      <c r="D198" s="75">
        <v>194</v>
      </c>
      <c r="E198" s="45"/>
      <c r="F198" s="45"/>
      <c r="G198" s="46"/>
      <c r="H198" s="46"/>
      <c r="I198" s="78">
        <f>IF(C198&lt;&gt;"",N198-O198,"")</f>
        <v>0</v>
      </c>
      <c r="J198" s="78">
        <f>IF(I198&lt;&gt;"",G198*I198,"")</f>
        <v>0</v>
      </c>
      <c r="K198" s="89"/>
      <c r="L198" s="92">
        <f t="shared" ref="L198:L200" si="30">ROUNDDOWN(G198,0)</f>
        <v>0</v>
      </c>
      <c r="M198" s="92" t="str">
        <f t="shared" ref="M198:M200" si="31">IF(SUM(G198,-L198)*100&lt;=9,"0"&amp;SUM(G198,-L198)*100,SUM(G198,-L198)*100)</f>
        <v>00</v>
      </c>
      <c r="N198" s="56">
        <f>SUMIF(Bevetel!$G$6:$G$1000,C198,Bevetel!$I$6:$I$1000)</f>
        <v>0</v>
      </c>
      <c r="O198" s="1">
        <f>SUMIF(Kiadas!$G$1006:$G$10000,C198,Kiadas!$I$1006:$I$10000)</f>
        <v>0</v>
      </c>
      <c r="R198" s="1">
        <f t="shared" ref="R198:R200" si="32">IF(C198&lt;&gt;"",S198-T198,"")</f>
        <v>0</v>
      </c>
      <c r="S198" s="1">
        <f>SUMIF(Kiadas!$G$6:$G$1000,C198,Kiadas!$BA$6:$BA$1000)</f>
        <v>0</v>
      </c>
      <c r="T198" s="1">
        <f>SUMIF(Kiadas!$G$1006:$G$10000,C198,Kiadas!$BA$1006:$BA$10000)</f>
        <v>0</v>
      </c>
      <c r="U198" s="1">
        <f t="shared" ref="U198:U200" si="33">PRODUCT(G198*R198)</f>
        <v>0</v>
      </c>
    </row>
    <row r="199" spans="1:21" ht="18" x14ac:dyDescent="0.25">
      <c r="A199" s="1">
        <f t="shared" si="27"/>
        <v>0</v>
      </c>
      <c r="B199" s="1">
        <f t="shared" si="28"/>
        <v>0</v>
      </c>
      <c r="C199" s="1" t="str">
        <f t="shared" si="29"/>
        <v>zzzzzzzzzzz</v>
      </c>
      <c r="D199" s="75">
        <v>195</v>
      </c>
      <c r="E199" s="45"/>
      <c r="F199" s="45"/>
      <c r="G199" s="46"/>
      <c r="H199" s="46"/>
      <c r="I199" s="78">
        <f>IF(C199&lt;&gt;"",N199-O199,"")</f>
        <v>0</v>
      </c>
      <c r="J199" s="78">
        <f>IF(I199&lt;&gt;"",G199*I199,"")</f>
        <v>0</v>
      </c>
      <c r="K199" s="89"/>
      <c r="L199" s="92">
        <f t="shared" si="30"/>
        <v>0</v>
      </c>
      <c r="M199" s="92" t="str">
        <f t="shared" si="31"/>
        <v>00</v>
      </c>
      <c r="N199" s="56">
        <f>SUMIF(Bevetel!$G$6:$G$1000,C199,Bevetel!$I$6:$I$1000)</f>
        <v>0</v>
      </c>
      <c r="O199" s="1">
        <f>SUMIF(Kiadas!$G$1006:$G$10000,C199,Kiadas!$I$1006:$I$10000)</f>
        <v>0</v>
      </c>
      <c r="R199" s="1">
        <f t="shared" si="32"/>
        <v>0</v>
      </c>
      <c r="S199" s="1">
        <f>SUMIF(Kiadas!$G$6:$G$1000,C199,Kiadas!$BA$6:$BA$1000)</f>
        <v>0</v>
      </c>
      <c r="T199" s="1">
        <f>SUMIF(Kiadas!$G$1006:$G$10000,C199,Kiadas!$BA$1006:$BA$10000)</f>
        <v>0</v>
      </c>
      <c r="U199" s="1">
        <f t="shared" si="33"/>
        <v>0</v>
      </c>
    </row>
    <row r="200" spans="1:21" ht="18" x14ac:dyDescent="0.25">
      <c r="A200" s="1">
        <f t="shared" si="27"/>
        <v>0</v>
      </c>
      <c r="B200" s="1">
        <f t="shared" si="28"/>
        <v>0</v>
      </c>
      <c r="C200" s="1" t="str">
        <f t="shared" si="29"/>
        <v>zzzzzzzzzzz</v>
      </c>
      <c r="D200" s="75">
        <v>196</v>
      </c>
      <c r="E200" s="45"/>
      <c r="F200" s="45"/>
      <c r="G200" s="46"/>
      <c r="H200" s="46"/>
      <c r="I200" s="78">
        <f>IF(C200&lt;&gt;"",N200-O200,"")</f>
        <v>0</v>
      </c>
      <c r="J200" s="78">
        <f>IF(I200&lt;&gt;"",G200*I200,"")</f>
        <v>0</v>
      </c>
      <c r="K200" s="89"/>
      <c r="L200" s="92">
        <f t="shared" si="30"/>
        <v>0</v>
      </c>
      <c r="M200" s="92" t="str">
        <f t="shared" si="31"/>
        <v>00</v>
      </c>
      <c r="N200" s="56">
        <f>SUMIF(Bevetel!$G$6:$G$1000,C200,Bevetel!$I$6:$I$1000)</f>
        <v>0</v>
      </c>
      <c r="O200" s="1">
        <f>SUMIF(Kiadas!$G$1006:$G$10000,C200,Kiadas!$I$1006:$I$10000)</f>
        <v>0</v>
      </c>
      <c r="R200" s="1">
        <f t="shared" si="32"/>
        <v>0</v>
      </c>
      <c r="S200" s="1">
        <f>SUMIF(Kiadas!$G$6:$G$1000,C200,Kiadas!$BA$6:$BA$1000)</f>
        <v>0</v>
      </c>
      <c r="T200" s="1">
        <f>SUMIF(Kiadas!$G$1006:$G$10000,C200,Kiadas!$BA$1006:$BA$10000)</f>
        <v>0</v>
      </c>
      <c r="U200" s="1">
        <f t="shared" si="33"/>
        <v>0</v>
      </c>
    </row>
    <row r="201" spans="1:21" hidden="1" x14ac:dyDescent="0.2">
      <c r="A201" s="1">
        <f t="shared" si="27"/>
        <v>0</v>
      </c>
      <c r="C201" s="1" t="str">
        <f t="shared" ref="C201" si="34">IF(E201&lt;&gt;0,TRIM(D201&amp;" - "&amp;E201&amp;IF(F201&lt;&gt;0," - "&amp;F201,"")&amp;" - "&amp;G201&amp;" lej/"&amp;H201),$C$3)</f>
        <v>zzzzzzzzzzz</v>
      </c>
    </row>
    <row r="202" spans="1:21" hidden="1" x14ac:dyDescent="0.2">
      <c r="C202" s="1">
        <v>0</v>
      </c>
    </row>
    <row r="203" spans="1:21" hidden="1" x14ac:dyDescent="0.2">
      <c r="C203" s="1" t="s">
        <v>92</v>
      </c>
    </row>
    <row r="204" spans="1:21" hidden="1" x14ac:dyDescent="0.2">
      <c r="C204" s="1" t="str">
        <f>""</f>
        <v/>
      </c>
    </row>
  </sheetData>
  <sheetProtection algorithmName="SHA-512" hashValue="5ho452bw1OxKu1ZTM9bqFrxneemS3KcsmdIOyg5R19zoMhpKpgEyOpUIKsrW2EmnhF3jh1RjDQ7ryayIAONcJQ==" saltValue="RAQf1dgF3xemwaR7k9muyA==" spinCount="100000" sheet="1" objects="1" scenarios="1"/>
  <mergeCells count="2">
    <mergeCell ref="G3:J3"/>
    <mergeCell ref="E3:F3"/>
  </mergeCells>
  <phoneticPr fontId="2" type="noConversion"/>
  <dataValidations count="1">
    <dataValidation type="custom" allowBlank="1" showInputMessage="1" showErrorMessage="1" errorTitle="Hiba!" error="Ide csak szám írható, legtöbb két tizedessel!" sqref="G5:G200" xr:uid="{77DD49DE-D9BD-4748-A8A1-9629C0427115}">
      <formula1>IF(ROUND(G5,2)=G5,TRUE,FALSE)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7558519241921"/>
  </sheetPr>
  <dimension ref="C1:BA1000"/>
  <sheetViews>
    <sheetView showGridLines="0" showRowColHeaders="0" topLeftCell="D1" zoomScale="120" zoomScaleNormal="120" workbookViewId="0">
      <pane ySplit="5" topLeftCell="A6" activePane="bottomLeft" state="frozen"/>
      <selection activeCell="C5" sqref="C5"/>
      <selection pane="bottomLeft" activeCell="E6" sqref="E6"/>
    </sheetView>
  </sheetViews>
  <sheetFormatPr defaultColWidth="0" defaultRowHeight="15" zeroHeight="1" x14ac:dyDescent="0.2"/>
  <cols>
    <col min="1" max="2" width="9.140625" style="1" hidden="1" customWidth="1"/>
    <col min="3" max="3" width="4" style="1" hidden="1" customWidth="1"/>
    <col min="4" max="4" width="10.140625" bestFit="1" customWidth="1"/>
    <col min="5" max="5" width="13.28515625" customWidth="1"/>
    <col min="6" max="6" width="38" customWidth="1"/>
    <col min="7" max="7" width="58.42578125" customWidth="1"/>
    <col min="8" max="8" width="25.7109375" customWidth="1"/>
    <col min="9" max="9" width="12.28515625" bestFit="1" customWidth="1"/>
    <col min="10" max="10" width="9.5703125" bestFit="1" customWidth="1"/>
    <col min="11" max="11" width="13.42578125" customWidth="1"/>
    <col min="12" max="12" width="14.140625" customWidth="1"/>
    <col min="13" max="13" width="35.7109375" customWidth="1"/>
    <col min="14" max="18" width="9.140625" style="1" hidden="1" customWidth="1"/>
    <col min="19" max="19" width="6" style="1" hidden="1" customWidth="1"/>
    <col min="20" max="20" width="44" style="56" hidden="1" customWidth="1"/>
    <col min="21" max="22" width="9.140625" style="1" hidden="1" customWidth="1"/>
    <col min="23" max="23" width="12.42578125" style="1" hidden="1" customWidth="1"/>
    <col min="24" max="53" width="0" style="1" hidden="1" customWidth="1"/>
    <col min="54" max="16384" width="9.140625" style="1" hidden="1"/>
  </cols>
  <sheetData>
    <row r="1" spans="3:53" hidden="1" x14ac:dyDescent="0.2">
      <c r="D1" s="87"/>
      <c r="E1" s="114">
        <f>IF(MAX(E6:E1000)&gt;kkezd,MAX(E6:E1000),kkezd)</f>
        <v>45658</v>
      </c>
      <c r="F1" s="69"/>
      <c r="G1" s="69"/>
      <c r="H1" s="69"/>
      <c r="I1" s="69"/>
      <c r="J1" s="79"/>
      <c r="K1" s="80"/>
      <c r="L1" s="80"/>
      <c r="M1" s="69"/>
    </row>
    <row r="2" spans="3:53" hidden="1" x14ac:dyDescent="0.2">
      <c r="D2" s="69"/>
      <c r="E2" s="69"/>
      <c r="F2" s="69"/>
      <c r="G2" s="69"/>
      <c r="H2" s="69"/>
      <c r="I2" s="69"/>
      <c r="J2" s="79"/>
      <c r="K2" s="80"/>
      <c r="L2" s="80"/>
      <c r="M2" s="69"/>
    </row>
    <row r="3" spans="3:53" hidden="1" x14ac:dyDescent="0.2">
      <c r="D3" s="69" t="s">
        <v>4</v>
      </c>
      <c r="E3" s="69" t="s">
        <v>3</v>
      </c>
      <c r="F3" s="69" t="s">
        <v>14</v>
      </c>
      <c r="G3" s="69" t="s">
        <v>16</v>
      </c>
      <c r="H3" s="69" t="s">
        <v>13</v>
      </c>
      <c r="I3" s="80" t="s">
        <v>17</v>
      </c>
      <c r="J3" s="85"/>
      <c r="K3" s="80" t="s">
        <v>1</v>
      </c>
      <c r="L3" s="69" t="s">
        <v>0</v>
      </c>
      <c r="M3" s="69"/>
    </row>
    <row r="4" spans="3:53" ht="24" customHeight="1" x14ac:dyDescent="0.2">
      <c r="D4" s="69"/>
      <c r="E4" s="131" t="s">
        <v>72</v>
      </c>
      <c r="F4" s="131"/>
      <c r="G4" s="131"/>
      <c r="H4" s="131"/>
      <c r="I4" s="131"/>
      <c r="J4" s="79"/>
      <c r="K4" s="80"/>
      <c r="L4" s="80"/>
      <c r="M4" s="69"/>
    </row>
    <row r="5" spans="3:53" x14ac:dyDescent="0.2">
      <c r="C5" s="10"/>
      <c r="D5" s="81" t="s">
        <v>4</v>
      </c>
      <c r="E5" s="68" t="s">
        <v>3</v>
      </c>
      <c r="F5" s="70" t="s">
        <v>19</v>
      </c>
      <c r="G5" s="68" t="s">
        <v>13</v>
      </c>
      <c r="H5" s="70" t="s">
        <v>16</v>
      </c>
      <c r="I5" s="68" t="s">
        <v>17</v>
      </c>
      <c r="J5" s="82" t="s">
        <v>57</v>
      </c>
      <c r="K5" s="83" t="s">
        <v>1</v>
      </c>
      <c r="L5" s="83" t="s">
        <v>0</v>
      </c>
      <c r="M5" s="69"/>
    </row>
    <row r="6" spans="3:53" x14ac:dyDescent="0.2">
      <c r="D6" s="84" t="str">
        <f>IF(AND(OR(Kiadas!C5&lt;&gt;Kiadas!C6,Kiadas!C6=1),SUM(Kiadas!L6:L26)&lt;&gt;0),YEAR(Kiadas!W6)&amp;"/"&amp;Kiadas!C6,"")</f>
        <v/>
      </c>
      <c r="E6" s="44"/>
      <c r="F6" s="45"/>
      <c r="G6" s="45"/>
      <c r="H6" s="45"/>
      <c r="I6" s="46"/>
      <c r="J6" s="86" t="str">
        <f>IF(AND(G6&lt;&gt;"",ISERROR(VLOOKUP(G6,Keszlet!$C$5:$H$200,6,FALSE))=FALSE),VLOOKUP(G6,Keszlet!$C$5:$H$200,6,FALSE),"")</f>
        <v/>
      </c>
      <c r="K6" s="72" t="str">
        <f>IF(AND(G6&lt;&gt;"",ISERROR(VLOOKUP(G6,Keszlet!$C$5:$G$200,5,FALSE))=FALSE),VLOOKUP(G6,Keszlet!$C$5:$G$200,5,FALSE),"")</f>
        <v/>
      </c>
      <c r="L6" s="72" t="str">
        <f>IF(AND(G6&lt;&gt;0,K6&lt;&gt;""),I6*K6,"")</f>
        <v/>
      </c>
      <c r="M6" s="69"/>
      <c r="T6" s="56" t="str">
        <f>IF(OR(E6&lt;&gt;0,F6&lt;&gt;0,SUM(L6:L26)=0),E6&amp;F6,0)</f>
        <v/>
      </c>
      <c r="BA6" s="1">
        <f>IF(E6&lt;=Leltar_iv!$Y$1,I6,0)</f>
        <v>0</v>
      </c>
    </row>
    <row r="7" spans="3:53" x14ac:dyDescent="0.2">
      <c r="D7" s="84" t="str">
        <f>IF(AND(OR(Kiadas!C6&lt;&gt;Kiadas!C7,Kiadas!C7=1),SUM(Kiadas!L7:L27)&lt;&gt;0),YEAR(Kiadas!W7)&amp;"/"&amp;Kiadas!C7,"")</f>
        <v/>
      </c>
      <c r="E7" s="44"/>
      <c r="F7" s="45"/>
      <c r="G7" s="45"/>
      <c r="H7" s="45"/>
      <c r="I7" s="46"/>
      <c r="J7" s="86" t="str">
        <f>IF(AND(G7&lt;&gt;"",ISERROR(VLOOKUP(G7,Keszlet!$C$5:$H$200,6,FALSE))=FALSE),VLOOKUP(G7,Keszlet!$C$5:$H$200,6,FALSE),"")</f>
        <v/>
      </c>
      <c r="K7" s="72" t="str">
        <f>IF(AND(G7&lt;&gt;"",ISERROR(VLOOKUP(G7,Keszlet!$C$5:$G$200,5,FALSE))=FALSE),VLOOKUP(G7,Keszlet!$C$5:$G$200,5,FALSE),"")</f>
        <v/>
      </c>
      <c r="L7" s="72" t="str">
        <f t="shared" ref="L7:L70" si="0">IF(AND(G7&lt;&gt;0,K7&lt;&gt;""),I7*K7,"")</f>
        <v/>
      </c>
      <c r="M7" s="69"/>
      <c r="T7" s="56" t="str">
        <f>IF(OR(E7&lt;&gt;0,F7&lt;&gt;0,SUM(L7:L27)=0),E7&amp;F7,0)</f>
        <v/>
      </c>
      <c r="BA7" s="1">
        <f>IF(E7&lt;=Leltar_iv!$Y$1,I7,0)</f>
        <v>0</v>
      </c>
    </row>
    <row r="8" spans="3:53" x14ac:dyDescent="0.2">
      <c r="D8" s="84" t="str">
        <f>IF(AND(OR(Kiadas!C7&lt;&gt;Kiadas!C8,Kiadas!C8=1),SUM(Kiadas!L8:L28)&lt;&gt;0),YEAR(Kiadas!W8)&amp;"/"&amp;Kiadas!C8,"")</f>
        <v/>
      </c>
      <c r="E8" s="44"/>
      <c r="F8" s="45"/>
      <c r="G8" s="45"/>
      <c r="H8" s="45"/>
      <c r="I8" s="46"/>
      <c r="J8" s="86" t="str">
        <f>IF(AND(G8&lt;&gt;"",ISERROR(VLOOKUP(G8,Keszlet!$C$5:$H$200,6,FALSE))=FALSE),VLOOKUP(G8,Keszlet!$C$5:$H$200,6,FALSE),"")</f>
        <v/>
      </c>
      <c r="K8" s="72" t="str">
        <f>IF(AND(G8&lt;&gt;"",ISERROR(VLOOKUP(G8,Keszlet!$C$5:$G$200,5,FALSE))=FALSE),VLOOKUP(G8,Keszlet!$C$5:$G$200,5,FALSE),"")</f>
        <v/>
      </c>
      <c r="L8" s="72" t="str">
        <f t="shared" si="0"/>
        <v/>
      </c>
      <c r="M8" s="69"/>
      <c r="T8" s="56" t="str">
        <f>IF(OR(E8&lt;&gt;0,F8&lt;&gt;0,SUM(L8:L28)=0),E8&amp;F8,0)</f>
        <v/>
      </c>
      <c r="BA8" s="1">
        <f>IF(E8&lt;=Leltar_iv!$Y$1,I8,0)</f>
        <v>0</v>
      </c>
    </row>
    <row r="9" spans="3:53" x14ac:dyDescent="0.2">
      <c r="D9" s="84" t="str">
        <f>IF(AND(OR(Kiadas!C8&lt;&gt;Kiadas!C9,Kiadas!C9=1),SUM(Kiadas!L9:L29)&lt;&gt;0),YEAR(Kiadas!W9)&amp;"/"&amp;Kiadas!C9,"")</f>
        <v/>
      </c>
      <c r="E9" s="44"/>
      <c r="F9" s="45"/>
      <c r="G9" s="45"/>
      <c r="H9" s="45"/>
      <c r="I9" s="46"/>
      <c r="J9" s="86" t="str">
        <f>IF(AND(G9&lt;&gt;"",ISERROR(VLOOKUP(G9,Keszlet!$C$5:$H$200,6,FALSE))=FALSE),VLOOKUP(G9,Keszlet!$C$5:$H$200,6,FALSE),"")</f>
        <v/>
      </c>
      <c r="K9" s="72" t="str">
        <f>IF(AND(G9&lt;&gt;"",ISERROR(VLOOKUP(G9,Keszlet!$C$5:$G$200,5,FALSE))=FALSE),VLOOKUP(G9,Keszlet!$C$5:$G$200,5,FALSE),"")</f>
        <v/>
      </c>
      <c r="L9" s="72" t="str">
        <f t="shared" si="0"/>
        <v/>
      </c>
      <c r="M9" s="69"/>
      <c r="T9" s="56" t="str">
        <f>IF(OR(E9&lt;&gt;0,F9&lt;&gt;0,SUM(L9:L29)=0),E9&amp;F9,0)</f>
        <v/>
      </c>
      <c r="BA9" s="1">
        <f>IF(E9&lt;=Leltar_iv!$Y$1,I9,0)</f>
        <v>0</v>
      </c>
    </row>
    <row r="10" spans="3:53" x14ac:dyDescent="0.2">
      <c r="D10" s="84" t="str">
        <f>IF(AND(OR(Kiadas!C9&lt;&gt;Kiadas!C10,Kiadas!C10=1),SUM(Kiadas!L10:L30)&lt;&gt;0),YEAR(Kiadas!W10)&amp;"/"&amp;Kiadas!C10,"")</f>
        <v/>
      </c>
      <c r="E10" s="44"/>
      <c r="F10" s="45"/>
      <c r="G10" s="45"/>
      <c r="H10" s="45"/>
      <c r="I10" s="46"/>
      <c r="J10" s="86" t="str">
        <f>IF(AND(G10&lt;&gt;"",ISERROR(VLOOKUP(G10,Keszlet!$C$5:$H$200,6,FALSE))=FALSE),VLOOKUP(G10,Keszlet!$C$5:$H$200,6,FALSE),"")</f>
        <v/>
      </c>
      <c r="K10" s="72" t="str">
        <f>IF(AND(G10&lt;&gt;"",ISERROR(VLOOKUP(G10,Keszlet!$C$5:$G$200,5,FALSE))=FALSE),VLOOKUP(G10,Keszlet!$C$5:$G$200,5,FALSE),"")</f>
        <v/>
      </c>
      <c r="L10" s="72" t="str">
        <f t="shared" si="0"/>
        <v/>
      </c>
      <c r="M10" s="69"/>
      <c r="T10" s="56" t="str">
        <f>IF(OR(E10&lt;&gt;0,F10&lt;&gt;0,SUM(L10:L30)=0),E10&amp;F10,0)</f>
        <v/>
      </c>
      <c r="BA10" s="1">
        <f>IF(E10&lt;=Leltar_iv!$Y$1,I10,0)</f>
        <v>0</v>
      </c>
    </row>
    <row r="11" spans="3:53" x14ac:dyDescent="0.2">
      <c r="D11" s="84" t="str">
        <f>IF(AND(OR(Kiadas!C10&lt;&gt;Kiadas!C11,Kiadas!C11=1),SUM(Kiadas!L11:L31)&lt;&gt;0),YEAR(Kiadas!W11)&amp;"/"&amp;Kiadas!C11,"")</f>
        <v/>
      </c>
      <c r="E11" s="44"/>
      <c r="F11" s="45"/>
      <c r="G11" s="45"/>
      <c r="H11" s="45"/>
      <c r="I11" s="46"/>
      <c r="J11" s="86" t="str">
        <f>IF(AND(G11&lt;&gt;"",ISERROR(VLOOKUP(G11,Keszlet!$C$5:$H$200,6,FALSE))=FALSE),VLOOKUP(G11,Keszlet!$C$5:$H$200,6,FALSE),"")</f>
        <v/>
      </c>
      <c r="K11" s="72" t="str">
        <f>IF(AND(G11&lt;&gt;"",ISERROR(VLOOKUP(G11,Keszlet!$C$5:$G$200,5,FALSE))=FALSE),VLOOKUP(G11,Keszlet!$C$5:$G$200,5,FALSE),"")</f>
        <v/>
      </c>
      <c r="L11" s="72" t="str">
        <f t="shared" si="0"/>
        <v/>
      </c>
      <c r="M11" s="69"/>
      <c r="T11" s="56" t="str">
        <f t="shared" ref="T11:T74" si="1">IF(OR(E11&lt;&gt;0,COUNTIF(T2:T10,0)=9,F11&lt;&gt;0,SUM(L11:L31)=0),E11&amp;F11,0)</f>
        <v/>
      </c>
      <c r="BA11" s="1">
        <f>IF(E11&lt;=Leltar_iv!$Y$1,I11,0)</f>
        <v>0</v>
      </c>
    </row>
    <row r="12" spans="3:53" x14ac:dyDescent="0.2">
      <c r="D12" s="84" t="str">
        <f>IF(AND(OR(Kiadas!C11&lt;&gt;Kiadas!C12,Kiadas!C12=1),SUM(Kiadas!L12:L32)&lt;&gt;0),YEAR(Kiadas!W12)&amp;"/"&amp;Kiadas!C12,"")</f>
        <v/>
      </c>
      <c r="E12" s="44"/>
      <c r="F12" s="45"/>
      <c r="G12" s="45"/>
      <c r="H12" s="45"/>
      <c r="I12" s="46"/>
      <c r="J12" s="86" t="str">
        <f>IF(AND(G12&lt;&gt;"",ISERROR(VLOOKUP(G12,Keszlet!$C$5:$H$200,6,FALSE))=FALSE),VLOOKUP(G12,Keszlet!$C$5:$H$200,6,FALSE),"")</f>
        <v/>
      </c>
      <c r="K12" s="72" t="str">
        <f>IF(AND(G12&lt;&gt;"",ISERROR(VLOOKUP(G12,Keszlet!$C$5:$G$200,5,FALSE))=FALSE),VLOOKUP(G12,Keszlet!$C$5:$G$200,5,FALSE),"")</f>
        <v/>
      </c>
      <c r="L12" s="72" t="str">
        <f t="shared" si="0"/>
        <v/>
      </c>
      <c r="M12" s="69"/>
      <c r="T12" s="56" t="str">
        <f t="shared" si="1"/>
        <v/>
      </c>
      <c r="BA12" s="1">
        <f>IF(E12&lt;=Leltar_iv!$Y$1,I12,0)</f>
        <v>0</v>
      </c>
    </row>
    <row r="13" spans="3:53" x14ac:dyDescent="0.2">
      <c r="D13" s="84" t="str">
        <f>IF(AND(OR(Kiadas!C12&lt;&gt;Kiadas!C13,Kiadas!C13=1),SUM(Kiadas!L13:L33)&lt;&gt;0),YEAR(Kiadas!W13)&amp;"/"&amp;Kiadas!C13,"")</f>
        <v/>
      </c>
      <c r="E13" s="44"/>
      <c r="F13" s="45"/>
      <c r="G13" s="45"/>
      <c r="H13" s="45"/>
      <c r="I13" s="46"/>
      <c r="J13" s="86" t="str">
        <f>IF(AND(G13&lt;&gt;"",ISERROR(VLOOKUP(G13,Keszlet!$C$5:$H$200,6,FALSE))=FALSE),VLOOKUP(G13,Keszlet!$C$5:$H$200,6,FALSE),"")</f>
        <v/>
      </c>
      <c r="K13" s="72" t="str">
        <f>IF(AND(G13&lt;&gt;"",ISERROR(VLOOKUP(G13,Keszlet!$C$5:$G$200,5,FALSE))=FALSE),VLOOKUP(G13,Keszlet!$C$5:$G$200,5,FALSE),"")</f>
        <v/>
      </c>
      <c r="L13" s="72" t="str">
        <f t="shared" si="0"/>
        <v/>
      </c>
      <c r="M13" s="69"/>
      <c r="T13" s="56" t="str">
        <f t="shared" si="1"/>
        <v/>
      </c>
      <c r="BA13" s="1">
        <f>IF(E13&lt;=Leltar_iv!$Y$1,I13,0)</f>
        <v>0</v>
      </c>
    </row>
    <row r="14" spans="3:53" x14ac:dyDescent="0.2">
      <c r="D14" s="84" t="str">
        <f>IF(AND(OR(Kiadas!C13&lt;&gt;Kiadas!C14,Kiadas!C14=1),SUM(Kiadas!L14:L34)&lt;&gt;0),YEAR(Kiadas!W14)&amp;"/"&amp;Kiadas!C14,"")</f>
        <v/>
      </c>
      <c r="E14" s="44"/>
      <c r="F14" s="45"/>
      <c r="G14" s="45"/>
      <c r="H14" s="45"/>
      <c r="I14" s="46"/>
      <c r="J14" s="86" t="str">
        <f>IF(AND(G14&lt;&gt;"",ISERROR(VLOOKUP(G14,Keszlet!$C$5:$H$200,6,FALSE))=FALSE),VLOOKUP(G14,Keszlet!$C$5:$H$200,6,FALSE),"")</f>
        <v/>
      </c>
      <c r="K14" s="72" t="str">
        <f>IF(AND(G14&lt;&gt;"",ISERROR(VLOOKUP(G14,Keszlet!$C$5:$G$200,5,FALSE))=FALSE),VLOOKUP(G14,Keszlet!$C$5:$G$200,5,FALSE),"")</f>
        <v/>
      </c>
      <c r="L14" s="72" t="str">
        <f t="shared" si="0"/>
        <v/>
      </c>
      <c r="M14" s="69"/>
      <c r="T14" s="56" t="str">
        <f t="shared" si="1"/>
        <v/>
      </c>
      <c r="BA14" s="1">
        <f>IF(E14&lt;=Leltar_iv!$Y$1,I14,0)</f>
        <v>0</v>
      </c>
    </row>
    <row r="15" spans="3:53" x14ac:dyDescent="0.2">
      <c r="D15" s="84" t="str">
        <f>IF(AND(OR(Kiadas!C14&lt;&gt;Kiadas!C15,Kiadas!C15=1),SUM(Kiadas!L15:L35)&lt;&gt;0),YEAR(Kiadas!W15)&amp;"/"&amp;Kiadas!C15,"")</f>
        <v/>
      </c>
      <c r="E15" s="44"/>
      <c r="F15" s="45"/>
      <c r="G15" s="45"/>
      <c r="H15" s="45"/>
      <c r="I15" s="46"/>
      <c r="J15" s="86" t="str">
        <f>IF(AND(G15&lt;&gt;"",ISERROR(VLOOKUP(G15,Keszlet!$C$5:$H$200,6,FALSE))=FALSE),VLOOKUP(G15,Keszlet!$C$5:$H$200,6,FALSE),"")</f>
        <v/>
      </c>
      <c r="K15" s="72" t="str">
        <f>IF(AND(G15&lt;&gt;"",ISERROR(VLOOKUP(G15,Keszlet!$C$5:$G$200,5,FALSE))=FALSE),VLOOKUP(G15,Keszlet!$C$5:$G$200,5,FALSE),"")</f>
        <v/>
      </c>
      <c r="L15" s="72" t="str">
        <f t="shared" si="0"/>
        <v/>
      </c>
      <c r="M15" s="69"/>
      <c r="T15" s="56" t="str">
        <f t="shared" si="1"/>
        <v/>
      </c>
      <c r="BA15" s="1">
        <f>IF(E15&lt;=Leltar_iv!$Y$1,I15,0)</f>
        <v>0</v>
      </c>
    </row>
    <row r="16" spans="3:53" x14ac:dyDescent="0.2">
      <c r="D16" s="84" t="str">
        <f>IF(AND(OR(Kiadas!C15&lt;&gt;Kiadas!C16,Kiadas!C16=1),SUM(Kiadas!L16:L36)&lt;&gt;0),YEAR(Kiadas!W16)&amp;"/"&amp;Kiadas!C16,"")</f>
        <v/>
      </c>
      <c r="E16" s="44"/>
      <c r="F16" s="45"/>
      <c r="G16" s="45"/>
      <c r="H16" s="45"/>
      <c r="I16" s="46"/>
      <c r="J16" s="86" t="str">
        <f>IF(AND(G16&lt;&gt;"",ISERROR(VLOOKUP(G16,Keszlet!$C$5:$H$200,6,FALSE))=FALSE),VLOOKUP(G16,Keszlet!$C$5:$H$200,6,FALSE),"")</f>
        <v/>
      </c>
      <c r="K16" s="72" t="str">
        <f>IF(AND(G16&lt;&gt;"",ISERROR(VLOOKUP(G16,Keszlet!$C$5:$G$200,5,FALSE))=FALSE),VLOOKUP(G16,Keszlet!$C$5:$G$200,5,FALSE),"")</f>
        <v/>
      </c>
      <c r="L16" s="72" t="str">
        <f t="shared" si="0"/>
        <v/>
      </c>
      <c r="M16" s="69"/>
      <c r="T16" s="56" t="str">
        <f t="shared" si="1"/>
        <v/>
      </c>
      <c r="BA16" s="1">
        <f>IF(E16&lt;=Leltar_iv!$Y$1,I16,0)</f>
        <v>0</v>
      </c>
    </row>
    <row r="17" spans="4:53" x14ac:dyDescent="0.2">
      <c r="D17" s="84" t="str">
        <f>IF(AND(OR(Kiadas!C16&lt;&gt;Kiadas!C17,Kiadas!C17=1),SUM(Kiadas!L17:L37)&lt;&gt;0),YEAR(Kiadas!W17)&amp;"/"&amp;Kiadas!C17,"")</f>
        <v/>
      </c>
      <c r="E17" s="44"/>
      <c r="F17" s="45"/>
      <c r="G17" s="45"/>
      <c r="H17" s="45"/>
      <c r="I17" s="46"/>
      <c r="J17" s="86" t="str">
        <f>IF(AND(G17&lt;&gt;"",ISERROR(VLOOKUP(G17,Keszlet!$C$5:$H$200,6,FALSE))=FALSE),VLOOKUP(G17,Keszlet!$C$5:$H$200,6,FALSE),"")</f>
        <v/>
      </c>
      <c r="K17" s="72" t="str">
        <f>IF(AND(G17&lt;&gt;"",ISERROR(VLOOKUP(G17,Keszlet!$C$5:$G$200,5,FALSE))=FALSE),VLOOKUP(G17,Keszlet!$C$5:$G$200,5,FALSE),"")</f>
        <v/>
      </c>
      <c r="L17" s="72" t="str">
        <f t="shared" si="0"/>
        <v/>
      </c>
      <c r="M17" s="69"/>
      <c r="T17" s="56" t="str">
        <f t="shared" si="1"/>
        <v/>
      </c>
      <c r="W17" s="13"/>
      <c r="BA17" s="1">
        <f>IF(E17&lt;=Leltar_iv!$Y$1,I17,0)</f>
        <v>0</v>
      </c>
    </row>
    <row r="18" spans="4:53" x14ac:dyDescent="0.2">
      <c r="D18" s="84" t="str">
        <f>IF(AND(OR(Kiadas!C17&lt;&gt;Kiadas!C18,Kiadas!C18=1),SUM(Kiadas!L18:L38)&lt;&gt;0),YEAR(Kiadas!W18)&amp;"/"&amp;Kiadas!C18,"")</f>
        <v/>
      </c>
      <c r="E18" s="44"/>
      <c r="F18" s="45"/>
      <c r="G18" s="45"/>
      <c r="H18" s="45"/>
      <c r="I18" s="46"/>
      <c r="J18" s="86" t="str">
        <f>IF(AND(G18&lt;&gt;"",ISERROR(VLOOKUP(G18,Keszlet!$C$5:$H$200,6,FALSE))=FALSE),VLOOKUP(G18,Keszlet!$C$5:$H$200,6,FALSE),"")</f>
        <v/>
      </c>
      <c r="K18" s="72" t="str">
        <f>IF(AND(G18&lt;&gt;"",ISERROR(VLOOKUP(G18,Keszlet!$C$5:$G$200,5,FALSE))=FALSE),VLOOKUP(G18,Keszlet!$C$5:$G$200,5,FALSE),"")</f>
        <v/>
      </c>
      <c r="L18" s="72" t="str">
        <f t="shared" si="0"/>
        <v/>
      </c>
      <c r="M18" s="69"/>
      <c r="T18" s="56" t="str">
        <f t="shared" si="1"/>
        <v/>
      </c>
      <c r="BA18" s="1">
        <f>IF(E18&lt;=Leltar_iv!$Y$1,I18,0)</f>
        <v>0</v>
      </c>
    </row>
    <row r="19" spans="4:53" x14ac:dyDescent="0.2">
      <c r="D19" s="84" t="str">
        <f>IF(AND(OR(Kiadas!C18&lt;&gt;Kiadas!C19,Kiadas!C19=1),SUM(Kiadas!L19:L39)&lt;&gt;0),YEAR(Kiadas!W19)&amp;"/"&amp;Kiadas!C19,"")</f>
        <v/>
      </c>
      <c r="E19" s="44"/>
      <c r="F19" s="45"/>
      <c r="G19" s="45"/>
      <c r="H19" s="45"/>
      <c r="I19" s="46"/>
      <c r="J19" s="86" t="str">
        <f>IF(AND(G19&lt;&gt;"",ISERROR(VLOOKUP(G19,Keszlet!$C$5:$H$200,6,FALSE))=FALSE),VLOOKUP(G19,Keszlet!$C$5:$H$200,6,FALSE),"")</f>
        <v/>
      </c>
      <c r="K19" s="72" t="str">
        <f>IF(AND(G19&lt;&gt;"",ISERROR(VLOOKUP(G19,Keszlet!$C$5:$G$200,5,FALSE))=FALSE),VLOOKUP(G19,Keszlet!$C$5:$G$200,5,FALSE),"")</f>
        <v/>
      </c>
      <c r="L19" s="72" t="str">
        <f t="shared" si="0"/>
        <v/>
      </c>
      <c r="M19" s="69"/>
      <c r="T19" s="56" t="str">
        <f t="shared" si="1"/>
        <v/>
      </c>
      <c r="BA19" s="1">
        <f>IF(E19&lt;=Leltar_iv!$Y$1,I19,0)</f>
        <v>0</v>
      </c>
    </row>
    <row r="20" spans="4:53" x14ac:dyDescent="0.2">
      <c r="D20" s="84" t="str">
        <f>IF(AND(OR(Kiadas!C19&lt;&gt;Kiadas!C20,Kiadas!C20=1),SUM(Kiadas!L20:L40)&lt;&gt;0),YEAR(Kiadas!W20)&amp;"/"&amp;Kiadas!C20,"")</f>
        <v/>
      </c>
      <c r="E20" s="44"/>
      <c r="F20" s="45"/>
      <c r="G20" s="45"/>
      <c r="H20" s="45"/>
      <c r="I20" s="46"/>
      <c r="J20" s="86" t="str">
        <f>IF(AND(G20&lt;&gt;"",ISERROR(VLOOKUP(G20,Keszlet!$C$5:$H$200,6,FALSE))=FALSE),VLOOKUP(G20,Keszlet!$C$5:$H$200,6,FALSE),"")</f>
        <v/>
      </c>
      <c r="K20" s="72" t="str">
        <f>IF(AND(G20&lt;&gt;"",ISERROR(VLOOKUP(G20,Keszlet!$C$5:$G$200,5,FALSE))=FALSE),VLOOKUP(G20,Keszlet!$C$5:$G$200,5,FALSE),"")</f>
        <v/>
      </c>
      <c r="L20" s="72" t="str">
        <f t="shared" si="0"/>
        <v/>
      </c>
      <c r="M20" s="69"/>
      <c r="T20" s="56" t="str">
        <f t="shared" si="1"/>
        <v/>
      </c>
      <c r="BA20" s="1">
        <f>IF(E20&lt;=Leltar_iv!$Y$1,I20,0)</f>
        <v>0</v>
      </c>
    </row>
    <row r="21" spans="4:53" x14ac:dyDescent="0.2">
      <c r="D21" s="84" t="str">
        <f>IF(AND(OR(Kiadas!C20&lt;&gt;Kiadas!C21,Kiadas!C21=1),SUM(Kiadas!L21:L41)&lt;&gt;0),YEAR(Kiadas!W21)&amp;"/"&amp;Kiadas!C21,"")</f>
        <v/>
      </c>
      <c r="E21" s="44"/>
      <c r="F21" s="45"/>
      <c r="G21" s="45"/>
      <c r="H21" s="45"/>
      <c r="I21" s="46"/>
      <c r="J21" s="86" t="str">
        <f>IF(AND(G21&lt;&gt;"",ISERROR(VLOOKUP(G21,Keszlet!$C$5:$H$200,6,FALSE))=FALSE),VLOOKUP(G21,Keszlet!$C$5:$H$200,6,FALSE),"")</f>
        <v/>
      </c>
      <c r="K21" s="72" t="str">
        <f>IF(AND(G21&lt;&gt;"",ISERROR(VLOOKUP(G21,Keszlet!$C$5:$G$200,5,FALSE))=FALSE),VLOOKUP(G21,Keszlet!$C$5:$G$200,5,FALSE),"")</f>
        <v/>
      </c>
      <c r="L21" s="72" t="str">
        <f t="shared" si="0"/>
        <v/>
      </c>
      <c r="M21" s="69"/>
      <c r="T21" s="56" t="str">
        <f t="shared" si="1"/>
        <v/>
      </c>
      <c r="BA21" s="1">
        <f>IF(E21&lt;=Leltar_iv!$Y$1,I21,0)</f>
        <v>0</v>
      </c>
    </row>
    <row r="22" spans="4:53" x14ac:dyDescent="0.2">
      <c r="D22" s="84" t="str">
        <f>IF(AND(OR(Kiadas!C21&lt;&gt;Kiadas!C22,Kiadas!C22=1),SUM(Kiadas!L22:L42)&lt;&gt;0),YEAR(Kiadas!W22)&amp;"/"&amp;Kiadas!C22,"")</f>
        <v/>
      </c>
      <c r="E22" s="44"/>
      <c r="F22" s="45"/>
      <c r="G22" s="45"/>
      <c r="H22" s="45"/>
      <c r="I22" s="46"/>
      <c r="J22" s="86" t="str">
        <f>IF(AND(G22&lt;&gt;"",ISERROR(VLOOKUP(G22,Keszlet!$C$5:$H$200,6,FALSE))=FALSE),VLOOKUP(G22,Keszlet!$C$5:$H$200,6,FALSE),"")</f>
        <v/>
      </c>
      <c r="K22" s="72" t="str">
        <f>IF(AND(G22&lt;&gt;"",ISERROR(VLOOKUP(G22,Keszlet!$C$5:$G$200,5,FALSE))=FALSE),VLOOKUP(G22,Keszlet!$C$5:$G$200,5,FALSE),"")</f>
        <v/>
      </c>
      <c r="L22" s="72" t="str">
        <f t="shared" si="0"/>
        <v/>
      </c>
      <c r="M22" s="69"/>
      <c r="T22" s="56" t="str">
        <f t="shared" si="1"/>
        <v/>
      </c>
      <c r="BA22" s="1">
        <f>IF(E22&lt;=Leltar_iv!$Y$1,I22,0)</f>
        <v>0</v>
      </c>
    </row>
    <row r="23" spans="4:53" x14ac:dyDescent="0.2">
      <c r="D23" s="84" t="str">
        <f>IF(AND(OR(Kiadas!C22&lt;&gt;Kiadas!C23,Kiadas!C23=1),SUM(Kiadas!L23:L43)&lt;&gt;0),YEAR(Kiadas!W23)&amp;"/"&amp;Kiadas!C23,"")</f>
        <v/>
      </c>
      <c r="E23" s="44"/>
      <c r="F23" s="45"/>
      <c r="G23" s="45"/>
      <c r="H23" s="45"/>
      <c r="I23" s="46"/>
      <c r="J23" s="86" t="str">
        <f>IF(AND(G23&lt;&gt;"",ISERROR(VLOOKUP(G23,Keszlet!$C$5:$H$200,6,FALSE))=FALSE),VLOOKUP(G23,Keszlet!$C$5:$H$200,6,FALSE),"")</f>
        <v/>
      </c>
      <c r="K23" s="72" t="str">
        <f>IF(AND(G23&lt;&gt;"",ISERROR(VLOOKUP(G23,Keszlet!$C$5:$G$200,5,FALSE))=FALSE),VLOOKUP(G23,Keszlet!$C$5:$G$200,5,FALSE),"")</f>
        <v/>
      </c>
      <c r="L23" s="72" t="str">
        <f t="shared" si="0"/>
        <v/>
      </c>
      <c r="M23" s="69"/>
      <c r="T23" s="56" t="str">
        <f t="shared" si="1"/>
        <v/>
      </c>
      <c r="BA23" s="1">
        <f>IF(E23&lt;=Leltar_iv!$Y$1,I23,0)</f>
        <v>0</v>
      </c>
    </row>
    <row r="24" spans="4:53" x14ac:dyDescent="0.2">
      <c r="D24" s="84" t="str">
        <f>IF(AND(OR(Kiadas!C23&lt;&gt;Kiadas!C24,Kiadas!C24=1),SUM(Kiadas!L24:L44)&lt;&gt;0),YEAR(Kiadas!W24)&amp;"/"&amp;Kiadas!C24,"")</f>
        <v/>
      </c>
      <c r="E24" s="44"/>
      <c r="F24" s="45"/>
      <c r="G24" s="45"/>
      <c r="H24" s="45"/>
      <c r="I24" s="46"/>
      <c r="J24" s="86" t="str">
        <f>IF(AND(G24&lt;&gt;"",ISERROR(VLOOKUP(G24,Keszlet!$C$5:$H$200,6,FALSE))=FALSE),VLOOKUP(G24,Keszlet!$C$5:$H$200,6,FALSE),"")</f>
        <v/>
      </c>
      <c r="K24" s="72" t="str">
        <f>IF(AND(G24&lt;&gt;"",ISERROR(VLOOKUP(G24,Keszlet!$C$5:$G$200,5,FALSE))=FALSE),VLOOKUP(G24,Keszlet!$C$5:$G$200,5,FALSE),"")</f>
        <v/>
      </c>
      <c r="L24" s="72" t="str">
        <f t="shared" si="0"/>
        <v/>
      </c>
      <c r="M24" s="69"/>
      <c r="T24" s="56" t="str">
        <f t="shared" si="1"/>
        <v/>
      </c>
      <c r="BA24" s="1">
        <f>IF(E24&lt;=Leltar_iv!$Y$1,I24,0)</f>
        <v>0</v>
      </c>
    </row>
    <row r="25" spans="4:53" x14ac:dyDescent="0.2">
      <c r="D25" s="84" t="str">
        <f>IF(AND(OR(Kiadas!C24&lt;&gt;Kiadas!C25,Kiadas!C25=1),SUM(Kiadas!L25:L45)&lt;&gt;0),YEAR(Kiadas!W25)&amp;"/"&amp;Kiadas!C25,"")</f>
        <v/>
      </c>
      <c r="E25" s="44"/>
      <c r="F25" s="45"/>
      <c r="G25" s="45"/>
      <c r="H25" s="45"/>
      <c r="I25" s="46"/>
      <c r="J25" s="86" t="str">
        <f>IF(AND(G25&lt;&gt;"",ISERROR(VLOOKUP(G25,Keszlet!$C$5:$H$200,6,FALSE))=FALSE),VLOOKUP(G25,Keszlet!$C$5:$H$200,6,FALSE),"")</f>
        <v/>
      </c>
      <c r="K25" s="72" t="str">
        <f>IF(AND(G25&lt;&gt;"",ISERROR(VLOOKUP(G25,Keszlet!$C$5:$G$200,5,FALSE))=FALSE),VLOOKUP(G25,Keszlet!$C$5:$G$200,5,FALSE),"")</f>
        <v/>
      </c>
      <c r="L25" s="72" t="str">
        <f t="shared" si="0"/>
        <v/>
      </c>
      <c r="M25" s="69"/>
      <c r="T25" s="56" t="str">
        <f t="shared" si="1"/>
        <v/>
      </c>
      <c r="BA25" s="1">
        <f>IF(E25&lt;=Leltar_iv!$Y$1,I25,0)</f>
        <v>0</v>
      </c>
    </row>
    <row r="26" spans="4:53" x14ac:dyDescent="0.2">
      <c r="D26" s="84" t="str">
        <f>IF(AND(OR(Kiadas!C25&lt;&gt;Kiadas!C26,Kiadas!C26=1),SUM(Kiadas!L26:L46)&lt;&gt;0),YEAR(Kiadas!W26)&amp;"/"&amp;Kiadas!C26,"")</f>
        <v/>
      </c>
      <c r="E26" s="44"/>
      <c r="F26" s="45"/>
      <c r="G26" s="45"/>
      <c r="H26" s="45"/>
      <c r="I26" s="46"/>
      <c r="J26" s="86" t="str">
        <f>IF(AND(G26&lt;&gt;"",ISERROR(VLOOKUP(G26,Keszlet!$C$5:$H$200,6,FALSE))=FALSE),VLOOKUP(G26,Keszlet!$C$5:$H$200,6,FALSE),"")</f>
        <v/>
      </c>
      <c r="K26" s="72" t="str">
        <f>IF(AND(G26&lt;&gt;"",ISERROR(VLOOKUP(G26,Keszlet!$C$5:$G$200,5,FALSE))=FALSE),VLOOKUP(G26,Keszlet!$C$5:$G$200,5,FALSE),"")</f>
        <v/>
      </c>
      <c r="L26" s="72" t="str">
        <f t="shared" si="0"/>
        <v/>
      </c>
      <c r="M26" s="69"/>
      <c r="T26" s="56" t="str">
        <f t="shared" si="1"/>
        <v/>
      </c>
      <c r="BA26" s="1">
        <f>IF(E26&lt;=Leltar_iv!$Y$1,I26,0)</f>
        <v>0</v>
      </c>
    </row>
    <row r="27" spans="4:53" x14ac:dyDescent="0.2">
      <c r="D27" s="84" t="str">
        <f>IF(AND(OR(Kiadas!C26&lt;&gt;Kiadas!C27,Kiadas!C27=1),SUM(Kiadas!L27:L47)&lt;&gt;0),YEAR(Kiadas!W27)&amp;"/"&amp;Kiadas!C27,"")</f>
        <v/>
      </c>
      <c r="E27" s="44"/>
      <c r="F27" s="45"/>
      <c r="G27" s="45"/>
      <c r="H27" s="45"/>
      <c r="I27" s="46"/>
      <c r="J27" s="86" t="str">
        <f>IF(AND(G27&lt;&gt;"",ISERROR(VLOOKUP(G27,Keszlet!$C$5:$H$200,6,FALSE))=FALSE),VLOOKUP(G27,Keszlet!$C$5:$H$200,6,FALSE),"")</f>
        <v/>
      </c>
      <c r="K27" s="72" t="str">
        <f>IF(AND(G27&lt;&gt;"",ISERROR(VLOOKUP(G27,Keszlet!$C$5:$G$200,5,FALSE))=FALSE),VLOOKUP(G27,Keszlet!$C$5:$G$200,5,FALSE),"")</f>
        <v/>
      </c>
      <c r="L27" s="72" t="str">
        <f t="shared" si="0"/>
        <v/>
      </c>
      <c r="M27" s="69"/>
      <c r="T27" s="56" t="str">
        <f t="shared" si="1"/>
        <v/>
      </c>
      <c r="BA27" s="1">
        <f>IF(E27&lt;=Leltar_iv!$Y$1,I27,0)</f>
        <v>0</v>
      </c>
    </row>
    <row r="28" spans="4:53" x14ac:dyDescent="0.2">
      <c r="D28" s="84" t="str">
        <f>IF(AND(OR(Kiadas!C27&lt;&gt;Kiadas!C28,Kiadas!C28=1),SUM(Kiadas!L28:L48)&lt;&gt;0),YEAR(Kiadas!W28)&amp;"/"&amp;Kiadas!C28,"")</f>
        <v/>
      </c>
      <c r="E28" s="44"/>
      <c r="F28" s="45"/>
      <c r="G28" s="45"/>
      <c r="H28" s="45"/>
      <c r="I28" s="46"/>
      <c r="J28" s="86" t="str">
        <f>IF(AND(G28&lt;&gt;"",ISERROR(VLOOKUP(G28,Keszlet!$C$5:$H$200,6,FALSE))=FALSE),VLOOKUP(G28,Keszlet!$C$5:$H$200,6,FALSE),"")</f>
        <v/>
      </c>
      <c r="K28" s="72" t="str">
        <f>IF(AND(G28&lt;&gt;"",ISERROR(VLOOKUP(G28,Keszlet!$C$5:$G$200,5,FALSE))=FALSE),VLOOKUP(G28,Keszlet!$C$5:$G$200,5,FALSE),"")</f>
        <v/>
      </c>
      <c r="L28" s="72" t="str">
        <f t="shared" si="0"/>
        <v/>
      </c>
      <c r="M28" s="69"/>
      <c r="T28" s="56" t="str">
        <f t="shared" si="1"/>
        <v/>
      </c>
      <c r="BA28" s="1">
        <f>IF(E28&lt;=Leltar_iv!$Y$1,I28,0)</f>
        <v>0</v>
      </c>
    </row>
    <row r="29" spans="4:53" x14ac:dyDescent="0.2">
      <c r="D29" s="84" t="str">
        <f>IF(AND(OR(Kiadas!C28&lt;&gt;Kiadas!C29,Kiadas!C29=1),SUM(Kiadas!L29:L49)&lt;&gt;0),YEAR(Kiadas!W29)&amp;"/"&amp;Kiadas!C29,"")</f>
        <v/>
      </c>
      <c r="E29" s="44"/>
      <c r="F29" s="45"/>
      <c r="G29" s="45"/>
      <c r="H29" s="45"/>
      <c r="I29" s="46"/>
      <c r="J29" s="86" t="str">
        <f>IF(AND(G29&lt;&gt;"",ISERROR(VLOOKUP(G29,Keszlet!$C$5:$H$200,6,FALSE))=FALSE),VLOOKUP(G29,Keszlet!$C$5:$H$200,6,FALSE),"")</f>
        <v/>
      </c>
      <c r="K29" s="72" t="str">
        <f>IF(AND(G29&lt;&gt;"",ISERROR(VLOOKUP(G29,Keszlet!$C$5:$G$200,5,FALSE))=FALSE),VLOOKUP(G29,Keszlet!$C$5:$G$200,5,FALSE),"")</f>
        <v/>
      </c>
      <c r="L29" s="72" t="str">
        <f t="shared" si="0"/>
        <v/>
      </c>
      <c r="M29" s="69"/>
      <c r="T29" s="56" t="str">
        <f t="shared" si="1"/>
        <v/>
      </c>
      <c r="BA29" s="1">
        <f>IF(E29&lt;=Leltar_iv!$Y$1,I29,0)</f>
        <v>0</v>
      </c>
    </row>
    <row r="30" spans="4:53" x14ac:dyDescent="0.2">
      <c r="D30" s="84" t="str">
        <f>IF(AND(OR(Kiadas!C29&lt;&gt;Kiadas!C30,Kiadas!C30=1),SUM(Kiadas!L30:L50)&lt;&gt;0),YEAR(Kiadas!W30)&amp;"/"&amp;Kiadas!C30,"")</f>
        <v/>
      </c>
      <c r="E30" s="44"/>
      <c r="F30" s="45"/>
      <c r="G30" s="45"/>
      <c r="H30" s="45"/>
      <c r="I30" s="46"/>
      <c r="J30" s="86" t="str">
        <f>IF(AND(G30&lt;&gt;"",ISERROR(VLOOKUP(G30,Keszlet!$C$5:$H$200,6,FALSE))=FALSE),VLOOKUP(G30,Keszlet!$C$5:$H$200,6,FALSE),"")</f>
        <v/>
      </c>
      <c r="K30" s="72" t="str">
        <f>IF(AND(G30&lt;&gt;"",ISERROR(VLOOKUP(G30,Keszlet!$C$5:$G$200,5,FALSE))=FALSE),VLOOKUP(G30,Keszlet!$C$5:$G$200,5,FALSE),"")</f>
        <v/>
      </c>
      <c r="L30" s="72" t="str">
        <f t="shared" si="0"/>
        <v/>
      </c>
      <c r="M30" s="69"/>
      <c r="T30" s="56" t="str">
        <f t="shared" si="1"/>
        <v/>
      </c>
      <c r="BA30" s="1">
        <f>IF(E30&lt;=Leltar_iv!$Y$1,I30,0)</f>
        <v>0</v>
      </c>
    </row>
    <row r="31" spans="4:53" x14ac:dyDescent="0.2">
      <c r="D31" s="84" t="str">
        <f>IF(AND(OR(Kiadas!C30&lt;&gt;Kiadas!C31,Kiadas!C31=1),SUM(Kiadas!L31:L51)&lt;&gt;0),YEAR(Kiadas!W31)&amp;"/"&amp;Kiadas!C31,"")</f>
        <v/>
      </c>
      <c r="E31" s="44"/>
      <c r="F31" s="45"/>
      <c r="G31" s="45"/>
      <c r="H31" s="45"/>
      <c r="I31" s="46"/>
      <c r="J31" s="86" t="str">
        <f>IF(AND(G31&lt;&gt;"",ISERROR(VLOOKUP(G31,Keszlet!$C$5:$H$200,6,FALSE))=FALSE),VLOOKUP(G31,Keszlet!$C$5:$H$200,6,FALSE),"")</f>
        <v/>
      </c>
      <c r="K31" s="72" t="str">
        <f>IF(AND(G31&lt;&gt;"",ISERROR(VLOOKUP(G31,Keszlet!$C$5:$G$200,5,FALSE))=FALSE),VLOOKUP(G31,Keszlet!$C$5:$G$200,5,FALSE),"")</f>
        <v/>
      </c>
      <c r="L31" s="72" t="str">
        <f t="shared" si="0"/>
        <v/>
      </c>
      <c r="M31" s="69"/>
      <c r="T31" s="56" t="str">
        <f t="shared" si="1"/>
        <v/>
      </c>
      <c r="BA31" s="1">
        <f>IF(E31&lt;=Leltar_iv!$Y$1,I31,0)</f>
        <v>0</v>
      </c>
    </row>
    <row r="32" spans="4:53" x14ac:dyDescent="0.2">
      <c r="D32" s="84" t="str">
        <f>IF(AND(OR(Kiadas!C31&lt;&gt;Kiadas!C32,Kiadas!C32=1),SUM(Kiadas!L32:L52)&lt;&gt;0),YEAR(Kiadas!W32)&amp;"/"&amp;Kiadas!C32,"")</f>
        <v/>
      </c>
      <c r="E32" s="44"/>
      <c r="F32" s="45"/>
      <c r="G32" s="45"/>
      <c r="H32" s="45"/>
      <c r="I32" s="46"/>
      <c r="J32" s="86" t="str">
        <f>IF(AND(G32&lt;&gt;"",ISERROR(VLOOKUP(G32,Keszlet!$C$5:$H$200,6,FALSE))=FALSE),VLOOKUP(G32,Keszlet!$C$5:$H$200,6,FALSE),"")</f>
        <v/>
      </c>
      <c r="K32" s="72" t="str">
        <f>IF(AND(G32&lt;&gt;"",ISERROR(VLOOKUP(G32,Keszlet!$C$5:$G$200,5,FALSE))=FALSE),VLOOKUP(G32,Keszlet!$C$5:$G$200,5,FALSE),"")</f>
        <v/>
      </c>
      <c r="L32" s="72" t="str">
        <f t="shared" si="0"/>
        <v/>
      </c>
      <c r="M32" s="69"/>
      <c r="T32" s="56" t="str">
        <f t="shared" si="1"/>
        <v/>
      </c>
      <c r="BA32" s="1">
        <f>IF(E32&lt;=Leltar_iv!$Y$1,I32,0)</f>
        <v>0</v>
      </c>
    </row>
    <row r="33" spans="4:53" x14ac:dyDescent="0.2">
      <c r="D33" s="84" t="str">
        <f>IF(AND(OR(Kiadas!C32&lt;&gt;Kiadas!C33,Kiadas!C33=1),SUM(Kiadas!L33:L53)&lt;&gt;0),YEAR(Kiadas!W33)&amp;"/"&amp;Kiadas!C33,"")</f>
        <v/>
      </c>
      <c r="E33" s="44"/>
      <c r="F33" s="45"/>
      <c r="G33" s="45"/>
      <c r="H33" s="45"/>
      <c r="I33" s="46"/>
      <c r="J33" s="86" t="str">
        <f>IF(AND(G33&lt;&gt;"",ISERROR(VLOOKUP(G33,Keszlet!$C$5:$H$200,6,FALSE))=FALSE),VLOOKUP(G33,Keszlet!$C$5:$H$200,6,FALSE),"")</f>
        <v/>
      </c>
      <c r="K33" s="72" t="str">
        <f>IF(AND(G33&lt;&gt;"",ISERROR(VLOOKUP(G33,Keszlet!$C$5:$G$200,5,FALSE))=FALSE),VLOOKUP(G33,Keszlet!$C$5:$G$200,5,FALSE),"")</f>
        <v/>
      </c>
      <c r="L33" s="72" t="str">
        <f t="shared" si="0"/>
        <v/>
      </c>
      <c r="M33" s="69"/>
      <c r="T33" s="56" t="str">
        <f t="shared" si="1"/>
        <v/>
      </c>
      <c r="BA33" s="1">
        <f>IF(E33&lt;=Leltar_iv!$Y$1,I33,0)</f>
        <v>0</v>
      </c>
    </row>
    <row r="34" spans="4:53" x14ac:dyDescent="0.2">
      <c r="D34" s="84" t="str">
        <f>IF(AND(OR(Kiadas!C33&lt;&gt;Kiadas!C34,Kiadas!C34=1),SUM(Kiadas!L34:L54)&lt;&gt;0),YEAR(Kiadas!W34)&amp;"/"&amp;Kiadas!C34,"")</f>
        <v/>
      </c>
      <c r="E34" s="44"/>
      <c r="F34" s="45"/>
      <c r="G34" s="45"/>
      <c r="H34" s="45"/>
      <c r="I34" s="46"/>
      <c r="J34" s="86" t="str">
        <f>IF(AND(G34&lt;&gt;"",ISERROR(VLOOKUP(G34,Keszlet!$C$5:$H$200,6,FALSE))=FALSE),VLOOKUP(G34,Keszlet!$C$5:$H$200,6,FALSE),"")</f>
        <v/>
      </c>
      <c r="K34" s="72" t="str">
        <f>IF(AND(G34&lt;&gt;"",ISERROR(VLOOKUP(G34,Keszlet!$C$5:$G$200,5,FALSE))=FALSE),VLOOKUP(G34,Keszlet!$C$5:$G$200,5,FALSE),"")</f>
        <v/>
      </c>
      <c r="L34" s="72" t="str">
        <f t="shared" si="0"/>
        <v/>
      </c>
      <c r="M34" s="69"/>
      <c r="T34" s="56" t="str">
        <f t="shared" si="1"/>
        <v/>
      </c>
      <c r="BA34" s="1">
        <f>IF(E34&lt;=Leltar_iv!$Y$1,I34,0)</f>
        <v>0</v>
      </c>
    </row>
    <row r="35" spans="4:53" x14ac:dyDescent="0.2">
      <c r="D35" s="84" t="str">
        <f>IF(AND(OR(Kiadas!C34&lt;&gt;Kiadas!C35,Kiadas!C35=1),SUM(Kiadas!L35:L55)&lt;&gt;0),YEAR(Kiadas!W35)&amp;"/"&amp;Kiadas!C35,"")</f>
        <v/>
      </c>
      <c r="E35" s="44"/>
      <c r="F35" s="45"/>
      <c r="G35" s="45"/>
      <c r="H35" s="45"/>
      <c r="I35" s="46"/>
      <c r="J35" s="86" t="str">
        <f>IF(AND(G35&lt;&gt;"",ISERROR(VLOOKUP(G35,Keszlet!$C$5:$H$200,6,FALSE))=FALSE),VLOOKUP(G35,Keszlet!$C$5:$H$200,6,FALSE),"")</f>
        <v/>
      </c>
      <c r="K35" s="72" t="str">
        <f>IF(AND(G35&lt;&gt;"",ISERROR(VLOOKUP(G35,Keszlet!$C$5:$G$200,5,FALSE))=FALSE),VLOOKUP(G35,Keszlet!$C$5:$G$200,5,FALSE),"")</f>
        <v/>
      </c>
      <c r="L35" s="72" t="str">
        <f t="shared" si="0"/>
        <v/>
      </c>
      <c r="M35" s="69"/>
      <c r="T35" s="56" t="str">
        <f t="shared" si="1"/>
        <v/>
      </c>
      <c r="BA35" s="1">
        <f>IF(E35&lt;=Leltar_iv!$Y$1,I35,0)</f>
        <v>0</v>
      </c>
    </row>
    <row r="36" spans="4:53" x14ac:dyDescent="0.2">
      <c r="D36" s="84" t="str">
        <f>IF(AND(OR(Kiadas!C35&lt;&gt;Kiadas!C36,Kiadas!C36=1),SUM(Kiadas!L36:L56)&lt;&gt;0),YEAR(Kiadas!W36)&amp;"/"&amp;Kiadas!C36,"")</f>
        <v/>
      </c>
      <c r="E36" s="44"/>
      <c r="F36" s="45"/>
      <c r="G36" s="45"/>
      <c r="H36" s="45"/>
      <c r="I36" s="46"/>
      <c r="J36" s="86" t="str">
        <f>IF(AND(G36&lt;&gt;"",ISERROR(VLOOKUP(G36,Keszlet!$C$5:$H$200,6,FALSE))=FALSE),VLOOKUP(G36,Keszlet!$C$5:$H$200,6,FALSE),"")</f>
        <v/>
      </c>
      <c r="K36" s="72" t="str">
        <f>IF(AND(G36&lt;&gt;"",ISERROR(VLOOKUP(G36,Keszlet!$C$5:$G$200,5,FALSE))=FALSE),VLOOKUP(G36,Keszlet!$C$5:$G$200,5,FALSE),"")</f>
        <v/>
      </c>
      <c r="L36" s="72" t="str">
        <f t="shared" si="0"/>
        <v/>
      </c>
      <c r="M36" s="69"/>
      <c r="T36" s="56" t="str">
        <f t="shared" si="1"/>
        <v/>
      </c>
      <c r="BA36" s="1">
        <f>IF(E36&lt;=Leltar_iv!$Y$1,I36,0)</f>
        <v>0</v>
      </c>
    </row>
    <row r="37" spans="4:53" x14ac:dyDescent="0.2">
      <c r="D37" s="84" t="str">
        <f>IF(AND(OR(Kiadas!C36&lt;&gt;Kiadas!C37,Kiadas!C37=1),SUM(Kiadas!L37:L57)&lt;&gt;0),YEAR(Kiadas!W37)&amp;"/"&amp;Kiadas!C37,"")</f>
        <v/>
      </c>
      <c r="E37" s="44"/>
      <c r="F37" s="45"/>
      <c r="G37" s="45"/>
      <c r="H37" s="45"/>
      <c r="I37" s="46"/>
      <c r="J37" s="86" t="str">
        <f>IF(AND(G37&lt;&gt;"",ISERROR(VLOOKUP(G37,Keszlet!$C$5:$H$200,6,FALSE))=FALSE),VLOOKUP(G37,Keszlet!$C$5:$H$200,6,FALSE),"")</f>
        <v/>
      </c>
      <c r="K37" s="72" t="str">
        <f>IF(AND(G37&lt;&gt;"",ISERROR(VLOOKUP(G37,Keszlet!$C$5:$G$200,5,FALSE))=FALSE),VLOOKUP(G37,Keszlet!$C$5:$G$200,5,FALSE),"")</f>
        <v/>
      </c>
      <c r="L37" s="72" t="str">
        <f t="shared" si="0"/>
        <v/>
      </c>
      <c r="M37" s="69"/>
      <c r="T37" s="56" t="str">
        <f t="shared" si="1"/>
        <v/>
      </c>
      <c r="BA37" s="1">
        <f>IF(E37&lt;=Leltar_iv!$Y$1,I37,0)</f>
        <v>0</v>
      </c>
    </row>
    <row r="38" spans="4:53" x14ac:dyDescent="0.2">
      <c r="D38" s="84" t="str">
        <f>IF(AND(OR(Kiadas!C37&lt;&gt;Kiadas!C38,Kiadas!C38=1),SUM(Kiadas!L38:L58)&lt;&gt;0),YEAR(Kiadas!W38)&amp;"/"&amp;Kiadas!C38,"")</f>
        <v/>
      </c>
      <c r="E38" s="44"/>
      <c r="F38" s="45"/>
      <c r="G38" s="45"/>
      <c r="H38" s="45"/>
      <c r="I38" s="46"/>
      <c r="J38" s="86" t="str">
        <f>IF(AND(G38&lt;&gt;"",ISERROR(VLOOKUP(G38,Keszlet!$C$5:$H$200,6,FALSE))=FALSE),VLOOKUP(G38,Keszlet!$C$5:$H$200,6,FALSE),"")</f>
        <v/>
      </c>
      <c r="K38" s="72" t="str">
        <f>IF(AND(G38&lt;&gt;"",ISERROR(VLOOKUP(G38,Keszlet!$C$5:$G$200,5,FALSE))=FALSE),VLOOKUP(G38,Keszlet!$C$5:$G$200,5,FALSE),"")</f>
        <v/>
      </c>
      <c r="L38" s="72" t="str">
        <f t="shared" si="0"/>
        <v/>
      </c>
      <c r="M38" s="69"/>
      <c r="T38" s="56" t="str">
        <f t="shared" si="1"/>
        <v/>
      </c>
      <c r="BA38" s="1">
        <f>IF(E38&lt;=Leltar_iv!$Y$1,I38,0)</f>
        <v>0</v>
      </c>
    </row>
    <row r="39" spans="4:53" x14ac:dyDescent="0.2">
      <c r="D39" s="84" t="str">
        <f>IF(AND(OR(Kiadas!C38&lt;&gt;Kiadas!C39,Kiadas!C39=1),SUM(Kiadas!L39:L59)&lt;&gt;0),YEAR(Kiadas!W39)&amp;"/"&amp;Kiadas!C39,"")</f>
        <v/>
      </c>
      <c r="E39" s="44"/>
      <c r="F39" s="45"/>
      <c r="G39" s="45"/>
      <c r="H39" s="45"/>
      <c r="I39" s="46"/>
      <c r="J39" s="86" t="str">
        <f>IF(AND(G39&lt;&gt;"",ISERROR(VLOOKUP(G39,Keszlet!$C$5:$H$200,6,FALSE))=FALSE),VLOOKUP(G39,Keszlet!$C$5:$H$200,6,FALSE),"")</f>
        <v/>
      </c>
      <c r="K39" s="72" t="str">
        <f>IF(AND(G39&lt;&gt;"",ISERROR(VLOOKUP(G39,Keszlet!$C$5:$G$200,5,FALSE))=FALSE),VLOOKUP(G39,Keszlet!$C$5:$G$200,5,FALSE),"")</f>
        <v/>
      </c>
      <c r="L39" s="72" t="str">
        <f t="shared" si="0"/>
        <v/>
      </c>
      <c r="M39" s="69"/>
      <c r="T39" s="56" t="str">
        <f t="shared" si="1"/>
        <v/>
      </c>
      <c r="BA39" s="1">
        <f>IF(E39&lt;=Leltar_iv!$Y$1,I39,0)</f>
        <v>0</v>
      </c>
    </row>
    <row r="40" spans="4:53" x14ac:dyDescent="0.2">
      <c r="D40" s="84" t="str">
        <f>IF(AND(OR(Kiadas!C39&lt;&gt;Kiadas!C40,Kiadas!C40=1),SUM(Kiadas!L40:L60)&lt;&gt;0),YEAR(Kiadas!W40)&amp;"/"&amp;Kiadas!C40,"")</f>
        <v/>
      </c>
      <c r="E40" s="44"/>
      <c r="F40" s="45"/>
      <c r="G40" s="45"/>
      <c r="H40" s="45"/>
      <c r="I40" s="46"/>
      <c r="J40" s="86" t="str">
        <f>IF(AND(G40&lt;&gt;"",ISERROR(VLOOKUP(G40,Keszlet!$C$5:$H$200,6,FALSE))=FALSE),VLOOKUP(G40,Keszlet!$C$5:$H$200,6,FALSE),"")</f>
        <v/>
      </c>
      <c r="K40" s="72" t="str">
        <f>IF(AND(G40&lt;&gt;"",ISERROR(VLOOKUP(G40,Keszlet!$C$5:$G$200,5,FALSE))=FALSE),VLOOKUP(G40,Keszlet!$C$5:$G$200,5,FALSE),"")</f>
        <v/>
      </c>
      <c r="L40" s="72" t="str">
        <f t="shared" si="0"/>
        <v/>
      </c>
      <c r="M40" s="69"/>
      <c r="T40" s="56" t="str">
        <f t="shared" si="1"/>
        <v/>
      </c>
      <c r="BA40" s="1">
        <f>IF(E40&lt;=Leltar_iv!$Y$1,I40,0)</f>
        <v>0</v>
      </c>
    </row>
    <row r="41" spans="4:53" x14ac:dyDescent="0.2">
      <c r="D41" s="84" t="str">
        <f>IF(AND(OR(Kiadas!C40&lt;&gt;Kiadas!C41,Kiadas!C41=1),SUM(Kiadas!L41:L61)&lt;&gt;0),YEAR(Kiadas!W41)&amp;"/"&amp;Kiadas!C41,"")</f>
        <v/>
      </c>
      <c r="E41" s="44"/>
      <c r="F41" s="45"/>
      <c r="G41" s="45"/>
      <c r="H41" s="45"/>
      <c r="I41" s="46"/>
      <c r="J41" s="86" t="str">
        <f>IF(AND(G41&lt;&gt;"",ISERROR(VLOOKUP(G41,Keszlet!$C$5:$H$200,6,FALSE))=FALSE),VLOOKUP(G41,Keszlet!$C$5:$H$200,6,FALSE),"")</f>
        <v/>
      </c>
      <c r="K41" s="72" t="str">
        <f>IF(AND(G41&lt;&gt;"",ISERROR(VLOOKUP(G41,Keszlet!$C$5:$G$200,5,FALSE))=FALSE),VLOOKUP(G41,Keszlet!$C$5:$G$200,5,FALSE),"")</f>
        <v/>
      </c>
      <c r="L41" s="72" t="str">
        <f t="shared" si="0"/>
        <v/>
      </c>
      <c r="M41" s="69"/>
      <c r="T41" s="56" t="str">
        <f t="shared" si="1"/>
        <v/>
      </c>
      <c r="BA41" s="1">
        <f>IF(E41&lt;=Leltar_iv!$Y$1,I41,0)</f>
        <v>0</v>
      </c>
    </row>
    <row r="42" spans="4:53" x14ac:dyDescent="0.2">
      <c r="D42" s="84" t="str">
        <f>IF(AND(OR(Kiadas!C41&lt;&gt;Kiadas!C42,Kiadas!C42=1),SUM(Kiadas!L42:L62)&lt;&gt;0),YEAR(Kiadas!W42)&amp;"/"&amp;Kiadas!C42,"")</f>
        <v/>
      </c>
      <c r="E42" s="44"/>
      <c r="F42" s="45"/>
      <c r="G42" s="45"/>
      <c r="H42" s="45"/>
      <c r="I42" s="46"/>
      <c r="J42" s="86" t="str">
        <f>IF(AND(G42&lt;&gt;"",ISERROR(VLOOKUP(G42,Keszlet!$C$5:$H$200,6,FALSE))=FALSE),VLOOKUP(G42,Keszlet!$C$5:$H$200,6,FALSE),"")</f>
        <v/>
      </c>
      <c r="K42" s="72" t="str">
        <f>IF(AND(G42&lt;&gt;"",ISERROR(VLOOKUP(G42,Keszlet!$C$5:$G$200,5,FALSE))=FALSE),VLOOKUP(G42,Keszlet!$C$5:$G$200,5,FALSE),"")</f>
        <v/>
      </c>
      <c r="L42" s="72" t="str">
        <f t="shared" si="0"/>
        <v/>
      </c>
      <c r="M42" s="69"/>
      <c r="T42" s="56" t="str">
        <f t="shared" si="1"/>
        <v/>
      </c>
      <c r="BA42" s="1">
        <f>IF(E42&lt;=Leltar_iv!$Y$1,I42,0)</f>
        <v>0</v>
      </c>
    </row>
    <row r="43" spans="4:53" x14ac:dyDescent="0.2">
      <c r="D43" s="84" t="str">
        <f>IF(AND(OR(Kiadas!C42&lt;&gt;Kiadas!C43,Kiadas!C43=1),SUM(Kiadas!L43:L63)&lt;&gt;0),YEAR(Kiadas!W43)&amp;"/"&amp;Kiadas!C43,"")</f>
        <v/>
      </c>
      <c r="E43" s="44"/>
      <c r="F43" s="45"/>
      <c r="G43" s="45"/>
      <c r="H43" s="45"/>
      <c r="I43" s="46"/>
      <c r="J43" s="86" t="str">
        <f>IF(AND(G43&lt;&gt;"",ISERROR(VLOOKUP(G43,Keszlet!$C$5:$H$200,6,FALSE))=FALSE),VLOOKUP(G43,Keszlet!$C$5:$H$200,6,FALSE),"")</f>
        <v/>
      </c>
      <c r="K43" s="72" t="str">
        <f>IF(AND(G43&lt;&gt;"",ISERROR(VLOOKUP(G43,Keszlet!$C$5:$G$200,5,FALSE))=FALSE),VLOOKUP(G43,Keszlet!$C$5:$G$200,5,FALSE),"")</f>
        <v/>
      </c>
      <c r="L43" s="72" t="str">
        <f t="shared" si="0"/>
        <v/>
      </c>
      <c r="M43" s="69"/>
      <c r="T43" s="56" t="str">
        <f t="shared" si="1"/>
        <v/>
      </c>
      <c r="BA43" s="1">
        <f>IF(E43&lt;=Leltar_iv!$Y$1,I43,0)</f>
        <v>0</v>
      </c>
    </row>
    <row r="44" spans="4:53" x14ac:dyDescent="0.2">
      <c r="D44" s="84" t="str">
        <f>IF(AND(OR(Kiadas!C43&lt;&gt;Kiadas!C44,Kiadas!C44=1),SUM(Kiadas!L44:L64)&lt;&gt;0),YEAR(Kiadas!W44)&amp;"/"&amp;Kiadas!C44,"")</f>
        <v/>
      </c>
      <c r="E44" s="44"/>
      <c r="F44" s="45"/>
      <c r="G44" s="45"/>
      <c r="H44" s="45"/>
      <c r="I44" s="46"/>
      <c r="J44" s="86" t="str">
        <f>IF(AND(G44&lt;&gt;"",ISERROR(VLOOKUP(G44,Keszlet!$C$5:$H$200,6,FALSE))=FALSE),VLOOKUP(G44,Keszlet!$C$5:$H$200,6,FALSE),"")</f>
        <v/>
      </c>
      <c r="K44" s="72" t="str">
        <f>IF(AND(G44&lt;&gt;"",ISERROR(VLOOKUP(G44,Keszlet!$C$5:$G$200,5,FALSE))=FALSE),VLOOKUP(G44,Keszlet!$C$5:$G$200,5,FALSE),"")</f>
        <v/>
      </c>
      <c r="L44" s="72" t="str">
        <f t="shared" si="0"/>
        <v/>
      </c>
      <c r="M44" s="69"/>
      <c r="T44" s="56" t="str">
        <f t="shared" si="1"/>
        <v/>
      </c>
      <c r="BA44" s="1">
        <f>IF(E44&lt;=Leltar_iv!$Y$1,I44,0)</f>
        <v>0</v>
      </c>
    </row>
    <row r="45" spans="4:53" x14ac:dyDescent="0.2">
      <c r="D45" s="84" t="str">
        <f>IF(AND(OR(Kiadas!C44&lt;&gt;Kiadas!C45,Kiadas!C45=1),SUM(Kiadas!L45:L65)&lt;&gt;0),YEAR(Kiadas!W45)&amp;"/"&amp;Kiadas!C45,"")</f>
        <v/>
      </c>
      <c r="E45" s="44"/>
      <c r="F45" s="45"/>
      <c r="G45" s="45"/>
      <c r="H45" s="45"/>
      <c r="I45" s="46"/>
      <c r="J45" s="86" t="str">
        <f>IF(AND(G45&lt;&gt;"",ISERROR(VLOOKUP(G45,Keszlet!$C$5:$H$200,6,FALSE))=FALSE),VLOOKUP(G45,Keszlet!$C$5:$H$200,6,FALSE),"")</f>
        <v/>
      </c>
      <c r="K45" s="72" t="str">
        <f>IF(AND(G45&lt;&gt;"",ISERROR(VLOOKUP(G45,Keszlet!$C$5:$G$200,5,FALSE))=FALSE),VLOOKUP(G45,Keszlet!$C$5:$G$200,5,FALSE),"")</f>
        <v/>
      </c>
      <c r="L45" s="72" t="str">
        <f t="shared" si="0"/>
        <v/>
      </c>
      <c r="M45" s="69"/>
      <c r="T45" s="56" t="str">
        <f t="shared" si="1"/>
        <v/>
      </c>
      <c r="BA45" s="1">
        <f>IF(E45&lt;=Leltar_iv!$Y$1,I45,0)</f>
        <v>0</v>
      </c>
    </row>
    <row r="46" spans="4:53" x14ac:dyDescent="0.2">
      <c r="D46" s="84" t="str">
        <f>IF(AND(OR(Kiadas!C45&lt;&gt;Kiadas!C46,Kiadas!C46=1),SUM(Kiadas!L46:L66)&lt;&gt;0),YEAR(Kiadas!W46)&amp;"/"&amp;Kiadas!C46,"")</f>
        <v/>
      </c>
      <c r="E46" s="44"/>
      <c r="F46" s="45"/>
      <c r="G46" s="45"/>
      <c r="H46" s="45"/>
      <c r="I46" s="46"/>
      <c r="J46" s="86" t="str">
        <f>IF(AND(G46&lt;&gt;"",ISERROR(VLOOKUP(G46,Keszlet!$C$5:$H$200,6,FALSE))=FALSE),VLOOKUP(G46,Keszlet!$C$5:$H$200,6,FALSE),"")</f>
        <v/>
      </c>
      <c r="K46" s="72" t="str">
        <f>IF(AND(G46&lt;&gt;"",ISERROR(VLOOKUP(G46,Keszlet!$C$5:$G$200,5,FALSE))=FALSE),VLOOKUP(G46,Keszlet!$C$5:$G$200,5,FALSE),"")</f>
        <v/>
      </c>
      <c r="L46" s="72" t="str">
        <f t="shared" si="0"/>
        <v/>
      </c>
      <c r="M46" s="69"/>
      <c r="T46" s="56" t="str">
        <f t="shared" si="1"/>
        <v/>
      </c>
      <c r="BA46" s="1">
        <f>IF(E46&lt;=Leltar_iv!$Y$1,I46,0)</f>
        <v>0</v>
      </c>
    </row>
    <row r="47" spans="4:53" x14ac:dyDescent="0.2">
      <c r="D47" s="84" t="str">
        <f>IF(AND(OR(Kiadas!C46&lt;&gt;Kiadas!C47,Kiadas!C47=1),SUM(Kiadas!L47:L67)&lt;&gt;0),YEAR(Kiadas!W47)&amp;"/"&amp;Kiadas!C47,"")</f>
        <v/>
      </c>
      <c r="E47" s="44"/>
      <c r="F47" s="45"/>
      <c r="G47" s="45"/>
      <c r="H47" s="45"/>
      <c r="I47" s="46"/>
      <c r="J47" s="86" t="str">
        <f>IF(AND(G47&lt;&gt;"",ISERROR(VLOOKUP(G47,Keszlet!$C$5:$H$200,6,FALSE))=FALSE),VLOOKUP(G47,Keszlet!$C$5:$H$200,6,FALSE),"")</f>
        <v/>
      </c>
      <c r="K47" s="72" t="str">
        <f>IF(AND(G47&lt;&gt;"",ISERROR(VLOOKUP(G47,Keszlet!$C$5:$G$200,5,FALSE))=FALSE),VLOOKUP(G47,Keszlet!$C$5:$G$200,5,FALSE),"")</f>
        <v/>
      </c>
      <c r="L47" s="72" t="str">
        <f t="shared" si="0"/>
        <v/>
      </c>
      <c r="M47" s="69"/>
      <c r="T47" s="56" t="str">
        <f t="shared" si="1"/>
        <v/>
      </c>
      <c r="BA47" s="1">
        <f>IF(E47&lt;=Leltar_iv!$Y$1,I47,0)</f>
        <v>0</v>
      </c>
    </row>
    <row r="48" spans="4:53" x14ac:dyDescent="0.2">
      <c r="D48" s="84" t="str">
        <f>IF(AND(OR(Kiadas!C47&lt;&gt;Kiadas!C48,Kiadas!C48=1),SUM(Kiadas!L48:L68)&lt;&gt;0),YEAR(Kiadas!W48)&amp;"/"&amp;Kiadas!C48,"")</f>
        <v/>
      </c>
      <c r="E48" s="44"/>
      <c r="F48" s="45"/>
      <c r="G48" s="45"/>
      <c r="H48" s="45"/>
      <c r="I48" s="46"/>
      <c r="J48" s="86" t="str">
        <f>IF(AND(G48&lt;&gt;"",ISERROR(VLOOKUP(G48,Keszlet!$C$5:$H$200,6,FALSE))=FALSE),VLOOKUP(G48,Keszlet!$C$5:$H$200,6,FALSE),"")</f>
        <v/>
      </c>
      <c r="K48" s="72" t="str">
        <f>IF(AND(G48&lt;&gt;"",ISERROR(VLOOKUP(G48,Keszlet!$C$5:$G$200,5,FALSE))=FALSE),VLOOKUP(G48,Keszlet!$C$5:$G$200,5,FALSE),"")</f>
        <v/>
      </c>
      <c r="L48" s="72" t="str">
        <f t="shared" si="0"/>
        <v/>
      </c>
      <c r="M48" s="69"/>
      <c r="T48" s="56" t="str">
        <f t="shared" si="1"/>
        <v/>
      </c>
      <c r="BA48" s="1">
        <f>IF(E48&lt;=Leltar_iv!$Y$1,I48,0)</f>
        <v>0</v>
      </c>
    </row>
    <row r="49" spans="4:53" x14ac:dyDescent="0.2">
      <c r="D49" s="84" t="str">
        <f>IF(AND(OR(Kiadas!C48&lt;&gt;Kiadas!C49,Kiadas!C49=1),SUM(Kiadas!L49:L69)&lt;&gt;0),YEAR(Kiadas!W49)&amp;"/"&amp;Kiadas!C49,"")</f>
        <v/>
      </c>
      <c r="E49" s="44"/>
      <c r="F49" s="45"/>
      <c r="G49" s="45"/>
      <c r="H49" s="45"/>
      <c r="I49" s="46"/>
      <c r="J49" s="86" t="str">
        <f>IF(AND(G49&lt;&gt;"",ISERROR(VLOOKUP(G49,Keszlet!$C$5:$H$200,6,FALSE))=FALSE),VLOOKUP(G49,Keszlet!$C$5:$H$200,6,FALSE),"")</f>
        <v/>
      </c>
      <c r="K49" s="72" t="str">
        <f>IF(AND(G49&lt;&gt;"",ISERROR(VLOOKUP(G49,Keszlet!$C$5:$G$200,5,FALSE))=FALSE),VLOOKUP(G49,Keszlet!$C$5:$G$200,5,FALSE),"")</f>
        <v/>
      </c>
      <c r="L49" s="72" t="str">
        <f t="shared" si="0"/>
        <v/>
      </c>
      <c r="M49" s="69"/>
      <c r="T49" s="56" t="str">
        <f t="shared" si="1"/>
        <v/>
      </c>
      <c r="BA49" s="1">
        <f>IF(E49&lt;=Leltar_iv!$Y$1,I49,0)</f>
        <v>0</v>
      </c>
    </row>
    <row r="50" spans="4:53" x14ac:dyDescent="0.2">
      <c r="D50" s="84" t="str">
        <f>IF(AND(OR(Kiadas!C49&lt;&gt;Kiadas!C50,Kiadas!C50=1),SUM(Kiadas!L50:L70)&lt;&gt;0),YEAR(Kiadas!W50)&amp;"/"&amp;Kiadas!C50,"")</f>
        <v/>
      </c>
      <c r="E50" s="44"/>
      <c r="F50" s="45"/>
      <c r="G50" s="45"/>
      <c r="H50" s="45"/>
      <c r="I50" s="46"/>
      <c r="J50" s="86" t="str">
        <f>IF(AND(G50&lt;&gt;"",ISERROR(VLOOKUP(G50,Keszlet!$C$5:$H$200,6,FALSE))=FALSE),VLOOKUP(G50,Keszlet!$C$5:$H$200,6,FALSE),"")</f>
        <v/>
      </c>
      <c r="K50" s="72" t="str">
        <f>IF(AND(G50&lt;&gt;"",ISERROR(VLOOKUP(G50,Keszlet!$C$5:$G$200,5,FALSE))=FALSE),VLOOKUP(G50,Keszlet!$C$5:$G$200,5,FALSE),"")</f>
        <v/>
      </c>
      <c r="L50" s="72" t="str">
        <f t="shared" si="0"/>
        <v/>
      </c>
      <c r="M50" s="69"/>
      <c r="T50" s="56" t="str">
        <f t="shared" si="1"/>
        <v/>
      </c>
      <c r="BA50" s="1">
        <f>IF(E50&lt;=Leltar_iv!$Y$1,I50,0)</f>
        <v>0</v>
      </c>
    </row>
    <row r="51" spans="4:53" x14ac:dyDescent="0.2">
      <c r="D51" s="84" t="str">
        <f>IF(AND(OR(Kiadas!C50&lt;&gt;Kiadas!C51,Kiadas!C51=1),SUM(Kiadas!L51:L71)&lt;&gt;0),YEAR(Kiadas!W51)&amp;"/"&amp;Kiadas!C51,"")</f>
        <v/>
      </c>
      <c r="E51" s="44"/>
      <c r="F51" s="45"/>
      <c r="G51" s="45"/>
      <c r="H51" s="45"/>
      <c r="I51" s="46"/>
      <c r="J51" s="86" t="str">
        <f>IF(AND(G51&lt;&gt;"",ISERROR(VLOOKUP(G51,Keszlet!$C$5:$H$200,6,FALSE))=FALSE),VLOOKUP(G51,Keszlet!$C$5:$H$200,6,FALSE),"")</f>
        <v/>
      </c>
      <c r="K51" s="72" t="str">
        <f>IF(AND(G51&lt;&gt;"",ISERROR(VLOOKUP(G51,Keszlet!$C$5:$G$200,5,FALSE))=FALSE),VLOOKUP(G51,Keszlet!$C$5:$G$200,5,FALSE),"")</f>
        <v/>
      </c>
      <c r="L51" s="72" t="str">
        <f t="shared" si="0"/>
        <v/>
      </c>
      <c r="M51" s="69"/>
      <c r="T51" s="56" t="str">
        <f t="shared" si="1"/>
        <v/>
      </c>
      <c r="BA51" s="1">
        <f>IF(E51&lt;=Leltar_iv!$Y$1,I51,0)</f>
        <v>0</v>
      </c>
    </row>
    <row r="52" spans="4:53" x14ac:dyDescent="0.2">
      <c r="D52" s="84" t="str">
        <f>IF(AND(OR(Kiadas!C51&lt;&gt;Kiadas!C52,Kiadas!C52=1),SUM(Kiadas!L52:L72)&lt;&gt;0),YEAR(Kiadas!W52)&amp;"/"&amp;Kiadas!C52,"")</f>
        <v/>
      </c>
      <c r="E52" s="44"/>
      <c r="F52" s="45"/>
      <c r="G52" s="45"/>
      <c r="H52" s="45"/>
      <c r="I52" s="46"/>
      <c r="J52" s="86" t="str">
        <f>IF(AND(G52&lt;&gt;"",ISERROR(VLOOKUP(G52,Keszlet!$C$5:$H$200,6,FALSE))=FALSE),VLOOKUP(G52,Keszlet!$C$5:$H$200,6,FALSE),"")</f>
        <v/>
      </c>
      <c r="K52" s="72" t="str">
        <f>IF(AND(G52&lt;&gt;"",ISERROR(VLOOKUP(G52,Keszlet!$C$5:$G$200,5,FALSE))=FALSE),VLOOKUP(G52,Keszlet!$C$5:$G$200,5,FALSE),"")</f>
        <v/>
      </c>
      <c r="L52" s="72" t="str">
        <f t="shared" si="0"/>
        <v/>
      </c>
      <c r="M52" s="69"/>
      <c r="T52" s="56" t="str">
        <f t="shared" si="1"/>
        <v/>
      </c>
      <c r="BA52" s="1">
        <f>IF(E52&lt;=Leltar_iv!$Y$1,I52,0)</f>
        <v>0</v>
      </c>
    </row>
    <row r="53" spans="4:53" x14ac:dyDescent="0.2">
      <c r="D53" s="84" t="str">
        <f>IF(AND(OR(Kiadas!C52&lt;&gt;Kiadas!C53,Kiadas!C53=1),SUM(Kiadas!L53:L73)&lt;&gt;0),YEAR(Kiadas!W53)&amp;"/"&amp;Kiadas!C53,"")</f>
        <v/>
      </c>
      <c r="E53" s="44"/>
      <c r="F53" s="45"/>
      <c r="G53" s="45"/>
      <c r="H53" s="45"/>
      <c r="I53" s="46"/>
      <c r="J53" s="86" t="str">
        <f>IF(AND(G53&lt;&gt;"",ISERROR(VLOOKUP(G53,Keszlet!$C$5:$H$200,6,FALSE))=FALSE),VLOOKUP(G53,Keszlet!$C$5:$H$200,6,FALSE),"")</f>
        <v/>
      </c>
      <c r="K53" s="72" t="str">
        <f>IF(AND(G53&lt;&gt;"",ISERROR(VLOOKUP(G53,Keszlet!$C$5:$G$200,5,FALSE))=FALSE),VLOOKUP(G53,Keszlet!$C$5:$G$200,5,FALSE),"")</f>
        <v/>
      </c>
      <c r="L53" s="72" t="str">
        <f t="shared" si="0"/>
        <v/>
      </c>
      <c r="M53" s="69"/>
      <c r="T53" s="56" t="str">
        <f t="shared" si="1"/>
        <v/>
      </c>
      <c r="BA53" s="1">
        <f>IF(E53&lt;=Leltar_iv!$Y$1,I53,0)</f>
        <v>0</v>
      </c>
    </row>
    <row r="54" spans="4:53" x14ac:dyDescent="0.2">
      <c r="D54" s="84" t="str">
        <f>IF(AND(OR(Kiadas!C53&lt;&gt;Kiadas!C54,Kiadas!C54=1),SUM(Kiadas!L54:L74)&lt;&gt;0),YEAR(Kiadas!W54)&amp;"/"&amp;Kiadas!C54,"")</f>
        <v/>
      </c>
      <c r="E54" s="44"/>
      <c r="F54" s="45"/>
      <c r="G54" s="45"/>
      <c r="H54" s="45"/>
      <c r="I54" s="46"/>
      <c r="J54" s="86" t="str">
        <f>IF(AND(G54&lt;&gt;"",ISERROR(VLOOKUP(G54,Keszlet!$C$5:$H$200,6,FALSE))=FALSE),VLOOKUP(G54,Keszlet!$C$5:$H$200,6,FALSE),"")</f>
        <v/>
      </c>
      <c r="K54" s="72" t="str">
        <f>IF(AND(G54&lt;&gt;"",ISERROR(VLOOKUP(G54,Keszlet!$C$5:$G$200,5,FALSE))=FALSE),VLOOKUP(G54,Keszlet!$C$5:$G$200,5,FALSE),"")</f>
        <v/>
      </c>
      <c r="L54" s="72" t="str">
        <f t="shared" si="0"/>
        <v/>
      </c>
      <c r="M54" s="69"/>
      <c r="T54" s="56" t="str">
        <f t="shared" si="1"/>
        <v/>
      </c>
      <c r="BA54" s="1">
        <f>IF(E54&lt;=Leltar_iv!$Y$1,I54,0)</f>
        <v>0</v>
      </c>
    </row>
    <row r="55" spans="4:53" x14ac:dyDescent="0.2">
      <c r="D55" s="84" t="str">
        <f>IF(AND(OR(Kiadas!C54&lt;&gt;Kiadas!C55,Kiadas!C55=1),SUM(Kiadas!L55:L75)&lt;&gt;0),YEAR(Kiadas!W55)&amp;"/"&amp;Kiadas!C55,"")</f>
        <v/>
      </c>
      <c r="E55" s="44"/>
      <c r="F55" s="45"/>
      <c r="G55" s="45"/>
      <c r="H55" s="45"/>
      <c r="I55" s="46"/>
      <c r="J55" s="86" t="str">
        <f>IF(AND(G55&lt;&gt;"",ISERROR(VLOOKUP(G55,Keszlet!$C$5:$H$200,6,FALSE))=FALSE),VLOOKUP(G55,Keszlet!$C$5:$H$200,6,FALSE),"")</f>
        <v/>
      </c>
      <c r="K55" s="72" t="str">
        <f>IF(AND(G55&lt;&gt;"",ISERROR(VLOOKUP(G55,Keszlet!$C$5:$G$200,5,FALSE))=FALSE),VLOOKUP(G55,Keszlet!$C$5:$G$200,5,FALSE),"")</f>
        <v/>
      </c>
      <c r="L55" s="72" t="str">
        <f t="shared" si="0"/>
        <v/>
      </c>
      <c r="M55" s="69"/>
      <c r="T55" s="56" t="str">
        <f t="shared" si="1"/>
        <v/>
      </c>
      <c r="BA55" s="1">
        <f>IF(E55&lt;=Leltar_iv!$Y$1,I55,0)</f>
        <v>0</v>
      </c>
    </row>
    <row r="56" spans="4:53" x14ac:dyDescent="0.2">
      <c r="D56" s="84" t="str">
        <f>IF(AND(OR(Kiadas!C55&lt;&gt;Kiadas!C56,Kiadas!C56=1),SUM(Kiadas!L56:L76)&lt;&gt;0),YEAR(Kiadas!W56)&amp;"/"&amp;Kiadas!C56,"")</f>
        <v/>
      </c>
      <c r="E56" s="44"/>
      <c r="F56" s="45"/>
      <c r="G56" s="45"/>
      <c r="H56" s="45"/>
      <c r="I56" s="46"/>
      <c r="J56" s="86" t="str">
        <f>IF(AND(G56&lt;&gt;"",ISERROR(VLOOKUP(G56,Keszlet!$C$5:$H$200,6,FALSE))=FALSE),VLOOKUP(G56,Keszlet!$C$5:$H$200,6,FALSE),"")</f>
        <v/>
      </c>
      <c r="K56" s="72" t="str">
        <f>IF(AND(G56&lt;&gt;"",ISERROR(VLOOKUP(G56,Keszlet!$C$5:$G$200,5,FALSE))=FALSE),VLOOKUP(G56,Keszlet!$C$5:$G$200,5,FALSE),"")</f>
        <v/>
      </c>
      <c r="L56" s="72" t="str">
        <f t="shared" si="0"/>
        <v/>
      </c>
      <c r="M56" s="69"/>
      <c r="T56" s="56" t="str">
        <f t="shared" si="1"/>
        <v/>
      </c>
      <c r="BA56" s="1">
        <f>IF(E56&lt;=Leltar_iv!$Y$1,I56,0)</f>
        <v>0</v>
      </c>
    </row>
    <row r="57" spans="4:53" x14ac:dyDescent="0.2">
      <c r="D57" s="84" t="str">
        <f>IF(AND(OR(Kiadas!C56&lt;&gt;Kiadas!C57,Kiadas!C57=1),SUM(Kiadas!L57:L77)&lt;&gt;0),YEAR(Kiadas!W57)&amp;"/"&amp;Kiadas!C57,"")</f>
        <v/>
      </c>
      <c r="E57" s="44"/>
      <c r="F57" s="45"/>
      <c r="G57" s="45"/>
      <c r="H57" s="45"/>
      <c r="I57" s="46"/>
      <c r="J57" s="86" t="str">
        <f>IF(AND(G57&lt;&gt;"",ISERROR(VLOOKUP(G57,Keszlet!$C$5:$H$200,6,FALSE))=FALSE),VLOOKUP(G57,Keszlet!$C$5:$H$200,6,FALSE),"")</f>
        <v/>
      </c>
      <c r="K57" s="72" t="str">
        <f>IF(AND(G57&lt;&gt;"",ISERROR(VLOOKUP(G57,Keszlet!$C$5:$G$200,5,FALSE))=FALSE),VLOOKUP(G57,Keszlet!$C$5:$G$200,5,FALSE),"")</f>
        <v/>
      </c>
      <c r="L57" s="72" t="str">
        <f t="shared" si="0"/>
        <v/>
      </c>
      <c r="M57" s="69"/>
      <c r="T57" s="56" t="str">
        <f t="shared" si="1"/>
        <v/>
      </c>
      <c r="BA57" s="1">
        <f>IF(E57&lt;=Leltar_iv!$Y$1,I57,0)</f>
        <v>0</v>
      </c>
    </row>
    <row r="58" spans="4:53" x14ac:dyDescent="0.2">
      <c r="D58" s="84" t="str">
        <f>IF(AND(OR(Kiadas!C57&lt;&gt;Kiadas!C58,Kiadas!C58=1),SUM(Kiadas!L58:L78)&lt;&gt;0),YEAR(Kiadas!W58)&amp;"/"&amp;Kiadas!C58,"")</f>
        <v/>
      </c>
      <c r="E58" s="44"/>
      <c r="F58" s="45"/>
      <c r="G58" s="45"/>
      <c r="H58" s="45"/>
      <c r="I58" s="46"/>
      <c r="J58" s="86" t="str">
        <f>IF(AND(G58&lt;&gt;"",ISERROR(VLOOKUP(G58,Keszlet!$C$5:$H$200,6,FALSE))=FALSE),VLOOKUP(G58,Keszlet!$C$5:$H$200,6,FALSE),"")</f>
        <v/>
      </c>
      <c r="K58" s="72" t="str">
        <f>IF(AND(G58&lt;&gt;"",ISERROR(VLOOKUP(G58,Keszlet!$C$5:$G$200,5,FALSE))=FALSE),VLOOKUP(G58,Keszlet!$C$5:$G$200,5,FALSE),"")</f>
        <v/>
      </c>
      <c r="L58" s="72" t="str">
        <f t="shared" si="0"/>
        <v/>
      </c>
      <c r="M58" s="69"/>
      <c r="T58" s="56" t="str">
        <f t="shared" si="1"/>
        <v/>
      </c>
      <c r="BA58" s="1">
        <f>IF(E58&lt;=Leltar_iv!$Y$1,I58,0)</f>
        <v>0</v>
      </c>
    </row>
    <row r="59" spans="4:53" x14ac:dyDescent="0.2">
      <c r="D59" s="84" t="str">
        <f>IF(AND(OR(Kiadas!C58&lt;&gt;Kiadas!C59,Kiadas!C59=1),SUM(Kiadas!L59:L79)&lt;&gt;0),YEAR(Kiadas!W59)&amp;"/"&amp;Kiadas!C59,"")</f>
        <v/>
      </c>
      <c r="E59" s="44"/>
      <c r="F59" s="45"/>
      <c r="G59" s="45"/>
      <c r="H59" s="45"/>
      <c r="I59" s="46"/>
      <c r="J59" s="86" t="str">
        <f>IF(AND(G59&lt;&gt;"",ISERROR(VLOOKUP(G59,Keszlet!$C$5:$H$200,6,FALSE))=FALSE),VLOOKUP(G59,Keszlet!$C$5:$H$200,6,FALSE),"")</f>
        <v/>
      </c>
      <c r="K59" s="72" t="str">
        <f>IF(AND(G59&lt;&gt;"",ISERROR(VLOOKUP(G59,Keszlet!$C$5:$G$200,5,FALSE))=FALSE),VLOOKUP(G59,Keszlet!$C$5:$G$200,5,FALSE),"")</f>
        <v/>
      </c>
      <c r="L59" s="72" t="str">
        <f t="shared" si="0"/>
        <v/>
      </c>
      <c r="M59" s="69"/>
      <c r="T59" s="56" t="str">
        <f t="shared" si="1"/>
        <v/>
      </c>
      <c r="BA59" s="1">
        <f>IF(E59&lt;=Leltar_iv!$Y$1,I59,0)</f>
        <v>0</v>
      </c>
    </row>
    <row r="60" spans="4:53" x14ac:dyDescent="0.2">
      <c r="D60" s="84" t="str">
        <f>IF(AND(OR(Kiadas!C59&lt;&gt;Kiadas!C60,Kiadas!C60=1),SUM(Kiadas!L60:L80)&lt;&gt;0),YEAR(Kiadas!W60)&amp;"/"&amp;Kiadas!C60,"")</f>
        <v/>
      </c>
      <c r="E60" s="44"/>
      <c r="F60" s="45"/>
      <c r="G60" s="45"/>
      <c r="H60" s="45"/>
      <c r="I60" s="46"/>
      <c r="J60" s="86" t="str">
        <f>IF(AND(G60&lt;&gt;"",ISERROR(VLOOKUP(G60,Keszlet!$C$5:$H$200,6,FALSE))=FALSE),VLOOKUP(G60,Keszlet!$C$5:$H$200,6,FALSE),"")</f>
        <v/>
      </c>
      <c r="K60" s="72" t="str">
        <f>IF(AND(G60&lt;&gt;"",ISERROR(VLOOKUP(G60,Keszlet!$C$5:$G$200,5,FALSE))=FALSE),VLOOKUP(G60,Keszlet!$C$5:$G$200,5,FALSE),"")</f>
        <v/>
      </c>
      <c r="L60" s="72" t="str">
        <f t="shared" si="0"/>
        <v/>
      </c>
      <c r="M60" s="69"/>
      <c r="T60" s="56" t="str">
        <f t="shared" si="1"/>
        <v/>
      </c>
      <c r="BA60" s="1">
        <f>IF(E60&lt;=Leltar_iv!$Y$1,I60,0)</f>
        <v>0</v>
      </c>
    </row>
    <row r="61" spans="4:53" x14ac:dyDescent="0.2">
      <c r="D61" s="84" t="str">
        <f>IF(AND(OR(Kiadas!C60&lt;&gt;Kiadas!C61,Kiadas!C61=1),SUM(Kiadas!L61:L81)&lt;&gt;0),YEAR(Kiadas!W61)&amp;"/"&amp;Kiadas!C61,"")</f>
        <v/>
      </c>
      <c r="E61" s="44"/>
      <c r="F61" s="45"/>
      <c r="G61" s="45"/>
      <c r="H61" s="45"/>
      <c r="I61" s="46"/>
      <c r="J61" s="86" t="str">
        <f>IF(AND(G61&lt;&gt;"",ISERROR(VLOOKUP(G61,Keszlet!$C$5:$H$200,6,FALSE))=FALSE),VLOOKUP(G61,Keszlet!$C$5:$H$200,6,FALSE),"")</f>
        <v/>
      </c>
      <c r="K61" s="72" t="str">
        <f>IF(AND(G61&lt;&gt;"",ISERROR(VLOOKUP(G61,Keszlet!$C$5:$G$200,5,FALSE))=FALSE),VLOOKUP(G61,Keszlet!$C$5:$G$200,5,FALSE),"")</f>
        <v/>
      </c>
      <c r="L61" s="72" t="str">
        <f t="shared" si="0"/>
        <v/>
      </c>
      <c r="M61" s="69"/>
      <c r="T61" s="56" t="str">
        <f t="shared" si="1"/>
        <v/>
      </c>
      <c r="BA61" s="1">
        <f>IF(E61&lt;=Leltar_iv!$Y$1,I61,0)</f>
        <v>0</v>
      </c>
    </row>
    <row r="62" spans="4:53" x14ac:dyDescent="0.2">
      <c r="D62" s="84" t="str">
        <f>IF(AND(OR(Kiadas!C61&lt;&gt;Kiadas!C62,Kiadas!C62=1),SUM(Kiadas!L62:L82)&lt;&gt;0),YEAR(Kiadas!W62)&amp;"/"&amp;Kiadas!C62,"")</f>
        <v/>
      </c>
      <c r="E62" s="44"/>
      <c r="F62" s="45"/>
      <c r="G62" s="45"/>
      <c r="H62" s="45"/>
      <c r="I62" s="46"/>
      <c r="J62" s="86" t="str">
        <f>IF(AND(G62&lt;&gt;"",ISERROR(VLOOKUP(G62,Keszlet!$C$5:$H$200,6,FALSE))=FALSE),VLOOKUP(G62,Keszlet!$C$5:$H$200,6,FALSE),"")</f>
        <v/>
      </c>
      <c r="K62" s="72" t="str">
        <f>IF(AND(G62&lt;&gt;"",ISERROR(VLOOKUP(G62,Keszlet!$C$5:$G$200,5,FALSE))=FALSE),VLOOKUP(G62,Keszlet!$C$5:$G$200,5,FALSE),"")</f>
        <v/>
      </c>
      <c r="L62" s="72" t="str">
        <f t="shared" si="0"/>
        <v/>
      </c>
      <c r="M62" s="69"/>
      <c r="T62" s="56" t="str">
        <f t="shared" si="1"/>
        <v/>
      </c>
      <c r="BA62" s="1">
        <f>IF(E62&lt;=Leltar_iv!$Y$1,I62,0)</f>
        <v>0</v>
      </c>
    </row>
    <row r="63" spans="4:53" x14ac:dyDescent="0.2">
      <c r="D63" s="84" t="str">
        <f>IF(AND(OR(Kiadas!C62&lt;&gt;Kiadas!C63,Kiadas!C63=1),SUM(Kiadas!L63:L83)&lt;&gt;0),YEAR(Kiadas!W63)&amp;"/"&amp;Kiadas!C63,"")</f>
        <v/>
      </c>
      <c r="E63" s="44"/>
      <c r="F63" s="45"/>
      <c r="G63" s="45"/>
      <c r="H63" s="45"/>
      <c r="I63" s="46"/>
      <c r="J63" s="86" t="str">
        <f>IF(AND(G63&lt;&gt;"",ISERROR(VLOOKUP(G63,Keszlet!$C$5:$H$200,6,FALSE))=FALSE),VLOOKUP(G63,Keszlet!$C$5:$H$200,6,FALSE),"")</f>
        <v/>
      </c>
      <c r="K63" s="72" t="str">
        <f>IF(AND(G63&lt;&gt;"",ISERROR(VLOOKUP(G63,Keszlet!$C$5:$G$200,5,FALSE))=FALSE),VLOOKUP(G63,Keszlet!$C$5:$G$200,5,FALSE),"")</f>
        <v/>
      </c>
      <c r="L63" s="72" t="str">
        <f t="shared" si="0"/>
        <v/>
      </c>
      <c r="M63" s="69"/>
      <c r="T63" s="56" t="str">
        <f t="shared" si="1"/>
        <v/>
      </c>
      <c r="BA63" s="1">
        <f>IF(E63&lt;=Leltar_iv!$Y$1,I63,0)</f>
        <v>0</v>
      </c>
    </row>
    <row r="64" spans="4:53" x14ac:dyDescent="0.2">
      <c r="D64" s="84" t="str">
        <f>IF(AND(OR(Kiadas!C63&lt;&gt;Kiadas!C64,Kiadas!C64=1),SUM(Kiadas!L64:L84)&lt;&gt;0),YEAR(Kiadas!W64)&amp;"/"&amp;Kiadas!C64,"")</f>
        <v/>
      </c>
      <c r="E64" s="44"/>
      <c r="F64" s="45"/>
      <c r="G64" s="45"/>
      <c r="H64" s="45"/>
      <c r="I64" s="46"/>
      <c r="J64" s="86" t="str">
        <f>IF(AND(G64&lt;&gt;"",ISERROR(VLOOKUP(G64,Keszlet!$C$5:$H$200,6,FALSE))=FALSE),VLOOKUP(G64,Keszlet!$C$5:$H$200,6,FALSE),"")</f>
        <v/>
      </c>
      <c r="K64" s="72" t="str">
        <f>IF(AND(G64&lt;&gt;"",ISERROR(VLOOKUP(G64,Keszlet!$C$5:$G$200,5,FALSE))=FALSE),VLOOKUP(G64,Keszlet!$C$5:$G$200,5,FALSE),"")</f>
        <v/>
      </c>
      <c r="L64" s="72" t="str">
        <f t="shared" si="0"/>
        <v/>
      </c>
      <c r="M64" s="69"/>
      <c r="T64" s="56" t="str">
        <f t="shared" si="1"/>
        <v/>
      </c>
      <c r="BA64" s="1">
        <f>IF(E64&lt;=Leltar_iv!$Y$1,I64,0)</f>
        <v>0</v>
      </c>
    </row>
    <row r="65" spans="4:53" x14ac:dyDescent="0.2">
      <c r="D65" s="84" t="str">
        <f>IF(AND(OR(Kiadas!C64&lt;&gt;Kiadas!C65,Kiadas!C65=1),SUM(Kiadas!L65:L85)&lt;&gt;0),YEAR(Kiadas!W65)&amp;"/"&amp;Kiadas!C65,"")</f>
        <v/>
      </c>
      <c r="E65" s="44"/>
      <c r="F65" s="45"/>
      <c r="G65" s="45"/>
      <c r="H65" s="45"/>
      <c r="I65" s="46"/>
      <c r="J65" s="86" t="str">
        <f>IF(AND(G65&lt;&gt;"",ISERROR(VLOOKUP(G65,Keszlet!$C$5:$H$200,6,FALSE))=FALSE),VLOOKUP(G65,Keszlet!$C$5:$H$200,6,FALSE),"")</f>
        <v/>
      </c>
      <c r="K65" s="72" t="str">
        <f>IF(AND(G65&lt;&gt;"",ISERROR(VLOOKUP(G65,Keszlet!$C$5:$G$200,5,FALSE))=FALSE),VLOOKUP(G65,Keszlet!$C$5:$G$200,5,FALSE),"")</f>
        <v/>
      </c>
      <c r="L65" s="72" t="str">
        <f t="shared" si="0"/>
        <v/>
      </c>
      <c r="M65" s="69"/>
      <c r="T65" s="56" t="str">
        <f t="shared" si="1"/>
        <v/>
      </c>
      <c r="BA65" s="1">
        <f>IF(E65&lt;=Leltar_iv!$Y$1,I65,0)</f>
        <v>0</v>
      </c>
    </row>
    <row r="66" spans="4:53" x14ac:dyDescent="0.2">
      <c r="D66" s="84" t="str">
        <f>IF(AND(OR(Kiadas!C65&lt;&gt;Kiadas!C66,Kiadas!C66=1),SUM(Kiadas!L66:L86)&lt;&gt;0),YEAR(Kiadas!W66)&amp;"/"&amp;Kiadas!C66,"")</f>
        <v/>
      </c>
      <c r="E66" s="44"/>
      <c r="F66" s="45"/>
      <c r="G66" s="45"/>
      <c r="H66" s="45"/>
      <c r="I66" s="46"/>
      <c r="J66" s="86" t="str">
        <f>IF(AND(G66&lt;&gt;"",ISERROR(VLOOKUP(G66,Keszlet!$C$5:$H$200,6,FALSE))=FALSE),VLOOKUP(G66,Keszlet!$C$5:$H$200,6,FALSE),"")</f>
        <v/>
      </c>
      <c r="K66" s="72" t="str">
        <f>IF(AND(G66&lt;&gt;"",ISERROR(VLOOKUP(G66,Keszlet!$C$5:$G$200,5,FALSE))=FALSE),VLOOKUP(G66,Keszlet!$C$5:$G$200,5,FALSE),"")</f>
        <v/>
      </c>
      <c r="L66" s="72" t="str">
        <f t="shared" si="0"/>
        <v/>
      </c>
      <c r="M66" s="69"/>
      <c r="T66" s="56" t="str">
        <f t="shared" si="1"/>
        <v/>
      </c>
      <c r="BA66" s="1">
        <f>IF(E66&lt;=Leltar_iv!$Y$1,I66,0)</f>
        <v>0</v>
      </c>
    </row>
    <row r="67" spans="4:53" x14ac:dyDescent="0.2">
      <c r="D67" s="84" t="str">
        <f>IF(AND(OR(Kiadas!C66&lt;&gt;Kiadas!C67,Kiadas!C67=1),SUM(Kiadas!L67:L87)&lt;&gt;0),YEAR(Kiadas!W67)&amp;"/"&amp;Kiadas!C67,"")</f>
        <v/>
      </c>
      <c r="E67" s="44"/>
      <c r="F67" s="45"/>
      <c r="G67" s="45"/>
      <c r="H67" s="45"/>
      <c r="I67" s="46"/>
      <c r="J67" s="86" t="str">
        <f>IF(AND(G67&lt;&gt;"",ISERROR(VLOOKUP(G67,Keszlet!$C$5:$H$200,6,FALSE))=FALSE),VLOOKUP(G67,Keszlet!$C$5:$H$200,6,FALSE),"")</f>
        <v/>
      </c>
      <c r="K67" s="72" t="str">
        <f>IF(AND(G67&lt;&gt;"",ISERROR(VLOOKUP(G67,Keszlet!$C$5:$G$200,5,FALSE))=FALSE),VLOOKUP(G67,Keszlet!$C$5:$G$200,5,FALSE),"")</f>
        <v/>
      </c>
      <c r="L67" s="72" t="str">
        <f t="shared" si="0"/>
        <v/>
      </c>
      <c r="M67" s="69"/>
      <c r="T67" s="56" t="str">
        <f t="shared" si="1"/>
        <v/>
      </c>
      <c r="BA67" s="1">
        <f>IF(E67&lt;=Leltar_iv!$Y$1,I67,0)</f>
        <v>0</v>
      </c>
    </row>
    <row r="68" spans="4:53" x14ac:dyDescent="0.2">
      <c r="D68" s="84" t="str">
        <f>IF(AND(OR(Kiadas!C67&lt;&gt;Kiadas!C68,Kiadas!C68=1),SUM(Kiadas!L68:L88)&lt;&gt;0),YEAR(Kiadas!W68)&amp;"/"&amp;Kiadas!C68,"")</f>
        <v/>
      </c>
      <c r="E68" s="44"/>
      <c r="F68" s="45"/>
      <c r="G68" s="45"/>
      <c r="H68" s="45"/>
      <c r="I68" s="46"/>
      <c r="J68" s="86" t="str">
        <f>IF(AND(G68&lt;&gt;"",ISERROR(VLOOKUP(G68,Keszlet!$C$5:$H$200,6,FALSE))=FALSE),VLOOKUP(G68,Keszlet!$C$5:$H$200,6,FALSE),"")</f>
        <v/>
      </c>
      <c r="K68" s="72" t="str">
        <f>IF(AND(G68&lt;&gt;"",ISERROR(VLOOKUP(G68,Keszlet!$C$5:$G$200,5,FALSE))=FALSE),VLOOKUP(G68,Keszlet!$C$5:$G$200,5,FALSE),"")</f>
        <v/>
      </c>
      <c r="L68" s="72" t="str">
        <f t="shared" si="0"/>
        <v/>
      </c>
      <c r="M68" s="69"/>
      <c r="T68" s="56" t="str">
        <f t="shared" si="1"/>
        <v/>
      </c>
      <c r="BA68" s="1">
        <f>IF(E68&lt;=Leltar_iv!$Y$1,I68,0)</f>
        <v>0</v>
      </c>
    </row>
    <row r="69" spans="4:53" x14ac:dyDescent="0.2">
      <c r="D69" s="84" t="str">
        <f>IF(AND(OR(Kiadas!C68&lt;&gt;Kiadas!C69,Kiadas!C69=1),SUM(Kiadas!L69:L89)&lt;&gt;0),YEAR(Kiadas!W69)&amp;"/"&amp;Kiadas!C69,"")</f>
        <v/>
      </c>
      <c r="E69" s="44"/>
      <c r="F69" s="45"/>
      <c r="G69" s="45"/>
      <c r="H69" s="45"/>
      <c r="I69" s="46"/>
      <c r="J69" s="86" t="str">
        <f>IF(AND(G69&lt;&gt;"",ISERROR(VLOOKUP(G69,Keszlet!$C$5:$H$200,6,FALSE))=FALSE),VLOOKUP(G69,Keszlet!$C$5:$H$200,6,FALSE),"")</f>
        <v/>
      </c>
      <c r="K69" s="72" t="str">
        <f>IF(AND(G69&lt;&gt;"",ISERROR(VLOOKUP(G69,Keszlet!$C$5:$G$200,5,FALSE))=FALSE),VLOOKUP(G69,Keszlet!$C$5:$G$200,5,FALSE),"")</f>
        <v/>
      </c>
      <c r="L69" s="72" t="str">
        <f t="shared" si="0"/>
        <v/>
      </c>
      <c r="M69" s="69"/>
      <c r="T69" s="56" t="str">
        <f t="shared" si="1"/>
        <v/>
      </c>
      <c r="BA69" s="1">
        <f>IF(E69&lt;=Leltar_iv!$Y$1,I69,0)</f>
        <v>0</v>
      </c>
    </row>
    <row r="70" spans="4:53" x14ac:dyDescent="0.2">
      <c r="D70" s="84" t="str">
        <f>IF(AND(OR(Kiadas!C69&lt;&gt;Kiadas!C70,Kiadas!C70=1),SUM(Kiadas!L70:L90)&lt;&gt;0),YEAR(Kiadas!W70)&amp;"/"&amp;Kiadas!C70,"")</f>
        <v/>
      </c>
      <c r="E70" s="44"/>
      <c r="F70" s="45"/>
      <c r="G70" s="45"/>
      <c r="H70" s="45"/>
      <c r="I70" s="46"/>
      <c r="J70" s="86" t="str">
        <f>IF(AND(G70&lt;&gt;"",ISERROR(VLOOKUP(G70,Keszlet!$C$5:$H$200,6,FALSE))=FALSE),VLOOKUP(G70,Keszlet!$C$5:$H$200,6,FALSE),"")</f>
        <v/>
      </c>
      <c r="K70" s="72" t="str">
        <f>IF(AND(G70&lt;&gt;"",ISERROR(VLOOKUP(G70,Keszlet!$C$5:$G$200,5,FALSE))=FALSE),VLOOKUP(G70,Keszlet!$C$5:$G$200,5,FALSE),"")</f>
        <v/>
      </c>
      <c r="L70" s="72" t="str">
        <f t="shared" si="0"/>
        <v/>
      </c>
      <c r="M70" s="69"/>
      <c r="T70" s="56" t="str">
        <f t="shared" si="1"/>
        <v/>
      </c>
      <c r="BA70" s="1">
        <f>IF(E70&lt;=Leltar_iv!$Y$1,I70,0)</f>
        <v>0</v>
      </c>
    </row>
    <row r="71" spans="4:53" x14ac:dyDescent="0.2">
      <c r="D71" s="84" t="str">
        <f>IF(AND(OR(Kiadas!C70&lt;&gt;Kiadas!C71,Kiadas!C71=1),SUM(Kiadas!L71:L91)&lt;&gt;0),YEAR(Kiadas!W71)&amp;"/"&amp;Kiadas!C71,"")</f>
        <v/>
      </c>
      <c r="E71" s="44"/>
      <c r="F71" s="45"/>
      <c r="G71" s="45"/>
      <c r="H71" s="45"/>
      <c r="I71" s="46"/>
      <c r="J71" s="86" t="str">
        <f>IF(AND(G71&lt;&gt;"",ISERROR(VLOOKUP(G71,Keszlet!$C$5:$H$200,6,FALSE))=FALSE),VLOOKUP(G71,Keszlet!$C$5:$H$200,6,FALSE),"")</f>
        <v/>
      </c>
      <c r="K71" s="72" t="str">
        <f>IF(AND(G71&lt;&gt;"",ISERROR(VLOOKUP(G71,Keszlet!$C$5:$G$200,5,FALSE))=FALSE),VLOOKUP(G71,Keszlet!$C$5:$G$200,5,FALSE),"")</f>
        <v/>
      </c>
      <c r="L71" s="72" t="str">
        <f t="shared" ref="L71:L134" si="2">IF(AND(G71&lt;&gt;0,K71&lt;&gt;""),I71*K71,"")</f>
        <v/>
      </c>
      <c r="M71" s="69"/>
      <c r="T71" s="56" t="str">
        <f t="shared" si="1"/>
        <v/>
      </c>
      <c r="BA71" s="1">
        <f>IF(E71&lt;=Leltar_iv!$Y$1,I71,0)</f>
        <v>0</v>
      </c>
    </row>
    <row r="72" spans="4:53" x14ac:dyDescent="0.2">
      <c r="D72" s="84" t="str">
        <f>IF(AND(OR(Kiadas!C71&lt;&gt;Kiadas!C72,Kiadas!C72=1),SUM(Kiadas!L72:L92)&lt;&gt;0),YEAR(Kiadas!W72)&amp;"/"&amp;Kiadas!C72,"")</f>
        <v/>
      </c>
      <c r="E72" s="44"/>
      <c r="F72" s="45"/>
      <c r="G72" s="45"/>
      <c r="H72" s="45"/>
      <c r="I72" s="46"/>
      <c r="J72" s="86" t="str">
        <f>IF(AND(G72&lt;&gt;"",ISERROR(VLOOKUP(G72,Keszlet!$C$5:$H$200,6,FALSE))=FALSE),VLOOKUP(G72,Keszlet!$C$5:$H$200,6,FALSE),"")</f>
        <v/>
      </c>
      <c r="K72" s="72" t="str">
        <f>IF(AND(G72&lt;&gt;"",ISERROR(VLOOKUP(G72,Keszlet!$C$5:$G$200,5,FALSE))=FALSE),VLOOKUP(G72,Keszlet!$C$5:$G$200,5,FALSE),"")</f>
        <v/>
      </c>
      <c r="L72" s="72" t="str">
        <f t="shared" si="2"/>
        <v/>
      </c>
      <c r="M72" s="69"/>
      <c r="T72" s="56" t="str">
        <f t="shared" si="1"/>
        <v/>
      </c>
      <c r="BA72" s="1">
        <f>IF(E72&lt;=Leltar_iv!$Y$1,I72,0)</f>
        <v>0</v>
      </c>
    </row>
    <row r="73" spans="4:53" x14ac:dyDescent="0.2">
      <c r="D73" s="84" t="str">
        <f>IF(AND(OR(Kiadas!C72&lt;&gt;Kiadas!C73,Kiadas!C73=1),SUM(Kiadas!L73:L93)&lt;&gt;0),YEAR(Kiadas!W73)&amp;"/"&amp;Kiadas!C73,"")</f>
        <v/>
      </c>
      <c r="E73" s="44"/>
      <c r="F73" s="45"/>
      <c r="G73" s="45"/>
      <c r="H73" s="45"/>
      <c r="I73" s="46"/>
      <c r="J73" s="86" t="str">
        <f>IF(AND(G73&lt;&gt;"",ISERROR(VLOOKUP(G73,Keszlet!$C$5:$H$200,6,FALSE))=FALSE),VLOOKUP(G73,Keszlet!$C$5:$H$200,6,FALSE),"")</f>
        <v/>
      </c>
      <c r="K73" s="72" t="str">
        <f>IF(AND(G73&lt;&gt;"",ISERROR(VLOOKUP(G73,Keszlet!$C$5:$G$200,5,FALSE))=FALSE),VLOOKUP(G73,Keszlet!$C$5:$G$200,5,FALSE),"")</f>
        <v/>
      </c>
      <c r="L73" s="72" t="str">
        <f t="shared" si="2"/>
        <v/>
      </c>
      <c r="M73" s="69"/>
      <c r="T73" s="56" t="str">
        <f t="shared" si="1"/>
        <v/>
      </c>
      <c r="BA73" s="1">
        <f>IF(E73&lt;=Leltar_iv!$Y$1,I73,0)</f>
        <v>0</v>
      </c>
    </row>
    <row r="74" spans="4:53" x14ac:dyDescent="0.2">
      <c r="D74" s="84" t="str">
        <f>IF(AND(OR(Kiadas!C73&lt;&gt;Kiadas!C74,Kiadas!C74=1),SUM(Kiadas!L74:L94)&lt;&gt;0),YEAR(Kiadas!W74)&amp;"/"&amp;Kiadas!C74,"")</f>
        <v/>
      </c>
      <c r="E74" s="44"/>
      <c r="F74" s="45"/>
      <c r="G74" s="45"/>
      <c r="H74" s="45"/>
      <c r="I74" s="46"/>
      <c r="J74" s="86" t="str">
        <f>IF(AND(G74&lt;&gt;"",ISERROR(VLOOKUP(G74,Keszlet!$C$5:$H$200,6,FALSE))=FALSE),VLOOKUP(G74,Keszlet!$C$5:$H$200,6,FALSE),"")</f>
        <v/>
      </c>
      <c r="K74" s="72" t="str">
        <f>IF(AND(G74&lt;&gt;"",ISERROR(VLOOKUP(G74,Keszlet!$C$5:$G$200,5,FALSE))=FALSE),VLOOKUP(G74,Keszlet!$C$5:$G$200,5,FALSE),"")</f>
        <v/>
      </c>
      <c r="L74" s="72" t="str">
        <f t="shared" si="2"/>
        <v/>
      </c>
      <c r="M74" s="69"/>
      <c r="T74" s="56" t="str">
        <f t="shared" si="1"/>
        <v/>
      </c>
      <c r="BA74" s="1">
        <f>IF(E74&lt;=Leltar_iv!$Y$1,I74,0)</f>
        <v>0</v>
      </c>
    </row>
    <row r="75" spans="4:53" x14ac:dyDescent="0.2">
      <c r="D75" s="84" t="str">
        <f>IF(AND(OR(Kiadas!C74&lt;&gt;Kiadas!C75,Kiadas!C75=1),SUM(Kiadas!L75:L95)&lt;&gt;0),YEAR(Kiadas!W75)&amp;"/"&amp;Kiadas!C75,"")</f>
        <v/>
      </c>
      <c r="E75" s="44"/>
      <c r="F75" s="45"/>
      <c r="G75" s="45"/>
      <c r="H75" s="45"/>
      <c r="I75" s="46"/>
      <c r="J75" s="86" t="str">
        <f>IF(AND(G75&lt;&gt;"",ISERROR(VLOOKUP(G75,Keszlet!$C$5:$H$200,6,FALSE))=FALSE),VLOOKUP(G75,Keszlet!$C$5:$H$200,6,FALSE),"")</f>
        <v/>
      </c>
      <c r="K75" s="72" t="str">
        <f>IF(AND(G75&lt;&gt;"",ISERROR(VLOOKUP(G75,Keszlet!$C$5:$G$200,5,FALSE))=FALSE),VLOOKUP(G75,Keszlet!$C$5:$G$200,5,FALSE),"")</f>
        <v/>
      </c>
      <c r="L75" s="72" t="str">
        <f t="shared" si="2"/>
        <v/>
      </c>
      <c r="M75" s="69"/>
      <c r="T75" s="56" t="str">
        <f t="shared" ref="T75:T138" si="3">IF(OR(E75&lt;&gt;0,COUNTIF(T66:T74,0)=9,F75&lt;&gt;0,SUM(L75:L95)=0),E75&amp;F75,0)</f>
        <v/>
      </c>
      <c r="BA75" s="1">
        <f>IF(E75&lt;=Leltar_iv!$Y$1,I75,0)</f>
        <v>0</v>
      </c>
    </row>
    <row r="76" spans="4:53" x14ac:dyDescent="0.2">
      <c r="D76" s="84" t="str">
        <f>IF(AND(OR(Kiadas!C75&lt;&gt;Kiadas!C76,Kiadas!C76=1),SUM(Kiadas!L76:L96)&lt;&gt;0),YEAR(Kiadas!W76)&amp;"/"&amp;Kiadas!C76,"")</f>
        <v/>
      </c>
      <c r="E76" s="44"/>
      <c r="F76" s="45"/>
      <c r="G76" s="45"/>
      <c r="H76" s="45"/>
      <c r="I76" s="46"/>
      <c r="J76" s="86" t="str">
        <f>IF(AND(G76&lt;&gt;"",ISERROR(VLOOKUP(G76,Keszlet!$C$5:$H$200,6,FALSE))=FALSE),VLOOKUP(G76,Keszlet!$C$5:$H$200,6,FALSE),"")</f>
        <v/>
      </c>
      <c r="K76" s="72" t="str">
        <f>IF(AND(G76&lt;&gt;"",ISERROR(VLOOKUP(G76,Keszlet!$C$5:$G$200,5,FALSE))=FALSE),VLOOKUP(G76,Keszlet!$C$5:$G$200,5,FALSE),"")</f>
        <v/>
      </c>
      <c r="L76" s="72" t="str">
        <f t="shared" si="2"/>
        <v/>
      </c>
      <c r="M76" s="69"/>
      <c r="T76" s="56" t="str">
        <f t="shared" si="3"/>
        <v/>
      </c>
      <c r="BA76" s="1">
        <f>IF(E76&lt;=Leltar_iv!$Y$1,I76,0)</f>
        <v>0</v>
      </c>
    </row>
    <row r="77" spans="4:53" x14ac:dyDescent="0.2">
      <c r="D77" s="84" t="str">
        <f>IF(AND(OR(Kiadas!C76&lt;&gt;Kiadas!C77,Kiadas!C77=1),SUM(Kiadas!L77:L97)&lt;&gt;0),YEAR(Kiadas!W77)&amp;"/"&amp;Kiadas!C77,"")</f>
        <v/>
      </c>
      <c r="E77" s="44"/>
      <c r="F77" s="45"/>
      <c r="G77" s="45"/>
      <c r="H77" s="45"/>
      <c r="I77" s="46"/>
      <c r="J77" s="86" t="str">
        <f>IF(AND(G77&lt;&gt;"",ISERROR(VLOOKUP(G77,Keszlet!$C$5:$H$200,6,FALSE))=FALSE),VLOOKUP(G77,Keszlet!$C$5:$H$200,6,FALSE),"")</f>
        <v/>
      </c>
      <c r="K77" s="72" t="str">
        <f>IF(AND(G77&lt;&gt;"",ISERROR(VLOOKUP(G77,Keszlet!$C$5:$G$200,5,FALSE))=FALSE),VLOOKUP(G77,Keszlet!$C$5:$G$200,5,FALSE),"")</f>
        <v/>
      </c>
      <c r="L77" s="72" t="str">
        <f t="shared" si="2"/>
        <v/>
      </c>
      <c r="M77" s="69"/>
      <c r="T77" s="56" t="str">
        <f t="shared" si="3"/>
        <v/>
      </c>
      <c r="BA77" s="1">
        <f>IF(E77&lt;=Leltar_iv!$Y$1,I77,0)</f>
        <v>0</v>
      </c>
    </row>
    <row r="78" spans="4:53" x14ac:dyDescent="0.2">
      <c r="D78" s="84" t="str">
        <f>IF(AND(OR(Kiadas!C77&lt;&gt;Kiadas!C78,Kiadas!C78=1),SUM(Kiadas!L78:L98)&lt;&gt;0),YEAR(Kiadas!W78)&amp;"/"&amp;Kiadas!C78,"")</f>
        <v/>
      </c>
      <c r="E78" s="44"/>
      <c r="F78" s="45"/>
      <c r="G78" s="45"/>
      <c r="H78" s="45"/>
      <c r="I78" s="46"/>
      <c r="J78" s="86" t="str">
        <f>IF(AND(G78&lt;&gt;"",ISERROR(VLOOKUP(G78,Keszlet!$C$5:$H$200,6,FALSE))=FALSE),VLOOKUP(G78,Keszlet!$C$5:$H$200,6,FALSE),"")</f>
        <v/>
      </c>
      <c r="K78" s="72" t="str">
        <f>IF(AND(G78&lt;&gt;"",ISERROR(VLOOKUP(G78,Keszlet!$C$5:$G$200,5,FALSE))=FALSE),VLOOKUP(G78,Keszlet!$C$5:$G$200,5,FALSE),"")</f>
        <v/>
      </c>
      <c r="L78" s="72" t="str">
        <f t="shared" si="2"/>
        <v/>
      </c>
      <c r="M78" s="69"/>
      <c r="T78" s="56" t="str">
        <f t="shared" si="3"/>
        <v/>
      </c>
      <c r="BA78" s="1">
        <f>IF(E78&lt;=Leltar_iv!$Y$1,I78,0)</f>
        <v>0</v>
      </c>
    </row>
    <row r="79" spans="4:53" x14ac:dyDescent="0.2">
      <c r="D79" s="84" t="str">
        <f>IF(AND(OR(Kiadas!C78&lt;&gt;Kiadas!C79,Kiadas!C79=1),SUM(Kiadas!L79:L99)&lt;&gt;0),YEAR(Kiadas!W79)&amp;"/"&amp;Kiadas!C79,"")</f>
        <v/>
      </c>
      <c r="E79" s="44"/>
      <c r="F79" s="45"/>
      <c r="G79" s="45"/>
      <c r="H79" s="45"/>
      <c r="I79" s="46"/>
      <c r="J79" s="86" t="str">
        <f>IF(AND(G79&lt;&gt;"",ISERROR(VLOOKUP(G79,Keszlet!$C$5:$H$200,6,FALSE))=FALSE),VLOOKUP(G79,Keszlet!$C$5:$H$200,6,FALSE),"")</f>
        <v/>
      </c>
      <c r="K79" s="72" t="str">
        <f>IF(AND(G79&lt;&gt;"",ISERROR(VLOOKUP(G79,Keszlet!$C$5:$G$200,5,FALSE))=FALSE),VLOOKUP(G79,Keszlet!$C$5:$G$200,5,FALSE),"")</f>
        <v/>
      </c>
      <c r="L79" s="72" t="str">
        <f t="shared" si="2"/>
        <v/>
      </c>
      <c r="M79" s="69"/>
      <c r="T79" s="56" t="str">
        <f t="shared" si="3"/>
        <v/>
      </c>
      <c r="BA79" s="1">
        <f>IF(E79&lt;=Leltar_iv!$Y$1,I79,0)</f>
        <v>0</v>
      </c>
    </row>
    <row r="80" spans="4:53" x14ac:dyDescent="0.2">
      <c r="D80" s="84" t="str">
        <f>IF(AND(OR(Kiadas!C79&lt;&gt;Kiadas!C80,Kiadas!C80=1),SUM(Kiadas!L80:L100)&lt;&gt;0),YEAR(Kiadas!W80)&amp;"/"&amp;Kiadas!C80,"")</f>
        <v/>
      </c>
      <c r="E80" s="44"/>
      <c r="F80" s="45"/>
      <c r="G80" s="45"/>
      <c r="H80" s="45"/>
      <c r="I80" s="46"/>
      <c r="J80" s="86" t="str">
        <f>IF(AND(G80&lt;&gt;"",ISERROR(VLOOKUP(G80,Keszlet!$C$5:$H$200,6,FALSE))=FALSE),VLOOKUP(G80,Keszlet!$C$5:$H$200,6,FALSE),"")</f>
        <v/>
      </c>
      <c r="K80" s="72" t="str">
        <f>IF(AND(G80&lt;&gt;"",ISERROR(VLOOKUP(G80,Keszlet!$C$5:$G$200,5,FALSE))=FALSE),VLOOKUP(G80,Keszlet!$C$5:$G$200,5,FALSE),"")</f>
        <v/>
      </c>
      <c r="L80" s="72" t="str">
        <f t="shared" si="2"/>
        <v/>
      </c>
      <c r="M80" s="69"/>
      <c r="T80" s="56" t="str">
        <f t="shared" si="3"/>
        <v/>
      </c>
      <c r="BA80" s="1">
        <f>IF(E80&lt;=Leltar_iv!$Y$1,I80,0)</f>
        <v>0</v>
      </c>
    </row>
    <row r="81" spans="4:53" x14ac:dyDescent="0.2">
      <c r="D81" s="84" t="str">
        <f>IF(AND(OR(Kiadas!C80&lt;&gt;Kiadas!C81,Kiadas!C81=1),SUM(Kiadas!L81:L101)&lt;&gt;0),YEAR(Kiadas!W81)&amp;"/"&amp;Kiadas!C81,"")</f>
        <v/>
      </c>
      <c r="E81" s="44"/>
      <c r="F81" s="45"/>
      <c r="G81" s="45"/>
      <c r="H81" s="45"/>
      <c r="I81" s="46"/>
      <c r="J81" s="86" t="str">
        <f>IF(AND(G81&lt;&gt;"",ISERROR(VLOOKUP(G81,Keszlet!$C$5:$H$200,6,FALSE))=FALSE),VLOOKUP(G81,Keszlet!$C$5:$H$200,6,FALSE),"")</f>
        <v/>
      </c>
      <c r="K81" s="72" t="str">
        <f>IF(AND(G81&lt;&gt;"",ISERROR(VLOOKUP(G81,Keszlet!$C$5:$G$200,5,FALSE))=FALSE),VLOOKUP(G81,Keszlet!$C$5:$G$200,5,FALSE),"")</f>
        <v/>
      </c>
      <c r="L81" s="72" t="str">
        <f t="shared" si="2"/>
        <v/>
      </c>
      <c r="M81" s="69"/>
      <c r="T81" s="56" t="str">
        <f t="shared" si="3"/>
        <v/>
      </c>
      <c r="BA81" s="1">
        <f>IF(E81&lt;=Leltar_iv!$Y$1,I81,0)</f>
        <v>0</v>
      </c>
    </row>
    <row r="82" spans="4:53" x14ac:dyDescent="0.2">
      <c r="D82" s="84" t="str">
        <f>IF(AND(OR(Kiadas!C81&lt;&gt;Kiadas!C82,Kiadas!C82=1),SUM(Kiadas!L82:L102)&lt;&gt;0),YEAR(Kiadas!W82)&amp;"/"&amp;Kiadas!C82,"")</f>
        <v/>
      </c>
      <c r="E82" s="44"/>
      <c r="F82" s="45"/>
      <c r="G82" s="45"/>
      <c r="H82" s="45"/>
      <c r="I82" s="46"/>
      <c r="J82" s="86" t="str">
        <f>IF(AND(G82&lt;&gt;"",ISERROR(VLOOKUP(G82,Keszlet!$C$5:$H$200,6,FALSE))=FALSE),VLOOKUP(G82,Keszlet!$C$5:$H$200,6,FALSE),"")</f>
        <v/>
      </c>
      <c r="K82" s="72" t="str">
        <f>IF(AND(G82&lt;&gt;"",ISERROR(VLOOKUP(G82,Keszlet!$C$5:$G$200,5,FALSE))=FALSE),VLOOKUP(G82,Keszlet!$C$5:$G$200,5,FALSE),"")</f>
        <v/>
      </c>
      <c r="L82" s="72" t="str">
        <f t="shared" si="2"/>
        <v/>
      </c>
      <c r="M82" s="69"/>
      <c r="T82" s="56" t="str">
        <f t="shared" si="3"/>
        <v/>
      </c>
      <c r="BA82" s="1">
        <f>IF(E82&lt;=Leltar_iv!$Y$1,I82,0)</f>
        <v>0</v>
      </c>
    </row>
    <row r="83" spans="4:53" x14ac:dyDescent="0.2">
      <c r="D83" s="84" t="str">
        <f>IF(AND(OR(Kiadas!C82&lt;&gt;Kiadas!C83,Kiadas!C83=1),SUM(Kiadas!L83:L103)&lt;&gt;0),YEAR(Kiadas!W83)&amp;"/"&amp;Kiadas!C83,"")</f>
        <v/>
      </c>
      <c r="E83" s="44"/>
      <c r="F83" s="45"/>
      <c r="G83" s="45"/>
      <c r="H83" s="45"/>
      <c r="I83" s="46"/>
      <c r="J83" s="86" t="str">
        <f>IF(AND(G83&lt;&gt;"",ISERROR(VLOOKUP(G83,Keszlet!$C$5:$H$200,6,FALSE))=FALSE),VLOOKUP(G83,Keszlet!$C$5:$H$200,6,FALSE),"")</f>
        <v/>
      </c>
      <c r="K83" s="72" t="str">
        <f>IF(AND(G83&lt;&gt;"",ISERROR(VLOOKUP(G83,Keszlet!$C$5:$G$200,5,FALSE))=FALSE),VLOOKUP(G83,Keszlet!$C$5:$G$200,5,FALSE),"")</f>
        <v/>
      </c>
      <c r="L83" s="72" t="str">
        <f t="shared" si="2"/>
        <v/>
      </c>
      <c r="M83" s="69"/>
      <c r="T83" s="56" t="str">
        <f t="shared" si="3"/>
        <v/>
      </c>
      <c r="BA83" s="1">
        <f>IF(E83&lt;=Leltar_iv!$Y$1,I83,0)</f>
        <v>0</v>
      </c>
    </row>
    <row r="84" spans="4:53" x14ac:dyDescent="0.2">
      <c r="D84" s="84" t="str">
        <f>IF(AND(OR(Kiadas!C83&lt;&gt;Kiadas!C84,Kiadas!C84=1),SUM(Kiadas!L84:L104)&lt;&gt;0),YEAR(Kiadas!W84)&amp;"/"&amp;Kiadas!C84,"")</f>
        <v/>
      </c>
      <c r="E84" s="44"/>
      <c r="F84" s="45"/>
      <c r="G84" s="45"/>
      <c r="H84" s="45"/>
      <c r="I84" s="46"/>
      <c r="J84" s="86" t="str">
        <f>IF(AND(G84&lt;&gt;"",ISERROR(VLOOKUP(G84,Keszlet!$C$5:$H$200,6,FALSE))=FALSE),VLOOKUP(G84,Keszlet!$C$5:$H$200,6,FALSE),"")</f>
        <v/>
      </c>
      <c r="K84" s="72" t="str">
        <f>IF(AND(G84&lt;&gt;"",ISERROR(VLOOKUP(G84,Keszlet!$C$5:$G$200,5,FALSE))=FALSE),VLOOKUP(G84,Keszlet!$C$5:$G$200,5,FALSE),"")</f>
        <v/>
      </c>
      <c r="L84" s="72" t="str">
        <f t="shared" si="2"/>
        <v/>
      </c>
      <c r="M84" s="69"/>
      <c r="T84" s="56" t="str">
        <f t="shared" si="3"/>
        <v/>
      </c>
      <c r="BA84" s="1">
        <f>IF(E84&lt;=Leltar_iv!$Y$1,I84,0)</f>
        <v>0</v>
      </c>
    </row>
    <row r="85" spans="4:53" x14ac:dyDescent="0.2">
      <c r="D85" s="84" t="str">
        <f>IF(AND(OR(Kiadas!C84&lt;&gt;Kiadas!C85,Kiadas!C85=1),SUM(Kiadas!L85:L105)&lt;&gt;0),YEAR(Kiadas!W85)&amp;"/"&amp;Kiadas!C85,"")</f>
        <v/>
      </c>
      <c r="E85" s="44"/>
      <c r="F85" s="45"/>
      <c r="G85" s="45"/>
      <c r="H85" s="45"/>
      <c r="I85" s="46"/>
      <c r="J85" s="86" t="str">
        <f>IF(AND(G85&lt;&gt;"",ISERROR(VLOOKUP(G85,Keszlet!$C$5:$H$200,6,FALSE))=FALSE),VLOOKUP(G85,Keszlet!$C$5:$H$200,6,FALSE),"")</f>
        <v/>
      </c>
      <c r="K85" s="72" t="str">
        <f>IF(AND(G85&lt;&gt;"",ISERROR(VLOOKUP(G85,Keszlet!$C$5:$G$200,5,FALSE))=FALSE),VLOOKUP(G85,Keszlet!$C$5:$G$200,5,FALSE),"")</f>
        <v/>
      </c>
      <c r="L85" s="72" t="str">
        <f t="shared" si="2"/>
        <v/>
      </c>
      <c r="M85" s="69"/>
      <c r="T85" s="56" t="str">
        <f t="shared" si="3"/>
        <v/>
      </c>
      <c r="BA85" s="1">
        <f>IF(E85&lt;=Leltar_iv!$Y$1,I85,0)</f>
        <v>0</v>
      </c>
    </row>
    <row r="86" spans="4:53" x14ac:dyDescent="0.2">
      <c r="D86" s="84" t="str">
        <f>IF(AND(OR(Kiadas!C85&lt;&gt;Kiadas!C86,Kiadas!C86=1),SUM(Kiadas!L86:L106)&lt;&gt;0),YEAR(Kiadas!W86)&amp;"/"&amp;Kiadas!C86,"")</f>
        <v/>
      </c>
      <c r="E86" s="44"/>
      <c r="F86" s="45"/>
      <c r="G86" s="45"/>
      <c r="H86" s="45"/>
      <c r="I86" s="46"/>
      <c r="J86" s="86" t="str">
        <f>IF(AND(G86&lt;&gt;"",ISERROR(VLOOKUP(G86,Keszlet!$C$5:$H$200,6,FALSE))=FALSE),VLOOKUP(G86,Keszlet!$C$5:$H$200,6,FALSE),"")</f>
        <v/>
      </c>
      <c r="K86" s="72" t="str">
        <f>IF(AND(G86&lt;&gt;"",ISERROR(VLOOKUP(G86,Keszlet!$C$5:$G$200,5,FALSE))=FALSE),VLOOKUP(G86,Keszlet!$C$5:$G$200,5,FALSE),"")</f>
        <v/>
      </c>
      <c r="L86" s="72" t="str">
        <f t="shared" si="2"/>
        <v/>
      </c>
      <c r="M86" s="69"/>
      <c r="T86" s="56" t="str">
        <f t="shared" si="3"/>
        <v/>
      </c>
      <c r="BA86" s="1">
        <f>IF(E86&lt;=Leltar_iv!$Y$1,I86,0)</f>
        <v>0</v>
      </c>
    </row>
    <row r="87" spans="4:53" x14ac:dyDescent="0.2">
      <c r="D87" s="84" t="str">
        <f>IF(AND(OR(Kiadas!C86&lt;&gt;Kiadas!C87,Kiadas!C87=1),SUM(Kiadas!L87:L107)&lt;&gt;0),YEAR(Kiadas!W87)&amp;"/"&amp;Kiadas!C87,"")</f>
        <v/>
      </c>
      <c r="E87" s="44"/>
      <c r="F87" s="45"/>
      <c r="G87" s="45"/>
      <c r="H87" s="45"/>
      <c r="I87" s="46"/>
      <c r="J87" s="86" t="str">
        <f>IF(AND(G87&lt;&gt;"",ISERROR(VLOOKUP(G87,Keszlet!$C$5:$H$200,6,FALSE))=FALSE),VLOOKUP(G87,Keszlet!$C$5:$H$200,6,FALSE),"")</f>
        <v/>
      </c>
      <c r="K87" s="72" t="str">
        <f>IF(AND(G87&lt;&gt;"",ISERROR(VLOOKUP(G87,Keszlet!$C$5:$G$200,5,FALSE))=FALSE),VLOOKUP(G87,Keszlet!$C$5:$G$200,5,FALSE),"")</f>
        <v/>
      </c>
      <c r="L87" s="72" t="str">
        <f t="shared" si="2"/>
        <v/>
      </c>
      <c r="M87" s="69"/>
      <c r="T87" s="56" t="str">
        <f t="shared" si="3"/>
        <v/>
      </c>
      <c r="BA87" s="1">
        <f>IF(E87&lt;=Leltar_iv!$Y$1,I87,0)</f>
        <v>0</v>
      </c>
    </row>
    <row r="88" spans="4:53" x14ac:dyDescent="0.2">
      <c r="D88" s="84" t="str">
        <f>IF(AND(OR(Kiadas!C87&lt;&gt;Kiadas!C88,Kiadas!C88=1),SUM(Kiadas!L88:L108)&lt;&gt;0),YEAR(Kiadas!W88)&amp;"/"&amp;Kiadas!C88,"")</f>
        <v/>
      </c>
      <c r="E88" s="44"/>
      <c r="F88" s="45"/>
      <c r="G88" s="45"/>
      <c r="H88" s="45"/>
      <c r="I88" s="46"/>
      <c r="J88" s="86" t="str">
        <f>IF(AND(G88&lt;&gt;"",ISERROR(VLOOKUP(G88,Keszlet!$C$5:$H$200,6,FALSE))=FALSE),VLOOKUP(G88,Keszlet!$C$5:$H$200,6,FALSE),"")</f>
        <v/>
      </c>
      <c r="K88" s="72" t="str">
        <f>IF(AND(G88&lt;&gt;"",ISERROR(VLOOKUP(G88,Keszlet!$C$5:$G$200,5,FALSE))=FALSE),VLOOKUP(G88,Keszlet!$C$5:$G$200,5,FALSE),"")</f>
        <v/>
      </c>
      <c r="L88" s="72" t="str">
        <f t="shared" si="2"/>
        <v/>
      </c>
      <c r="M88" s="69"/>
      <c r="T88" s="56" t="str">
        <f t="shared" si="3"/>
        <v/>
      </c>
      <c r="BA88" s="1">
        <f>IF(E88&lt;=Leltar_iv!$Y$1,I88,0)</f>
        <v>0</v>
      </c>
    </row>
    <row r="89" spans="4:53" x14ac:dyDescent="0.2">
      <c r="D89" s="84" t="str">
        <f>IF(AND(OR(Kiadas!C88&lt;&gt;Kiadas!C89,Kiadas!C89=1),SUM(Kiadas!L89:L109)&lt;&gt;0),YEAR(Kiadas!W89)&amp;"/"&amp;Kiadas!C89,"")</f>
        <v/>
      </c>
      <c r="E89" s="44"/>
      <c r="F89" s="45"/>
      <c r="G89" s="45"/>
      <c r="H89" s="45"/>
      <c r="I89" s="46"/>
      <c r="J89" s="86" t="str">
        <f>IF(AND(G89&lt;&gt;"",ISERROR(VLOOKUP(G89,Keszlet!$C$5:$H$200,6,FALSE))=FALSE),VLOOKUP(G89,Keszlet!$C$5:$H$200,6,FALSE),"")</f>
        <v/>
      </c>
      <c r="K89" s="72" t="str">
        <f>IF(AND(G89&lt;&gt;"",ISERROR(VLOOKUP(G89,Keszlet!$C$5:$G$200,5,FALSE))=FALSE),VLOOKUP(G89,Keszlet!$C$5:$G$200,5,FALSE),"")</f>
        <v/>
      </c>
      <c r="L89" s="72" t="str">
        <f t="shared" si="2"/>
        <v/>
      </c>
      <c r="M89" s="69"/>
      <c r="T89" s="56" t="str">
        <f t="shared" si="3"/>
        <v/>
      </c>
      <c r="BA89" s="1">
        <f>IF(E89&lt;=Leltar_iv!$Y$1,I89,0)</f>
        <v>0</v>
      </c>
    </row>
    <row r="90" spans="4:53" x14ac:dyDescent="0.2">
      <c r="D90" s="84" t="str">
        <f>IF(AND(OR(Kiadas!C89&lt;&gt;Kiadas!C90,Kiadas!C90=1),SUM(Kiadas!L90:L110)&lt;&gt;0),YEAR(Kiadas!W90)&amp;"/"&amp;Kiadas!C90,"")</f>
        <v/>
      </c>
      <c r="E90" s="44"/>
      <c r="F90" s="45"/>
      <c r="G90" s="45"/>
      <c r="H90" s="45"/>
      <c r="I90" s="46"/>
      <c r="J90" s="86" t="str">
        <f>IF(AND(G90&lt;&gt;"",ISERROR(VLOOKUP(G90,Keszlet!$C$5:$H$200,6,FALSE))=FALSE),VLOOKUP(G90,Keszlet!$C$5:$H$200,6,FALSE),"")</f>
        <v/>
      </c>
      <c r="K90" s="72" t="str">
        <f>IF(AND(G90&lt;&gt;"",ISERROR(VLOOKUP(G90,Keszlet!$C$5:$G$200,5,FALSE))=FALSE),VLOOKUP(G90,Keszlet!$C$5:$G$200,5,FALSE),"")</f>
        <v/>
      </c>
      <c r="L90" s="72" t="str">
        <f t="shared" si="2"/>
        <v/>
      </c>
      <c r="M90" s="69"/>
      <c r="T90" s="56" t="str">
        <f t="shared" si="3"/>
        <v/>
      </c>
      <c r="BA90" s="1">
        <f>IF(E90&lt;=Leltar_iv!$Y$1,I90,0)</f>
        <v>0</v>
      </c>
    </row>
    <row r="91" spans="4:53" x14ac:dyDescent="0.2">
      <c r="D91" s="84" t="str">
        <f>IF(AND(OR(Kiadas!C90&lt;&gt;Kiadas!C91,Kiadas!C91=1),SUM(Kiadas!L91:L111)&lt;&gt;0),YEAR(Kiadas!W91)&amp;"/"&amp;Kiadas!C91,"")</f>
        <v/>
      </c>
      <c r="E91" s="44"/>
      <c r="F91" s="45"/>
      <c r="G91" s="45"/>
      <c r="H91" s="45"/>
      <c r="I91" s="46"/>
      <c r="J91" s="86" t="str">
        <f>IF(AND(G91&lt;&gt;"",ISERROR(VLOOKUP(G91,Keszlet!$C$5:$H$200,6,FALSE))=FALSE),VLOOKUP(G91,Keszlet!$C$5:$H$200,6,FALSE),"")</f>
        <v/>
      </c>
      <c r="K91" s="72" t="str">
        <f>IF(AND(G91&lt;&gt;"",ISERROR(VLOOKUP(G91,Keszlet!$C$5:$G$200,5,FALSE))=FALSE),VLOOKUP(G91,Keszlet!$C$5:$G$200,5,FALSE),"")</f>
        <v/>
      </c>
      <c r="L91" s="72" t="str">
        <f t="shared" si="2"/>
        <v/>
      </c>
      <c r="M91" s="69"/>
      <c r="T91" s="56" t="str">
        <f t="shared" si="3"/>
        <v/>
      </c>
      <c r="BA91" s="1">
        <f>IF(E91&lt;=Leltar_iv!$Y$1,I91,0)</f>
        <v>0</v>
      </c>
    </row>
    <row r="92" spans="4:53" x14ac:dyDescent="0.2">
      <c r="D92" s="84" t="str">
        <f>IF(AND(OR(Kiadas!C91&lt;&gt;Kiadas!C92,Kiadas!C92=1),SUM(Kiadas!L92:L112)&lt;&gt;0),YEAR(Kiadas!W92)&amp;"/"&amp;Kiadas!C92,"")</f>
        <v/>
      </c>
      <c r="E92" s="44"/>
      <c r="F92" s="45"/>
      <c r="G92" s="45"/>
      <c r="H92" s="45"/>
      <c r="I92" s="46"/>
      <c r="J92" s="86" t="str">
        <f>IF(AND(G92&lt;&gt;"",ISERROR(VLOOKUP(G92,Keszlet!$C$5:$H$200,6,FALSE))=FALSE),VLOOKUP(G92,Keszlet!$C$5:$H$200,6,FALSE),"")</f>
        <v/>
      </c>
      <c r="K92" s="72" t="str">
        <f>IF(AND(G92&lt;&gt;"",ISERROR(VLOOKUP(G92,Keszlet!$C$5:$G$200,5,FALSE))=FALSE),VLOOKUP(G92,Keszlet!$C$5:$G$200,5,FALSE),"")</f>
        <v/>
      </c>
      <c r="L92" s="72" t="str">
        <f t="shared" si="2"/>
        <v/>
      </c>
      <c r="M92" s="69"/>
      <c r="T92" s="56" t="str">
        <f t="shared" si="3"/>
        <v/>
      </c>
      <c r="BA92" s="1">
        <f>IF(E92&lt;=Leltar_iv!$Y$1,I92,0)</f>
        <v>0</v>
      </c>
    </row>
    <row r="93" spans="4:53" x14ac:dyDescent="0.2">
      <c r="D93" s="84" t="str">
        <f>IF(AND(OR(Kiadas!C92&lt;&gt;Kiadas!C93,Kiadas!C93=1),SUM(Kiadas!L93:L113)&lt;&gt;0),YEAR(Kiadas!W93)&amp;"/"&amp;Kiadas!C93,"")</f>
        <v/>
      </c>
      <c r="E93" s="44"/>
      <c r="F93" s="45"/>
      <c r="G93" s="45"/>
      <c r="H93" s="45"/>
      <c r="I93" s="46"/>
      <c r="J93" s="86" t="str">
        <f>IF(AND(G93&lt;&gt;"",ISERROR(VLOOKUP(G93,Keszlet!$C$5:$H$200,6,FALSE))=FALSE),VLOOKUP(G93,Keszlet!$C$5:$H$200,6,FALSE),"")</f>
        <v/>
      </c>
      <c r="K93" s="72" t="str">
        <f>IF(AND(G93&lt;&gt;"",ISERROR(VLOOKUP(G93,Keszlet!$C$5:$G$200,5,FALSE))=FALSE),VLOOKUP(G93,Keszlet!$C$5:$G$200,5,FALSE),"")</f>
        <v/>
      </c>
      <c r="L93" s="72" t="str">
        <f t="shared" si="2"/>
        <v/>
      </c>
      <c r="M93" s="69"/>
      <c r="T93" s="56" t="str">
        <f t="shared" si="3"/>
        <v/>
      </c>
      <c r="BA93" s="1">
        <f>IF(E93&lt;=Leltar_iv!$Y$1,I93,0)</f>
        <v>0</v>
      </c>
    </row>
    <row r="94" spans="4:53" x14ac:dyDescent="0.2">
      <c r="D94" s="84" t="str">
        <f>IF(AND(OR(Kiadas!C93&lt;&gt;Kiadas!C94,Kiadas!C94=1),SUM(Kiadas!L94:L114)&lt;&gt;0),YEAR(Kiadas!W94)&amp;"/"&amp;Kiadas!C94,"")</f>
        <v/>
      </c>
      <c r="E94" s="44"/>
      <c r="F94" s="45"/>
      <c r="G94" s="45"/>
      <c r="H94" s="45"/>
      <c r="I94" s="46"/>
      <c r="J94" s="86" t="str">
        <f>IF(AND(G94&lt;&gt;"",ISERROR(VLOOKUP(G94,Keszlet!$C$5:$H$200,6,FALSE))=FALSE),VLOOKUP(G94,Keszlet!$C$5:$H$200,6,FALSE),"")</f>
        <v/>
      </c>
      <c r="K94" s="72" t="str">
        <f>IF(AND(G94&lt;&gt;"",ISERROR(VLOOKUP(G94,Keszlet!$C$5:$G$200,5,FALSE))=FALSE),VLOOKUP(G94,Keszlet!$C$5:$G$200,5,FALSE),"")</f>
        <v/>
      </c>
      <c r="L94" s="72" t="str">
        <f t="shared" si="2"/>
        <v/>
      </c>
      <c r="M94" s="69"/>
      <c r="T94" s="56" t="str">
        <f t="shared" si="3"/>
        <v/>
      </c>
      <c r="BA94" s="1">
        <f>IF(E94&lt;=Leltar_iv!$Y$1,I94,0)</f>
        <v>0</v>
      </c>
    </row>
    <row r="95" spans="4:53" x14ac:dyDescent="0.2">
      <c r="D95" s="84" t="str">
        <f>IF(AND(OR(Kiadas!C94&lt;&gt;Kiadas!C95,Kiadas!C95=1),SUM(Kiadas!L95:L115)&lt;&gt;0),YEAR(Kiadas!W95)&amp;"/"&amp;Kiadas!C95,"")</f>
        <v/>
      </c>
      <c r="E95" s="44"/>
      <c r="F95" s="45"/>
      <c r="G95" s="45"/>
      <c r="H95" s="45"/>
      <c r="I95" s="46"/>
      <c r="J95" s="86" t="str">
        <f>IF(AND(G95&lt;&gt;"",ISERROR(VLOOKUP(G95,Keszlet!$C$5:$H$200,6,FALSE))=FALSE),VLOOKUP(G95,Keszlet!$C$5:$H$200,6,FALSE),"")</f>
        <v/>
      </c>
      <c r="K95" s="72" t="str">
        <f>IF(AND(G95&lt;&gt;"",ISERROR(VLOOKUP(G95,Keszlet!$C$5:$G$200,5,FALSE))=FALSE),VLOOKUP(G95,Keszlet!$C$5:$G$200,5,FALSE),"")</f>
        <v/>
      </c>
      <c r="L95" s="72" t="str">
        <f t="shared" si="2"/>
        <v/>
      </c>
      <c r="M95" s="69"/>
      <c r="T95" s="56" t="str">
        <f t="shared" si="3"/>
        <v/>
      </c>
      <c r="BA95" s="1">
        <f>IF(E95&lt;=Leltar_iv!$Y$1,I95,0)</f>
        <v>0</v>
      </c>
    </row>
    <row r="96" spans="4:53" x14ac:dyDescent="0.2">
      <c r="D96" s="84" t="str">
        <f>IF(AND(OR(Kiadas!C95&lt;&gt;Kiadas!C96,Kiadas!C96=1),SUM(Kiadas!L96:L116)&lt;&gt;0),YEAR(Kiadas!W96)&amp;"/"&amp;Kiadas!C96,"")</f>
        <v/>
      </c>
      <c r="E96" s="44"/>
      <c r="F96" s="45"/>
      <c r="G96" s="45"/>
      <c r="H96" s="45"/>
      <c r="I96" s="46"/>
      <c r="J96" s="86" t="str">
        <f>IF(AND(G96&lt;&gt;"",ISERROR(VLOOKUP(G96,Keszlet!$C$5:$H$200,6,FALSE))=FALSE),VLOOKUP(G96,Keszlet!$C$5:$H$200,6,FALSE),"")</f>
        <v/>
      </c>
      <c r="K96" s="72" t="str">
        <f>IF(AND(G96&lt;&gt;"",ISERROR(VLOOKUP(G96,Keszlet!$C$5:$G$200,5,FALSE))=FALSE),VLOOKUP(G96,Keszlet!$C$5:$G$200,5,FALSE),"")</f>
        <v/>
      </c>
      <c r="L96" s="72" t="str">
        <f t="shared" si="2"/>
        <v/>
      </c>
      <c r="M96" s="69"/>
      <c r="T96" s="56" t="str">
        <f t="shared" si="3"/>
        <v/>
      </c>
      <c r="BA96" s="1">
        <f>IF(E96&lt;=Leltar_iv!$Y$1,I96,0)</f>
        <v>0</v>
      </c>
    </row>
    <row r="97" spans="4:53" x14ac:dyDescent="0.2">
      <c r="D97" s="84" t="str">
        <f>IF(AND(OR(Kiadas!C96&lt;&gt;Kiadas!C97,Kiadas!C97=1),SUM(Kiadas!L97:L117)&lt;&gt;0),YEAR(Kiadas!W97)&amp;"/"&amp;Kiadas!C97,"")</f>
        <v/>
      </c>
      <c r="E97" s="44"/>
      <c r="F97" s="45"/>
      <c r="G97" s="45"/>
      <c r="H97" s="45"/>
      <c r="I97" s="46"/>
      <c r="J97" s="86" t="str">
        <f>IF(AND(G97&lt;&gt;"",ISERROR(VLOOKUP(G97,Keszlet!$C$5:$H$200,6,FALSE))=FALSE),VLOOKUP(G97,Keszlet!$C$5:$H$200,6,FALSE),"")</f>
        <v/>
      </c>
      <c r="K97" s="72" t="str">
        <f>IF(AND(G97&lt;&gt;"",ISERROR(VLOOKUP(G97,Keszlet!$C$5:$G$200,5,FALSE))=FALSE),VLOOKUP(G97,Keszlet!$C$5:$G$200,5,FALSE),"")</f>
        <v/>
      </c>
      <c r="L97" s="72" t="str">
        <f t="shared" si="2"/>
        <v/>
      </c>
      <c r="M97" s="69"/>
      <c r="T97" s="56" t="str">
        <f t="shared" si="3"/>
        <v/>
      </c>
      <c r="BA97" s="1">
        <f>IF(E97&lt;=Leltar_iv!$Y$1,I97,0)</f>
        <v>0</v>
      </c>
    </row>
    <row r="98" spans="4:53" x14ac:dyDescent="0.2">
      <c r="D98" s="84" t="str">
        <f>IF(AND(OR(Kiadas!C97&lt;&gt;Kiadas!C98,Kiadas!C98=1),SUM(Kiadas!L98:L118)&lt;&gt;0),YEAR(Kiadas!W98)&amp;"/"&amp;Kiadas!C98,"")</f>
        <v/>
      </c>
      <c r="E98" s="44"/>
      <c r="F98" s="45"/>
      <c r="G98" s="45"/>
      <c r="H98" s="45"/>
      <c r="I98" s="46"/>
      <c r="J98" s="86" t="str">
        <f>IF(AND(G98&lt;&gt;"",ISERROR(VLOOKUP(G98,Keszlet!$C$5:$H$200,6,FALSE))=FALSE),VLOOKUP(G98,Keszlet!$C$5:$H$200,6,FALSE),"")</f>
        <v/>
      </c>
      <c r="K98" s="72" t="str">
        <f>IF(AND(G98&lt;&gt;"",ISERROR(VLOOKUP(G98,Keszlet!$C$5:$G$200,5,FALSE))=FALSE),VLOOKUP(G98,Keszlet!$C$5:$G$200,5,FALSE),"")</f>
        <v/>
      </c>
      <c r="L98" s="72" t="str">
        <f t="shared" si="2"/>
        <v/>
      </c>
      <c r="M98" s="69"/>
      <c r="T98" s="56" t="str">
        <f t="shared" si="3"/>
        <v/>
      </c>
      <c r="BA98" s="1">
        <f>IF(E98&lt;=Leltar_iv!$Y$1,I98,0)</f>
        <v>0</v>
      </c>
    </row>
    <row r="99" spans="4:53" x14ac:dyDescent="0.2">
      <c r="D99" s="84" t="str">
        <f>IF(AND(OR(Kiadas!C98&lt;&gt;Kiadas!C99,Kiadas!C99=1),SUM(Kiadas!L99:L119)&lt;&gt;0),YEAR(Kiadas!W99)&amp;"/"&amp;Kiadas!C99,"")</f>
        <v/>
      </c>
      <c r="E99" s="44"/>
      <c r="F99" s="45"/>
      <c r="G99" s="45"/>
      <c r="H99" s="45"/>
      <c r="I99" s="46"/>
      <c r="J99" s="86" t="str">
        <f>IF(AND(G99&lt;&gt;"",ISERROR(VLOOKUP(G99,Keszlet!$C$5:$H$200,6,FALSE))=FALSE),VLOOKUP(G99,Keszlet!$C$5:$H$200,6,FALSE),"")</f>
        <v/>
      </c>
      <c r="K99" s="72" t="str">
        <f>IF(AND(G99&lt;&gt;"",ISERROR(VLOOKUP(G99,Keszlet!$C$5:$G$200,5,FALSE))=FALSE),VLOOKUP(G99,Keszlet!$C$5:$G$200,5,FALSE),"")</f>
        <v/>
      </c>
      <c r="L99" s="72" t="str">
        <f t="shared" si="2"/>
        <v/>
      </c>
      <c r="M99" s="69"/>
      <c r="T99" s="56" t="str">
        <f t="shared" si="3"/>
        <v/>
      </c>
      <c r="BA99" s="1">
        <f>IF(E99&lt;=Leltar_iv!$Y$1,I99,0)</f>
        <v>0</v>
      </c>
    </row>
    <row r="100" spans="4:53" x14ac:dyDescent="0.2">
      <c r="D100" s="84" t="str">
        <f>IF(AND(OR(Kiadas!C99&lt;&gt;Kiadas!C100,Kiadas!C100=1),SUM(Kiadas!L100:L120)&lt;&gt;0),YEAR(Kiadas!W100)&amp;"/"&amp;Kiadas!C100,"")</f>
        <v/>
      </c>
      <c r="E100" s="44"/>
      <c r="F100" s="45"/>
      <c r="G100" s="45"/>
      <c r="H100" s="45"/>
      <c r="I100" s="46"/>
      <c r="J100" s="86" t="str">
        <f>IF(AND(G100&lt;&gt;"",ISERROR(VLOOKUP(G100,Keszlet!$C$5:$H$200,6,FALSE))=FALSE),VLOOKUP(G100,Keszlet!$C$5:$H$200,6,FALSE),"")</f>
        <v/>
      </c>
      <c r="K100" s="72" t="str">
        <f>IF(AND(G100&lt;&gt;"",ISERROR(VLOOKUP(G100,Keszlet!$C$5:$G$200,5,FALSE))=FALSE),VLOOKUP(G100,Keszlet!$C$5:$G$200,5,FALSE),"")</f>
        <v/>
      </c>
      <c r="L100" s="72" t="str">
        <f t="shared" si="2"/>
        <v/>
      </c>
      <c r="M100" s="69"/>
      <c r="T100" s="56" t="str">
        <f t="shared" si="3"/>
        <v/>
      </c>
      <c r="BA100" s="1">
        <f>IF(E100&lt;=Leltar_iv!$Y$1,I100,0)</f>
        <v>0</v>
      </c>
    </row>
    <row r="101" spans="4:53" x14ac:dyDescent="0.2">
      <c r="D101" s="84" t="str">
        <f>IF(AND(OR(Kiadas!C100&lt;&gt;Kiadas!C101,Kiadas!C101=1),SUM(Kiadas!L101:L121)&lt;&gt;0),YEAR(Kiadas!W101)&amp;"/"&amp;Kiadas!C101,"")</f>
        <v/>
      </c>
      <c r="E101" s="44"/>
      <c r="F101" s="45"/>
      <c r="G101" s="45"/>
      <c r="H101" s="45"/>
      <c r="I101" s="46"/>
      <c r="J101" s="86" t="str">
        <f>IF(AND(G101&lt;&gt;"",ISERROR(VLOOKUP(G101,Keszlet!$C$5:$H$200,6,FALSE))=FALSE),VLOOKUP(G101,Keszlet!$C$5:$H$200,6,FALSE),"")</f>
        <v/>
      </c>
      <c r="K101" s="72" t="str">
        <f>IF(AND(G101&lt;&gt;"",ISERROR(VLOOKUP(G101,Keszlet!$C$5:$G$200,5,FALSE))=FALSE),VLOOKUP(G101,Keszlet!$C$5:$G$200,5,FALSE),"")</f>
        <v/>
      </c>
      <c r="L101" s="72" t="str">
        <f t="shared" si="2"/>
        <v/>
      </c>
      <c r="M101" s="69"/>
      <c r="T101" s="56" t="str">
        <f t="shared" si="3"/>
        <v/>
      </c>
      <c r="BA101" s="1">
        <f>IF(E101&lt;=Leltar_iv!$Y$1,I101,0)</f>
        <v>0</v>
      </c>
    </row>
    <row r="102" spans="4:53" x14ac:dyDescent="0.2">
      <c r="D102" s="84" t="str">
        <f>IF(AND(OR(Kiadas!C101&lt;&gt;Kiadas!C102,Kiadas!C102=1),SUM(Kiadas!L102:L122)&lt;&gt;0),YEAR(Kiadas!W102)&amp;"/"&amp;Kiadas!C102,"")</f>
        <v/>
      </c>
      <c r="E102" s="44"/>
      <c r="F102" s="45"/>
      <c r="G102" s="45"/>
      <c r="H102" s="45"/>
      <c r="I102" s="46"/>
      <c r="J102" s="86" t="str">
        <f>IF(AND(G102&lt;&gt;"",ISERROR(VLOOKUP(G102,Keszlet!$C$5:$H$200,6,FALSE))=FALSE),VLOOKUP(G102,Keszlet!$C$5:$H$200,6,FALSE),"")</f>
        <v/>
      </c>
      <c r="K102" s="72" t="str">
        <f>IF(AND(G102&lt;&gt;"",ISERROR(VLOOKUP(G102,Keszlet!$C$5:$G$200,5,FALSE))=FALSE),VLOOKUP(G102,Keszlet!$C$5:$G$200,5,FALSE),"")</f>
        <v/>
      </c>
      <c r="L102" s="72" t="str">
        <f t="shared" si="2"/>
        <v/>
      </c>
      <c r="M102" s="69"/>
      <c r="T102" s="56" t="str">
        <f t="shared" si="3"/>
        <v/>
      </c>
      <c r="BA102" s="1">
        <f>IF(E102&lt;=Leltar_iv!$Y$1,I102,0)</f>
        <v>0</v>
      </c>
    </row>
    <row r="103" spans="4:53" x14ac:dyDescent="0.2">
      <c r="D103" s="84" t="str">
        <f>IF(AND(OR(Kiadas!C102&lt;&gt;Kiadas!C103,Kiadas!C103=1),SUM(Kiadas!L103:L123)&lt;&gt;0),YEAR(Kiadas!W103)&amp;"/"&amp;Kiadas!C103,"")</f>
        <v/>
      </c>
      <c r="E103" s="44"/>
      <c r="F103" s="45"/>
      <c r="G103" s="45"/>
      <c r="H103" s="45"/>
      <c r="I103" s="46"/>
      <c r="J103" s="86" t="str">
        <f>IF(AND(G103&lt;&gt;"",ISERROR(VLOOKUP(G103,Keszlet!$C$5:$H$200,6,FALSE))=FALSE),VLOOKUP(G103,Keszlet!$C$5:$H$200,6,FALSE),"")</f>
        <v/>
      </c>
      <c r="K103" s="72" t="str">
        <f>IF(AND(G103&lt;&gt;"",ISERROR(VLOOKUP(G103,Keszlet!$C$5:$G$200,5,FALSE))=FALSE),VLOOKUP(G103,Keszlet!$C$5:$G$200,5,FALSE),"")</f>
        <v/>
      </c>
      <c r="L103" s="72" t="str">
        <f t="shared" si="2"/>
        <v/>
      </c>
      <c r="M103" s="69"/>
      <c r="T103" s="56" t="str">
        <f t="shared" si="3"/>
        <v/>
      </c>
      <c r="BA103" s="1">
        <f>IF(E103&lt;=Leltar_iv!$Y$1,I103,0)</f>
        <v>0</v>
      </c>
    </row>
    <row r="104" spans="4:53" x14ac:dyDescent="0.2">
      <c r="D104" s="84" t="str">
        <f>IF(AND(OR(Kiadas!C103&lt;&gt;Kiadas!C104,Kiadas!C104=1),SUM(Kiadas!L104:L124)&lt;&gt;0),YEAR(Kiadas!W104)&amp;"/"&amp;Kiadas!C104,"")</f>
        <v/>
      </c>
      <c r="E104" s="44"/>
      <c r="F104" s="45"/>
      <c r="G104" s="45"/>
      <c r="H104" s="45"/>
      <c r="I104" s="46"/>
      <c r="J104" s="86" t="str">
        <f>IF(AND(G104&lt;&gt;"",ISERROR(VLOOKUP(G104,Keszlet!$C$5:$H$200,6,FALSE))=FALSE),VLOOKUP(G104,Keszlet!$C$5:$H$200,6,FALSE),"")</f>
        <v/>
      </c>
      <c r="K104" s="72" t="str">
        <f>IF(AND(G104&lt;&gt;"",ISERROR(VLOOKUP(G104,Keszlet!$C$5:$G$200,5,FALSE))=FALSE),VLOOKUP(G104,Keszlet!$C$5:$G$200,5,FALSE),"")</f>
        <v/>
      </c>
      <c r="L104" s="72" t="str">
        <f t="shared" si="2"/>
        <v/>
      </c>
      <c r="M104" s="69"/>
      <c r="T104" s="56" t="str">
        <f t="shared" si="3"/>
        <v/>
      </c>
      <c r="BA104" s="1">
        <f>IF(E104&lt;=Leltar_iv!$Y$1,I104,0)</f>
        <v>0</v>
      </c>
    </row>
    <row r="105" spans="4:53" x14ac:dyDescent="0.2">
      <c r="D105" s="84" t="str">
        <f>IF(AND(OR(Kiadas!C104&lt;&gt;Kiadas!C105,Kiadas!C105=1),SUM(Kiadas!L105:L125)&lt;&gt;0),YEAR(Kiadas!W105)&amp;"/"&amp;Kiadas!C105,"")</f>
        <v/>
      </c>
      <c r="E105" s="44"/>
      <c r="F105" s="45"/>
      <c r="G105" s="45"/>
      <c r="H105" s="45"/>
      <c r="I105" s="46"/>
      <c r="J105" s="86" t="str">
        <f>IF(AND(G105&lt;&gt;"",ISERROR(VLOOKUP(G105,Keszlet!$C$5:$H$200,6,FALSE))=FALSE),VLOOKUP(G105,Keszlet!$C$5:$H$200,6,FALSE),"")</f>
        <v/>
      </c>
      <c r="K105" s="72" t="str">
        <f>IF(AND(G105&lt;&gt;"",ISERROR(VLOOKUP(G105,Keszlet!$C$5:$G$200,5,FALSE))=FALSE),VLOOKUP(G105,Keszlet!$C$5:$G$200,5,FALSE),"")</f>
        <v/>
      </c>
      <c r="L105" s="72" t="str">
        <f t="shared" si="2"/>
        <v/>
      </c>
      <c r="M105" s="69"/>
      <c r="T105" s="56" t="str">
        <f t="shared" si="3"/>
        <v/>
      </c>
      <c r="BA105" s="1">
        <f>IF(E105&lt;=Leltar_iv!$Y$1,I105,0)</f>
        <v>0</v>
      </c>
    </row>
    <row r="106" spans="4:53" x14ac:dyDescent="0.2">
      <c r="D106" s="84" t="str">
        <f>IF(AND(OR(Kiadas!C105&lt;&gt;Kiadas!C106,Kiadas!C106=1),SUM(Kiadas!L106:L126)&lt;&gt;0),YEAR(Kiadas!W106)&amp;"/"&amp;Kiadas!C106,"")</f>
        <v/>
      </c>
      <c r="E106" s="44"/>
      <c r="F106" s="45"/>
      <c r="G106" s="45"/>
      <c r="H106" s="45"/>
      <c r="I106" s="46"/>
      <c r="J106" s="86" t="str">
        <f>IF(AND(G106&lt;&gt;"",ISERROR(VLOOKUP(G106,Keszlet!$C$5:$H$200,6,FALSE))=FALSE),VLOOKUP(G106,Keszlet!$C$5:$H$200,6,FALSE),"")</f>
        <v/>
      </c>
      <c r="K106" s="72" t="str">
        <f>IF(AND(G106&lt;&gt;"",ISERROR(VLOOKUP(G106,Keszlet!$C$5:$G$200,5,FALSE))=FALSE),VLOOKUP(G106,Keszlet!$C$5:$G$200,5,FALSE),"")</f>
        <v/>
      </c>
      <c r="L106" s="72" t="str">
        <f t="shared" si="2"/>
        <v/>
      </c>
      <c r="M106" s="69"/>
      <c r="T106" s="56" t="str">
        <f t="shared" si="3"/>
        <v/>
      </c>
      <c r="BA106" s="1">
        <f>IF(E106&lt;=Leltar_iv!$Y$1,I106,0)</f>
        <v>0</v>
      </c>
    </row>
    <row r="107" spans="4:53" x14ac:dyDescent="0.2">
      <c r="D107" s="84" t="str">
        <f>IF(AND(OR(Kiadas!C106&lt;&gt;Kiadas!C107,Kiadas!C107=1),SUM(Kiadas!L107:L127)&lt;&gt;0),YEAR(Kiadas!W107)&amp;"/"&amp;Kiadas!C107,"")</f>
        <v/>
      </c>
      <c r="E107" s="44"/>
      <c r="F107" s="45"/>
      <c r="G107" s="45"/>
      <c r="H107" s="45"/>
      <c r="I107" s="46"/>
      <c r="J107" s="86" t="str">
        <f>IF(AND(G107&lt;&gt;"",ISERROR(VLOOKUP(G107,Keszlet!$C$5:$H$200,6,FALSE))=FALSE),VLOOKUP(G107,Keszlet!$C$5:$H$200,6,FALSE),"")</f>
        <v/>
      </c>
      <c r="K107" s="72" t="str">
        <f>IF(AND(G107&lt;&gt;"",ISERROR(VLOOKUP(G107,Keszlet!$C$5:$G$200,5,FALSE))=FALSE),VLOOKUP(G107,Keszlet!$C$5:$G$200,5,FALSE),"")</f>
        <v/>
      </c>
      <c r="L107" s="72" t="str">
        <f t="shared" si="2"/>
        <v/>
      </c>
      <c r="M107" s="69"/>
      <c r="T107" s="56" t="str">
        <f t="shared" si="3"/>
        <v/>
      </c>
      <c r="BA107" s="1">
        <f>IF(E107&lt;=Leltar_iv!$Y$1,I107,0)</f>
        <v>0</v>
      </c>
    </row>
    <row r="108" spans="4:53" x14ac:dyDescent="0.2">
      <c r="D108" s="84" t="str">
        <f>IF(AND(OR(Kiadas!C107&lt;&gt;Kiadas!C108,Kiadas!C108=1),SUM(Kiadas!L108:L128)&lt;&gt;0),YEAR(Kiadas!W108)&amp;"/"&amp;Kiadas!C108,"")</f>
        <v/>
      </c>
      <c r="E108" s="44"/>
      <c r="F108" s="45"/>
      <c r="G108" s="45"/>
      <c r="H108" s="45"/>
      <c r="I108" s="46"/>
      <c r="J108" s="86" t="str">
        <f>IF(AND(G108&lt;&gt;"",ISERROR(VLOOKUP(G108,Keszlet!$C$5:$H$200,6,FALSE))=FALSE),VLOOKUP(G108,Keszlet!$C$5:$H$200,6,FALSE),"")</f>
        <v/>
      </c>
      <c r="K108" s="72" t="str">
        <f>IF(AND(G108&lt;&gt;"",ISERROR(VLOOKUP(G108,Keszlet!$C$5:$G$200,5,FALSE))=FALSE),VLOOKUP(G108,Keszlet!$C$5:$G$200,5,FALSE),"")</f>
        <v/>
      </c>
      <c r="L108" s="72" t="str">
        <f t="shared" si="2"/>
        <v/>
      </c>
      <c r="M108" s="69"/>
      <c r="T108" s="56" t="str">
        <f t="shared" si="3"/>
        <v/>
      </c>
      <c r="BA108" s="1">
        <f>IF(E108&lt;=Leltar_iv!$Y$1,I108,0)</f>
        <v>0</v>
      </c>
    </row>
    <row r="109" spans="4:53" x14ac:dyDescent="0.2">
      <c r="D109" s="84" t="str">
        <f>IF(AND(OR(Kiadas!C108&lt;&gt;Kiadas!C109,Kiadas!C109=1),SUM(Kiadas!L109:L129)&lt;&gt;0),YEAR(Kiadas!W109)&amp;"/"&amp;Kiadas!C109,"")</f>
        <v/>
      </c>
      <c r="E109" s="44"/>
      <c r="F109" s="45"/>
      <c r="G109" s="45"/>
      <c r="H109" s="45"/>
      <c r="I109" s="46"/>
      <c r="J109" s="86" t="str">
        <f>IF(AND(G109&lt;&gt;"",ISERROR(VLOOKUP(G109,Keszlet!$C$5:$H$200,6,FALSE))=FALSE),VLOOKUP(G109,Keszlet!$C$5:$H$200,6,FALSE),"")</f>
        <v/>
      </c>
      <c r="K109" s="72" t="str">
        <f>IF(AND(G109&lt;&gt;"",ISERROR(VLOOKUP(G109,Keszlet!$C$5:$G$200,5,FALSE))=FALSE),VLOOKUP(G109,Keszlet!$C$5:$G$200,5,FALSE),"")</f>
        <v/>
      </c>
      <c r="L109" s="72" t="str">
        <f t="shared" si="2"/>
        <v/>
      </c>
      <c r="M109" s="69"/>
      <c r="T109" s="56" t="str">
        <f t="shared" si="3"/>
        <v/>
      </c>
      <c r="BA109" s="1">
        <f>IF(E109&lt;=Leltar_iv!$Y$1,I109,0)</f>
        <v>0</v>
      </c>
    </row>
    <row r="110" spans="4:53" x14ac:dyDescent="0.2">
      <c r="D110" s="84" t="str">
        <f>IF(AND(OR(Kiadas!C109&lt;&gt;Kiadas!C110,Kiadas!C110=1),SUM(Kiadas!L110:L130)&lt;&gt;0),YEAR(Kiadas!W110)&amp;"/"&amp;Kiadas!C110,"")</f>
        <v/>
      </c>
      <c r="E110" s="44"/>
      <c r="F110" s="45"/>
      <c r="G110" s="45"/>
      <c r="H110" s="45"/>
      <c r="I110" s="46"/>
      <c r="J110" s="86" t="str">
        <f>IF(AND(G110&lt;&gt;"",ISERROR(VLOOKUP(G110,Keszlet!$C$5:$H$200,6,FALSE))=FALSE),VLOOKUP(G110,Keszlet!$C$5:$H$200,6,FALSE),"")</f>
        <v/>
      </c>
      <c r="K110" s="72" t="str">
        <f>IF(AND(G110&lt;&gt;"",ISERROR(VLOOKUP(G110,Keszlet!$C$5:$G$200,5,FALSE))=FALSE),VLOOKUP(G110,Keszlet!$C$5:$G$200,5,FALSE),"")</f>
        <v/>
      </c>
      <c r="L110" s="72" t="str">
        <f t="shared" si="2"/>
        <v/>
      </c>
      <c r="M110" s="69"/>
      <c r="T110" s="56" t="str">
        <f t="shared" si="3"/>
        <v/>
      </c>
      <c r="BA110" s="1">
        <f>IF(E110&lt;=Leltar_iv!$Y$1,I110,0)</f>
        <v>0</v>
      </c>
    </row>
    <row r="111" spans="4:53" x14ac:dyDescent="0.2">
      <c r="D111" s="84" t="str">
        <f>IF(AND(OR(Kiadas!C110&lt;&gt;Kiadas!C111,Kiadas!C111=1),SUM(Kiadas!L111:L131)&lt;&gt;0),YEAR(Kiadas!W111)&amp;"/"&amp;Kiadas!C111,"")</f>
        <v/>
      </c>
      <c r="E111" s="44"/>
      <c r="F111" s="45"/>
      <c r="G111" s="45"/>
      <c r="H111" s="45"/>
      <c r="I111" s="46"/>
      <c r="J111" s="86" t="str">
        <f>IF(AND(G111&lt;&gt;"",ISERROR(VLOOKUP(G111,Keszlet!$C$5:$H$200,6,FALSE))=FALSE),VLOOKUP(G111,Keszlet!$C$5:$H$200,6,FALSE),"")</f>
        <v/>
      </c>
      <c r="K111" s="72" t="str">
        <f>IF(AND(G111&lt;&gt;"",ISERROR(VLOOKUP(G111,Keszlet!$C$5:$G$200,5,FALSE))=FALSE),VLOOKUP(G111,Keszlet!$C$5:$G$200,5,FALSE),"")</f>
        <v/>
      </c>
      <c r="L111" s="72" t="str">
        <f t="shared" si="2"/>
        <v/>
      </c>
      <c r="M111" s="69"/>
      <c r="T111" s="56" t="str">
        <f t="shared" si="3"/>
        <v/>
      </c>
      <c r="BA111" s="1">
        <f>IF(E111&lt;=Leltar_iv!$Y$1,I111,0)</f>
        <v>0</v>
      </c>
    </row>
    <row r="112" spans="4:53" x14ac:dyDescent="0.2">
      <c r="D112" s="84" t="str">
        <f>IF(AND(OR(Kiadas!C111&lt;&gt;Kiadas!C112,Kiadas!C112=1),SUM(Kiadas!L112:L132)&lt;&gt;0),YEAR(Kiadas!W112)&amp;"/"&amp;Kiadas!C112,"")</f>
        <v/>
      </c>
      <c r="E112" s="44"/>
      <c r="F112" s="45"/>
      <c r="G112" s="45"/>
      <c r="H112" s="45"/>
      <c r="I112" s="46"/>
      <c r="J112" s="86" t="str">
        <f>IF(AND(G112&lt;&gt;"",ISERROR(VLOOKUP(G112,Keszlet!$C$5:$H$200,6,FALSE))=FALSE),VLOOKUP(G112,Keszlet!$C$5:$H$200,6,FALSE),"")</f>
        <v/>
      </c>
      <c r="K112" s="72" t="str">
        <f>IF(AND(G112&lt;&gt;"",ISERROR(VLOOKUP(G112,Keszlet!$C$5:$G$200,5,FALSE))=FALSE),VLOOKUP(G112,Keszlet!$C$5:$G$200,5,FALSE),"")</f>
        <v/>
      </c>
      <c r="L112" s="72" t="str">
        <f t="shared" si="2"/>
        <v/>
      </c>
      <c r="M112" s="69"/>
      <c r="T112" s="56" t="str">
        <f t="shared" si="3"/>
        <v/>
      </c>
      <c r="BA112" s="1">
        <f>IF(E112&lt;=Leltar_iv!$Y$1,I112,0)</f>
        <v>0</v>
      </c>
    </row>
    <row r="113" spans="4:53" x14ac:dyDescent="0.2">
      <c r="D113" s="84" t="str">
        <f>IF(AND(OR(Kiadas!C112&lt;&gt;Kiadas!C113,Kiadas!C113=1),SUM(Kiadas!L113:L133)&lt;&gt;0),YEAR(Kiadas!W113)&amp;"/"&amp;Kiadas!C113,"")</f>
        <v/>
      </c>
      <c r="E113" s="44"/>
      <c r="F113" s="45"/>
      <c r="G113" s="45"/>
      <c r="H113" s="45"/>
      <c r="I113" s="46"/>
      <c r="J113" s="86" t="str">
        <f>IF(AND(G113&lt;&gt;"",ISERROR(VLOOKUP(G113,Keszlet!$C$5:$H$200,6,FALSE))=FALSE),VLOOKUP(G113,Keszlet!$C$5:$H$200,6,FALSE),"")</f>
        <v/>
      </c>
      <c r="K113" s="72" t="str">
        <f>IF(AND(G113&lt;&gt;"",ISERROR(VLOOKUP(G113,Keszlet!$C$5:$G$200,5,FALSE))=FALSE),VLOOKUP(G113,Keszlet!$C$5:$G$200,5,FALSE),"")</f>
        <v/>
      </c>
      <c r="L113" s="72" t="str">
        <f t="shared" si="2"/>
        <v/>
      </c>
      <c r="M113" s="69"/>
      <c r="T113" s="56" t="str">
        <f t="shared" si="3"/>
        <v/>
      </c>
      <c r="BA113" s="1">
        <f>IF(E113&lt;=Leltar_iv!$Y$1,I113,0)</f>
        <v>0</v>
      </c>
    </row>
    <row r="114" spans="4:53" x14ac:dyDescent="0.2">
      <c r="D114" s="84" t="str">
        <f>IF(AND(OR(Kiadas!C113&lt;&gt;Kiadas!C114,Kiadas!C114=1),SUM(Kiadas!L114:L134)&lt;&gt;0),YEAR(Kiadas!W114)&amp;"/"&amp;Kiadas!C114,"")</f>
        <v/>
      </c>
      <c r="E114" s="44"/>
      <c r="F114" s="45"/>
      <c r="G114" s="45"/>
      <c r="H114" s="45"/>
      <c r="I114" s="46"/>
      <c r="J114" s="86" t="str">
        <f>IF(AND(G114&lt;&gt;"",ISERROR(VLOOKUP(G114,Keszlet!$C$5:$H$200,6,FALSE))=FALSE),VLOOKUP(G114,Keszlet!$C$5:$H$200,6,FALSE),"")</f>
        <v/>
      </c>
      <c r="K114" s="72" t="str">
        <f>IF(AND(G114&lt;&gt;"",ISERROR(VLOOKUP(G114,Keszlet!$C$5:$G$200,5,FALSE))=FALSE),VLOOKUP(G114,Keszlet!$C$5:$G$200,5,FALSE),"")</f>
        <v/>
      </c>
      <c r="L114" s="72" t="str">
        <f t="shared" si="2"/>
        <v/>
      </c>
      <c r="M114" s="69"/>
      <c r="T114" s="56" t="str">
        <f t="shared" si="3"/>
        <v/>
      </c>
      <c r="BA114" s="1">
        <f>IF(E114&lt;=Leltar_iv!$Y$1,I114,0)</f>
        <v>0</v>
      </c>
    </row>
    <row r="115" spans="4:53" x14ac:dyDescent="0.2">
      <c r="D115" s="84" t="str">
        <f>IF(AND(OR(Kiadas!C114&lt;&gt;Kiadas!C115,Kiadas!C115=1),SUM(Kiadas!L115:L135)&lt;&gt;0),YEAR(Kiadas!W115)&amp;"/"&amp;Kiadas!C115,"")</f>
        <v/>
      </c>
      <c r="E115" s="44"/>
      <c r="F115" s="45"/>
      <c r="G115" s="45"/>
      <c r="H115" s="45"/>
      <c r="I115" s="46"/>
      <c r="J115" s="86" t="str">
        <f>IF(AND(G115&lt;&gt;"",ISERROR(VLOOKUP(G115,Keszlet!$C$5:$H$200,6,FALSE))=FALSE),VLOOKUP(G115,Keszlet!$C$5:$H$200,6,FALSE),"")</f>
        <v/>
      </c>
      <c r="K115" s="72" t="str">
        <f>IF(AND(G115&lt;&gt;"",ISERROR(VLOOKUP(G115,Keszlet!$C$5:$G$200,5,FALSE))=FALSE),VLOOKUP(G115,Keszlet!$C$5:$G$200,5,FALSE),"")</f>
        <v/>
      </c>
      <c r="L115" s="72" t="str">
        <f t="shared" si="2"/>
        <v/>
      </c>
      <c r="M115" s="69"/>
      <c r="T115" s="56" t="str">
        <f t="shared" si="3"/>
        <v/>
      </c>
      <c r="BA115" s="1">
        <f>IF(E115&lt;=Leltar_iv!$Y$1,I115,0)</f>
        <v>0</v>
      </c>
    </row>
    <row r="116" spans="4:53" x14ac:dyDescent="0.2">
      <c r="D116" s="84" t="str">
        <f>IF(AND(OR(Kiadas!C115&lt;&gt;Kiadas!C116,Kiadas!C116=1),SUM(Kiadas!L116:L136)&lt;&gt;0),YEAR(Kiadas!W116)&amp;"/"&amp;Kiadas!C116,"")</f>
        <v/>
      </c>
      <c r="E116" s="44"/>
      <c r="F116" s="45"/>
      <c r="G116" s="45"/>
      <c r="H116" s="45"/>
      <c r="I116" s="46"/>
      <c r="J116" s="86" t="str">
        <f>IF(AND(G116&lt;&gt;"",ISERROR(VLOOKUP(G116,Keszlet!$C$5:$H$200,6,FALSE))=FALSE),VLOOKUP(G116,Keszlet!$C$5:$H$200,6,FALSE),"")</f>
        <v/>
      </c>
      <c r="K116" s="72" t="str">
        <f>IF(AND(G116&lt;&gt;"",ISERROR(VLOOKUP(G116,Keszlet!$C$5:$G$200,5,FALSE))=FALSE),VLOOKUP(G116,Keszlet!$C$5:$G$200,5,FALSE),"")</f>
        <v/>
      </c>
      <c r="L116" s="72" t="str">
        <f t="shared" si="2"/>
        <v/>
      </c>
      <c r="M116" s="69"/>
      <c r="T116" s="56" t="str">
        <f t="shared" si="3"/>
        <v/>
      </c>
      <c r="BA116" s="1">
        <f>IF(E116&lt;=Leltar_iv!$Y$1,I116,0)</f>
        <v>0</v>
      </c>
    </row>
    <row r="117" spans="4:53" x14ac:dyDescent="0.2">
      <c r="D117" s="84" t="str">
        <f>IF(AND(OR(Kiadas!C116&lt;&gt;Kiadas!C117,Kiadas!C117=1),SUM(Kiadas!L117:L137)&lt;&gt;0),YEAR(Kiadas!W117)&amp;"/"&amp;Kiadas!C117,"")</f>
        <v/>
      </c>
      <c r="E117" s="44"/>
      <c r="F117" s="45"/>
      <c r="G117" s="45"/>
      <c r="H117" s="45"/>
      <c r="I117" s="46"/>
      <c r="J117" s="86" t="str">
        <f>IF(AND(G117&lt;&gt;"",ISERROR(VLOOKUP(G117,Keszlet!$C$5:$H$200,6,FALSE))=FALSE),VLOOKUP(G117,Keszlet!$C$5:$H$200,6,FALSE),"")</f>
        <v/>
      </c>
      <c r="K117" s="72" t="str">
        <f>IF(AND(G117&lt;&gt;"",ISERROR(VLOOKUP(G117,Keszlet!$C$5:$G$200,5,FALSE))=FALSE),VLOOKUP(G117,Keszlet!$C$5:$G$200,5,FALSE),"")</f>
        <v/>
      </c>
      <c r="L117" s="72" t="str">
        <f t="shared" si="2"/>
        <v/>
      </c>
      <c r="M117" s="69"/>
      <c r="T117" s="56" t="str">
        <f t="shared" si="3"/>
        <v/>
      </c>
      <c r="BA117" s="1">
        <f>IF(E117&lt;=Leltar_iv!$Y$1,I117,0)</f>
        <v>0</v>
      </c>
    </row>
    <row r="118" spans="4:53" x14ac:dyDescent="0.2">
      <c r="D118" s="84" t="str">
        <f>IF(AND(OR(Kiadas!C117&lt;&gt;Kiadas!C118,Kiadas!C118=1),SUM(Kiadas!L118:L138)&lt;&gt;0),YEAR(Kiadas!W118)&amp;"/"&amp;Kiadas!C118,"")</f>
        <v/>
      </c>
      <c r="E118" s="44"/>
      <c r="F118" s="45"/>
      <c r="G118" s="45"/>
      <c r="H118" s="45"/>
      <c r="I118" s="46"/>
      <c r="J118" s="86" t="str">
        <f>IF(AND(G118&lt;&gt;"",ISERROR(VLOOKUP(G118,Keszlet!$C$5:$H$200,6,FALSE))=FALSE),VLOOKUP(G118,Keszlet!$C$5:$H$200,6,FALSE),"")</f>
        <v/>
      </c>
      <c r="K118" s="72" t="str">
        <f>IF(AND(G118&lt;&gt;"",ISERROR(VLOOKUP(G118,Keszlet!$C$5:$G$200,5,FALSE))=FALSE),VLOOKUP(G118,Keszlet!$C$5:$G$200,5,FALSE),"")</f>
        <v/>
      </c>
      <c r="L118" s="72" t="str">
        <f t="shared" si="2"/>
        <v/>
      </c>
      <c r="M118" s="69"/>
      <c r="T118" s="56" t="str">
        <f t="shared" si="3"/>
        <v/>
      </c>
      <c r="BA118" s="1">
        <f>IF(E118&lt;=Leltar_iv!$Y$1,I118,0)</f>
        <v>0</v>
      </c>
    </row>
    <row r="119" spans="4:53" x14ac:dyDescent="0.2">
      <c r="D119" s="84" t="str">
        <f>IF(AND(OR(Kiadas!C118&lt;&gt;Kiadas!C119,Kiadas!C119=1),SUM(Kiadas!L119:L139)&lt;&gt;0),YEAR(Kiadas!W119)&amp;"/"&amp;Kiadas!C119,"")</f>
        <v/>
      </c>
      <c r="E119" s="44"/>
      <c r="F119" s="45"/>
      <c r="G119" s="45"/>
      <c r="H119" s="45"/>
      <c r="I119" s="46"/>
      <c r="J119" s="86" t="str">
        <f>IF(AND(G119&lt;&gt;"",ISERROR(VLOOKUP(G119,Keszlet!$C$5:$H$200,6,FALSE))=FALSE),VLOOKUP(G119,Keszlet!$C$5:$H$200,6,FALSE),"")</f>
        <v/>
      </c>
      <c r="K119" s="72" t="str">
        <f>IF(AND(G119&lt;&gt;"",ISERROR(VLOOKUP(G119,Keszlet!$C$5:$G$200,5,FALSE))=FALSE),VLOOKUP(G119,Keszlet!$C$5:$G$200,5,FALSE),"")</f>
        <v/>
      </c>
      <c r="L119" s="72" t="str">
        <f t="shared" si="2"/>
        <v/>
      </c>
      <c r="M119" s="69"/>
      <c r="T119" s="56" t="str">
        <f t="shared" si="3"/>
        <v/>
      </c>
      <c r="BA119" s="1">
        <f>IF(E119&lt;=Leltar_iv!$Y$1,I119,0)</f>
        <v>0</v>
      </c>
    </row>
    <row r="120" spans="4:53" x14ac:dyDescent="0.2">
      <c r="D120" s="84" t="str">
        <f>IF(AND(OR(Kiadas!C119&lt;&gt;Kiadas!C120,Kiadas!C120=1),SUM(Kiadas!L120:L140)&lt;&gt;0),YEAR(Kiadas!W120)&amp;"/"&amp;Kiadas!C120,"")</f>
        <v/>
      </c>
      <c r="E120" s="44"/>
      <c r="F120" s="45"/>
      <c r="G120" s="45"/>
      <c r="H120" s="45"/>
      <c r="I120" s="46"/>
      <c r="J120" s="86" t="str">
        <f>IF(AND(G120&lt;&gt;"",ISERROR(VLOOKUP(G120,Keszlet!$C$5:$H$200,6,FALSE))=FALSE),VLOOKUP(G120,Keszlet!$C$5:$H$200,6,FALSE),"")</f>
        <v/>
      </c>
      <c r="K120" s="72" t="str">
        <f>IF(AND(G120&lt;&gt;"",ISERROR(VLOOKUP(G120,Keszlet!$C$5:$G$200,5,FALSE))=FALSE),VLOOKUP(G120,Keszlet!$C$5:$G$200,5,FALSE),"")</f>
        <v/>
      </c>
      <c r="L120" s="72" t="str">
        <f t="shared" si="2"/>
        <v/>
      </c>
      <c r="M120" s="69"/>
      <c r="T120" s="56" t="str">
        <f t="shared" si="3"/>
        <v/>
      </c>
      <c r="BA120" s="1">
        <f>IF(E120&lt;=Leltar_iv!$Y$1,I120,0)</f>
        <v>0</v>
      </c>
    </row>
    <row r="121" spans="4:53" x14ac:dyDescent="0.2">
      <c r="D121" s="84" t="str">
        <f>IF(AND(OR(Kiadas!C120&lt;&gt;Kiadas!C121,Kiadas!C121=1),SUM(Kiadas!L121:L141)&lt;&gt;0),YEAR(Kiadas!W121)&amp;"/"&amp;Kiadas!C121,"")</f>
        <v/>
      </c>
      <c r="E121" s="44"/>
      <c r="F121" s="45"/>
      <c r="G121" s="45"/>
      <c r="H121" s="45"/>
      <c r="I121" s="46"/>
      <c r="J121" s="86" t="str">
        <f>IF(AND(G121&lt;&gt;"",ISERROR(VLOOKUP(G121,Keszlet!$C$5:$H$200,6,FALSE))=FALSE),VLOOKUP(G121,Keszlet!$C$5:$H$200,6,FALSE),"")</f>
        <v/>
      </c>
      <c r="K121" s="72" t="str">
        <f>IF(AND(G121&lt;&gt;"",ISERROR(VLOOKUP(G121,Keszlet!$C$5:$G$200,5,FALSE))=FALSE),VLOOKUP(G121,Keszlet!$C$5:$G$200,5,FALSE),"")</f>
        <v/>
      </c>
      <c r="L121" s="72" t="str">
        <f t="shared" si="2"/>
        <v/>
      </c>
      <c r="M121" s="69"/>
      <c r="T121" s="56" t="str">
        <f t="shared" si="3"/>
        <v/>
      </c>
      <c r="BA121" s="1">
        <f>IF(E121&lt;=Leltar_iv!$Y$1,I121,0)</f>
        <v>0</v>
      </c>
    </row>
    <row r="122" spans="4:53" x14ac:dyDescent="0.2">
      <c r="D122" s="84" t="str">
        <f>IF(AND(OR(Kiadas!C121&lt;&gt;Kiadas!C122,Kiadas!C122=1),SUM(Kiadas!L122:L142)&lt;&gt;0),YEAR(Kiadas!W122)&amp;"/"&amp;Kiadas!C122,"")</f>
        <v/>
      </c>
      <c r="E122" s="44"/>
      <c r="F122" s="45"/>
      <c r="G122" s="45"/>
      <c r="H122" s="45"/>
      <c r="I122" s="46"/>
      <c r="J122" s="86" t="str">
        <f>IF(AND(G122&lt;&gt;"",ISERROR(VLOOKUP(G122,Keszlet!$C$5:$H$200,6,FALSE))=FALSE),VLOOKUP(G122,Keszlet!$C$5:$H$200,6,FALSE),"")</f>
        <v/>
      </c>
      <c r="K122" s="72" t="str">
        <f>IF(AND(G122&lt;&gt;"",ISERROR(VLOOKUP(G122,Keszlet!$C$5:$G$200,5,FALSE))=FALSE),VLOOKUP(G122,Keszlet!$C$5:$G$200,5,FALSE),"")</f>
        <v/>
      </c>
      <c r="L122" s="72" t="str">
        <f t="shared" si="2"/>
        <v/>
      </c>
      <c r="M122" s="69"/>
      <c r="T122" s="56" t="str">
        <f t="shared" si="3"/>
        <v/>
      </c>
      <c r="BA122" s="1">
        <f>IF(E122&lt;=Leltar_iv!$Y$1,I122,0)</f>
        <v>0</v>
      </c>
    </row>
    <row r="123" spans="4:53" x14ac:dyDescent="0.2">
      <c r="D123" s="84" t="str">
        <f>IF(AND(OR(Kiadas!C122&lt;&gt;Kiadas!C123,Kiadas!C123=1),SUM(Kiadas!L123:L143)&lt;&gt;0),YEAR(Kiadas!W123)&amp;"/"&amp;Kiadas!C123,"")</f>
        <v/>
      </c>
      <c r="E123" s="44"/>
      <c r="F123" s="45"/>
      <c r="G123" s="45"/>
      <c r="H123" s="45"/>
      <c r="I123" s="46"/>
      <c r="J123" s="86" t="str">
        <f>IF(AND(G123&lt;&gt;"",ISERROR(VLOOKUP(G123,Keszlet!$C$5:$H$200,6,FALSE))=FALSE),VLOOKUP(G123,Keszlet!$C$5:$H$200,6,FALSE),"")</f>
        <v/>
      </c>
      <c r="K123" s="72" t="str">
        <f>IF(AND(G123&lt;&gt;"",ISERROR(VLOOKUP(G123,Keszlet!$C$5:$G$200,5,FALSE))=FALSE),VLOOKUP(G123,Keszlet!$C$5:$G$200,5,FALSE),"")</f>
        <v/>
      </c>
      <c r="L123" s="72" t="str">
        <f t="shared" si="2"/>
        <v/>
      </c>
      <c r="M123" s="69"/>
      <c r="T123" s="56" t="str">
        <f t="shared" si="3"/>
        <v/>
      </c>
      <c r="BA123" s="1">
        <f>IF(E123&lt;=Leltar_iv!$Y$1,I123,0)</f>
        <v>0</v>
      </c>
    </row>
    <row r="124" spans="4:53" x14ac:dyDescent="0.2">
      <c r="D124" s="84" t="str">
        <f>IF(AND(OR(Kiadas!C123&lt;&gt;Kiadas!C124,Kiadas!C124=1),SUM(Kiadas!L124:L144)&lt;&gt;0),YEAR(Kiadas!W124)&amp;"/"&amp;Kiadas!C124,"")</f>
        <v/>
      </c>
      <c r="E124" s="44"/>
      <c r="F124" s="45"/>
      <c r="G124" s="45"/>
      <c r="H124" s="45"/>
      <c r="I124" s="46"/>
      <c r="J124" s="86" t="str">
        <f>IF(AND(G124&lt;&gt;"",ISERROR(VLOOKUP(G124,Keszlet!$C$5:$H$200,6,FALSE))=FALSE),VLOOKUP(G124,Keszlet!$C$5:$H$200,6,FALSE),"")</f>
        <v/>
      </c>
      <c r="K124" s="72" t="str">
        <f>IF(AND(G124&lt;&gt;"",ISERROR(VLOOKUP(G124,Keszlet!$C$5:$G$200,5,FALSE))=FALSE),VLOOKUP(G124,Keszlet!$C$5:$G$200,5,FALSE),"")</f>
        <v/>
      </c>
      <c r="L124" s="72" t="str">
        <f t="shared" si="2"/>
        <v/>
      </c>
      <c r="M124" s="69"/>
      <c r="T124" s="56" t="str">
        <f t="shared" si="3"/>
        <v/>
      </c>
      <c r="BA124" s="1">
        <f>IF(E124&lt;=Leltar_iv!$Y$1,I124,0)</f>
        <v>0</v>
      </c>
    </row>
    <row r="125" spans="4:53" x14ac:dyDescent="0.2">
      <c r="D125" s="84" t="str">
        <f>IF(AND(OR(Kiadas!C124&lt;&gt;Kiadas!C125,Kiadas!C125=1),SUM(Kiadas!L125:L145)&lt;&gt;0),YEAR(Kiadas!W125)&amp;"/"&amp;Kiadas!C125,"")</f>
        <v/>
      </c>
      <c r="E125" s="44"/>
      <c r="F125" s="45"/>
      <c r="G125" s="45"/>
      <c r="H125" s="45"/>
      <c r="I125" s="46"/>
      <c r="J125" s="86" t="str">
        <f>IF(AND(G125&lt;&gt;"",ISERROR(VLOOKUP(G125,Keszlet!$C$5:$H$200,6,FALSE))=FALSE),VLOOKUP(G125,Keszlet!$C$5:$H$200,6,FALSE),"")</f>
        <v/>
      </c>
      <c r="K125" s="72" t="str">
        <f>IF(AND(G125&lt;&gt;"",ISERROR(VLOOKUP(G125,Keszlet!$C$5:$G$200,5,FALSE))=FALSE),VLOOKUP(G125,Keszlet!$C$5:$G$200,5,FALSE),"")</f>
        <v/>
      </c>
      <c r="L125" s="72" t="str">
        <f t="shared" si="2"/>
        <v/>
      </c>
      <c r="M125" s="69"/>
      <c r="T125" s="56" t="str">
        <f t="shared" si="3"/>
        <v/>
      </c>
      <c r="BA125" s="1">
        <f>IF(E125&lt;=Leltar_iv!$Y$1,I125,0)</f>
        <v>0</v>
      </c>
    </row>
    <row r="126" spans="4:53" x14ac:dyDescent="0.2">
      <c r="D126" s="84" t="str">
        <f>IF(AND(OR(Kiadas!C125&lt;&gt;Kiadas!C126,Kiadas!C126=1),SUM(Kiadas!L126:L146)&lt;&gt;0),YEAR(Kiadas!W126)&amp;"/"&amp;Kiadas!C126,"")</f>
        <v/>
      </c>
      <c r="E126" s="44"/>
      <c r="F126" s="45"/>
      <c r="G126" s="45"/>
      <c r="H126" s="45"/>
      <c r="I126" s="46"/>
      <c r="J126" s="86" t="str">
        <f>IF(AND(G126&lt;&gt;"",ISERROR(VLOOKUP(G126,Keszlet!$C$5:$H$200,6,FALSE))=FALSE),VLOOKUP(G126,Keszlet!$C$5:$H$200,6,FALSE),"")</f>
        <v/>
      </c>
      <c r="K126" s="72" t="str">
        <f>IF(AND(G126&lt;&gt;"",ISERROR(VLOOKUP(G126,Keszlet!$C$5:$G$200,5,FALSE))=FALSE),VLOOKUP(G126,Keszlet!$C$5:$G$200,5,FALSE),"")</f>
        <v/>
      </c>
      <c r="L126" s="72" t="str">
        <f t="shared" si="2"/>
        <v/>
      </c>
      <c r="M126" s="69"/>
      <c r="T126" s="56" t="str">
        <f t="shared" si="3"/>
        <v/>
      </c>
      <c r="BA126" s="1">
        <f>IF(E126&lt;=Leltar_iv!$Y$1,I126,0)</f>
        <v>0</v>
      </c>
    </row>
    <row r="127" spans="4:53" x14ac:dyDescent="0.2">
      <c r="D127" s="84" t="str">
        <f>IF(AND(OR(Kiadas!C126&lt;&gt;Kiadas!C127,Kiadas!C127=1),SUM(Kiadas!L127:L147)&lt;&gt;0),YEAR(Kiadas!W127)&amp;"/"&amp;Kiadas!C127,"")</f>
        <v/>
      </c>
      <c r="E127" s="44"/>
      <c r="F127" s="45"/>
      <c r="G127" s="45"/>
      <c r="H127" s="45"/>
      <c r="I127" s="46"/>
      <c r="J127" s="86" t="str">
        <f>IF(AND(G127&lt;&gt;"",ISERROR(VLOOKUP(G127,Keszlet!$C$5:$H$200,6,FALSE))=FALSE),VLOOKUP(G127,Keszlet!$C$5:$H$200,6,FALSE),"")</f>
        <v/>
      </c>
      <c r="K127" s="72" t="str">
        <f>IF(AND(G127&lt;&gt;"",ISERROR(VLOOKUP(G127,Keszlet!$C$5:$G$200,5,FALSE))=FALSE),VLOOKUP(G127,Keszlet!$C$5:$G$200,5,FALSE),"")</f>
        <v/>
      </c>
      <c r="L127" s="72" t="str">
        <f t="shared" si="2"/>
        <v/>
      </c>
      <c r="M127" s="69"/>
      <c r="T127" s="56" t="str">
        <f t="shared" si="3"/>
        <v/>
      </c>
      <c r="BA127" s="1">
        <f>IF(E127&lt;=Leltar_iv!$Y$1,I127,0)</f>
        <v>0</v>
      </c>
    </row>
    <row r="128" spans="4:53" x14ac:dyDescent="0.2">
      <c r="D128" s="84" t="str">
        <f>IF(AND(OR(Kiadas!C127&lt;&gt;Kiadas!C128,Kiadas!C128=1),SUM(Kiadas!L128:L148)&lt;&gt;0),YEAR(Kiadas!W128)&amp;"/"&amp;Kiadas!C128,"")</f>
        <v/>
      </c>
      <c r="E128" s="44"/>
      <c r="F128" s="45"/>
      <c r="G128" s="45"/>
      <c r="H128" s="45"/>
      <c r="I128" s="46"/>
      <c r="J128" s="86" t="str">
        <f>IF(AND(G128&lt;&gt;"",ISERROR(VLOOKUP(G128,Keszlet!$C$5:$H$200,6,FALSE))=FALSE),VLOOKUP(G128,Keszlet!$C$5:$H$200,6,FALSE),"")</f>
        <v/>
      </c>
      <c r="K128" s="72" t="str">
        <f>IF(AND(G128&lt;&gt;"",ISERROR(VLOOKUP(G128,Keszlet!$C$5:$G$200,5,FALSE))=FALSE),VLOOKUP(G128,Keszlet!$C$5:$G$200,5,FALSE),"")</f>
        <v/>
      </c>
      <c r="L128" s="72" t="str">
        <f t="shared" si="2"/>
        <v/>
      </c>
      <c r="M128" s="69"/>
      <c r="T128" s="56" t="str">
        <f t="shared" si="3"/>
        <v/>
      </c>
      <c r="BA128" s="1">
        <f>IF(E128&lt;=Leltar_iv!$Y$1,I128,0)</f>
        <v>0</v>
      </c>
    </row>
    <row r="129" spans="4:53" x14ac:dyDescent="0.2">
      <c r="D129" s="84" t="str">
        <f>IF(AND(OR(Kiadas!C128&lt;&gt;Kiadas!C129,Kiadas!C129=1),SUM(Kiadas!L129:L149)&lt;&gt;0),YEAR(Kiadas!W129)&amp;"/"&amp;Kiadas!C129,"")</f>
        <v/>
      </c>
      <c r="E129" s="44"/>
      <c r="F129" s="45"/>
      <c r="G129" s="45"/>
      <c r="H129" s="45"/>
      <c r="I129" s="46"/>
      <c r="J129" s="86" t="str">
        <f>IF(AND(G129&lt;&gt;"",ISERROR(VLOOKUP(G129,Keszlet!$C$5:$H$200,6,FALSE))=FALSE),VLOOKUP(G129,Keszlet!$C$5:$H$200,6,FALSE),"")</f>
        <v/>
      </c>
      <c r="K129" s="72" t="str">
        <f>IF(AND(G129&lt;&gt;"",ISERROR(VLOOKUP(G129,Keszlet!$C$5:$G$200,5,FALSE))=FALSE),VLOOKUP(G129,Keszlet!$C$5:$G$200,5,FALSE),"")</f>
        <v/>
      </c>
      <c r="L129" s="72" t="str">
        <f t="shared" si="2"/>
        <v/>
      </c>
      <c r="M129" s="69"/>
      <c r="T129" s="56" t="str">
        <f t="shared" si="3"/>
        <v/>
      </c>
      <c r="BA129" s="1">
        <f>IF(E129&lt;=Leltar_iv!$Y$1,I129,0)</f>
        <v>0</v>
      </c>
    </row>
    <row r="130" spans="4:53" x14ac:dyDescent="0.2">
      <c r="D130" s="84" t="str">
        <f>IF(AND(OR(Kiadas!C129&lt;&gt;Kiadas!C130,Kiadas!C130=1),SUM(Kiadas!L130:L150)&lt;&gt;0),YEAR(Kiadas!W130)&amp;"/"&amp;Kiadas!C130,"")</f>
        <v/>
      </c>
      <c r="E130" s="44"/>
      <c r="F130" s="45"/>
      <c r="G130" s="45"/>
      <c r="H130" s="45"/>
      <c r="I130" s="46"/>
      <c r="J130" s="86" t="str">
        <f>IF(AND(G130&lt;&gt;"",ISERROR(VLOOKUP(G130,Keszlet!$C$5:$H$200,6,FALSE))=FALSE),VLOOKUP(G130,Keszlet!$C$5:$H$200,6,FALSE),"")</f>
        <v/>
      </c>
      <c r="K130" s="72" t="str">
        <f>IF(AND(G130&lt;&gt;"",ISERROR(VLOOKUP(G130,Keszlet!$C$5:$G$200,5,FALSE))=FALSE),VLOOKUP(G130,Keszlet!$C$5:$G$200,5,FALSE),"")</f>
        <v/>
      </c>
      <c r="L130" s="72" t="str">
        <f t="shared" si="2"/>
        <v/>
      </c>
      <c r="M130" s="69"/>
      <c r="T130" s="56" t="str">
        <f t="shared" si="3"/>
        <v/>
      </c>
      <c r="BA130" s="1">
        <f>IF(E130&lt;=Leltar_iv!$Y$1,I130,0)</f>
        <v>0</v>
      </c>
    </row>
    <row r="131" spans="4:53" x14ac:dyDescent="0.2">
      <c r="D131" s="84" t="str">
        <f>IF(AND(OR(Kiadas!C130&lt;&gt;Kiadas!C131,Kiadas!C131=1),SUM(Kiadas!L131:L151)&lt;&gt;0),YEAR(Kiadas!W131)&amp;"/"&amp;Kiadas!C131,"")</f>
        <v/>
      </c>
      <c r="E131" s="44"/>
      <c r="F131" s="45"/>
      <c r="G131" s="45"/>
      <c r="H131" s="45"/>
      <c r="I131" s="46"/>
      <c r="J131" s="86" t="str">
        <f>IF(AND(G131&lt;&gt;"",ISERROR(VLOOKUP(G131,Keszlet!$C$5:$H$200,6,FALSE))=FALSE),VLOOKUP(G131,Keszlet!$C$5:$H$200,6,FALSE),"")</f>
        <v/>
      </c>
      <c r="K131" s="72" t="str">
        <f>IF(AND(G131&lt;&gt;"",ISERROR(VLOOKUP(G131,Keszlet!$C$5:$G$200,5,FALSE))=FALSE),VLOOKUP(G131,Keszlet!$C$5:$G$200,5,FALSE),"")</f>
        <v/>
      </c>
      <c r="L131" s="72" t="str">
        <f t="shared" si="2"/>
        <v/>
      </c>
      <c r="M131" s="69"/>
      <c r="T131" s="56" t="str">
        <f t="shared" si="3"/>
        <v/>
      </c>
      <c r="BA131" s="1">
        <f>IF(E131&lt;=Leltar_iv!$Y$1,I131,0)</f>
        <v>0</v>
      </c>
    </row>
    <row r="132" spans="4:53" x14ac:dyDescent="0.2">
      <c r="D132" s="84" t="str">
        <f>IF(AND(OR(Kiadas!C131&lt;&gt;Kiadas!C132,Kiadas!C132=1),SUM(Kiadas!L132:L152)&lt;&gt;0),YEAR(Kiadas!W132)&amp;"/"&amp;Kiadas!C132,"")</f>
        <v/>
      </c>
      <c r="E132" s="44"/>
      <c r="F132" s="45"/>
      <c r="G132" s="45"/>
      <c r="H132" s="45"/>
      <c r="I132" s="46"/>
      <c r="J132" s="86" t="str">
        <f>IF(AND(G132&lt;&gt;"",ISERROR(VLOOKUP(G132,Keszlet!$C$5:$H$200,6,FALSE))=FALSE),VLOOKUP(G132,Keszlet!$C$5:$H$200,6,FALSE),"")</f>
        <v/>
      </c>
      <c r="K132" s="72" t="str">
        <f>IF(AND(G132&lt;&gt;"",ISERROR(VLOOKUP(G132,Keszlet!$C$5:$G$200,5,FALSE))=FALSE),VLOOKUP(G132,Keszlet!$C$5:$G$200,5,FALSE),"")</f>
        <v/>
      </c>
      <c r="L132" s="72" t="str">
        <f t="shared" si="2"/>
        <v/>
      </c>
      <c r="M132" s="69"/>
      <c r="T132" s="56" t="str">
        <f t="shared" si="3"/>
        <v/>
      </c>
      <c r="BA132" s="1">
        <f>IF(E132&lt;=Leltar_iv!$Y$1,I132,0)</f>
        <v>0</v>
      </c>
    </row>
    <row r="133" spans="4:53" x14ac:dyDescent="0.2">
      <c r="D133" s="84" t="str">
        <f>IF(AND(OR(Kiadas!C132&lt;&gt;Kiadas!C133,Kiadas!C133=1),SUM(Kiadas!L133:L153)&lt;&gt;0),YEAR(Kiadas!W133)&amp;"/"&amp;Kiadas!C133,"")</f>
        <v/>
      </c>
      <c r="E133" s="44"/>
      <c r="F133" s="45"/>
      <c r="G133" s="45"/>
      <c r="H133" s="45"/>
      <c r="I133" s="46"/>
      <c r="J133" s="86" t="str">
        <f>IF(AND(G133&lt;&gt;"",ISERROR(VLOOKUP(G133,Keszlet!$C$5:$H$200,6,FALSE))=FALSE),VLOOKUP(G133,Keszlet!$C$5:$H$200,6,FALSE),"")</f>
        <v/>
      </c>
      <c r="K133" s="72" t="str">
        <f>IF(AND(G133&lt;&gt;"",ISERROR(VLOOKUP(G133,Keszlet!$C$5:$G$200,5,FALSE))=FALSE),VLOOKUP(G133,Keszlet!$C$5:$G$200,5,FALSE),"")</f>
        <v/>
      </c>
      <c r="L133" s="72" t="str">
        <f t="shared" si="2"/>
        <v/>
      </c>
      <c r="M133" s="69"/>
      <c r="T133" s="56" t="str">
        <f t="shared" si="3"/>
        <v/>
      </c>
      <c r="BA133" s="1">
        <f>IF(E133&lt;=Leltar_iv!$Y$1,I133,0)</f>
        <v>0</v>
      </c>
    </row>
    <row r="134" spans="4:53" x14ac:dyDescent="0.2">
      <c r="D134" s="84" t="str">
        <f>IF(AND(OR(Kiadas!C133&lt;&gt;Kiadas!C134,Kiadas!C134=1),SUM(Kiadas!L134:L154)&lt;&gt;0),YEAR(Kiadas!W134)&amp;"/"&amp;Kiadas!C134,"")</f>
        <v/>
      </c>
      <c r="E134" s="44"/>
      <c r="F134" s="45"/>
      <c r="G134" s="45"/>
      <c r="H134" s="45"/>
      <c r="I134" s="46"/>
      <c r="J134" s="86" t="str">
        <f>IF(AND(G134&lt;&gt;"",ISERROR(VLOOKUP(G134,Keszlet!$C$5:$H$200,6,FALSE))=FALSE),VLOOKUP(G134,Keszlet!$C$5:$H$200,6,FALSE),"")</f>
        <v/>
      </c>
      <c r="K134" s="72" t="str">
        <f>IF(AND(G134&lt;&gt;"",ISERROR(VLOOKUP(G134,Keszlet!$C$5:$G$200,5,FALSE))=FALSE),VLOOKUP(G134,Keszlet!$C$5:$G$200,5,FALSE),"")</f>
        <v/>
      </c>
      <c r="L134" s="72" t="str">
        <f t="shared" si="2"/>
        <v/>
      </c>
      <c r="M134" s="69"/>
      <c r="T134" s="56" t="str">
        <f t="shared" si="3"/>
        <v/>
      </c>
      <c r="BA134" s="1">
        <f>IF(E134&lt;=Leltar_iv!$Y$1,I134,0)</f>
        <v>0</v>
      </c>
    </row>
    <row r="135" spans="4:53" x14ac:dyDescent="0.2">
      <c r="D135" s="84" t="str">
        <f>IF(AND(OR(Kiadas!C134&lt;&gt;Kiadas!C135,Kiadas!C135=1),SUM(Kiadas!L135:L155)&lt;&gt;0),YEAR(Kiadas!W135)&amp;"/"&amp;Kiadas!C135,"")</f>
        <v/>
      </c>
      <c r="E135" s="44"/>
      <c r="F135" s="45"/>
      <c r="G135" s="45"/>
      <c r="H135" s="45"/>
      <c r="I135" s="46"/>
      <c r="J135" s="86" t="str">
        <f>IF(AND(G135&lt;&gt;"",ISERROR(VLOOKUP(G135,Keszlet!$C$5:$H$200,6,FALSE))=FALSE),VLOOKUP(G135,Keszlet!$C$5:$H$200,6,FALSE),"")</f>
        <v/>
      </c>
      <c r="K135" s="72" t="str">
        <f>IF(AND(G135&lt;&gt;"",ISERROR(VLOOKUP(G135,Keszlet!$C$5:$G$200,5,FALSE))=FALSE),VLOOKUP(G135,Keszlet!$C$5:$G$200,5,FALSE),"")</f>
        <v/>
      </c>
      <c r="L135" s="72" t="str">
        <f t="shared" ref="L135:L198" si="4">IF(AND(G135&lt;&gt;0,K135&lt;&gt;""),I135*K135,"")</f>
        <v/>
      </c>
      <c r="M135" s="69"/>
      <c r="T135" s="56" t="str">
        <f t="shared" si="3"/>
        <v/>
      </c>
      <c r="BA135" s="1">
        <f>IF(E135&lt;=Leltar_iv!$Y$1,I135,0)</f>
        <v>0</v>
      </c>
    </row>
    <row r="136" spans="4:53" x14ac:dyDescent="0.2">
      <c r="D136" s="84" t="str">
        <f>IF(AND(OR(Kiadas!C135&lt;&gt;Kiadas!C136,Kiadas!C136=1),SUM(Kiadas!L136:L156)&lt;&gt;0),YEAR(Kiadas!W136)&amp;"/"&amp;Kiadas!C136,"")</f>
        <v/>
      </c>
      <c r="E136" s="44"/>
      <c r="F136" s="45"/>
      <c r="G136" s="45"/>
      <c r="H136" s="45"/>
      <c r="I136" s="46"/>
      <c r="J136" s="86" t="str">
        <f>IF(AND(G136&lt;&gt;"",ISERROR(VLOOKUP(G136,Keszlet!$C$5:$H$200,6,FALSE))=FALSE),VLOOKUP(G136,Keszlet!$C$5:$H$200,6,FALSE),"")</f>
        <v/>
      </c>
      <c r="K136" s="72" t="str">
        <f>IF(AND(G136&lt;&gt;"",ISERROR(VLOOKUP(G136,Keszlet!$C$5:$G$200,5,FALSE))=FALSE),VLOOKUP(G136,Keszlet!$C$5:$G$200,5,FALSE),"")</f>
        <v/>
      </c>
      <c r="L136" s="72" t="str">
        <f t="shared" si="4"/>
        <v/>
      </c>
      <c r="M136" s="69"/>
      <c r="T136" s="56" t="str">
        <f t="shared" si="3"/>
        <v/>
      </c>
      <c r="BA136" s="1">
        <f>IF(E136&lt;=Leltar_iv!$Y$1,I136,0)</f>
        <v>0</v>
      </c>
    </row>
    <row r="137" spans="4:53" x14ac:dyDescent="0.2">
      <c r="D137" s="84" t="str">
        <f>IF(AND(OR(Kiadas!C136&lt;&gt;Kiadas!C137,Kiadas!C137=1),SUM(Kiadas!L137:L157)&lt;&gt;0),YEAR(Kiadas!W137)&amp;"/"&amp;Kiadas!C137,"")</f>
        <v/>
      </c>
      <c r="E137" s="44"/>
      <c r="F137" s="45"/>
      <c r="G137" s="45"/>
      <c r="H137" s="45"/>
      <c r="I137" s="46"/>
      <c r="J137" s="86" t="str">
        <f>IF(AND(G137&lt;&gt;"",ISERROR(VLOOKUP(G137,Keszlet!$C$5:$H$200,6,FALSE))=FALSE),VLOOKUP(G137,Keszlet!$C$5:$H$200,6,FALSE),"")</f>
        <v/>
      </c>
      <c r="K137" s="72" t="str">
        <f>IF(AND(G137&lt;&gt;"",ISERROR(VLOOKUP(G137,Keszlet!$C$5:$G$200,5,FALSE))=FALSE),VLOOKUP(G137,Keszlet!$C$5:$G$200,5,FALSE),"")</f>
        <v/>
      </c>
      <c r="L137" s="72" t="str">
        <f t="shared" si="4"/>
        <v/>
      </c>
      <c r="M137" s="69"/>
      <c r="T137" s="56" t="str">
        <f t="shared" si="3"/>
        <v/>
      </c>
      <c r="BA137" s="1">
        <f>IF(E137&lt;=Leltar_iv!$Y$1,I137,0)</f>
        <v>0</v>
      </c>
    </row>
    <row r="138" spans="4:53" x14ac:dyDescent="0.2">
      <c r="D138" s="84" t="str">
        <f>IF(AND(OR(Kiadas!C137&lt;&gt;Kiadas!C138,Kiadas!C138=1),SUM(Kiadas!L138:L158)&lt;&gt;0),YEAR(Kiadas!W138)&amp;"/"&amp;Kiadas!C138,"")</f>
        <v/>
      </c>
      <c r="E138" s="44"/>
      <c r="F138" s="45"/>
      <c r="G138" s="45"/>
      <c r="H138" s="45"/>
      <c r="I138" s="46"/>
      <c r="J138" s="86" t="str">
        <f>IF(AND(G138&lt;&gt;"",ISERROR(VLOOKUP(G138,Keszlet!$C$5:$H$200,6,FALSE))=FALSE),VLOOKUP(G138,Keszlet!$C$5:$H$200,6,FALSE),"")</f>
        <v/>
      </c>
      <c r="K138" s="72" t="str">
        <f>IF(AND(G138&lt;&gt;"",ISERROR(VLOOKUP(G138,Keszlet!$C$5:$G$200,5,FALSE))=FALSE),VLOOKUP(G138,Keszlet!$C$5:$G$200,5,FALSE),"")</f>
        <v/>
      </c>
      <c r="L138" s="72" t="str">
        <f t="shared" si="4"/>
        <v/>
      </c>
      <c r="M138" s="69"/>
      <c r="T138" s="56" t="str">
        <f t="shared" si="3"/>
        <v/>
      </c>
      <c r="BA138" s="1">
        <f>IF(E138&lt;=Leltar_iv!$Y$1,I138,0)</f>
        <v>0</v>
      </c>
    </row>
    <row r="139" spans="4:53" x14ac:dyDescent="0.2">
      <c r="D139" s="84" t="str">
        <f>IF(AND(OR(Kiadas!C138&lt;&gt;Kiadas!C139,Kiadas!C139=1),SUM(Kiadas!L139:L159)&lt;&gt;0),YEAR(Kiadas!W139)&amp;"/"&amp;Kiadas!C139,"")</f>
        <v/>
      </c>
      <c r="E139" s="44"/>
      <c r="F139" s="45"/>
      <c r="G139" s="45"/>
      <c r="H139" s="45"/>
      <c r="I139" s="46"/>
      <c r="J139" s="86" t="str">
        <f>IF(AND(G139&lt;&gt;"",ISERROR(VLOOKUP(G139,Keszlet!$C$5:$H$200,6,FALSE))=FALSE),VLOOKUP(G139,Keszlet!$C$5:$H$200,6,FALSE),"")</f>
        <v/>
      </c>
      <c r="K139" s="72" t="str">
        <f>IF(AND(G139&lt;&gt;"",ISERROR(VLOOKUP(G139,Keszlet!$C$5:$G$200,5,FALSE))=FALSE),VLOOKUP(G139,Keszlet!$C$5:$G$200,5,FALSE),"")</f>
        <v/>
      </c>
      <c r="L139" s="72" t="str">
        <f t="shared" si="4"/>
        <v/>
      </c>
      <c r="M139" s="69"/>
      <c r="T139" s="56" t="str">
        <f t="shared" ref="T139:T202" si="5">IF(OR(E139&lt;&gt;0,COUNTIF(T130:T138,0)=9,F139&lt;&gt;0,SUM(L139:L159)=0),E139&amp;F139,0)</f>
        <v/>
      </c>
      <c r="BA139" s="1">
        <f>IF(E139&lt;=Leltar_iv!$Y$1,I139,0)</f>
        <v>0</v>
      </c>
    </row>
    <row r="140" spans="4:53" x14ac:dyDescent="0.2">
      <c r="D140" s="84" t="str">
        <f>IF(AND(OR(Kiadas!C139&lt;&gt;Kiadas!C140,Kiadas!C140=1),SUM(Kiadas!L140:L160)&lt;&gt;0),YEAR(Kiadas!W140)&amp;"/"&amp;Kiadas!C140,"")</f>
        <v/>
      </c>
      <c r="E140" s="44"/>
      <c r="F140" s="45"/>
      <c r="G140" s="45"/>
      <c r="H140" s="45"/>
      <c r="I140" s="46"/>
      <c r="J140" s="86" t="str">
        <f>IF(AND(G140&lt;&gt;"",ISERROR(VLOOKUP(G140,Keszlet!$C$5:$H$200,6,FALSE))=FALSE),VLOOKUP(G140,Keszlet!$C$5:$H$200,6,FALSE),"")</f>
        <v/>
      </c>
      <c r="K140" s="72" t="str">
        <f>IF(AND(G140&lt;&gt;"",ISERROR(VLOOKUP(G140,Keszlet!$C$5:$G$200,5,FALSE))=FALSE),VLOOKUP(G140,Keszlet!$C$5:$G$200,5,FALSE),"")</f>
        <v/>
      </c>
      <c r="L140" s="72" t="str">
        <f t="shared" si="4"/>
        <v/>
      </c>
      <c r="M140" s="69"/>
      <c r="T140" s="56" t="str">
        <f t="shared" si="5"/>
        <v/>
      </c>
      <c r="BA140" s="1">
        <f>IF(E140&lt;=Leltar_iv!$Y$1,I140,0)</f>
        <v>0</v>
      </c>
    </row>
    <row r="141" spans="4:53" x14ac:dyDescent="0.2">
      <c r="D141" s="84" t="str">
        <f>IF(AND(OR(Kiadas!C140&lt;&gt;Kiadas!C141,Kiadas!C141=1),SUM(Kiadas!L141:L161)&lt;&gt;0),YEAR(Kiadas!W141)&amp;"/"&amp;Kiadas!C141,"")</f>
        <v/>
      </c>
      <c r="E141" s="44"/>
      <c r="F141" s="45"/>
      <c r="G141" s="45"/>
      <c r="H141" s="45"/>
      <c r="I141" s="46"/>
      <c r="J141" s="86" t="str">
        <f>IF(AND(G141&lt;&gt;"",ISERROR(VLOOKUP(G141,Keszlet!$C$5:$H$200,6,FALSE))=FALSE),VLOOKUP(G141,Keszlet!$C$5:$H$200,6,FALSE),"")</f>
        <v/>
      </c>
      <c r="K141" s="72" t="str">
        <f>IF(AND(G141&lt;&gt;"",ISERROR(VLOOKUP(G141,Keszlet!$C$5:$G$200,5,FALSE))=FALSE),VLOOKUP(G141,Keszlet!$C$5:$G$200,5,FALSE),"")</f>
        <v/>
      </c>
      <c r="L141" s="72" t="str">
        <f t="shared" si="4"/>
        <v/>
      </c>
      <c r="M141" s="69"/>
      <c r="T141" s="56" t="str">
        <f t="shared" si="5"/>
        <v/>
      </c>
      <c r="BA141" s="1">
        <f>IF(E141&lt;=Leltar_iv!$Y$1,I141,0)</f>
        <v>0</v>
      </c>
    </row>
    <row r="142" spans="4:53" x14ac:dyDescent="0.2">
      <c r="D142" s="84" t="str">
        <f>IF(AND(OR(Kiadas!C141&lt;&gt;Kiadas!C142,Kiadas!C142=1),SUM(Kiadas!L142:L162)&lt;&gt;0),YEAR(Kiadas!W142)&amp;"/"&amp;Kiadas!C142,"")</f>
        <v/>
      </c>
      <c r="E142" s="44"/>
      <c r="F142" s="45"/>
      <c r="G142" s="45"/>
      <c r="H142" s="45"/>
      <c r="I142" s="46"/>
      <c r="J142" s="86" t="str">
        <f>IF(AND(G142&lt;&gt;"",ISERROR(VLOOKUP(G142,Keszlet!$C$5:$H$200,6,FALSE))=FALSE),VLOOKUP(G142,Keszlet!$C$5:$H$200,6,FALSE),"")</f>
        <v/>
      </c>
      <c r="K142" s="72" t="str">
        <f>IF(AND(G142&lt;&gt;"",ISERROR(VLOOKUP(G142,Keszlet!$C$5:$G$200,5,FALSE))=FALSE),VLOOKUP(G142,Keszlet!$C$5:$G$200,5,FALSE),"")</f>
        <v/>
      </c>
      <c r="L142" s="72" t="str">
        <f t="shared" si="4"/>
        <v/>
      </c>
      <c r="M142" s="69"/>
      <c r="T142" s="56" t="str">
        <f t="shared" si="5"/>
        <v/>
      </c>
      <c r="BA142" s="1">
        <f>IF(E142&lt;=Leltar_iv!$Y$1,I142,0)</f>
        <v>0</v>
      </c>
    </row>
    <row r="143" spans="4:53" x14ac:dyDescent="0.2">
      <c r="D143" s="84" t="str">
        <f>IF(AND(OR(Kiadas!C142&lt;&gt;Kiadas!C143,Kiadas!C143=1),SUM(Kiadas!L143:L163)&lt;&gt;0),YEAR(Kiadas!W143)&amp;"/"&amp;Kiadas!C143,"")</f>
        <v/>
      </c>
      <c r="E143" s="44"/>
      <c r="F143" s="45"/>
      <c r="G143" s="45"/>
      <c r="H143" s="45"/>
      <c r="I143" s="46"/>
      <c r="J143" s="86" t="str">
        <f>IF(AND(G143&lt;&gt;"",ISERROR(VLOOKUP(G143,Keszlet!$C$5:$H$200,6,FALSE))=FALSE),VLOOKUP(G143,Keszlet!$C$5:$H$200,6,FALSE),"")</f>
        <v/>
      </c>
      <c r="K143" s="72" t="str">
        <f>IF(AND(G143&lt;&gt;"",ISERROR(VLOOKUP(G143,Keszlet!$C$5:$G$200,5,FALSE))=FALSE),VLOOKUP(G143,Keszlet!$C$5:$G$200,5,FALSE),"")</f>
        <v/>
      </c>
      <c r="L143" s="72" t="str">
        <f t="shared" si="4"/>
        <v/>
      </c>
      <c r="M143" s="69"/>
      <c r="T143" s="56" t="str">
        <f t="shared" si="5"/>
        <v/>
      </c>
      <c r="BA143" s="1">
        <f>IF(E143&lt;=Leltar_iv!$Y$1,I143,0)</f>
        <v>0</v>
      </c>
    </row>
    <row r="144" spans="4:53" x14ac:dyDescent="0.2">
      <c r="D144" s="84" t="str">
        <f>IF(AND(OR(Kiadas!C143&lt;&gt;Kiadas!C144,Kiadas!C144=1),SUM(Kiadas!L144:L164)&lt;&gt;0),YEAR(Kiadas!W144)&amp;"/"&amp;Kiadas!C144,"")</f>
        <v/>
      </c>
      <c r="E144" s="44"/>
      <c r="F144" s="45"/>
      <c r="G144" s="45"/>
      <c r="H144" s="45"/>
      <c r="I144" s="46"/>
      <c r="J144" s="86" t="str">
        <f>IF(AND(G144&lt;&gt;"",ISERROR(VLOOKUP(G144,Keszlet!$C$5:$H$200,6,FALSE))=FALSE),VLOOKUP(G144,Keszlet!$C$5:$H$200,6,FALSE),"")</f>
        <v/>
      </c>
      <c r="K144" s="72" t="str">
        <f>IF(AND(G144&lt;&gt;"",ISERROR(VLOOKUP(G144,Keszlet!$C$5:$G$200,5,FALSE))=FALSE),VLOOKUP(G144,Keszlet!$C$5:$G$200,5,FALSE),"")</f>
        <v/>
      </c>
      <c r="L144" s="72" t="str">
        <f t="shared" si="4"/>
        <v/>
      </c>
      <c r="M144" s="69"/>
      <c r="T144" s="56" t="str">
        <f t="shared" si="5"/>
        <v/>
      </c>
      <c r="BA144" s="1">
        <f>IF(E144&lt;=Leltar_iv!$Y$1,I144,0)</f>
        <v>0</v>
      </c>
    </row>
    <row r="145" spans="4:53" x14ac:dyDescent="0.2">
      <c r="D145" s="84" t="str">
        <f>IF(AND(OR(Kiadas!C144&lt;&gt;Kiadas!C145,Kiadas!C145=1),SUM(Kiadas!L145:L165)&lt;&gt;0),YEAR(Kiadas!W145)&amp;"/"&amp;Kiadas!C145,"")</f>
        <v/>
      </c>
      <c r="E145" s="44"/>
      <c r="F145" s="45"/>
      <c r="G145" s="45"/>
      <c r="H145" s="45"/>
      <c r="I145" s="46"/>
      <c r="J145" s="86" t="str">
        <f>IF(AND(G145&lt;&gt;"",ISERROR(VLOOKUP(G145,Keszlet!$C$5:$H$200,6,FALSE))=FALSE),VLOOKUP(G145,Keszlet!$C$5:$H$200,6,FALSE),"")</f>
        <v/>
      </c>
      <c r="K145" s="72" t="str">
        <f>IF(AND(G145&lt;&gt;"",ISERROR(VLOOKUP(G145,Keszlet!$C$5:$G$200,5,FALSE))=FALSE),VLOOKUP(G145,Keszlet!$C$5:$G$200,5,FALSE),"")</f>
        <v/>
      </c>
      <c r="L145" s="72" t="str">
        <f t="shared" si="4"/>
        <v/>
      </c>
      <c r="M145" s="69"/>
      <c r="T145" s="56" t="str">
        <f t="shared" si="5"/>
        <v/>
      </c>
      <c r="BA145" s="1">
        <f>IF(E145&lt;=Leltar_iv!$Y$1,I145,0)</f>
        <v>0</v>
      </c>
    </row>
    <row r="146" spans="4:53" x14ac:dyDescent="0.2">
      <c r="D146" s="84" t="str">
        <f>IF(AND(OR(Kiadas!C145&lt;&gt;Kiadas!C146,Kiadas!C146=1),SUM(Kiadas!L146:L166)&lt;&gt;0),YEAR(Kiadas!W146)&amp;"/"&amp;Kiadas!C146,"")</f>
        <v/>
      </c>
      <c r="E146" s="44"/>
      <c r="F146" s="45"/>
      <c r="G146" s="45"/>
      <c r="H146" s="45"/>
      <c r="I146" s="46"/>
      <c r="J146" s="86" t="str">
        <f>IF(AND(G146&lt;&gt;"",ISERROR(VLOOKUP(G146,Keszlet!$C$5:$H$200,6,FALSE))=FALSE),VLOOKUP(G146,Keszlet!$C$5:$H$200,6,FALSE),"")</f>
        <v/>
      </c>
      <c r="K146" s="72" t="str">
        <f>IF(AND(G146&lt;&gt;"",ISERROR(VLOOKUP(G146,Keszlet!$C$5:$G$200,5,FALSE))=FALSE),VLOOKUP(G146,Keszlet!$C$5:$G$200,5,FALSE),"")</f>
        <v/>
      </c>
      <c r="L146" s="72" t="str">
        <f t="shared" si="4"/>
        <v/>
      </c>
      <c r="M146" s="69"/>
      <c r="T146" s="56" t="str">
        <f t="shared" si="5"/>
        <v/>
      </c>
      <c r="BA146" s="1">
        <f>IF(E146&lt;=Leltar_iv!$Y$1,I146,0)</f>
        <v>0</v>
      </c>
    </row>
    <row r="147" spans="4:53" x14ac:dyDescent="0.2">
      <c r="D147" s="84" t="str">
        <f>IF(AND(OR(Kiadas!C146&lt;&gt;Kiadas!C147,Kiadas!C147=1),SUM(Kiadas!L147:L167)&lt;&gt;0),YEAR(Kiadas!W147)&amp;"/"&amp;Kiadas!C147,"")</f>
        <v/>
      </c>
      <c r="E147" s="44"/>
      <c r="F147" s="45"/>
      <c r="G147" s="45"/>
      <c r="H147" s="45"/>
      <c r="I147" s="46"/>
      <c r="J147" s="86" t="str">
        <f>IF(AND(G147&lt;&gt;"",ISERROR(VLOOKUP(G147,Keszlet!$C$5:$H$200,6,FALSE))=FALSE),VLOOKUP(G147,Keszlet!$C$5:$H$200,6,FALSE),"")</f>
        <v/>
      </c>
      <c r="K147" s="72" t="str">
        <f>IF(AND(G147&lt;&gt;"",ISERROR(VLOOKUP(G147,Keszlet!$C$5:$G$200,5,FALSE))=FALSE),VLOOKUP(G147,Keszlet!$C$5:$G$200,5,FALSE),"")</f>
        <v/>
      </c>
      <c r="L147" s="72" t="str">
        <f t="shared" si="4"/>
        <v/>
      </c>
      <c r="M147" s="69"/>
      <c r="T147" s="56" t="str">
        <f t="shared" si="5"/>
        <v/>
      </c>
      <c r="BA147" s="1">
        <f>IF(E147&lt;=Leltar_iv!$Y$1,I147,0)</f>
        <v>0</v>
      </c>
    </row>
    <row r="148" spans="4:53" x14ac:dyDescent="0.2">
      <c r="D148" s="84" t="str">
        <f>IF(AND(OR(Kiadas!C147&lt;&gt;Kiadas!C148,Kiadas!C148=1),SUM(Kiadas!L148:L168)&lt;&gt;0),YEAR(Kiadas!W148)&amp;"/"&amp;Kiadas!C148,"")</f>
        <v/>
      </c>
      <c r="E148" s="44"/>
      <c r="F148" s="45"/>
      <c r="G148" s="45"/>
      <c r="H148" s="45"/>
      <c r="I148" s="46"/>
      <c r="J148" s="86" t="str">
        <f>IF(AND(G148&lt;&gt;"",ISERROR(VLOOKUP(G148,Keszlet!$C$5:$H$200,6,FALSE))=FALSE),VLOOKUP(G148,Keszlet!$C$5:$H$200,6,FALSE),"")</f>
        <v/>
      </c>
      <c r="K148" s="72" t="str">
        <f>IF(AND(G148&lt;&gt;"",ISERROR(VLOOKUP(G148,Keszlet!$C$5:$G$200,5,FALSE))=FALSE),VLOOKUP(G148,Keszlet!$C$5:$G$200,5,FALSE),"")</f>
        <v/>
      </c>
      <c r="L148" s="72" t="str">
        <f t="shared" si="4"/>
        <v/>
      </c>
      <c r="M148" s="69"/>
      <c r="T148" s="56" t="str">
        <f t="shared" si="5"/>
        <v/>
      </c>
      <c r="BA148" s="1">
        <f>IF(E148&lt;=Leltar_iv!$Y$1,I148,0)</f>
        <v>0</v>
      </c>
    </row>
    <row r="149" spans="4:53" x14ac:dyDescent="0.2">
      <c r="D149" s="84" t="str">
        <f>IF(AND(OR(Kiadas!C148&lt;&gt;Kiadas!C149,Kiadas!C149=1),SUM(Kiadas!L149:L169)&lt;&gt;0),YEAR(Kiadas!W149)&amp;"/"&amp;Kiadas!C149,"")</f>
        <v/>
      </c>
      <c r="E149" s="44"/>
      <c r="F149" s="45"/>
      <c r="G149" s="45"/>
      <c r="H149" s="45"/>
      <c r="I149" s="46"/>
      <c r="J149" s="86" t="str">
        <f>IF(AND(G149&lt;&gt;"",ISERROR(VLOOKUP(G149,Keszlet!$C$5:$H$200,6,FALSE))=FALSE),VLOOKUP(G149,Keszlet!$C$5:$H$200,6,FALSE),"")</f>
        <v/>
      </c>
      <c r="K149" s="72" t="str">
        <f>IF(AND(G149&lt;&gt;"",ISERROR(VLOOKUP(G149,Keszlet!$C$5:$G$200,5,FALSE))=FALSE),VLOOKUP(G149,Keszlet!$C$5:$G$200,5,FALSE),"")</f>
        <v/>
      </c>
      <c r="L149" s="72" t="str">
        <f t="shared" si="4"/>
        <v/>
      </c>
      <c r="M149" s="69"/>
      <c r="T149" s="56" t="str">
        <f t="shared" si="5"/>
        <v/>
      </c>
      <c r="BA149" s="1">
        <f>IF(E149&lt;=Leltar_iv!$Y$1,I149,0)</f>
        <v>0</v>
      </c>
    </row>
    <row r="150" spans="4:53" x14ac:dyDescent="0.2">
      <c r="D150" s="84" t="str">
        <f>IF(AND(OR(Kiadas!C149&lt;&gt;Kiadas!C150,Kiadas!C150=1),SUM(Kiadas!L150:L170)&lt;&gt;0),YEAR(Kiadas!W150)&amp;"/"&amp;Kiadas!C150,"")</f>
        <v/>
      </c>
      <c r="E150" s="44"/>
      <c r="F150" s="45"/>
      <c r="G150" s="45"/>
      <c r="H150" s="45"/>
      <c r="I150" s="46"/>
      <c r="J150" s="86" t="str">
        <f>IF(AND(G150&lt;&gt;"",ISERROR(VLOOKUP(G150,Keszlet!$C$5:$H$200,6,FALSE))=FALSE),VLOOKUP(G150,Keszlet!$C$5:$H$200,6,FALSE),"")</f>
        <v/>
      </c>
      <c r="K150" s="72" t="str">
        <f>IF(AND(G150&lt;&gt;"",ISERROR(VLOOKUP(G150,Keszlet!$C$5:$G$200,5,FALSE))=FALSE),VLOOKUP(G150,Keszlet!$C$5:$G$200,5,FALSE),"")</f>
        <v/>
      </c>
      <c r="L150" s="72" t="str">
        <f t="shared" si="4"/>
        <v/>
      </c>
      <c r="M150" s="69"/>
      <c r="T150" s="56" t="str">
        <f t="shared" si="5"/>
        <v/>
      </c>
      <c r="BA150" s="1">
        <f>IF(E150&lt;=Leltar_iv!$Y$1,I150,0)</f>
        <v>0</v>
      </c>
    </row>
    <row r="151" spans="4:53" x14ac:dyDescent="0.2">
      <c r="D151" s="84" t="str">
        <f>IF(AND(OR(Kiadas!C150&lt;&gt;Kiadas!C151,Kiadas!C151=1),SUM(Kiadas!L151:L171)&lt;&gt;0),YEAR(Kiadas!W151)&amp;"/"&amp;Kiadas!C151,"")</f>
        <v/>
      </c>
      <c r="E151" s="44"/>
      <c r="F151" s="45"/>
      <c r="G151" s="45"/>
      <c r="H151" s="45"/>
      <c r="I151" s="46"/>
      <c r="J151" s="86" t="str">
        <f>IF(AND(G151&lt;&gt;"",ISERROR(VLOOKUP(G151,Keszlet!$C$5:$H$200,6,FALSE))=FALSE),VLOOKUP(G151,Keszlet!$C$5:$H$200,6,FALSE),"")</f>
        <v/>
      </c>
      <c r="K151" s="72" t="str">
        <f>IF(AND(G151&lt;&gt;"",ISERROR(VLOOKUP(G151,Keszlet!$C$5:$G$200,5,FALSE))=FALSE),VLOOKUP(G151,Keszlet!$C$5:$G$200,5,FALSE),"")</f>
        <v/>
      </c>
      <c r="L151" s="72" t="str">
        <f t="shared" si="4"/>
        <v/>
      </c>
      <c r="M151" s="69"/>
      <c r="T151" s="56" t="str">
        <f t="shared" si="5"/>
        <v/>
      </c>
      <c r="BA151" s="1">
        <f>IF(E151&lt;=Leltar_iv!$Y$1,I151,0)</f>
        <v>0</v>
      </c>
    </row>
    <row r="152" spans="4:53" x14ac:dyDescent="0.2">
      <c r="D152" s="84" t="str">
        <f>IF(AND(OR(Kiadas!C151&lt;&gt;Kiadas!C152,Kiadas!C152=1),SUM(Kiadas!L152:L172)&lt;&gt;0),YEAR(Kiadas!W152)&amp;"/"&amp;Kiadas!C152,"")</f>
        <v/>
      </c>
      <c r="E152" s="44"/>
      <c r="F152" s="45"/>
      <c r="G152" s="45"/>
      <c r="H152" s="45"/>
      <c r="I152" s="46"/>
      <c r="J152" s="86" t="str">
        <f>IF(AND(G152&lt;&gt;"",ISERROR(VLOOKUP(G152,Keszlet!$C$5:$H$200,6,FALSE))=FALSE),VLOOKUP(G152,Keszlet!$C$5:$H$200,6,FALSE),"")</f>
        <v/>
      </c>
      <c r="K152" s="72" t="str">
        <f>IF(AND(G152&lt;&gt;"",ISERROR(VLOOKUP(G152,Keszlet!$C$5:$G$200,5,FALSE))=FALSE),VLOOKUP(G152,Keszlet!$C$5:$G$200,5,FALSE),"")</f>
        <v/>
      </c>
      <c r="L152" s="72" t="str">
        <f t="shared" si="4"/>
        <v/>
      </c>
      <c r="M152" s="69"/>
      <c r="T152" s="56" t="str">
        <f t="shared" si="5"/>
        <v/>
      </c>
      <c r="BA152" s="1">
        <f>IF(E152&lt;=Leltar_iv!$Y$1,I152,0)</f>
        <v>0</v>
      </c>
    </row>
    <row r="153" spans="4:53" x14ac:dyDescent="0.2">
      <c r="D153" s="84" t="str">
        <f>IF(AND(OR(Kiadas!C152&lt;&gt;Kiadas!C153,Kiadas!C153=1),SUM(Kiadas!L153:L173)&lt;&gt;0),YEAR(Kiadas!W153)&amp;"/"&amp;Kiadas!C153,"")</f>
        <v/>
      </c>
      <c r="E153" s="44"/>
      <c r="F153" s="45"/>
      <c r="G153" s="45"/>
      <c r="H153" s="45"/>
      <c r="I153" s="46"/>
      <c r="J153" s="86" t="str">
        <f>IF(AND(G153&lt;&gt;"",ISERROR(VLOOKUP(G153,Keszlet!$C$5:$H$200,6,FALSE))=FALSE),VLOOKUP(G153,Keszlet!$C$5:$H$200,6,FALSE),"")</f>
        <v/>
      </c>
      <c r="K153" s="72" t="str">
        <f>IF(AND(G153&lt;&gt;"",ISERROR(VLOOKUP(G153,Keszlet!$C$5:$G$200,5,FALSE))=FALSE),VLOOKUP(G153,Keszlet!$C$5:$G$200,5,FALSE),"")</f>
        <v/>
      </c>
      <c r="L153" s="72" t="str">
        <f t="shared" si="4"/>
        <v/>
      </c>
      <c r="M153" s="69"/>
      <c r="T153" s="56" t="str">
        <f t="shared" si="5"/>
        <v/>
      </c>
      <c r="BA153" s="1">
        <f>IF(E153&lt;=Leltar_iv!$Y$1,I153,0)</f>
        <v>0</v>
      </c>
    </row>
    <row r="154" spans="4:53" x14ac:dyDescent="0.2">
      <c r="D154" s="84" t="str">
        <f>IF(AND(OR(Kiadas!C153&lt;&gt;Kiadas!C154,Kiadas!C154=1),SUM(Kiadas!L154:L174)&lt;&gt;0),YEAR(Kiadas!W154)&amp;"/"&amp;Kiadas!C154,"")</f>
        <v/>
      </c>
      <c r="E154" s="44"/>
      <c r="F154" s="45"/>
      <c r="G154" s="45"/>
      <c r="H154" s="45"/>
      <c r="I154" s="46"/>
      <c r="J154" s="86" t="str">
        <f>IF(AND(G154&lt;&gt;"",ISERROR(VLOOKUP(G154,Keszlet!$C$5:$H$200,6,FALSE))=FALSE),VLOOKUP(G154,Keszlet!$C$5:$H$200,6,FALSE),"")</f>
        <v/>
      </c>
      <c r="K154" s="72" t="str">
        <f>IF(AND(G154&lt;&gt;"",ISERROR(VLOOKUP(G154,Keszlet!$C$5:$G$200,5,FALSE))=FALSE),VLOOKUP(G154,Keszlet!$C$5:$G$200,5,FALSE),"")</f>
        <v/>
      </c>
      <c r="L154" s="72" t="str">
        <f t="shared" si="4"/>
        <v/>
      </c>
      <c r="M154" s="69"/>
      <c r="T154" s="56" t="str">
        <f t="shared" si="5"/>
        <v/>
      </c>
      <c r="BA154" s="1">
        <f>IF(E154&lt;=Leltar_iv!$Y$1,I154,0)</f>
        <v>0</v>
      </c>
    </row>
    <row r="155" spans="4:53" x14ac:dyDescent="0.2">
      <c r="D155" s="84" t="str">
        <f>IF(AND(OR(Kiadas!C154&lt;&gt;Kiadas!C155,Kiadas!C155=1),SUM(Kiadas!L155:L175)&lt;&gt;0),YEAR(Kiadas!W155)&amp;"/"&amp;Kiadas!C155,"")</f>
        <v/>
      </c>
      <c r="E155" s="44"/>
      <c r="F155" s="45"/>
      <c r="G155" s="45"/>
      <c r="H155" s="45"/>
      <c r="I155" s="46"/>
      <c r="J155" s="86" t="str">
        <f>IF(AND(G155&lt;&gt;"",ISERROR(VLOOKUP(G155,Keszlet!$C$5:$H$200,6,FALSE))=FALSE),VLOOKUP(G155,Keszlet!$C$5:$H$200,6,FALSE),"")</f>
        <v/>
      </c>
      <c r="K155" s="72" t="str">
        <f>IF(AND(G155&lt;&gt;"",ISERROR(VLOOKUP(G155,Keszlet!$C$5:$G$200,5,FALSE))=FALSE),VLOOKUP(G155,Keszlet!$C$5:$G$200,5,FALSE),"")</f>
        <v/>
      </c>
      <c r="L155" s="72" t="str">
        <f t="shared" si="4"/>
        <v/>
      </c>
      <c r="M155" s="69"/>
      <c r="T155" s="56" t="str">
        <f t="shared" si="5"/>
        <v/>
      </c>
      <c r="BA155" s="1">
        <f>IF(E155&lt;=Leltar_iv!$Y$1,I155,0)</f>
        <v>0</v>
      </c>
    </row>
    <row r="156" spans="4:53" x14ac:dyDescent="0.2">
      <c r="D156" s="84" t="str">
        <f>IF(AND(OR(Kiadas!C155&lt;&gt;Kiadas!C156,Kiadas!C156=1),SUM(Kiadas!L156:L176)&lt;&gt;0),YEAR(Kiadas!W156)&amp;"/"&amp;Kiadas!C156,"")</f>
        <v/>
      </c>
      <c r="E156" s="44"/>
      <c r="F156" s="45"/>
      <c r="G156" s="45"/>
      <c r="H156" s="45"/>
      <c r="I156" s="46"/>
      <c r="J156" s="86" t="str">
        <f>IF(AND(G156&lt;&gt;"",ISERROR(VLOOKUP(G156,Keszlet!$C$5:$H$200,6,FALSE))=FALSE),VLOOKUP(G156,Keszlet!$C$5:$H$200,6,FALSE),"")</f>
        <v/>
      </c>
      <c r="K156" s="72" t="str">
        <f>IF(AND(G156&lt;&gt;"",ISERROR(VLOOKUP(G156,Keszlet!$C$5:$G$200,5,FALSE))=FALSE),VLOOKUP(G156,Keszlet!$C$5:$G$200,5,FALSE),"")</f>
        <v/>
      </c>
      <c r="L156" s="72" t="str">
        <f t="shared" si="4"/>
        <v/>
      </c>
      <c r="M156" s="69"/>
      <c r="T156" s="56" t="str">
        <f t="shared" si="5"/>
        <v/>
      </c>
      <c r="BA156" s="1">
        <f>IF(E156&lt;=Leltar_iv!$Y$1,I156,0)</f>
        <v>0</v>
      </c>
    </row>
    <row r="157" spans="4:53" x14ac:dyDescent="0.2">
      <c r="D157" s="84" t="str">
        <f>IF(AND(OR(Kiadas!C156&lt;&gt;Kiadas!C157,Kiadas!C157=1),SUM(Kiadas!L157:L177)&lt;&gt;0),YEAR(Kiadas!W157)&amp;"/"&amp;Kiadas!C157,"")</f>
        <v/>
      </c>
      <c r="E157" s="44"/>
      <c r="F157" s="45"/>
      <c r="G157" s="45"/>
      <c r="H157" s="45"/>
      <c r="I157" s="46"/>
      <c r="J157" s="86" t="str">
        <f>IF(AND(G157&lt;&gt;"",ISERROR(VLOOKUP(G157,Keszlet!$C$5:$H$200,6,FALSE))=FALSE),VLOOKUP(G157,Keszlet!$C$5:$H$200,6,FALSE),"")</f>
        <v/>
      </c>
      <c r="K157" s="72" t="str">
        <f>IF(AND(G157&lt;&gt;"",ISERROR(VLOOKUP(G157,Keszlet!$C$5:$G$200,5,FALSE))=FALSE),VLOOKUP(G157,Keszlet!$C$5:$G$200,5,FALSE),"")</f>
        <v/>
      </c>
      <c r="L157" s="72" t="str">
        <f t="shared" si="4"/>
        <v/>
      </c>
      <c r="M157" s="69"/>
      <c r="T157" s="56" t="str">
        <f t="shared" si="5"/>
        <v/>
      </c>
      <c r="BA157" s="1">
        <f>IF(E157&lt;=Leltar_iv!$Y$1,I157,0)</f>
        <v>0</v>
      </c>
    </row>
    <row r="158" spans="4:53" x14ac:dyDescent="0.2">
      <c r="D158" s="84" t="str">
        <f>IF(AND(OR(Kiadas!C157&lt;&gt;Kiadas!C158,Kiadas!C158=1),SUM(Kiadas!L158:L178)&lt;&gt;0),YEAR(Kiadas!W158)&amp;"/"&amp;Kiadas!C158,"")</f>
        <v/>
      </c>
      <c r="E158" s="44"/>
      <c r="F158" s="45"/>
      <c r="G158" s="45"/>
      <c r="H158" s="45"/>
      <c r="I158" s="46"/>
      <c r="J158" s="86" t="str">
        <f>IF(AND(G158&lt;&gt;"",ISERROR(VLOOKUP(G158,Keszlet!$C$5:$H$200,6,FALSE))=FALSE),VLOOKUP(G158,Keszlet!$C$5:$H$200,6,FALSE),"")</f>
        <v/>
      </c>
      <c r="K158" s="72" t="str">
        <f>IF(AND(G158&lt;&gt;"",ISERROR(VLOOKUP(G158,Keszlet!$C$5:$G$200,5,FALSE))=FALSE),VLOOKUP(G158,Keszlet!$C$5:$G$200,5,FALSE),"")</f>
        <v/>
      </c>
      <c r="L158" s="72" t="str">
        <f t="shared" si="4"/>
        <v/>
      </c>
      <c r="M158" s="69"/>
      <c r="T158" s="56" t="str">
        <f t="shared" si="5"/>
        <v/>
      </c>
      <c r="BA158" s="1">
        <f>IF(E158&lt;=Leltar_iv!$Y$1,I158,0)</f>
        <v>0</v>
      </c>
    </row>
    <row r="159" spans="4:53" x14ac:dyDescent="0.2">
      <c r="D159" s="84" t="str">
        <f>IF(AND(OR(Kiadas!C158&lt;&gt;Kiadas!C159,Kiadas!C159=1),SUM(Kiadas!L159:L179)&lt;&gt;0),YEAR(Kiadas!W159)&amp;"/"&amp;Kiadas!C159,"")</f>
        <v/>
      </c>
      <c r="E159" s="44"/>
      <c r="F159" s="45"/>
      <c r="G159" s="45"/>
      <c r="H159" s="45"/>
      <c r="I159" s="46"/>
      <c r="J159" s="86" t="str">
        <f>IF(AND(G159&lt;&gt;"",ISERROR(VLOOKUP(G159,Keszlet!$C$5:$H$200,6,FALSE))=FALSE),VLOOKUP(G159,Keszlet!$C$5:$H$200,6,FALSE),"")</f>
        <v/>
      </c>
      <c r="K159" s="72" t="str">
        <f>IF(AND(G159&lt;&gt;"",ISERROR(VLOOKUP(G159,Keszlet!$C$5:$G$200,5,FALSE))=FALSE),VLOOKUP(G159,Keszlet!$C$5:$G$200,5,FALSE),"")</f>
        <v/>
      </c>
      <c r="L159" s="72" t="str">
        <f t="shared" si="4"/>
        <v/>
      </c>
      <c r="M159" s="69"/>
      <c r="T159" s="56" t="str">
        <f t="shared" si="5"/>
        <v/>
      </c>
      <c r="BA159" s="1">
        <f>IF(E159&lt;=Leltar_iv!$Y$1,I159,0)</f>
        <v>0</v>
      </c>
    </row>
    <row r="160" spans="4:53" x14ac:dyDescent="0.2">
      <c r="D160" s="84" t="str">
        <f>IF(AND(OR(Kiadas!C159&lt;&gt;Kiadas!C160,Kiadas!C160=1),SUM(Kiadas!L160:L180)&lt;&gt;0),YEAR(Kiadas!W160)&amp;"/"&amp;Kiadas!C160,"")</f>
        <v/>
      </c>
      <c r="E160" s="44"/>
      <c r="F160" s="45"/>
      <c r="G160" s="45"/>
      <c r="H160" s="45"/>
      <c r="I160" s="46"/>
      <c r="J160" s="86" t="str">
        <f>IF(AND(G160&lt;&gt;"",ISERROR(VLOOKUP(G160,Keszlet!$C$5:$H$200,6,FALSE))=FALSE),VLOOKUP(G160,Keszlet!$C$5:$H$200,6,FALSE),"")</f>
        <v/>
      </c>
      <c r="K160" s="72" t="str">
        <f>IF(AND(G160&lt;&gt;"",ISERROR(VLOOKUP(G160,Keszlet!$C$5:$G$200,5,FALSE))=FALSE),VLOOKUP(G160,Keszlet!$C$5:$G$200,5,FALSE),"")</f>
        <v/>
      </c>
      <c r="L160" s="72" t="str">
        <f t="shared" si="4"/>
        <v/>
      </c>
      <c r="M160" s="69"/>
      <c r="T160" s="56" t="str">
        <f t="shared" si="5"/>
        <v/>
      </c>
      <c r="BA160" s="1">
        <f>IF(E160&lt;=Leltar_iv!$Y$1,I160,0)</f>
        <v>0</v>
      </c>
    </row>
    <row r="161" spans="4:53" x14ac:dyDescent="0.2">
      <c r="D161" s="84" t="str">
        <f>IF(AND(OR(Kiadas!C160&lt;&gt;Kiadas!C161,Kiadas!C161=1),SUM(Kiadas!L161:L181)&lt;&gt;0),YEAR(Kiadas!W161)&amp;"/"&amp;Kiadas!C161,"")</f>
        <v/>
      </c>
      <c r="E161" s="44"/>
      <c r="F161" s="45"/>
      <c r="G161" s="45"/>
      <c r="H161" s="45"/>
      <c r="I161" s="46"/>
      <c r="J161" s="86" t="str">
        <f>IF(AND(G161&lt;&gt;"",ISERROR(VLOOKUP(G161,Keszlet!$C$5:$H$200,6,FALSE))=FALSE),VLOOKUP(G161,Keszlet!$C$5:$H$200,6,FALSE),"")</f>
        <v/>
      </c>
      <c r="K161" s="72" t="str">
        <f>IF(AND(G161&lt;&gt;"",ISERROR(VLOOKUP(G161,Keszlet!$C$5:$G$200,5,FALSE))=FALSE),VLOOKUP(G161,Keszlet!$C$5:$G$200,5,FALSE),"")</f>
        <v/>
      </c>
      <c r="L161" s="72" t="str">
        <f t="shared" si="4"/>
        <v/>
      </c>
      <c r="M161" s="69"/>
      <c r="T161" s="56" t="str">
        <f t="shared" si="5"/>
        <v/>
      </c>
      <c r="BA161" s="1">
        <f>IF(E161&lt;=Leltar_iv!$Y$1,I161,0)</f>
        <v>0</v>
      </c>
    </row>
    <row r="162" spans="4:53" x14ac:dyDescent="0.2">
      <c r="D162" s="84" t="str">
        <f>IF(AND(OR(Kiadas!C161&lt;&gt;Kiadas!C162,Kiadas!C162=1),SUM(Kiadas!L162:L182)&lt;&gt;0),YEAR(Kiadas!W162)&amp;"/"&amp;Kiadas!C162,"")</f>
        <v/>
      </c>
      <c r="E162" s="44"/>
      <c r="F162" s="45"/>
      <c r="G162" s="45"/>
      <c r="H162" s="45"/>
      <c r="I162" s="46"/>
      <c r="J162" s="86" t="str">
        <f>IF(AND(G162&lt;&gt;"",ISERROR(VLOOKUP(G162,Keszlet!$C$5:$H$200,6,FALSE))=FALSE),VLOOKUP(G162,Keszlet!$C$5:$H$200,6,FALSE),"")</f>
        <v/>
      </c>
      <c r="K162" s="72" t="str">
        <f>IF(AND(G162&lt;&gt;"",ISERROR(VLOOKUP(G162,Keszlet!$C$5:$G$200,5,FALSE))=FALSE),VLOOKUP(G162,Keszlet!$C$5:$G$200,5,FALSE),"")</f>
        <v/>
      </c>
      <c r="L162" s="72" t="str">
        <f t="shared" si="4"/>
        <v/>
      </c>
      <c r="M162" s="69"/>
      <c r="T162" s="56" t="str">
        <f t="shared" si="5"/>
        <v/>
      </c>
      <c r="BA162" s="1">
        <f>IF(E162&lt;=Leltar_iv!$Y$1,I162,0)</f>
        <v>0</v>
      </c>
    </row>
    <row r="163" spans="4:53" x14ac:dyDescent="0.2">
      <c r="D163" s="84" t="str">
        <f>IF(AND(OR(Kiadas!C162&lt;&gt;Kiadas!C163,Kiadas!C163=1),SUM(Kiadas!L163:L183)&lt;&gt;0),YEAR(Kiadas!W163)&amp;"/"&amp;Kiadas!C163,"")</f>
        <v/>
      </c>
      <c r="E163" s="44"/>
      <c r="F163" s="45"/>
      <c r="G163" s="45"/>
      <c r="H163" s="45"/>
      <c r="I163" s="46"/>
      <c r="J163" s="86" t="str">
        <f>IF(AND(G163&lt;&gt;"",ISERROR(VLOOKUP(G163,Keszlet!$C$5:$H$200,6,FALSE))=FALSE),VLOOKUP(G163,Keszlet!$C$5:$H$200,6,FALSE),"")</f>
        <v/>
      </c>
      <c r="K163" s="72" t="str">
        <f>IF(AND(G163&lt;&gt;"",ISERROR(VLOOKUP(G163,Keszlet!$C$5:$G$200,5,FALSE))=FALSE),VLOOKUP(G163,Keszlet!$C$5:$G$200,5,FALSE),"")</f>
        <v/>
      </c>
      <c r="L163" s="72" t="str">
        <f t="shared" si="4"/>
        <v/>
      </c>
      <c r="M163" s="69"/>
      <c r="T163" s="56" t="str">
        <f t="shared" si="5"/>
        <v/>
      </c>
      <c r="BA163" s="1">
        <f>IF(E163&lt;=Leltar_iv!$Y$1,I163,0)</f>
        <v>0</v>
      </c>
    </row>
    <row r="164" spans="4:53" x14ac:dyDescent="0.2">
      <c r="D164" s="84" t="str">
        <f>IF(AND(OR(Kiadas!C163&lt;&gt;Kiadas!C164,Kiadas!C164=1),SUM(Kiadas!L164:L184)&lt;&gt;0),YEAR(Kiadas!W164)&amp;"/"&amp;Kiadas!C164,"")</f>
        <v/>
      </c>
      <c r="E164" s="44"/>
      <c r="F164" s="45"/>
      <c r="G164" s="45"/>
      <c r="H164" s="45"/>
      <c r="I164" s="46"/>
      <c r="J164" s="86" t="str">
        <f>IF(AND(G164&lt;&gt;"",ISERROR(VLOOKUP(G164,Keszlet!$C$5:$H$200,6,FALSE))=FALSE),VLOOKUP(G164,Keszlet!$C$5:$H$200,6,FALSE),"")</f>
        <v/>
      </c>
      <c r="K164" s="72" t="str">
        <f>IF(AND(G164&lt;&gt;"",ISERROR(VLOOKUP(G164,Keszlet!$C$5:$G$200,5,FALSE))=FALSE),VLOOKUP(G164,Keszlet!$C$5:$G$200,5,FALSE),"")</f>
        <v/>
      </c>
      <c r="L164" s="72" t="str">
        <f t="shared" si="4"/>
        <v/>
      </c>
      <c r="M164" s="69"/>
      <c r="T164" s="56" t="str">
        <f t="shared" si="5"/>
        <v/>
      </c>
      <c r="BA164" s="1">
        <f>IF(E164&lt;=Leltar_iv!$Y$1,I164,0)</f>
        <v>0</v>
      </c>
    </row>
    <row r="165" spans="4:53" x14ac:dyDescent="0.2">
      <c r="D165" s="84" t="str">
        <f>IF(AND(OR(Kiadas!C164&lt;&gt;Kiadas!C165,Kiadas!C165=1),SUM(Kiadas!L165:L185)&lt;&gt;0),YEAR(Kiadas!W165)&amp;"/"&amp;Kiadas!C165,"")</f>
        <v/>
      </c>
      <c r="E165" s="44"/>
      <c r="F165" s="45"/>
      <c r="G165" s="45"/>
      <c r="H165" s="45"/>
      <c r="I165" s="46"/>
      <c r="J165" s="86" t="str">
        <f>IF(AND(G165&lt;&gt;"",ISERROR(VLOOKUP(G165,Keszlet!$C$5:$H$200,6,FALSE))=FALSE),VLOOKUP(G165,Keszlet!$C$5:$H$200,6,FALSE),"")</f>
        <v/>
      </c>
      <c r="K165" s="72" t="str">
        <f>IF(AND(G165&lt;&gt;"",ISERROR(VLOOKUP(G165,Keszlet!$C$5:$G$200,5,FALSE))=FALSE),VLOOKUP(G165,Keszlet!$C$5:$G$200,5,FALSE),"")</f>
        <v/>
      </c>
      <c r="L165" s="72" t="str">
        <f t="shared" si="4"/>
        <v/>
      </c>
      <c r="M165" s="69"/>
      <c r="T165" s="56" t="str">
        <f t="shared" si="5"/>
        <v/>
      </c>
      <c r="BA165" s="1">
        <f>IF(E165&lt;=Leltar_iv!$Y$1,I165,0)</f>
        <v>0</v>
      </c>
    </row>
    <row r="166" spans="4:53" x14ac:dyDescent="0.2">
      <c r="D166" s="84" t="str">
        <f>IF(AND(OR(Kiadas!C165&lt;&gt;Kiadas!C166,Kiadas!C166=1),SUM(Kiadas!L166:L186)&lt;&gt;0),YEAR(Kiadas!W166)&amp;"/"&amp;Kiadas!C166,"")</f>
        <v/>
      </c>
      <c r="E166" s="44"/>
      <c r="F166" s="45"/>
      <c r="G166" s="45"/>
      <c r="H166" s="45"/>
      <c r="I166" s="46"/>
      <c r="J166" s="86" t="str">
        <f>IF(AND(G166&lt;&gt;"",ISERROR(VLOOKUP(G166,Keszlet!$C$5:$H$200,6,FALSE))=FALSE),VLOOKUP(G166,Keszlet!$C$5:$H$200,6,FALSE),"")</f>
        <v/>
      </c>
      <c r="K166" s="72" t="str">
        <f>IF(AND(G166&lt;&gt;"",ISERROR(VLOOKUP(G166,Keszlet!$C$5:$G$200,5,FALSE))=FALSE),VLOOKUP(G166,Keszlet!$C$5:$G$200,5,FALSE),"")</f>
        <v/>
      </c>
      <c r="L166" s="72" t="str">
        <f t="shared" si="4"/>
        <v/>
      </c>
      <c r="M166" s="69"/>
      <c r="T166" s="56" t="str">
        <f t="shared" si="5"/>
        <v/>
      </c>
      <c r="BA166" s="1">
        <f>IF(E166&lt;=Leltar_iv!$Y$1,I166,0)</f>
        <v>0</v>
      </c>
    </row>
    <row r="167" spans="4:53" x14ac:dyDescent="0.2">
      <c r="D167" s="84" t="str">
        <f>IF(AND(OR(Kiadas!C166&lt;&gt;Kiadas!C167,Kiadas!C167=1),SUM(Kiadas!L167:L187)&lt;&gt;0),YEAR(Kiadas!W167)&amp;"/"&amp;Kiadas!C167,"")</f>
        <v/>
      </c>
      <c r="E167" s="44"/>
      <c r="F167" s="45"/>
      <c r="G167" s="45"/>
      <c r="H167" s="45"/>
      <c r="I167" s="46"/>
      <c r="J167" s="86" t="str">
        <f>IF(AND(G167&lt;&gt;"",ISERROR(VLOOKUP(G167,Keszlet!$C$5:$H$200,6,FALSE))=FALSE),VLOOKUP(G167,Keszlet!$C$5:$H$200,6,FALSE),"")</f>
        <v/>
      </c>
      <c r="K167" s="72" t="str">
        <f>IF(AND(G167&lt;&gt;"",ISERROR(VLOOKUP(G167,Keszlet!$C$5:$G$200,5,FALSE))=FALSE),VLOOKUP(G167,Keszlet!$C$5:$G$200,5,FALSE),"")</f>
        <v/>
      </c>
      <c r="L167" s="72" t="str">
        <f t="shared" si="4"/>
        <v/>
      </c>
      <c r="M167" s="69"/>
      <c r="T167" s="56" t="str">
        <f t="shared" si="5"/>
        <v/>
      </c>
      <c r="BA167" s="1">
        <f>IF(E167&lt;=Leltar_iv!$Y$1,I167,0)</f>
        <v>0</v>
      </c>
    </row>
    <row r="168" spans="4:53" x14ac:dyDescent="0.2">
      <c r="D168" s="84" t="str">
        <f>IF(AND(OR(Kiadas!C167&lt;&gt;Kiadas!C168,Kiadas!C168=1),SUM(Kiadas!L168:L188)&lt;&gt;0),YEAR(Kiadas!W168)&amp;"/"&amp;Kiadas!C168,"")</f>
        <v/>
      </c>
      <c r="E168" s="44"/>
      <c r="F168" s="45"/>
      <c r="G168" s="45"/>
      <c r="H168" s="45"/>
      <c r="I168" s="46"/>
      <c r="J168" s="86" t="str">
        <f>IF(AND(G168&lt;&gt;"",ISERROR(VLOOKUP(G168,Keszlet!$C$5:$H$200,6,FALSE))=FALSE),VLOOKUP(G168,Keszlet!$C$5:$H$200,6,FALSE),"")</f>
        <v/>
      </c>
      <c r="K168" s="72" t="str">
        <f>IF(AND(G168&lt;&gt;"",ISERROR(VLOOKUP(G168,Keszlet!$C$5:$G$200,5,FALSE))=FALSE),VLOOKUP(G168,Keszlet!$C$5:$G$200,5,FALSE),"")</f>
        <v/>
      </c>
      <c r="L168" s="72" t="str">
        <f t="shared" si="4"/>
        <v/>
      </c>
      <c r="M168" s="69"/>
      <c r="T168" s="56" t="str">
        <f t="shared" si="5"/>
        <v/>
      </c>
      <c r="BA168" s="1">
        <f>IF(E168&lt;=Leltar_iv!$Y$1,I168,0)</f>
        <v>0</v>
      </c>
    </row>
    <row r="169" spans="4:53" x14ac:dyDescent="0.2">
      <c r="D169" s="84" t="str">
        <f>IF(AND(OR(Kiadas!C168&lt;&gt;Kiadas!C169,Kiadas!C169=1),SUM(Kiadas!L169:L189)&lt;&gt;0),YEAR(Kiadas!W169)&amp;"/"&amp;Kiadas!C169,"")</f>
        <v/>
      </c>
      <c r="E169" s="44"/>
      <c r="F169" s="45"/>
      <c r="G169" s="45"/>
      <c r="H169" s="45"/>
      <c r="I169" s="46"/>
      <c r="J169" s="86" t="str">
        <f>IF(AND(G169&lt;&gt;"",ISERROR(VLOOKUP(G169,Keszlet!$C$5:$H$200,6,FALSE))=FALSE),VLOOKUP(G169,Keszlet!$C$5:$H$200,6,FALSE),"")</f>
        <v/>
      </c>
      <c r="K169" s="72" t="str">
        <f>IF(AND(G169&lt;&gt;"",ISERROR(VLOOKUP(G169,Keszlet!$C$5:$G$200,5,FALSE))=FALSE),VLOOKUP(G169,Keszlet!$C$5:$G$200,5,FALSE),"")</f>
        <v/>
      </c>
      <c r="L169" s="72" t="str">
        <f t="shared" si="4"/>
        <v/>
      </c>
      <c r="M169" s="69"/>
      <c r="T169" s="56" t="str">
        <f t="shared" si="5"/>
        <v/>
      </c>
      <c r="BA169" s="1">
        <f>IF(E169&lt;=Leltar_iv!$Y$1,I169,0)</f>
        <v>0</v>
      </c>
    </row>
    <row r="170" spans="4:53" x14ac:dyDescent="0.2">
      <c r="D170" s="84" t="str">
        <f>IF(AND(OR(Kiadas!C169&lt;&gt;Kiadas!C170,Kiadas!C170=1),SUM(Kiadas!L170:L190)&lt;&gt;0),YEAR(Kiadas!W170)&amp;"/"&amp;Kiadas!C170,"")</f>
        <v/>
      </c>
      <c r="E170" s="44"/>
      <c r="F170" s="45"/>
      <c r="G170" s="45"/>
      <c r="H170" s="45"/>
      <c r="I170" s="46"/>
      <c r="J170" s="86" t="str">
        <f>IF(AND(G170&lt;&gt;"",ISERROR(VLOOKUP(G170,Keszlet!$C$5:$H$200,6,FALSE))=FALSE),VLOOKUP(G170,Keszlet!$C$5:$H$200,6,FALSE),"")</f>
        <v/>
      </c>
      <c r="K170" s="72" t="str">
        <f>IF(AND(G170&lt;&gt;"",ISERROR(VLOOKUP(G170,Keszlet!$C$5:$G$200,5,FALSE))=FALSE),VLOOKUP(G170,Keszlet!$C$5:$G$200,5,FALSE),"")</f>
        <v/>
      </c>
      <c r="L170" s="72" t="str">
        <f t="shared" si="4"/>
        <v/>
      </c>
      <c r="M170" s="69"/>
      <c r="T170" s="56" t="str">
        <f t="shared" si="5"/>
        <v/>
      </c>
      <c r="BA170" s="1">
        <f>IF(E170&lt;=Leltar_iv!$Y$1,I170,0)</f>
        <v>0</v>
      </c>
    </row>
    <row r="171" spans="4:53" x14ac:dyDescent="0.2">
      <c r="D171" s="84" t="str">
        <f>IF(AND(OR(Kiadas!C170&lt;&gt;Kiadas!C171,Kiadas!C171=1),SUM(Kiadas!L171:L191)&lt;&gt;0),YEAR(Kiadas!W171)&amp;"/"&amp;Kiadas!C171,"")</f>
        <v/>
      </c>
      <c r="E171" s="44"/>
      <c r="F171" s="45"/>
      <c r="G171" s="45"/>
      <c r="H171" s="45"/>
      <c r="I171" s="46"/>
      <c r="J171" s="86" t="str">
        <f>IF(AND(G171&lt;&gt;"",ISERROR(VLOOKUP(G171,Keszlet!$C$5:$H$200,6,FALSE))=FALSE),VLOOKUP(G171,Keszlet!$C$5:$H$200,6,FALSE),"")</f>
        <v/>
      </c>
      <c r="K171" s="72" t="str">
        <f>IF(AND(G171&lt;&gt;"",ISERROR(VLOOKUP(G171,Keszlet!$C$5:$G$200,5,FALSE))=FALSE),VLOOKUP(G171,Keszlet!$C$5:$G$200,5,FALSE),"")</f>
        <v/>
      </c>
      <c r="L171" s="72" t="str">
        <f t="shared" si="4"/>
        <v/>
      </c>
      <c r="M171" s="69"/>
      <c r="T171" s="56" t="str">
        <f t="shared" si="5"/>
        <v/>
      </c>
      <c r="BA171" s="1">
        <f>IF(E171&lt;=Leltar_iv!$Y$1,I171,0)</f>
        <v>0</v>
      </c>
    </row>
    <row r="172" spans="4:53" x14ac:dyDescent="0.2">
      <c r="D172" s="84" t="str">
        <f>IF(AND(OR(Kiadas!C171&lt;&gt;Kiadas!C172,Kiadas!C172=1),SUM(Kiadas!L172:L192)&lt;&gt;0),YEAR(Kiadas!W172)&amp;"/"&amp;Kiadas!C172,"")</f>
        <v/>
      </c>
      <c r="E172" s="44"/>
      <c r="F172" s="45"/>
      <c r="G172" s="45"/>
      <c r="H172" s="45"/>
      <c r="I172" s="46"/>
      <c r="J172" s="86" t="str">
        <f>IF(AND(G172&lt;&gt;"",ISERROR(VLOOKUP(G172,Keszlet!$C$5:$H$200,6,FALSE))=FALSE),VLOOKUP(G172,Keszlet!$C$5:$H$200,6,FALSE),"")</f>
        <v/>
      </c>
      <c r="K172" s="72" t="str">
        <f>IF(AND(G172&lt;&gt;"",ISERROR(VLOOKUP(G172,Keszlet!$C$5:$G$200,5,FALSE))=FALSE),VLOOKUP(G172,Keszlet!$C$5:$G$200,5,FALSE),"")</f>
        <v/>
      </c>
      <c r="L172" s="72" t="str">
        <f t="shared" si="4"/>
        <v/>
      </c>
      <c r="M172" s="69"/>
      <c r="T172" s="56" t="str">
        <f t="shared" si="5"/>
        <v/>
      </c>
      <c r="BA172" s="1">
        <f>IF(E172&lt;=Leltar_iv!$Y$1,I172,0)</f>
        <v>0</v>
      </c>
    </row>
    <row r="173" spans="4:53" x14ac:dyDescent="0.2">
      <c r="D173" s="84" t="str">
        <f>IF(AND(OR(Kiadas!C172&lt;&gt;Kiadas!C173,Kiadas!C173=1),SUM(Kiadas!L173:L193)&lt;&gt;0),YEAR(Kiadas!W173)&amp;"/"&amp;Kiadas!C173,"")</f>
        <v/>
      </c>
      <c r="E173" s="44"/>
      <c r="F173" s="45"/>
      <c r="G173" s="45"/>
      <c r="H173" s="45"/>
      <c r="I173" s="46"/>
      <c r="J173" s="86" t="str">
        <f>IF(AND(G173&lt;&gt;"",ISERROR(VLOOKUP(G173,Keszlet!$C$5:$H$200,6,FALSE))=FALSE),VLOOKUP(G173,Keszlet!$C$5:$H$200,6,FALSE),"")</f>
        <v/>
      </c>
      <c r="K173" s="72" t="str">
        <f>IF(AND(G173&lt;&gt;"",ISERROR(VLOOKUP(G173,Keszlet!$C$5:$G$200,5,FALSE))=FALSE),VLOOKUP(G173,Keszlet!$C$5:$G$200,5,FALSE),"")</f>
        <v/>
      </c>
      <c r="L173" s="72" t="str">
        <f t="shared" si="4"/>
        <v/>
      </c>
      <c r="M173" s="69"/>
      <c r="T173" s="56" t="str">
        <f t="shared" si="5"/>
        <v/>
      </c>
      <c r="BA173" s="1">
        <f>IF(E173&lt;=Leltar_iv!$Y$1,I173,0)</f>
        <v>0</v>
      </c>
    </row>
    <row r="174" spans="4:53" x14ac:dyDescent="0.2">
      <c r="D174" s="84" t="str">
        <f>IF(AND(OR(Kiadas!C173&lt;&gt;Kiadas!C174,Kiadas!C174=1),SUM(Kiadas!L174:L194)&lt;&gt;0),YEAR(Kiadas!W174)&amp;"/"&amp;Kiadas!C174,"")</f>
        <v/>
      </c>
      <c r="E174" s="44"/>
      <c r="F174" s="45"/>
      <c r="G174" s="45"/>
      <c r="H174" s="45"/>
      <c r="I174" s="46"/>
      <c r="J174" s="86" t="str">
        <f>IF(AND(G174&lt;&gt;"",ISERROR(VLOOKUP(G174,Keszlet!$C$5:$H$200,6,FALSE))=FALSE),VLOOKUP(G174,Keszlet!$C$5:$H$200,6,FALSE),"")</f>
        <v/>
      </c>
      <c r="K174" s="72" t="str">
        <f>IF(AND(G174&lt;&gt;"",ISERROR(VLOOKUP(G174,Keszlet!$C$5:$G$200,5,FALSE))=FALSE),VLOOKUP(G174,Keszlet!$C$5:$G$200,5,FALSE),"")</f>
        <v/>
      </c>
      <c r="L174" s="72" t="str">
        <f t="shared" si="4"/>
        <v/>
      </c>
      <c r="M174" s="69"/>
      <c r="T174" s="56" t="str">
        <f t="shared" si="5"/>
        <v/>
      </c>
      <c r="BA174" s="1">
        <f>IF(E174&lt;=Leltar_iv!$Y$1,I174,0)</f>
        <v>0</v>
      </c>
    </row>
    <row r="175" spans="4:53" x14ac:dyDescent="0.2">
      <c r="D175" s="84" t="str">
        <f>IF(AND(OR(Kiadas!C174&lt;&gt;Kiadas!C175,Kiadas!C175=1),SUM(Kiadas!L175:L195)&lt;&gt;0),YEAR(Kiadas!W175)&amp;"/"&amp;Kiadas!C175,"")</f>
        <v/>
      </c>
      <c r="E175" s="44"/>
      <c r="F175" s="45"/>
      <c r="G175" s="45"/>
      <c r="H175" s="45"/>
      <c r="I175" s="46"/>
      <c r="J175" s="86" t="str">
        <f>IF(AND(G175&lt;&gt;"",ISERROR(VLOOKUP(G175,Keszlet!$C$5:$H$200,6,FALSE))=FALSE),VLOOKUP(G175,Keszlet!$C$5:$H$200,6,FALSE),"")</f>
        <v/>
      </c>
      <c r="K175" s="72" t="str">
        <f>IF(AND(G175&lt;&gt;"",ISERROR(VLOOKUP(G175,Keszlet!$C$5:$G$200,5,FALSE))=FALSE),VLOOKUP(G175,Keszlet!$C$5:$G$200,5,FALSE),"")</f>
        <v/>
      </c>
      <c r="L175" s="72" t="str">
        <f t="shared" si="4"/>
        <v/>
      </c>
      <c r="M175" s="69"/>
      <c r="T175" s="56" t="str">
        <f t="shared" si="5"/>
        <v/>
      </c>
      <c r="BA175" s="1">
        <f>IF(E175&lt;=Leltar_iv!$Y$1,I175,0)</f>
        <v>0</v>
      </c>
    </row>
    <row r="176" spans="4:53" x14ac:dyDescent="0.2">
      <c r="D176" s="84" t="str">
        <f>IF(AND(OR(Kiadas!C175&lt;&gt;Kiadas!C176,Kiadas!C176=1),SUM(Kiadas!L176:L196)&lt;&gt;0),YEAR(Kiadas!W176)&amp;"/"&amp;Kiadas!C176,"")</f>
        <v/>
      </c>
      <c r="E176" s="44"/>
      <c r="F176" s="45"/>
      <c r="G176" s="45"/>
      <c r="H176" s="45"/>
      <c r="I176" s="46"/>
      <c r="J176" s="86" t="str">
        <f>IF(AND(G176&lt;&gt;"",ISERROR(VLOOKUP(G176,Keszlet!$C$5:$H$200,6,FALSE))=FALSE),VLOOKUP(G176,Keszlet!$C$5:$H$200,6,FALSE),"")</f>
        <v/>
      </c>
      <c r="K176" s="72" t="str">
        <f>IF(AND(G176&lt;&gt;"",ISERROR(VLOOKUP(G176,Keszlet!$C$5:$G$200,5,FALSE))=FALSE),VLOOKUP(G176,Keszlet!$C$5:$G$200,5,FALSE),"")</f>
        <v/>
      </c>
      <c r="L176" s="72" t="str">
        <f t="shared" si="4"/>
        <v/>
      </c>
      <c r="M176" s="69"/>
      <c r="T176" s="56" t="str">
        <f t="shared" si="5"/>
        <v/>
      </c>
      <c r="BA176" s="1">
        <f>IF(E176&lt;=Leltar_iv!$Y$1,I176,0)</f>
        <v>0</v>
      </c>
    </row>
    <row r="177" spans="4:53" x14ac:dyDescent="0.2">
      <c r="D177" s="84" t="str">
        <f>IF(AND(OR(Kiadas!C176&lt;&gt;Kiadas!C177,Kiadas!C177=1),SUM(Kiadas!L177:L197)&lt;&gt;0),YEAR(Kiadas!W177)&amp;"/"&amp;Kiadas!C177,"")</f>
        <v/>
      </c>
      <c r="E177" s="44"/>
      <c r="F177" s="45"/>
      <c r="G177" s="45"/>
      <c r="H177" s="45"/>
      <c r="I177" s="46"/>
      <c r="J177" s="86" t="str">
        <f>IF(AND(G177&lt;&gt;"",ISERROR(VLOOKUP(G177,Keszlet!$C$5:$H$200,6,FALSE))=FALSE),VLOOKUP(G177,Keszlet!$C$5:$H$200,6,FALSE),"")</f>
        <v/>
      </c>
      <c r="K177" s="72" t="str">
        <f>IF(AND(G177&lt;&gt;"",ISERROR(VLOOKUP(G177,Keszlet!$C$5:$G$200,5,FALSE))=FALSE),VLOOKUP(G177,Keszlet!$C$5:$G$200,5,FALSE),"")</f>
        <v/>
      </c>
      <c r="L177" s="72" t="str">
        <f t="shared" si="4"/>
        <v/>
      </c>
      <c r="M177" s="69"/>
      <c r="T177" s="56" t="str">
        <f t="shared" si="5"/>
        <v/>
      </c>
      <c r="BA177" s="1">
        <f>IF(E177&lt;=Leltar_iv!$Y$1,I177,0)</f>
        <v>0</v>
      </c>
    </row>
    <row r="178" spans="4:53" x14ac:dyDescent="0.2">
      <c r="D178" s="84" t="str">
        <f>IF(AND(OR(Kiadas!C177&lt;&gt;Kiadas!C178,Kiadas!C178=1),SUM(Kiadas!L178:L198)&lt;&gt;0),YEAR(Kiadas!W178)&amp;"/"&amp;Kiadas!C178,"")</f>
        <v/>
      </c>
      <c r="E178" s="44"/>
      <c r="F178" s="45"/>
      <c r="G178" s="45"/>
      <c r="H178" s="45"/>
      <c r="I178" s="46"/>
      <c r="J178" s="86" t="str">
        <f>IF(AND(G178&lt;&gt;"",ISERROR(VLOOKUP(G178,Keszlet!$C$5:$H$200,6,FALSE))=FALSE),VLOOKUP(G178,Keszlet!$C$5:$H$200,6,FALSE),"")</f>
        <v/>
      </c>
      <c r="K178" s="72" t="str">
        <f>IF(AND(G178&lt;&gt;"",ISERROR(VLOOKUP(G178,Keszlet!$C$5:$G$200,5,FALSE))=FALSE),VLOOKUP(G178,Keszlet!$C$5:$G$200,5,FALSE),"")</f>
        <v/>
      </c>
      <c r="L178" s="72" t="str">
        <f t="shared" si="4"/>
        <v/>
      </c>
      <c r="M178" s="69"/>
      <c r="T178" s="56" t="str">
        <f t="shared" si="5"/>
        <v/>
      </c>
      <c r="BA178" s="1">
        <f>IF(E178&lt;=Leltar_iv!$Y$1,I178,0)</f>
        <v>0</v>
      </c>
    </row>
    <row r="179" spans="4:53" x14ac:dyDescent="0.2">
      <c r="D179" s="84" t="str">
        <f>IF(AND(OR(Kiadas!C178&lt;&gt;Kiadas!C179,Kiadas!C179=1),SUM(Kiadas!L179:L199)&lt;&gt;0),YEAR(Kiadas!W179)&amp;"/"&amp;Kiadas!C179,"")</f>
        <v/>
      </c>
      <c r="E179" s="44"/>
      <c r="F179" s="45"/>
      <c r="G179" s="45"/>
      <c r="H179" s="45"/>
      <c r="I179" s="46"/>
      <c r="J179" s="86" t="str">
        <f>IF(AND(G179&lt;&gt;"",ISERROR(VLOOKUP(G179,Keszlet!$C$5:$H$200,6,FALSE))=FALSE),VLOOKUP(G179,Keszlet!$C$5:$H$200,6,FALSE),"")</f>
        <v/>
      </c>
      <c r="K179" s="72" t="str">
        <f>IF(AND(G179&lt;&gt;"",ISERROR(VLOOKUP(G179,Keszlet!$C$5:$G$200,5,FALSE))=FALSE),VLOOKUP(G179,Keszlet!$C$5:$G$200,5,FALSE),"")</f>
        <v/>
      </c>
      <c r="L179" s="72" t="str">
        <f t="shared" si="4"/>
        <v/>
      </c>
      <c r="M179" s="69"/>
      <c r="T179" s="56" t="str">
        <f t="shared" si="5"/>
        <v/>
      </c>
      <c r="BA179" s="1">
        <f>IF(E179&lt;=Leltar_iv!$Y$1,I179,0)</f>
        <v>0</v>
      </c>
    </row>
    <row r="180" spans="4:53" x14ac:dyDescent="0.2">
      <c r="D180" s="84" t="str">
        <f>IF(AND(OR(Kiadas!C179&lt;&gt;Kiadas!C180,Kiadas!C180=1),SUM(Kiadas!L180:L200)&lt;&gt;0),YEAR(Kiadas!W180)&amp;"/"&amp;Kiadas!C180,"")</f>
        <v/>
      </c>
      <c r="E180" s="44"/>
      <c r="F180" s="45"/>
      <c r="G180" s="45"/>
      <c r="H180" s="45"/>
      <c r="I180" s="46"/>
      <c r="J180" s="86" t="str">
        <f>IF(AND(G180&lt;&gt;"",ISERROR(VLOOKUP(G180,Keszlet!$C$5:$H$200,6,FALSE))=FALSE),VLOOKUP(G180,Keszlet!$C$5:$H$200,6,FALSE),"")</f>
        <v/>
      </c>
      <c r="K180" s="72" t="str">
        <f>IF(AND(G180&lt;&gt;"",ISERROR(VLOOKUP(G180,Keszlet!$C$5:$G$200,5,FALSE))=FALSE),VLOOKUP(G180,Keszlet!$C$5:$G$200,5,FALSE),"")</f>
        <v/>
      </c>
      <c r="L180" s="72" t="str">
        <f t="shared" si="4"/>
        <v/>
      </c>
      <c r="M180" s="69"/>
      <c r="T180" s="56" t="str">
        <f t="shared" si="5"/>
        <v/>
      </c>
      <c r="BA180" s="1">
        <f>IF(E180&lt;=Leltar_iv!$Y$1,I180,0)</f>
        <v>0</v>
      </c>
    </row>
    <row r="181" spans="4:53" x14ac:dyDescent="0.2">
      <c r="D181" s="84" t="str">
        <f>IF(AND(OR(Kiadas!C180&lt;&gt;Kiadas!C181,Kiadas!C181=1),SUM(Kiadas!L181:L201)&lt;&gt;0),YEAR(Kiadas!W181)&amp;"/"&amp;Kiadas!C181,"")</f>
        <v/>
      </c>
      <c r="E181" s="44"/>
      <c r="F181" s="45"/>
      <c r="G181" s="45"/>
      <c r="H181" s="45"/>
      <c r="I181" s="46"/>
      <c r="J181" s="86" t="str">
        <f>IF(AND(G181&lt;&gt;"",ISERROR(VLOOKUP(G181,Keszlet!$C$5:$H$200,6,FALSE))=FALSE),VLOOKUP(G181,Keszlet!$C$5:$H$200,6,FALSE),"")</f>
        <v/>
      </c>
      <c r="K181" s="72" t="str">
        <f>IF(AND(G181&lt;&gt;"",ISERROR(VLOOKUP(G181,Keszlet!$C$5:$G$200,5,FALSE))=FALSE),VLOOKUP(G181,Keszlet!$C$5:$G$200,5,FALSE),"")</f>
        <v/>
      </c>
      <c r="L181" s="72" t="str">
        <f t="shared" si="4"/>
        <v/>
      </c>
      <c r="M181" s="69"/>
      <c r="T181" s="56" t="str">
        <f t="shared" si="5"/>
        <v/>
      </c>
      <c r="BA181" s="1">
        <f>IF(E181&lt;=Leltar_iv!$Y$1,I181,0)</f>
        <v>0</v>
      </c>
    </row>
    <row r="182" spans="4:53" x14ac:dyDescent="0.2">
      <c r="D182" s="84" t="str">
        <f>IF(AND(OR(Kiadas!C181&lt;&gt;Kiadas!C182,Kiadas!C182=1),SUM(Kiadas!L182:L202)&lt;&gt;0),YEAR(Kiadas!W182)&amp;"/"&amp;Kiadas!C182,"")</f>
        <v/>
      </c>
      <c r="E182" s="44"/>
      <c r="F182" s="45"/>
      <c r="G182" s="45"/>
      <c r="H182" s="45"/>
      <c r="I182" s="46"/>
      <c r="J182" s="86" t="str">
        <f>IF(AND(G182&lt;&gt;"",ISERROR(VLOOKUP(G182,Keszlet!$C$5:$H$200,6,FALSE))=FALSE),VLOOKUP(G182,Keszlet!$C$5:$H$200,6,FALSE),"")</f>
        <v/>
      </c>
      <c r="K182" s="72" t="str">
        <f>IF(AND(G182&lt;&gt;"",ISERROR(VLOOKUP(G182,Keszlet!$C$5:$G$200,5,FALSE))=FALSE),VLOOKUP(G182,Keszlet!$C$5:$G$200,5,FALSE),"")</f>
        <v/>
      </c>
      <c r="L182" s="72" t="str">
        <f t="shared" si="4"/>
        <v/>
      </c>
      <c r="M182" s="69"/>
      <c r="T182" s="56" t="str">
        <f t="shared" si="5"/>
        <v/>
      </c>
      <c r="BA182" s="1">
        <f>IF(E182&lt;=Leltar_iv!$Y$1,I182,0)</f>
        <v>0</v>
      </c>
    </row>
    <row r="183" spans="4:53" x14ac:dyDescent="0.2">
      <c r="D183" s="84" t="str">
        <f>IF(AND(OR(Kiadas!C182&lt;&gt;Kiadas!C183,Kiadas!C183=1),SUM(Kiadas!L183:L203)&lt;&gt;0),YEAR(Kiadas!W183)&amp;"/"&amp;Kiadas!C183,"")</f>
        <v/>
      </c>
      <c r="E183" s="44"/>
      <c r="F183" s="45"/>
      <c r="G183" s="45"/>
      <c r="H183" s="45"/>
      <c r="I183" s="46"/>
      <c r="J183" s="86" t="str">
        <f>IF(AND(G183&lt;&gt;"",ISERROR(VLOOKUP(G183,Keszlet!$C$5:$H$200,6,FALSE))=FALSE),VLOOKUP(G183,Keszlet!$C$5:$H$200,6,FALSE),"")</f>
        <v/>
      </c>
      <c r="K183" s="72" t="str">
        <f>IF(AND(G183&lt;&gt;"",ISERROR(VLOOKUP(G183,Keszlet!$C$5:$G$200,5,FALSE))=FALSE),VLOOKUP(G183,Keszlet!$C$5:$G$200,5,FALSE),"")</f>
        <v/>
      </c>
      <c r="L183" s="72" t="str">
        <f t="shared" si="4"/>
        <v/>
      </c>
      <c r="M183" s="69"/>
      <c r="T183" s="56" t="str">
        <f t="shared" si="5"/>
        <v/>
      </c>
      <c r="BA183" s="1">
        <f>IF(E183&lt;=Leltar_iv!$Y$1,I183,0)</f>
        <v>0</v>
      </c>
    </row>
    <row r="184" spans="4:53" x14ac:dyDescent="0.2">
      <c r="D184" s="84" t="str">
        <f>IF(AND(OR(Kiadas!C183&lt;&gt;Kiadas!C184,Kiadas!C184=1),SUM(Kiadas!L184:L204)&lt;&gt;0),YEAR(Kiadas!W184)&amp;"/"&amp;Kiadas!C184,"")</f>
        <v/>
      </c>
      <c r="E184" s="44"/>
      <c r="F184" s="45"/>
      <c r="G184" s="45"/>
      <c r="H184" s="45"/>
      <c r="I184" s="46"/>
      <c r="J184" s="86" t="str">
        <f>IF(AND(G184&lt;&gt;"",ISERROR(VLOOKUP(G184,Keszlet!$C$5:$H$200,6,FALSE))=FALSE),VLOOKUP(G184,Keszlet!$C$5:$H$200,6,FALSE),"")</f>
        <v/>
      </c>
      <c r="K184" s="72" t="str">
        <f>IF(AND(G184&lt;&gt;"",ISERROR(VLOOKUP(G184,Keszlet!$C$5:$G$200,5,FALSE))=FALSE),VLOOKUP(G184,Keszlet!$C$5:$G$200,5,FALSE),"")</f>
        <v/>
      </c>
      <c r="L184" s="72" t="str">
        <f t="shared" si="4"/>
        <v/>
      </c>
      <c r="M184" s="69"/>
      <c r="T184" s="56" t="str">
        <f t="shared" si="5"/>
        <v/>
      </c>
      <c r="BA184" s="1">
        <f>IF(E184&lt;=Leltar_iv!$Y$1,I184,0)</f>
        <v>0</v>
      </c>
    </row>
    <row r="185" spans="4:53" x14ac:dyDescent="0.2">
      <c r="D185" s="84" t="str">
        <f>IF(AND(OR(Kiadas!C184&lt;&gt;Kiadas!C185,Kiadas!C185=1),SUM(Kiadas!L185:L205)&lt;&gt;0),YEAR(Kiadas!W185)&amp;"/"&amp;Kiadas!C185,"")</f>
        <v/>
      </c>
      <c r="E185" s="44"/>
      <c r="F185" s="45"/>
      <c r="G185" s="45"/>
      <c r="H185" s="45"/>
      <c r="I185" s="46"/>
      <c r="J185" s="86" t="str">
        <f>IF(AND(G185&lt;&gt;"",ISERROR(VLOOKUP(G185,Keszlet!$C$5:$H$200,6,FALSE))=FALSE),VLOOKUP(G185,Keszlet!$C$5:$H$200,6,FALSE),"")</f>
        <v/>
      </c>
      <c r="K185" s="72" t="str">
        <f>IF(AND(G185&lt;&gt;"",ISERROR(VLOOKUP(G185,Keszlet!$C$5:$G$200,5,FALSE))=FALSE),VLOOKUP(G185,Keszlet!$C$5:$G$200,5,FALSE),"")</f>
        <v/>
      </c>
      <c r="L185" s="72" t="str">
        <f t="shared" si="4"/>
        <v/>
      </c>
      <c r="M185" s="69"/>
      <c r="T185" s="56" t="str">
        <f t="shared" si="5"/>
        <v/>
      </c>
      <c r="BA185" s="1">
        <f>IF(E185&lt;=Leltar_iv!$Y$1,I185,0)</f>
        <v>0</v>
      </c>
    </row>
    <row r="186" spans="4:53" x14ac:dyDescent="0.2">
      <c r="D186" s="84" t="str">
        <f>IF(AND(OR(Kiadas!C185&lt;&gt;Kiadas!C186,Kiadas!C186=1),SUM(Kiadas!L186:L206)&lt;&gt;0),YEAR(Kiadas!W186)&amp;"/"&amp;Kiadas!C186,"")</f>
        <v/>
      </c>
      <c r="E186" s="44"/>
      <c r="F186" s="45"/>
      <c r="G186" s="45"/>
      <c r="H186" s="45"/>
      <c r="I186" s="46"/>
      <c r="J186" s="86" t="str">
        <f>IF(AND(G186&lt;&gt;"",ISERROR(VLOOKUP(G186,Keszlet!$C$5:$H$200,6,FALSE))=FALSE),VLOOKUP(G186,Keszlet!$C$5:$H$200,6,FALSE),"")</f>
        <v/>
      </c>
      <c r="K186" s="72" t="str">
        <f>IF(AND(G186&lt;&gt;"",ISERROR(VLOOKUP(G186,Keszlet!$C$5:$G$200,5,FALSE))=FALSE),VLOOKUP(G186,Keszlet!$C$5:$G$200,5,FALSE),"")</f>
        <v/>
      </c>
      <c r="L186" s="72" t="str">
        <f t="shared" si="4"/>
        <v/>
      </c>
      <c r="M186" s="69"/>
      <c r="T186" s="56" t="str">
        <f t="shared" si="5"/>
        <v/>
      </c>
      <c r="BA186" s="1">
        <f>IF(E186&lt;=Leltar_iv!$Y$1,I186,0)</f>
        <v>0</v>
      </c>
    </row>
    <row r="187" spans="4:53" x14ac:dyDescent="0.2">
      <c r="D187" s="84" t="str">
        <f>IF(AND(OR(Kiadas!C186&lt;&gt;Kiadas!C187,Kiadas!C187=1),SUM(Kiadas!L187:L207)&lt;&gt;0),YEAR(Kiadas!W187)&amp;"/"&amp;Kiadas!C187,"")</f>
        <v/>
      </c>
      <c r="E187" s="44"/>
      <c r="F187" s="45"/>
      <c r="G187" s="45"/>
      <c r="H187" s="45"/>
      <c r="I187" s="46"/>
      <c r="J187" s="86" t="str">
        <f>IF(AND(G187&lt;&gt;"",ISERROR(VLOOKUP(G187,Keszlet!$C$5:$H$200,6,FALSE))=FALSE),VLOOKUP(G187,Keszlet!$C$5:$H$200,6,FALSE),"")</f>
        <v/>
      </c>
      <c r="K187" s="72" t="str">
        <f>IF(AND(G187&lt;&gt;"",ISERROR(VLOOKUP(G187,Keszlet!$C$5:$G$200,5,FALSE))=FALSE),VLOOKUP(G187,Keszlet!$C$5:$G$200,5,FALSE),"")</f>
        <v/>
      </c>
      <c r="L187" s="72" t="str">
        <f t="shared" si="4"/>
        <v/>
      </c>
      <c r="M187" s="69"/>
      <c r="T187" s="56" t="str">
        <f t="shared" si="5"/>
        <v/>
      </c>
      <c r="BA187" s="1">
        <f>IF(E187&lt;=Leltar_iv!$Y$1,I187,0)</f>
        <v>0</v>
      </c>
    </row>
    <row r="188" spans="4:53" x14ac:dyDescent="0.2">
      <c r="D188" s="84" t="str">
        <f>IF(AND(OR(Kiadas!C187&lt;&gt;Kiadas!C188,Kiadas!C188=1),SUM(Kiadas!L188:L208)&lt;&gt;0),YEAR(Kiadas!W188)&amp;"/"&amp;Kiadas!C188,"")</f>
        <v/>
      </c>
      <c r="E188" s="44"/>
      <c r="F188" s="45"/>
      <c r="G188" s="45"/>
      <c r="H188" s="45"/>
      <c r="I188" s="46"/>
      <c r="J188" s="86" t="str">
        <f>IF(AND(G188&lt;&gt;"",ISERROR(VLOOKUP(G188,Keszlet!$C$5:$H$200,6,FALSE))=FALSE),VLOOKUP(G188,Keszlet!$C$5:$H$200,6,FALSE),"")</f>
        <v/>
      </c>
      <c r="K188" s="72" t="str">
        <f>IF(AND(G188&lt;&gt;"",ISERROR(VLOOKUP(G188,Keszlet!$C$5:$G$200,5,FALSE))=FALSE),VLOOKUP(G188,Keszlet!$C$5:$G$200,5,FALSE),"")</f>
        <v/>
      </c>
      <c r="L188" s="72" t="str">
        <f t="shared" si="4"/>
        <v/>
      </c>
      <c r="M188" s="69"/>
      <c r="T188" s="56" t="str">
        <f t="shared" si="5"/>
        <v/>
      </c>
      <c r="BA188" s="1">
        <f>IF(E188&lt;=Leltar_iv!$Y$1,I188,0)</f>
        <v>0</v>
      </c>
    </row>
    <row r="189" spans="4:53" x14ac:dyDescent="0.2">
      <c r="D189" s="84" t="str">
        <f>IF(AND(OR(Kiadas!C188&lt;&gt;Kiadas!C189,Kiadas!C189=1),SUM(Kiadas!L189:L209)&lt;&gt;0),YEAR(Kiadas!W189)&amp;"/"&amp;Kiadas!C189,"")</f>
        <v/>
      </c>
      <c r="E189" s="44"/>
      <c r="F189" s="45"/>
      <c r="G189" s="45"/>
      <c r="H189" s="45"/>
      <c r="I189" s="46"/>
      <c r="J189" s="86" t="str">
        <f>IF(AND(G189&lt;&gt;"",ISERROR(VLOOKUP(G189,Keszlet!$C$5:$H$200,6,FALSE))=FALSE),VLOOKUP(G189,Keszlet!$C$5:$H$200,6,FALSE),"")</f>
        <v/>
      </c>
      <c r="K189" s="72" t="str">
        <f>IF(AND(G189&lt;&gt;"",ISERROR(VLOOKUP(G189,Keszlet!$C$5:$G$200,5,FALSE))=FALSE),VLOOKUP(G189,Keszlet!$C$5:$G$200,5,FALSE),"")</f>
        <v/>
      </c>
      <c r="L189" s="72" t="str">
        <f t="shared" si="4"/>
        <v/>
      </c>
      <c r="M189" s="69"/>
      <c r="T189" s="56" t="str">
        <f t="shared" si="5"/>
        <v/>
      </c>
      <c r="BA189" s="1">
        <f>IF(E189&lt;=Leltar_iv!$Y$1,I189,0)</f>
        <v>0</v>
      </c>
    </row>
    <row r="190" spans="4:53" x14ac:dyDescent="0.2">
      <c r="D190" s="84" t="str">
        <f>IF(AND(OR(Kiadas!C189&lt;&gt;Kiadas!C190,Kiadas!C190=1),SUM(Kiadas!L190:L210)&lt;&gt;0),YEAR(Kiadas!W190)&amp;"/"&amp;Kiadas!C190,"")</f>
        <v/>
      </c>
      <c r="E190" s="44"/>
      <c r="F190" s="45"/>
      <c r="G190" s="45"/>
      <c r="H190" s="45"/>
      <c r="I190" s="46"/>
      <c r="J190" s="86" t="str">
        <f>IF(AND(G190&lt;&gt;"",ISERROR(VLOOKUP(G190,Keszlet!$C$5:$H$200,6,FALSE))=FALSE),VLOOKUP(G190,Keszlet!$C$5:$H$200,6,FALSE),"")</f>
        <v/>
      </c>
      <c r="K190" s="72" t="str">
        <f>IF(AND(G190&lt;&gt;"",ISERROR(VLOOKUP(G190,Keszlet!$C$5:$G$200,5,FALSE))=FALSE),VLOOKUP(G190,Keszlet!$C$5:$G$200,5,FALSE),"")</f>
        <v/>
      </c>
      <c r="L190" s="72" t="str">
        <f t="shared" si="4"/>
        <v/>
      </c>
      <c r="M190" s="69"/>
      <c r="T190" s="56" t="str">
        <f t="shared" si="5"/>
        <v/>
      </c>
      <c r="BA190" s="1">
        <f>IF(E190&lt;=Leltar_iv!$Y$1,I190,0)</f>
        <v>0</v>
      </c>
    </row>
    <row r="191" spans="4:53" x14ac:dyDescent="0.2">
      <c r="D191" s="84" t="str">
        <f>IF(AND(OR(Kiadas!C190&lt;&gt;Kiadas!C191,Kiadas!C191=1),SUM(Kiadas!L191:L211)&lt;&gt;0),YEAR(Kiadas!W191)&amp;"/"&amp;Kiadas!C191,"")</f>
        <v/>
      </c>
      <c r="E191" s="44"/>
      <c r="F191" s="45"/>
      <c r="G191" s="45"/>
      <c r="H191" s="45"/>
      <c r="I191" s="46"/>
      <c r="J191" s="86" t="str">
        <f>IF(AND(G191&lt;&gt;"",ISERROR(VLOOKUP(G191,Keszlet!$C$5:$H$200,6,FALSE))=FALSE),VLOOKUP(G191,Keszlet!$C$5:$H$200,6,FALSE),"")</f>
        <v/>
      </c>
      <c r="K191" s="72" t="str">
        <f>IF(AND(G191&lt;&gt;"",ISERROR(VLOOKUP(G191,Keszlet!$C$5:$G$200,5,FALSE))=FALSE),VLOOKUP(G191,Keszlet!$C$5:$G$200,5,FALSE),"")</f>
        <v/>
      </c>
      <c r="L191" s="72" t="str">
        <f t="shared" si="4"/>
        <v/>
      </c>
      <c r="M191" s="69"/>
      <c r="T191" s="56" t="str">
        <f t="shared" si="5"/>
        <v/>
      </c>
      <c r="BA191" s="1">
        <f>IF(E191&lt;=Leltar_iv!$Y$1,I191,0)</f>
        <v>0</v>
      </c>
    </row>
    <row r="192" spans="4:53" x14ac:dyDescent="0.2">
      <c r="D192" s="84" t="str">
        <f>IF(AND(OR(Kiadas!C191&lt;&gt;Kiadas!C192,Kiadas!C192=1),SUM(Kiadas!L192:L212)&lt;&gt;0),YEAR(Kiadas!W192)&amp;"/"&amp;Kiadas!C192,"")</f>
        <v/>
      </c>
      <c r="E192" s="44"/>
      <c r="F192" s="45"/>
      <c r="G192" s="45"/>
      <c r="H192" s="45"/>
      <c r="I192" s="46"/>
      <c r="J192" s="86" t="str">
        <f>IF(AND(G192&lt;&gt;"",ISERROR(VLOOKUP(G192,Keszlet!$C$5:$H$200,6,FALSE))=FALSE),VLOOKUP(G192,Keszlet!$C$5:$H$200,6,FALSE),"")</f>
        <v/>
      </c>
      <c r="K192" s="72" t="str">
        <f>IF(AND(G192&lt;&gt;"",ISERROR(VLOOKUP(G192,Keszlet!$C$5:$G$200,5,FALSE))=FALSE),VLOOKUP(G192,Keszlet!$C$5:$G$200,5,FALSE),"")</f>
        <v/>
      </c>
      <c r="L192" s="72" t="str">
        <f t="shared" si="4"/>
        <v/>
      </c>
      <c r="M192" s="69"/>
      <c r="T192" s="56" t="str">
        <f t="shared" si="5"/>
        <v/>
      </c>
      <c r="BA192" s="1">
        <f>IF(E192&lt;=Leltar_iv!$Y$1,I192,0)</f>
        <v>0</v>
      </c>
    </row>
    <row r="193" spans="4:53" x14ac:dyDescent="0.2">
      <c r="D193" s="84" t="str">
        <f>IF(AND(OR(Kiadas!C192&lt;&gt;Kiadas!C193,Kiadas!C193=1),SUM(Kiadas!L193:L213)&lt;&gt;0),YEAR(Kiadas!W193)&amp;"/"&amp;Kiadas!C193,"")</f>
        <v/>
      </c>
      <c r="E193" s="44"/>
      <c r="F193" s="45"/>
      <c r="G193" s="45"/>
      <c r="H193" s="45"/>
      <c r="I193" s="46"/>
      <c r="J193" s="86" t="str">
        <f>IF(AND(G193&lt;&gt;"",ISERROR(VLOOKUP(G193,Keszlet!$C$5:$H$200,6,FALSE))=FALSE),VLOOKUP(G193,Keszlet!$C$5:$H$200,6,FALSE),"")</f>
        <v/>
      </c>
      <c r="K193" s="72" t="str">
        <f>IF(AND(G193&lt;&gt;"",ISERROR(VLOOKUP(G193,Keszlet!$C$5:$G$200,5,FALSE))=FALSE),VLOOKUP(G193,Keszlet!$C$5:$G$200,5,FALSE),"")</f>
        <v/>
      </c>
      <c r="L193" s="72" t="str">
        <f t="shared" si="4"/>
        <v/>
      </c>
      <c r="M193" s="69"/>
      <c r="T193" s="56" t="str">
        <f t="shared" si="5"/>
        <v/>
      </c>
      <c r="BA193" s="1">
        <f>IF(E193&lt;=Leltar_iv!$Y$1,I193,0)</f>
        <v>0</v>
      </c>
    </row>
    <row r="194" spans="4:53" x14ac:dyDescent="0.2">
      <c r="D194" s="84" t="str">
        <f>IF(AND(OR(Kiadas!C193&lt;&gt;Kiadas!C194,Kiadas!C194=1),SUM(Kiadas!L194:L214)&lt;&gt;0),YEAR(Kiadas!W194)&amp;"/"&amp;Kiadas!C194,"")</f>
        <v/>
      </c>
      <c r="E194" s="44"/>
      <c r="F194" s="45"/>
      <c r="G194" s="45"/>
      <c r="H194" s="45"/>
      <c r="I194" s="46"/>
      <c r="J194" s="86" t="str">
        <f>IF(AND(G194&lt;&gt;"",ISERROR(VLOOKUP(G194,Keszlet!$C$5:$H$200,6,FALSE))=FALSE),VLOOKUP(G194,Keszlet!$C$5:$H$200,6,FALSE),"")</f>
        <v/>
      </c>
      <c r="K194" s="72" t="str">
        <f>IF(AND(G194&lt;&gt;"",ISERROR(VLOOKUP(G194,Keszlet!$C$5:$G$200,5,FALSE))=FALSE),VLOOKUP(G194,Keszlet!$C$5:$G$200,5,FALSE),"")</f>
        <v/>
      </c>
      <c r="L194" s="72" t="str">
        <f t="shared" si="4"/>
        <v/>
      </c>
      <c r="M194" s="69"/>
      <c r="T194" s="56" t="str">
        <f t="shared" si="5"/>
        <v/>
      </c>
      <c r="BA194" s="1">
        <f>IF(E194&lt;=Leltar_iv!$Y$1,I194,0)</f>
        <v>0</v>
      </c>
    </row>
    <row r="195" spans="4:53" x14ac:dyDescent="0.2">
      <c r="D195" s="84" t="str">
        <f>IF(AND(OR(Kiadas!C194&lt;&gt;Kiadas!C195,Kiadas!C195=1),SUM(Kiadas!L195:L215)&lt;&gt;0),YEAR(Kiadas!W195)&amp;"/"&amp;Kiadas!C195,"")</f>
        <v/>
      </c>
      <c r="E195" s="44"/>
      <c r="F195" s="45"/>
      <c r="G195" s="45"/>
      <c r="H195" s="45"/>
      <c r="I195" s="46"/>
      <c r="J195" s="86" t="str">
        <f>IF(AND(G195&lt;&gt;"",ISERROR(VLOOKUP(G195,Keszlet!$C$5:$H$200,6,FALSE))=FALSE),VLOOKUP(G195,Keszlet!$C$5:$H$200,6,FALSE),"")</f>
        <v/>
      </c>
      <c r="K195" s="72" t="str">
        <f>IF(AND(G195&lt;&gt;"",ISERROR(VLOOKUP(G195,Keszlet!$C$5:$G$200,5,FALSE))=FALSE),VLOOKUP(G195,Keszlet!$C$5:$G$200,5,FALSE),"")</f>
        <v/>
      </c>
      <c r="L195" s="72" t="str">
        <f t="shared" si="4"/>
        <v/>
      </c>
      <c r="M195" s="69"/>
      <c r="T195" s="56" t="str">
        <f t="shared" si="5"/>
        <v/>
      </c>
      <c r="BA195" s="1">
        <f>IF(E195&lt;=Leltar_iv!$Y$1,I195,0)</f>
        <v>0</v>
      </c>
    </row>
    <row r="196" spans="4:53" x14ac:dyDescent="0.2">
      <c r="D196" s="84" t="str">
        <f>IF(AND(OR(Kiadas!C195&lt;&gt;Kiadas!C196,Kiadas!C196=1),SUM(Kiadas!L196:L216)&lt;&gt;0),YEAR(Kiadas!W196)&amp;"/"&amp;Kiadas!C196,"")</f>
        <v/>
      </c>
      <c r="E196" s="44"/>
      <c r="F196" s="45"/>
      <c r="G196" s="45"/>
      <c r="H196" s="45"/>
      <c r="I196" s="46"/>
      <c r="J196" s="86" t="str">
        <f>IF(AND(G196&lt;&gt;"",ISERROR(VLOOKUP(G196,Keszlet!$C$5:$H$200,6,FALSE))=FALSE),VLOOKUP(G196,Keszlet!$C$5:$H$200,6,FALSE),"")</f>
        <v/>
      </c>
      <c r="K196" s="72" t="str">
        <f>IF(AND(G196&lt;&gt;"",ISERROR(VLOOKUP(G196,Keszlet!$C$5:$G$200,5,FALSE))=FALSE),VLOOKUP(G196,Keszlet!$C$5:$G$200,5,FALSE),"")</f>
        <v/>
      </c>
      <c r="L196" s="72" t="str">
        <f t="shared" si="4"/>
        <v/>
      </c>
      <c r="M196" s="69"/>
      <c r="T196" s="56" t="str">
        <f t="shared" si="5"/>
        <v/>
      </c>
      <c r="BA196" s="1">
        <f>IF(E196&lt;=Leltar_iv!$Y$1,I196,0)</f>
        <v>0</v>
      </c>
    </row>
    <row r="197" spans="4:53" x14ac:dyDescent="0.2">
      <c r="D197" s="84" t="str">
        <f>IF(AND(OR(Kiadas!C196&lt;&gt;Kiadas!C197,Kiadas!C197=1),SUM(Kiadas!L197:L217)&lt;&gt;0),YEAR(Kiadas!W197)&amp;"/"&amp;Kiadas!C197,"")</f>
        <v/>
      </c>
      <c r="E197" s="44"/>
      <c r="F197" s="45"/>
      <c r="G197" s="45"/>
      <c r="H197" s="45"/>
      <c r="I197" s="46"/>
      <c r="J197" s="86" t="str">
        <f>IF(AND(G197&lt;&gt;"",ISERROR(VLOOKUP(G197,Keszlet!$C$5:$H$200,6,FALSE))=FALSE),VLOOKUP(G197,Keszlet!$C$5:$H$200,6,FALSE),"")</f>
        <v/>
      </c>
      <c r="K197" s="72" t="str">
        <f>IF(AND(G197&lt;&gt;"",ISERROR(VLOOKUP(G197,Keszlet!$C$5:$G$200,5,FALSE))=FALSE),VLOOKUP(G197,Keszlet!$C$5:$G$200,5,FALSE),"")</f>
        <v/>
      </c>
      <c r="L197" s="72" t="str">
        <f t="shared" si="4"/>
        <v/>
      </c>
      <c r="M197" s="69"/>
      <c r="T197" s="56" t="str">
        <f t="shared" si="5"/>
        <v/>
      </c>
      <c r="BA197" s="1">
        <f>IF(E197&lt;=Leltar_iv!$Y$1,I197,0)</f>
        <v>0</v>
      </c>
    </row>
    <row r="198" spans="4:53" x14ac:dyDescent="0.2">
      <c r="D198" s="84" t="str">
        <f>IF(AND(OR(Kiadas!C197&lt;&gt;Kiadas!C198,Kiadas!C198=1),SUM(Kiadas!L198:L218)&lt;&gt;0),YEAR(Kiadas!W198)&amp;"/"&amp;Kiadas!C198,"")</f>
        <v/>
      </c>
      <c r="E198" s="44"/>
      <c r="F198" s="45"/>
      <c r="G198" s="45"/>
      <c r="H198" s="45"/>
      <c r="I198" s="46"/>
      <c r="J198" s="86" t="str">
        <f>IF(AND(G198&lt;&gt;"",ISERROR(VLOOKUP(G198,Keszlet!$C$5:$H$200,6,FALSE))=FALSE),VLOOKUP(G198,Keszlet!$C$5:$H$200,6,FALSE),"")</f>
        <v/>
      </c>
      <c r="K198" s="72" t="str">
        <f>IF(AND(G198&lt;&gt;"",ISERROR(VLOOKUP(G198,Keszlet!$C$5:$G$200,5,FALSE))=FALSE),VLOOKUP(G198,Keszlet!$C$5:$G$200,5,FALSE),"")</f>
        <v/>
      </c>
      <c r="L198" s="72" t="str">
        <f t="shared" si="4"/>
        <v/>
      </c>
      <c r="M198" s="69"/>
      <c r="T198" s="56" t="str">
        <f t="shared" si="5"/>
        <v/>
      </c>
      <c r="BA198" s="1">
        <f>IF(E198&lt;=Leltar_iv!$Y$1,I198,0)</f>
        <v>0</v>
      </c>
    </row>
    <row r="199" spans="4:53" x14ac:dyDescent="0.2">
      <c r="D199" s="84" t="str">
        <f>IF(AND(OR(Kiadas!C198&lt;&gt;Kiadas!C199,Kiadas!C199=1),SUM(Kiadas!L199:L219)&lt;&gt;0),YEAR(Kiadas!W199)&amp;"/"&amp;Kiadas!C199,"")</f>
        <v/>
      </c>
      <c r="E199" s="44"/>
      <c r="F199" s="45"/>
      <c r="G199" s="45"/>
      <c r="H199" s="45"/>
      <c r="I199" s="46"/>
      <c r="J199" s="86" t="str">
        <f>IF(AND(G199&lt;&gt;"",ISERROR(VLOOKUP(G199,Keszlet!$C$5:$H$200,6,FALSE))=FALSE),VLOOKUP(G199,Keszlet!$C$5:$H$200,6,FALSE),"")</f>
        <v/>
      </c>
      <c r="K199" s="72" t="str">
        <f>IF(AND(G199&lt;&gt;"",ISERROR(VLOOKUP(G199,Keszlet!$C$5:$G$200,5,FALSE))=FALSE),VLOOKUP(G199,Keszlet!$C$5:$G$200,5,FALSE),"")</f>
        <v/>
      </c>
      <c r="L199" s="72" t="str">
        <f>IF(AND(G199&lt;&gt;0,K199&lt;&gt;""),I199*K199,"")</f>
        <v/>
      </c>
      <c r="M199" s="69"/>
      <c r="T199" s="56" t="str">
        <f t="shared" si="5"/>
        <v/>
      </c>
      <c r="BA199" s="1">
        <f>IF(E199&lt;=Leltar_iv!$Y$1,I199,0)</f>
        <v>0</v>
      </c>
    </row>
    <row r="200" spans="4:53" x14ac:dyDescent="0.2">
      <c r="D200" s="84" t="str">
        <f>IF(AND(OR(Kiadas!C199&lt;&gt;Kiadas!C200,Kiadas!C200=1),SUM(Kiadas!L200:L220)&lt;&gt;0),YEAR(Kiadas!W200)&amp;"/"&amp;Kiadas!C200,"")</f>
        <v/>
      </c>
      <c r="E200" s="44"/>
      <c r="F200" s="45"/>
      <c r="G200" s="45"/>
      <c r="H200" s="45"/>
      <c r="I200" s="46"/>
      <c r="J200" s="86" t="str">
        <f>IF(AND(G200&lt;&gt;"",ISERROR(VLOOKUP(G200,Keszlet!$C$5:$H$200,6,FALSE))=FALSE),VLOOKUP(G200,Keszlet!$C$5:$H$200,6,FALSE),"")</f>
        <v/>
      </c>
      <c r="K200" s="72" t="str">
        <f>IF(AND(G200&lt;&gt;"",ISERROR(VLOOKUP(G200,Keszlet!$C$5:$G$200,5,FALSE))=FALSE),VLOOKUP(G200,Keszlet!$C$5:$G$200,5,FALSE),"")</f>
        <v/>
      </c>
      <c r="L200" s="72" t="str">
        <f>IF(AND(G200&lt;&gt;0,K200&lt;&gt;""),I200*K200,"")</f>
        <v/>
      </c>
      <c r="M200" s="69"/>
      <c r="T200" s="56" t="str">
        <f t="shared" si="5"/>
        <v/>
      </c>
      <c r="BA200" s="1">
        <f>IF(E200&lt;=Leltar_iv!$Y$1,I200,0)</f>
        <v>0</v>
      </c>
    </row>
    <row r="201" spans="4:53" hidden="1" x14ac:dyDescent="0.2">
      <c r="D201" s="84" t="str">
        <f>IF(AND(OR(Kiadas!C200&lt;&gt;Kiadas!C201,Kiadas!C201=1),SUM(Kiadas!L201:L221)&lt;&gt;0),YEAR(Kiadas!W201)&amp;"/"&amp;Kiadas!C201,"")</f>
        <v/>
      </c>
      <c r="E201" s="44"/>
      <c r="F201" s="45"/>
      <c r="G201" s="45"/>
      <c r="H201" s="45"/>
      <c r="I201" s="46"/>
      <c r="J201" s="86" t="str">
        <f>IF(AND(H201&lt;&gt;"",ISERROR(VLOOKUP(H201,Keszlet!$C$5:$H$200,6,FALSE))=FALSE),VLOOKUP(H201,Keszlet!$C$5:$H$200,6,FALSE),"")</f>
        <v/>
      </c>
      <c r="K201" s="72" t="str">
        <f>IF(AND(H201&lt;&gt;"",ISERROR(VLOOKUP(H201,Keszlet!$C$5:$G$200,5,FALSE))=FALSE),VLOOKUP(H201,Keszlet!$C$5:$G$200,5,FALSE),"")</f>
        <v/>
      </c>
      <c r="L201" s="72" t="str">
        <f>IF(AND(H201&lt;&gt;0,K201&lt;&gt;""),I201*K201,"")</f>
        <v/>
      </c>
      <c r="M201" s="69"/>
      <c r="T201" s="56" t="str">
        <f t="shared" si="5"/>
        <v/>
      </c>
    </row>
    <row r="202" spans="4:53" hidden="1" x14ac:dyDescent="0.2">
      <c r="D202" s="84" t="str">
        <f>IF(AND(OR(Kiadas!C201&lt;&gt;Kiadas!C202,Kiadas!C202=1),SUM(Kiadas!L202:L222)&lt;&gt;0),YEAR(Kiadas!W202)&amp;"/"&amp;Kiadas!C202,"")</f>
        <v/>
      </c>
      <c r="E202" s="44"/>
      <c r="F202" s="45"/>
      <c r="G202" s="45"/>
      <c r="H202" s="45"/>
      <c r="I202" s="46"/>
      <c r="J202" s="86" t="str">
        <f>IF(AND(H202&lt;&gt;"",ISERROR(VLOOKUP(H202,Keszlet!$C$5:$H$200,6,FALSE))=FALSE),VLOOKUP(H202,Keszlet!$C$5:$H$200,6,FALSE),"")</f>
        <v/>
      </c>
      <c r="K202" s="72" t="str">
        <f>IF(AND(H202&lt;&gt;"",ISERROR(VLOOKUP(H202,Keszlet!$C$5:$G$200,5,FALSE))=FALSE),VLOOKUP(H202,Keszlet!$C$5:$G$200,5,FALSE),"")</f>
        <v/>
      </c>
      <c r="L202" s="72" t="str">
        <f>IF(AND(H202&lt;&gt;0,K202&lt;&gt;""),I202*K202,"")</f>
        <v/>
      </c>
      <c r="M202" s="69"/>
      <c r="T202" s="56" t="str">
        <f t="shared" si="5"/>
        <v/>
      </c>
    </row>
    <row r="203" spans="4:53" hidden="1" x14ac:dyDescent="0.2">
      <c r="D203" s="84" t="str">
        <f>IF(AND(OR(Kiadas!C202&lt;&gt;Kiadas!C203,Kiadas!C203=1),SUM(Kiadas!L203:L223)&lt;&gt;0),YEAR(Kiadas!W203)&amp;"/"&amp;Kiadas!C203,"")</f>
        <v/>
      </c>
      <c r="E203" s="44"/>
      <c r="F203" s="45"/>
      <c r="G203" s="45"/>
      <c r="H203" s="45"/>
      <c r="I203" s="46"/>
      <c r="J203" s="86" t="str">
        <f>IF(AND(H203&lt;&gt;"",ISERROR(VLOOKUP(H203,Keszlet!$C$5:$H$200,6,FALSE))=FALSE),VLOOKUP(H203,Keszlet!$C$5:$H$200,6,FALSE),"")</f>
        <v/>
      </c>
      <c r="K203" s="72" t="str">
        <f>IF(AND(H203&lt;&gt;"",ISERROR(VLOOKUP(H203,Keszlet!$C$5:$G$200,5,FALSE))=FALSE),VLOOKUP(H203,Keszlet!$C$5:$G$200,5,FALSE),"")</f>
        <v/>
      </c>
      <c r="L203" s="72" t="str">
        <f>IF(AND(H203&lt;&gt;0,K203&lt;&gt;""),I203*K203,"")</f>
        <v/>
      </c>
      <c r="M203" s="69"/>
      <c r="T203" s="56" t="str">
        <f>IF(OR(E203&lt;&gt;0,COUNTIF(T194:T202,0)=9,F203&lt;&gt;0,SUM(L203:L223)=0),E203&amp;F203,0)</f>
        <v/>
      </c>
    </row>
    <row r="204" spans="4:53" hidden="1" x14ac:dyDescent="0.2">
      <c r="D204" s="84" t="str">
        <f>IF(AND(OR(Kiadas!C203&lt;&gt;Kiadas!C204,Kiadas!C204=1),SUM(Kiadas!L204:L224)&lt;&gt;0),YEAR(Kiadas!W204)&amp;"/"&amp;Kiadas!C204,"")</f>
        <v/>
      </c>
      <c r="E204" s="44"/>
      <c r="F204" s="45"/>
      <c r="G204" s="45"/>
      <c r="H204" s="45"/>
      <c r="I204" s="46"/>
      <c r="J204" s="86" t="str">
        <f>IF(AND(H204&lt;&gt;"",ISERROR(VLOOKUP(H204,Keszlet!$C$5:$H$200,6,FALSE))=FALSE),VLOOKUP(H204,Keszlet!$C$5:$H$200,6,FALSE),"")</f>
        <v/>
      </c>
      <c r="K204" s="72" t="str">
        <f>IF(AND(H204&lt;&gt;"",ISERROR(VLOOKUP(H204,Keszlet!$C$5:$G$200,5,FALSE))=FALSE),VLOOKUP(H204,Keszlet!$C$5:$G$200,5,FALSE),"")</f>
        <v/>
      </c>
      <c r="L204" s="72" t="str">
        <f>IF(AND(H204&lt;&gt;0,K204&lt;&gt;""),I204*K204,"")</f>
        <v/>
      </c>
      <c r="M204" s="69"/>
      <c r="T204" s="56" t="str">
        <f>IF(OR(E204&lt;&gt;0,COUNTIF(T195:T203,0)=9,F204&lt;&gt;0,SUM(L204:L224)=0),E204&amp;F204,0)</f>
        <v/>
      </c>
    </row>
    <row r="205" spans="4:53" hidden="1" x14ac:dyDescent="0.2">
      <c r="D205" s="84" t="str">
        <f>IF(AND(OR(Kiadas!C204&lt;&gt;Kiadas!C205,Kiadas!C205=1),SUM(Kiadas!L205:L225)&lt;&gt;0),YEAR(Kiadas!W205)&amp;"/"&amp;Kiadas!C205,"")</f>
        <v/>
      </c>
      <c r="E205" s="44"/>
      <c r="F205" s="45"/>
      <c r="G205" s="45"/>
      <c r="H205" s="45"/>
      <c r="I205" s="46"/>
      <c r="J205" s="86" t="str">
        <f>IF(AND(H205&lt;&gt;"",ISERROR(VLOOKUP(H205,Keszlet!$C$5:$H$200,6,FALSE))=FALSE),VLOOKUP(H205,Keszlet!$C$5:$H$200,6,FALSE),"")</f>
        <v/>
      </c>
      <c r="K205" s="72" t="str">
        <f>IF(AND(H205&lt;&gt;"",ISERROR(VLOOKUP(H205,Keszlet!$C$5:$G$200,5,FALSE))=FALSE),VLOOKUP(H205,Keszlet!$C$5:$G$200,5,FALSE),"")</f>
        <v/>
      </c>
      <c r="L205" s="72" t="str">
        <f>IF(AND(H205&lt;&gt;0,K205&lt;&gt;""),I205*K205,"")</f>
        <v/>
      </c>
      <c r="M205" s="69"/>
      <c r="T205" s="56" t="str">
        <f>IF(OR(E205&lt;&gt;0,COUNTIF(T196:T204,0)=9,F205&lt;&gt;0,SUM(L205:L225)=0),E205&amp;F205,0)</f>
        <v/>
      </c>
    </row>
    <row r="206" spans="4:53" hidden="1" x14ac:dyDescent="0.2">
      <c r="K206" t="str">
        <f>IF(H206&lt;&gt;0,I206*#REF!,"")</f>
        <v/>
      </c>
    </row>
    <row r="207" spans="4:53" hidden="1" x14ac:dyDescent="0.2">
      <c r="K207" t="str">
        <f>IF(H207&lt;&gt;0,I207*#REF!,"")</f>
        <v/>
      </c>
    </row>
    <row r="208" spans="4:53" hidden="1" x14ac:dyDescent="0.2">
      <c r="K208" t="str">
        <f>IF(H208&lt;&gt;0,I208*#REF!,"")</f>
        <v/>
      </c>
    </row>
    <row r="209" spans="11:11" hidden="1" x14ac:dyDescent="0.2">
      <c r="K209" t="str">
        <f>IF(H209&lt;&gt;0,I209*#REF!,"")</f>
        <v/>
      </c>
    </row>
    <row r="210" spans="11:11" hidden="1" x14ac:dyDescent="0.2">
      <c r="K210" t="str">
        <f>IF(H210&lt;&gt;0,I210*#REF!,"")</f>
        <v/>
      </c>
    </row>
    <row r="211" spans="11:11" hidden="1" x14ac:dyDescent="0.2">
      <c r="K211" t="str">
        <f>IF(H211&lt;&gt;0,I211*#REF!,"")</f>
        <v/>
      </c>
    </row>
    <row r="212" spans="11:11" hidden="1" x14ac:dyDescent="0.2">
      <c r="K212" t="str">
        <f>IF(H212&lt;&gt;0,I212*#REF!,"")</f>
        <v/>
      </c>
    </row>
    <row r="213" spans="11:11" hidden="1" x14ac:dyDescent="0.2">
      <c r="K213" t="str">
        <f>IF(H213&lt;&gt;0,I213*#REF!,"")</f>
        <v/>
      </c>
    </row>
    <row r="214" spans="11:11" hidden="1" x14ac:dyDescent="0.2">
      <c r="K214" t="str">
        <f>IF(H214&lt;&gt;0,I214*#REF!,"")</f>
        <v/>
      </c>
    </row>
    <row r="215" spans="11:11" hidden="1" x14ac:dyDescent="0.2">
      <c r="K215" t="str">
        <f>IF(H215&lt;&gt;0,I215*#REF!,"")</f>
        <v/>
      </c>
    </row>
    <row r="216" spans="11:11" hidden="1" x14ac:dyDescent="0.2">
      <c r="K216" t="str">
        <f>IF(H216&lt;&gt;0,I216*#REF!,"")</f>
        <v/>
      </c>
    </row>
    <row r="217" spans="11:11" hidden="1" x14ac:dyDescent="0.2">
      <c r="K217" t="str">
        <f>IF(H217&lt;&gt;0,I217*#REF!,"")</f>
        <v/>
      </c>
    </row>
    <row r="218" spans="11:11" hidden="1" x14ac:dyDescent="0.2">
      <c r="K218" t="str">
        <f>IF(H218&lt;&gt;0,I218*#REF!,"")</f>
        <v/>
      </c>
    </row>
    <row r="219" spans="11:11" hidden="1" x14ac:dyDescent="0.2">
      <c r="K219" t="str">
        <f>IF(H219&lt;&gt;0,I219*#REF!,"")</f>
        <v/>
      </c>
    </row>
    <row r="220" spans="11:11" hidden="1" x14ac:dyDescent="0.2">
      <c r="K220" t="str">
        <f>IF(H220&lt;&gt;0,I220*#REF!,"")</f>
        <v/>
      </c>
    </row>
    <row r="221" spans="11:11" hidden="1" x14ac:dyDescent="0.2">
      <c r="K221" t="str">
        <f>IF(H221&lt;&gt;0,I221*#REF!,"")</f>
        <v/>
      </c>
    </row>
    <row r="222" spans="11:11" hidden="1" x14ac:dyDescent="0.2">
      <c r="K222" t="str">
        <f>IF(H222&lt;&gt;0,I222*#REF!,"")</f>
        <v/>
      </c>
    </row>
    <row r="223" spans="11:11" hidden="1" x14ac:dyDescent="0.2">
      <c r="K223" t="str">
        <f>IF(H223&lt;&gt;0,I223*#REF!,"")</f>
        <v/>
      </c>
    </row>
    <row r="224" spans="11:11" hidden="1" x14ac:dyDescent="0.2">
      <c r="K224" t="str">
        <f>IF(H224&lt;&gt;0,I224*#REF!,"")</f>
        <v/>
      </c>
    </row>
    <row r="225" spans="11:11" hidden="1" x14ac:dyDescent="0.2">
      <c r="K225" t="str">
        <f>IF(H225&lt;&gt;0,I225*#REF!,"")</f>
        <v/>
      </c>
    </row>
    <row r="226" spans="11:11" hidden="1" x14ac:dyDescent="0.2">
      <c r="K226" t="str">
        <f>IF(H226&lt;&gt;0,I226*#REF!,"")</f>
        <v/>
      </c>
    </row>
    <row r="227" spans="11:11" hidden="1" x14ac:dyDescent="0.2">
      <c r="K227" t="str">
        <f>IF(H227&lt;&gt;0,I227*#REF!,"")</f>
        <v/>
      </c>
    </row>
    <row r="228" spans="11:11" hidden="1" x14ac:dyDescent="0.2">
      <c r="K228" t="str">
        <f>IF(H228&lt;&gt;0,I228*#REF!,"")</f>
        <v/>
      </c>
    </row>
    <row r="229" spans="11:11" hidden="1" x14ac:dyDescent="0.2">
      <c r="K229" t="str">
        <f>IF(H229&lt;&gt;0,I229*#REF!,"")</f>
        <v/>
      </c>
    </row>
    <row r="230" spans="11:11" hidden="1" x14ac:dyDescent="0.2">
      <c r="K230" t="str">
        <f>IF(H230&lt;&gt;0,I230*#REF!,"")</f>
        <v/>
      </c>
    </row>
    <row r="231" spans="11:11" hidden="1" x14ac:dyDescent="0.2">
      <c r="K231" t="str">
        <f>IF(H231&lt;&gt;0,I231*#REF!,"")</f>
        <v/>
      </c>
    </row>
    <row r="232" spans="11:11" hidden="1" x14ac:dyDescent="0.2">
      <c r="K232" t="str">
        <f>IF(H232&lt;&gt;0,I232*#REF!,"")</f>
        <v/>
      </c>
    </row>
    <row r="233" spans="11:11" hidden="1" x14ac:dyDescent="0.2">
      <c r="K233" t="str">
        <f>IF(H233&lt;&gt;0,I233*#REF!,"")</f>
        <v/>
      </c>
    </row>
    <row r="234" spans="11:11" hidden="1" x14ac:dyDescent="0.2">
      <c r="K234" t="str">
        <f>IF(H234&lt;&gt;0,I234*#REF!,"")</f>
        <v/>
      </c>
    </row>
    <row r="235" spans="11:11" hidden="1" x14ac:dyDescent="0.2">
      <c r="K235" t="str">
        <f>IF(H235&lt;&gt;0,I235*#REF!,"")</f>
        <v/>
      </c>
    </row>
    <row r="236" spans="11:11" hidden="1" x14ac:dyDescent="0.2">
      <c r="K236" t="str">
        <f>IF(H236&lt;&gt;0,I236*#REF!,"")</f>
        <v/>
      </c>
    </row>
    <row r="237" spans="11:11" hidden="1" x14ac:dyDescent="0.2">
      <c r="K237" t="str">
        <f>IF(H237&lt;&gt;0,I237*#REF!,"")</f>
        <v/>
      </c>
    </row>
    <row r="238" spans="11:11" hidden="1" x14ac:dyDescent="0.2">
      <c r="K238" t="str">
        <f>IF(H238&lt;&gt;0,I238*#REF!,"")</f>
        <v/>
      </c>
    </row>
    <row r="239" spans="11:11" hidden="1" x14ac:dyDescent="0.2">
      <c r="K239" t="str">
        <f>IF(H239&lt;&gt;0,I239*#REF!,"")</f>
        <v/>
      </c>
    </row>
    <row r="240" spans="11:11" hidden="1" x14ac:dyDescent="0.2">
      <c r="K240" t="str">
        <f>IF(H240&lt;&gt;0,I240*#REF!,"")</f>
        <v/>
      </c>
    </row>
    <row r="241" spans="11:11" hidden="1" x14ac:dyDescent="0.2">
      <c r="K241" t="str">
        <f>IF(H241&lt;&gt;0,I241*#REF!,"")</f>
        <v/>
      </c>
    </row>
    <row r="242" spans="11:11" hidden="1" x14ac:dyDescent="0.2">
      <c r="K242" t="str">
        <f>IF(H242&lt;&gt;0,I242*#REF!,"")</f>
        <v/>
      </c>
    </row>
    <row r="243" spans="11:11" hidden="1" x14ac:dyDescent="0.2">
      <c r="K243" t="str">
        <f>IF(H243&lt;&gt;0,I243*#REF!,"")</f>
        <v/>
      </c>
    </row>
    <row r="244" spans="11:11" hidden="1" x14ac:dyDescent="0.2">
      <c r="K244" t="str">
        <f>IF(H244&lt;&gt;0,I244*#REF!,"")</f>
        <v/>
      </c>
    </row>
    <row r="245" spans="11:11" hidden="1" x14ac:dyDescent="0.2">
      <c r="K245" t="str">
        <f>IF(H245&lt;&gt;0,I245*#REF!,"")</f>
        <v/>
      </c>
    </row>
    <row r="246" spans="11:11" hidden="1" x14ac:dyDescent="0.2">
      <c r="K246" t="str">
        <f>IF(H246&lt;&gt;0,I246*#REF!,"")</f>
        <v/>
      </c>
    </row>
    <row r="247" spans="11:11" hidden="1" x14ac:dyDescent="0.2">
      <c r="K247" t="str">
        <f>IF(H247&lt;&gt;0,I247*#REF!,"")</f>
        <v/>
      </c>
    </row>
    <row r="248" spans="11:11" hidden="1" x14ac:dyDescent="0.2">
      <c r="K248" t="str">
        <f>IF(H248&lt;&gt;0,I248*#REF!,"")</f>
        <v/>
      </c>
    </row>
    <row r="249" spans="11:11" hidden="1" x14ac:dyDescent="0.2">
      <c r="K249" t="str">
        <f>IF(H249&lt;&gt;0,I249*#REF!,"")</f>
        <v/>
      </c>
    </row>
    <row r="250" spans="11:11" hidden="1" x14ac:dyDescent="0.2">
      <c r="K250" t="str">
        <f>IF(H250&lt;&gt;0,I250*#REF!,"")</f>
        <v/>
      </c>
    </row>
    <row r="251" spans="11:11" hidden="1" x14ac:dyDescent="0.2">
      <c r="K251" t="str">
        <f>IF(H251&lt;&gt;0,I251*#REF!,"")</f>
        <v/>
      </c>
    </row>
    <row r="252" spans="11:11" hidden="1" x14ac:dyDescent="0.2">
      <c r="K252" t="str">
        <f>IF(H252&lt;&gt;0,I252*#REF!,"")</f>
        <v/>
      </c>
    </row>
    <row r="253" spans="11:11" hidden="1" x14ac:dyDescent="0.2">
      <c r="K253" t="str">
        <f>IF(H253&lt;&gt;0,I253*#REF!,"")</f>
        <v/>
      </c>
    </row>
    <row r="254" spans="11:11" hidden="1" x14ac:dyDescent="0.2">
      <c r="K254" t="str">
        <f>IF(H254&lt;&gt;0,I254*#REF!,"")</f>
        <v/>
      </c>
    </row>
    <row r="255" spans="11:11" hidden="1" x14ac:dyDescent="0.2">
      <c r="K255" t="str">
        <f>IF(H255&lt;&gt;0,I255*#REF!,"")</f>
        <v/>
      </c>
    </row>
    <row r="256" spans="11:11" hidden="1" x14ac:dyDescent="0.2">
      <c r="K256" t="str">
        <f>IF(H256&lt;&gt;0,I256*#REF!,"")</f>
        <v/>
      </c>
    </row>
    <row r="257" spans="11:11" hidden="1" x14ac:dyDescent="0.2">
      <c r="K257" t="str">
        <f>IF(H257&lt;&gt;0,I257*#REF!,"")</f>
        <v/>
      </c>
    </row>
    <row r="258" spans="11:11" hidden="1" x14ac:dyDescent="0.2">
      <c r="K258" t="str">
        <f>IF(H258&lt;&gt;0,I258*#REF!,"")</f>
        <v/>
      </c>
    </row>
    <row r="259" spans="11:11" hidden="1" x14ac:dyDescent="0.2">
      <c r="K259" t="str">
        <f>IF(H259&lt;&gt;0,I259*#REF!,"")</f>
        <v/>
      </c>
    </row>
    <row r="260" spans="11:11" hidden="1" x14ac:dyDescent="0.2">
      <c r="K260" t="str">
        <f>IF(H260&lt;&gt;0,I260*#REF!,"")</f>
        <v/>
      </c>
    </row>
    <row r="261" spans="11:11" hidden="1" x14ac:dyDescent="0.2">
      <c r="K261" t="str">
        <f>IF(H261&lt;&gt;0,I261*#REF!,"")</f>
        <v/>
      </c>
    </row>
    <row r="262" spans="11:11" hidden="1" x14ac:dyDescent="0.2">
      <c r="K262" t="str">
        <f>IF(H262&lt;&gt;0,I262*#REF!,"")</f>
        <v/>
      </c>
    </row>
    <row r="263" spans="11:11" hidden="1" x14ac:dyDescent="0.2">
      <c r="K263" t="str">
        <f>IF(H263&lt;&gt;0,I263*#REF!,"")</f>
        <v/>
      </c>
    </row>
    <row r="264" spans="11:11" hidden="1" x14ac:dyDescent="0.2">
      <c r="K264" t="str">
        <f>IF(H264&lt;&gt;0,I264*#REF!,"")</f>
        <v/>
      </c>
    </row>
    <row r="265" spans="11:11" hidden="1" x14ac:dyDescent="0.2">
      <c r="K265" t="str">
        <f>IF(H265&lt;&gt;0,I265*#REF!,"")</f>
        <v/>
      </c>
    </row>
    <row r="266" spans="11:11" hidden="1" x14ac:dyDescent="0.2">
      <c r="K266" t="str">
        <f>IF(H266&lt;&gt;0,I266*#REF!,"")</f>
        <v/>
      </c>
    </row>
    <row r="267" spans="11:11" hidden="1" x14ac:dyDescent="0.2">
      <c r="K267" t="str">
        <f>IF(H267&lt;&gt;0,I267*#REF!,"")</f>
        <v/>
      </c>
    </row>
    <row r="268" spans="11:11" hidden="1" x14ac:dyDescent="0.2">
      <c r="K268" t="str">
        <f>IF(H268&lt;&gt;0,I268*#REF!,"")</f>
        <v/>
      </c>
    </row>
    <row r="269" spans="11:11" hidden="1" x14ac:dyDescent="0.2">
      <c r="K269" t="str">
        <f>IF(H269&lt;&gt;0,I269*#REF!,"")</f>
        <v/>
      </c>
    </row>
    <row r="270" spans="11:11" hidden="1" x14ac:dyDescent="0.2">
      <c r="K270" t="str">
        <f>IF(H270&lt;&gt;0,I270*#REF!,"")</f>
        <v/>
      </c>
    </row>
    <row r="271" spans="11:11" hidden="1" x14ac:dyDescent="0.2">
      <c r="K271" t="str">
        <f>IF(H271&lt;&gt;0,I271*#REF!,"")</f>
        <v/>
      </c>
    </row>
    <row r="272" spans="11:11" hidden="1" x14ac:dyDescent="0.2">
      <c r="K272" t="str">
        <f>IF(H272&lt;&gt;0,I272*#REF!,"")</f>
        <v/>
      </c>
    </row>
    <row r="273" spans="11:11" hidden="1" x14ac:dyDescent="0.2">
      <c r="K273" t="str">
        <f>IF(H273&lt;&gt;0,I273*#REF!,"")</f>
        <v/>
      </c>
    </row>
    <row r="274" spans="11:11" hidden="1" x14ac:dyDescent="0.2">
      <c r="K274" t="str">
        <f>IF(H274&lt;&gt;0,I274*#REF!,"")</f>
        <v/>
      </c>
    </row>
    <row r="275" spans="11:11" hidden="1" x14ac:dyDescent="0.2">
      <c r="K275" t="str">
        <f>IF(H275&lt;&gt;0,I275*#REF!,"")</f>
        <v/>
      </c>
    </row>
    <row r="276" spans="11:11" hidden="1" x14ac:dyDescent="0.2">
      <c r="K276" t="str">
        <f>IF(H276&lt;&gt;0,I276*#REF!,"")</f>
        <v/>
      </c>
    </row>
    <row r="277" spans="11:11" hidden="1" x14ac:dyDescent="0.2">
      <c r="K277" t="str">
        <f>IF(H277&lt;&gt;0,I277*#REF!,"")</f>
        <v/>
      </c>
    </row>
    <row r="278" spans="11:11" hidden="1" x14ac:dyDescent="0.2">
      <c r="K278" t="str">
        <f>IF(H278&lt;&gt;0,I278*#REF!,"")</f>
        <v/>
      </c>
    </row>
    <row r="279" spans="11:11" hidden="1" x14ac:dyDescent="0.2">
      <c r="K279" t="str">
        <f>IF(H279&lt;&gt;0,I279*#REF!,"")</f>
        <v/>
      </c>
    </row>
    <row r="280" spans="11:11" hidden="1" x14ac:dyDescent="0.2">
      <c r="K280" t="str">
        <f>IF(H280&lt;&gt;0,I280*#REF!,"")</f>
        <v/>
      </c>
    </row>
    <row r="281" spans="11:11" hidden="1" x14ac:dyDescent="0.2">
      <c r="K281" t="str">
        <f>IF(H281&lt;&gt;0,I281*#REF!,"")</f>
        <v/>
      </c>
    </row>
    <row r="282" spans="11:11" hidden="1" x14ac:dyDescent="0.2">
      <c r="K282" t="str">
        <f>IF(H282&lt;&gt;0,I282*#REF!,"")</f>
        <v/>
      </c>
    </row>
    <row r="283" spans="11:11" hidden="1" x14ac:dyDescent="0.2">
      <c r="K283" t="str">
        <f>IF(H283&lt;&gt;0,I283*#REF!,"")</f>
        <v/>
      </c>
    </row>
    <row r="284" spans="11:11" hidden="1" x14ac:dyDescent="0.2">
      <c r="K284" t="str">
        <f>IF(H284&lt;&gt;0,I284*#REF!,"")</f>
        <v/>
      </c>
    </row>
    <row r="285" spans="11:11" hidden="1" x14ac:dyDescent="0.2">
      <c r="K285" t="str">
        <f>IF(H285&lt;&gt;0,I285*#REF!,"")</f>
        <v/>
      </c>
    </row>
    <row r="286" spans="11:11" hidden="1" x14ac:dyDescent="0.2">
      <c r="K286" t="str">
        <f>IF(H286&lt;&gt;0,I286*#REF!,"")</f>
        <v/>
      </c>
    </row>
    <row r="287" spans="11:11" hidden="1" x14ac:dyDescent="0.2">
      <c r="K287" t="str">
        <f>IF(H287&lt;&gt;0,I287*#REF!,"")</f>
        <v/>
      </c>
    </row>
    <row r="288" spans="11:11" hidden="1" x14ac:dyDescent="0.2">
      <c r="K288" t="str">
        <f>IF(H288&lt;&gt;0,I288*#REF!,"")</f>
        <v/>
      </c>
    </row>
    <row r="289" spans="11:11" hidden="1" x14ac:dyDescent="0.2">
      <c r="K289" t="str">
        <f>IF(H289&lt;&gt;0,I289*#REF!,"")</f>
        <v/>
      </c>
    </row>
    <row r="290" spans="11:11" hidden="1" x14ac:dyDescent="0.2">
      <c r="K290" t="str">
        <f>IF(H290&lt;&gt;0,I290*#REF!,"")</f>
        <v/>
      </c>
    </row>
    <row r="291" spans="11:11" hidden="1" x14ac:dyDescent="0.2">
      <c r="K291" t="str">
        <f>IF(H291&lt;&gt;0,I291*#REF!,"")</f>
        <v/>
      </c>
    </row>
    <row r="292" spans="11:11" hidden="1" x14ac:dyDescent="0.2">
      <c r="K292" t="str">
        <f>IF(H292&lt;&gt;0,I292*#REF!,"")</f>
        <v/>
      </c>
    </row>
    <row r="293" spans="11:11" hidden="1" x14ac:dyDescent="0.2">
      <c r="K293" t="str">
        <f>IF(H293&lt;&gt;0,I293*#REF!,"")</f>
        <v/>
      </c>
    </row>
    <row r="294" spans="11:11" hidden="1" x14ac:dyDescent="0.2">
      <c r="K294" t="str">
        <f>IF(H294&lt;&gt;0,I294*#REF!,"")</f>
        <v/>
      </c>
    </row>
    <row r="295" spans="11:11" hidden="1" x14ac:dyDescent="0.2">
      <c r="K295" t="str">
        <f>IF(H295&lt;&gt;0,I295*#REF!,"")</f>
        <v/>
      </c>
    </row>
    <row r="296" spans="11:11" hidden="1" x14ac:dyDescent="0.2">
      <c r="K296" t="str">
        <f>IF(H296&lt;&gt;0,I296*#REF!,"")</f>
        <v/>
      </c>
    </row>
    <row r="297" spans="11:11" hidden="1" x14ac:dyDescent="0.2">
      <c r="K297" t="str">
        <f>IF(H297&lt;&gt;0,I297*#REF!,"")</f>
        <v/>
      </c>
    </row>
    <row r="298" spans="11:11" hidden="1" x14ac:dyDescent="0.2">
      <c r="K298" t="str">
        <f>IF(H298&lt;&gt;0,I298*#REF!,"")</f>
        <v/>
      </c>
    </row>
    <row r="299" spans="11:11" hidden="1" x14ac:dyDescent="0.2">
      <c r="K299" t="str">
        <f>IF(H299&lt;&gt;0,I299*#REF!,"")</f>
        <v/>
      </c>
    </row>
    <row r="300" spans="11:11" hidden="1" x14ac:dyDescent="0.2">
      <c r="K300" t="str">
        <f>IF(H300&lt;&gt;0,I300*#REF!,"")</f>
        <v/>
      </c>
    </row>
    <row r="301" spans="11:11" hidden="1" x14ac:dyDescent="0.2">
      <c r="K301" t="str">
        <f>IF(H301&lt;&gt;0,I301*#REF!,"")</f>
        <v/>
      </c>
    </row>
    <row r="302" spans="11:11" hidden="1" x14ac:dyDescent="0.2">
      <c r="K302" t="str">
        <f>IF(H302&lt;&gt;0,I302*#REF!,"")</f>
        <v/>
      </c>
    </row>
    <row r="303" spans="11:11" hidden="1" x14ac:dyDescent="0.2">
      <c r="K303" t="str">
        <f>IF(H303&lt;&gt;0,I303*#REF!,"")</f>
        <v/>
      </c>
    </row>
    <row r="304" spans="11:11" hidden="1" x14ac:dyDescent="0.2">
      <c r="K304" t="str">
        <f>IF(H304&lt;&gt;0,I304*#REF!,"")</f>
        <v/>
      </c>
    </row>
    <row r="305" spans="11:11" hidden="1" x14ac:dyDescent="0.2">
      <c r="K305" t="str">
        <f>IF(H305&lt;&gt;0,I305*#REF!,"")</f>
        <v/>
      </c>
    </row>
    <row r="306" spans="11:11" hidden="1" x14ac:dyDescent="0.2">
      <c r="K306" t="str">
        <f>IF(H306&lt;&gt;0,I306*#REF!,"")</f>
        <v/>
      </c>
    </row>
    <row r="307" spans="11:11" hidden="1" x14ac:dyDescent="0.2">
      <c r="K307" t="str">
        <f>IF(H307&lt;&gt;0,I307*#REF!,"")</f>
        <v/>
      </c>
    </row>
    <row r="308" spans="11:11" hidden="1" x14ac:dyDescent="0.2">
      <c r="K308" t="str">
        <f>IF(H308&lt;&gt;0,I308*#REF!,"")</f>
        <v/>
      </c>
    </row>
    <row r="309" spans="11:11" hidden="1" x14ac:dyDescent="0.2">
      <c r="K309" t="str">
        <f>IF(H309&lt;&gt;0,I309*#REF!,"")</f>
        <v/>
      </c>
    </row>
    <row r="310" spans="11:11" hidden="1" x14ac:dyDescent="0.2">
      <c r="K310" t="str">
        <f>IF(H310&lt;&gt;0,I310*#REF!,"")</f>
        <v/>
      </c>
    </row>
    <row r="311" spans="11:11" hidden="1" x14ac:dyDescent="0.2">
      <c r="K311" t="str">
        <f>IF(H311&lt;&gt;0,I311*#REF!,"")</f>
        <v/>
      </c>
    </row>
    <row r="312" spans="11:11" hidden="1" x14ac:dyDescent="0.2">
      <c r="K312" t="str">
        <f>IF(H312&lt;&gt;0,I312*#REF!,"")</f>
        <v/>
      </c>
    </row>
    <row r="313" spans="11:11" hidden="1" x14ac:dyDescent="0.2">
      <c r="K313" t="str">
        <f>IF(H313&lt;&gt;0,I313*#REF!,"")</f>
        <v/>
      </c>
    </row>
    <row r="314" spans="11:11" hidden="1" x14ac:dyDescent="0.2">
      <c r="K314" t="str">
        <f>IF(H314&lt;&gt;0,I314*#REF!,"")</f>
        <v/>
      </c>
    </row>
    <row r="315" spans="11:11" hidden="1" x14ac:dyDescent="0.2">
      <c r="K315" t="str">
        <f>IF(H315&lt;&gt;0,I315*#REF!,"")</f>
        <v/>
      </c>
    </row>
    <row r="316" spans="11:11" hidden="1" x14ac:dyDescent="0.2">
      <c r="K316" t="str">
        <f>IF(H316&lt;&gt;0,I316*#REF!,"")</f>
        <v/>
      </c>
    </row>
    <row r="317" spans="11:11" hidden="1" x14ac:dyDescent="0.2">
      <c r="K317" t="str">
        <f>IF(H317&lt;&gt;0,I317*#REF!,"")</f>
        <v/>
      </c>
    </row>
    <row r="318" spans="11:11" hidden="1" x14ac:dyDescent="0.2">
      <c r="K318" t="str">
        <f>IF(H318&lt;&gt;0,I318*#REF!,"")</f>
        <v/>
      </c>
    </row>
    <row r="319" spans="11:11" hidden="1" x14ac:dyDescent="0.2">
      <c r="K319" t="str">
        <f>IF(H319&lt;&gt;0,I319*#REF!,"")</f>
        <v/>
      </c>
    </row>
    <row r="320" spans="11:11" hidden="1" x14ac:dyDescent="0.2">
      <c r="K320" t="str">
        <f>IF(H320&lt;&gt;0,I320*#REF!,"")</f>
        <v/>
      </c>
    </row>
    <row r="321" spans="11:11" hidden="1" x14ac:dyDescent="0.2">
      <c r="K321" t="str">
        <f>IF(H321&lt;&gt;0,I321*#REF!,"")</f>
        <v/>
      </c>
    </row>
    <row r="322" spans="11:11" hidden="1" x14ac:dyDescent="0.2">
      <c r="K322" t="str">
        <f>IF(H322&lt;&gt;0,I322*#REF!,"")</f>
        <v/>
      </c>
    </row>
    <row r="323" spans="11:11" hidden="1" x14ac:dyDescent="0.2">
      <c r="K323" t="str">
        <f>IF(H323&lt;&gt;0,I323*#REF!,"")</f>
        <v/>
      </c>
    </row>
    <row r="324" spans="11:11" hidden="1" x14ac:dyDescent="0.2">
      <c r="K324" t="str">
        <f>IF(H324&lt;&gt;0,I324*#REF!,"")</f>
        <v/>
      </c>
    </row>
    <row r="325" spans="11:11" hidden="1" x14ac:dyDescent="0.2">
      <c r="K325" t="str">
        <f>IF(H325&lt;&gt;0,I325*#REF!,"")</f>
        <v/>
      </c>
    </row>
    <row r="326" spans="11:11" hidden="1" x14ac:dyDescent="0.2">
      <c r="K326" t="str">
        <f>IF(H326&lt;&gt;0,I326*#REF!,"")</f>
        <v/>
      </c>
    </row>
    <row r="327" spans="11:11" hidden="1" x14ac:dyDescent="0.2">
      <c r="K327" t="str">
        <f>IF(H327&lt;&gt;0,I327*#REF!,"")</f>
        <v/>
      </c>
    </row>
    <row r="328" spans="11:11" hidden="1" x14ac:dyDescent="0.2">
      <c r="K328" t="str">
        <f>IF(H328&lt;&gt;0,I328*#REF!,"")</f>
        <v/>
      </c>
    </row>
    <row r="329" spans="11:11" hidden="1" x14ac:dyDescent="0.2">
      <c r="K329" t="str">
        <f>IF(H329&lt;&gt;0,I329*#REF!,"")</f>
        <v/>
      </c>
    </row>
    <row r="330" spans="11:11" hidden="1" x14ac:dyDescent="0.2">
      <c r="K330" t="str">
        <f>IF(H330&lt;&gt;0,I330*#REF!,"")</f>
        <v/>
      </c>
    </row>
    <row r="331" spans="11:11" hidden="1" x14ac:dyDescent="0.2">
      <c r="K331" t="str">
        <f>IF(H331&lt;&gt;0,I331*#REF!,"")</f>
        <v/>
      </c>
    </row>
    <row r="332" spans="11:11" hidden="1" x14ac:dyDescent="0.2">
      <c r="K332" t="str">
        <f>IF(H332&lt;&gt;0,I332*#REF!,"")</f>
        <v/>
      </c>
    </row>
    <row r="333" spans="11:11" hidden="1" x14ac:dyDescent="0.2">
      <c r="K333" t="str">
        <f>IF(H333&lt;&gt;0,I333*#REF!,"")</f>
        <v/>
      </c>
    </row>
    <row r="334" spans="11:11" hidden="1" x14ac:dyDescent="0.2">
      <c r="K334" t="str">
        <f>IF(H334&lt;&gt;0,I334*#REF!,"")</f>
        <v/>
      </c>
    </row>
    <row r="335" spans="11:11" hidden="1" x14ac:dyDescent="0.2">
      <c r="K335" t="str">
        <f>IF(H335&lt;&gt;0,I335*#REF!,"")</f>
        <v/>
      </c>
    </row>
    <row r="336" spans="11:11" hidden="1" x14ac:dyDescent="0.2">
      <c r="K336" t="str">
        <f>IF(H336&lt;&gt;0,I336*#REF!,"")</f>
        <v/>
      </c>
    </row>
    <row r="337" spans="11:11" hidden="1" x14ac:dyDescent="0.2">
      <c r="K337" t="str">
        <f>IF(H337&lt;&gt;0,I337*#REF!,"")</f>
        <v/>
      </c>
    </row>
    <row r="338" spans="11:11" hidden="1" x14ac:dyDescent="0.2">
      <c r="K338" t="str">
        <f>IF(H338&lt;&gt;0,I338*#REF!,"")</f>
        <v/>
      </c>
    </row>
    <row r="339" spans="11:11" hidden="1" x14ac:dyDescent="0.2">
      <c r="K339" t="str">
        <f>IF(H339&lt;&gt;0,I339*#REF!,"")</f>
        <v/>
      </c>
    </row>
    <row r="340" spans="11:11" hidden="1" x14ac:dyDescent="0.2">
      <c r="K340" t="str">
        <f>IF(H340&lt;&gt;0,I340*#REF!,"")</f>
        <v/>
      </c>
    </row>
    <row r="341" spans="11:11" hidden="1" x14ac:dyDescent="0.2">
      <c r="K341" t="str">
        <f>IF(H341&lt;&gt;0,I341*#REF!,"")</f>
        <v/>
      </c>
    </row>
    <row r="342" spans="11:11" hidden="1" x14ac:dyDescent="0.2">
      <c r="K342" t="str">
        <f>IF(H342&lt;&gt;0,I342*#REF!,"")</f>
        <v/>
      </c>
    </row>
    <row r="343" spans="11:11" hidden="1" x14ac:dyDescent="0.2">
      <c r="K343" t="str">
        <f>IF(H343&lt;&gt;0,I343*#REF!,"")</f>
        <v/>
      </c>
    </row>
    <row r="344" spans="11:11" hidden="1" x14ac:dyDescent="0.2">
      <c r="K344" t="str">
        <f>IF(H344&lt;&gt;0,I344*#REF!,"")</f>
        <v/>
      </c>
    </row>
    <row r="345" spans="11:11" hidden="1" x14ac:dyDescent="0.2">
      <c r="K345" t="str">
        <f>IF(H345&lt;&gt;0,I345*#REF!,"")</f>
        <v/>
      </c>
    </row>
    <row r="346" spans="11:11" hidden="1" x14ac:dyDescent="0.2">
      <c r="K346" t="str">
        <f>IF(H346&lt;&gt;0,I346*#REF!,"")</f>
        <v/>
      </c>
    </row>
    <row r="347" spans="11:11" hidden="1" x14ac:dyDescent="0.2">
      <c r="K347" t="str">
        <f>IF(H347&lt;&gt;0,I347*#REF!,"")</f>
        <v/>
      </c>
    </row>
    <row r="348" spans="11:11" hidden="1" x14ac:dyDescent="0.2">
      <c r="K348" t="str">
        <f>IF(H348&lt;&gt;0,I348*#REF!,"")</f>
        <v/>
      </c>
    </row>
    <row r="349" spans="11:11" hidden="1" x14ac:dyDescent="0.2">
      <c r="K349" t="str">
        <f>IF(H349&lt;&gt;0,I349*#REF!,"")</f>
        <v/>
      </c>
    </row>
    <row r="350" spans="11:11" hidden="1" x14ac:dyDescent="0.2">
      <c r="K350" t="str">
        <f>IF(H350&lt;&gt;0,I350*#REF!,"")</f>
        <v/>
      </c>
    </row>
    <row r="351" spans="11:11" hidden="1" x14ac:dyDescent="0.2">
      <c r="K351" t="str">
        <f>IF(H351&lt;&gt;0,I351*#REF!,"")</f>
        <v/>
      </c>
    </row>
    <row r="352" spans="11:11" hidden="1" x14ac:dyDescent="0.2">
      <c r="K352" t="str">
        <f>IF(H352&lt;&gt;0,I352*#REF!,"")</f>
        <v/>
      </c>
    </row>
    <row r="353" spans="11:11" hidden="1" x14ac:dyDescent="0.2">
      <c r="K353" t="str">
        <f>IF(H353&lt;&gt;0,I353*#REF!,"")</f>
        <v/>
      </c>
    </row>
    <row r="354" spans="11:11" hidden="1" x14ac:dyDescent="0.2">
      <c r="K354" t="str">
        <f>IF(H354&lt;&gt;0,I354*#REF!,"")</f>
        <v/>
      </c>
    </row>
    <row r="355" spans="11:11" hidden="1" x14ac:dyDescent="0.2">
      <c r="K355" t="str">
        <f>IF(H355&lt;&gt;0,I355*#REF!,"")</f>
        <v/>
      </c>
    </row>
    <row r="356" spans="11:11" hidden="1" x14ac:dyDescent="0.2">
      <c r="K356" t="str">
        <f>IF(H356&lt;&gt;0,I356*#REF!,"")</f>
        <v/>
      </c>
    </row>
    <row r="357" spans="11:11" hidden="1" x14ac:dyDescent="0.2">
      <c r="K357" t="str">
        <f>IF(H357&lt;&gt;0,I357*#REF!,"")</f>
        <v/>
      </c>
    </row>
    <row r="358" spans="11:11" hidden="1" x14ac:dyDescent="0.2">
      <c r="K358" t="str">
        <f>IF(H358&lt;&gt;0,I358*#REF!,"")</f>
        <v/>
      </c>
    </row>
    <row r="359" spans="11:11" hidden="1" x14ac:dyDescent="0.2">
      <c r="K359" t="str">
        <f>IF(H359&lt;&gt;0,I359*#REF!,"")</f>
        <v/>
      </c>
    </row>
    <row r="360" spans="11:11" hidden="1" x14ac:dyDescent="0.2">
      <c r="K360" t="str">
        <f>IF(H360&lt;&gt;0,I360*#REF!,"")</f>
        <v/>
      </c>
    </row>
    <row r="361" spans="11:11" hidden="1" x14ac:dyDescent="0.2">
      <c r="K361" t="str">
        <f>IF(H361&lt;&gt;0,I361*#REF!,"")</f>
        <v/>
      </c>
    </row>
    <row r="362" spans="11:11" hidden="1" x14ac:dyDescent="0.2">
      <c r="K362" t="str">
        <f>IF(H362&lt;&gt;0,I362*#REF!,"")</f>
        <v/>
      </c>
    </row>
    <row r="363" spans="11:11" hidden="1" x14ac:dyDescent="0.2">
      <c r="K363" t="str">
        <f>IF(H363&lt;&gt;0,I363*#REF!,"")</f>
        <v/>
      </c>
    </row>
    <row r="364" spans="11:11" hidden="1" x14ac:dyDescent="0.2">
      <c r="K364" t="str">
        <f>IF(H364&lt;&gt;0,I364*#REF!,"")</f>
        <v/>
      </c>
    </row>
    <row r="365" spans="11:11" hidden="1" x14ac:dyDescent="0.2">
      <c r="K365" t="str">
        <f>IF(H365&lt;&gt;0,I365*#REF!,"")</f>
        <v/>
      </c>
    </row>
    <row r="366" spans="11:11" hidden="1" x14ac:dyDescent="0.2">
      <c r="K366" t="str">
        <f>IF(H366&lt;&gt;0,I366*#REF!,"")</f>
        <v/>
      </c>
    </row>
    <row r="367" spans="11:11" hidden="1" x14ac:dyDescent="0.2">
      <c r="K367" t="str">
        <f>IF(H367&lt;&gt;0,I367*#REF!,"")</f>
        <v/>
      </c>
    </row>
    <row r="368" spans="11:11" hidden="1" x14ac:dyDescent="0.2">
      <c r="K368" t="str">
        <f>IF(H368&lt;&gt;0,I368*#REF!,"")</f>
        <v/>
      </c>
    </row>
    <row r="369" spans="11:11" hidden="1" x14ac:dyDescent="0.2">
      <c r="K369" t="str">
        <f>IF(H369&lt;&gt;0,I369*#REF!,"")</f>
        <v/>
      </c>
    </row>
    <row r="370" spans="11:11" hidden="1" x14ac:dyDescent="0.2">
      <c r="K370" t="str">
        <f>IF(H370&lt;&gt;0,I370*#REF!,"")</f>
        <v/>
      </c>
    </row>
    <row r="371" spans="11:11" hidden="1" x14ac:dyDescent="0.2">
      <c r="K371" t="str">
        <f>IF(H371&lt;&gt;0,I371*#REF!,"")</f>
        <v/>
      </c>
    </row>
    <row r="372" spans="11:11" hidden="1" x14ac:dyDescent="0.2">
      <c r="K372" t="str">
        <f>IF(H372&lt;&gt;0,I372*#REF!,"")</f>
        <v/>
      </c>
    </row>
    <row r="373" spans="11:11" hidden="1" x14ac:dyDescent="0.2">
      <c r="K373" t="str">
        <f>IF(H373&lt;&gt;0,I373*#REF!,"")</f>
        <v/>
      </c>
    </row>
    <row r="374" spans="11:11" hidden="1" x14ac:dyDescent="0.2">
      <c r="K374" t="str">
        <f>IF(H374&lt;&gt;0,I374*#REF!,"")</f>
        <v/>
      </c>
    </row>
    <row r="375" spans="11:11" hidden="1" x14ac:dyDescent="0.2">
      <c r="K375" t="str">
        <f>IF(H375&lt;&gt;0,I375*#REF!,"")</f>
        <v/>
      </c>
    </row>
    <row r="376" spans="11:11" hidden="1" x14ac:dyDescent="0.2">
      <c r="K376" t="str">
        <f>IF(H376&lt;&gt;0,I376*#REF!,"")</f>
        <v/>
      </c>
    </row>
    <row r="377" spans="11:11" hidden="1" x14ac:dyDescent="0.2">
      <c r="K377" t="str">
        <f>IF(H377&lt;&gt;0,I377*#REF!,"")</f>
        <v/>
      </c>
    </row>
    <row r="378" spans="11:11" hidden="1" x14ac:dyDescent="0.2">
      <c r="K378" t="str">
        <f>IF(H378&lt;&gt;0,I378*#REF!,"")</f>
        <v/>
      </c>
    </row>
    <row r="379" spans="11:11" hidden="1" x14ac:dyDescent="0.2">
      <c r="K379" t="str">
        <f>IF(H379&lt;&gt;0,I379*#REF!,"")</f>
        <v/>
      </c>
    </row>
    <row r="380" spans="11:11" hidden="1" x14ac:dyDescent="0.2">
      <c r="K380" t="str">
        <f>IF(H380&lt;&gt;0,I380*#REF!,"")</f>
        <v/>
      </c>
    </row>
    <row r="381" spans="11:11" hidden="1" x14ac:dyDescent="0.2">
      <c r="K381" t="str">
        <f>IF(H381&lt;&gt;0,I381*#REF!,"")</f>
        <v/>
      </c>
    </row>
    <row r="382" spans="11:11" hidden="1" x14ac:dyDescent="0.2">
      <c r="K382" t="str">
        <f>IF(H382&lt;&gt;0,I382*#REF!,"")</f>
        <v/>
      </c>
    </row>
    <row r="383" spans="11:11" hidden="1" x14ac:dyDescent="0.2">
      <c r="K383" t="str">
        <f>IF(H383&lt;&gt;0,I383*#REF!,"")</f>
        <v/>
      </c>
    </row>
    <row r="384" spans="11:11" hidden="1" x14ac:dyDescent="0.2">
      <c r="K384" t="str">
        <f>IF(H384&lt;&gt;0,I384*#REF!,"")</f>
        <v/>
      </c>
    </row>
    <row r="385" spans="11:11" hidden="1" x14ac:dyDescent="0.2">
      <c r="K385" t="str">
        <f>IF(H385&lt;&gt;0,I385*#REF!,"")</f>
        <v/>
      </c>
    </row>
    <row r="386" spans="11:11" hidden="1" x14ac:dyDescent="0.2">
      <c r="K386" t="str">
        <f>IF(H386&lt;&gt;0,I386*#REF!,"")</f>
        <v/>
      </c>
    </row>
    <row r="387" spans="11:11" hidden="1" x14ac:dyDescent="0.2">
      <c r="K387" t="str">
        <f>IF(H387&lt;&gt;0,I387*#REF!,"")</f>
        <v/>
      </c>
    </row>
    <row r="388" spans="11:11" hidden="1" x14ac:dyDescent="0.2">
      <c r="K388" t="str">
        <f>IF(H388&lt;&gt;0,I388*#REF!,"")</f>
        <v/>
      </c>
    </row>
    <row r="389" spans="11:11" hidden="1" x14ac:dyDescent="0.2">
      <c r="K389" t="str">
        <f>IF(H389&lt;&gt;0,I389*#REF!,"")</f>
        <v/>
      </c>
    </row>
    <row r="390" spans="11:11" hidden="1" x14ac:dyDescent="0.2">
      <c r="K390" t="str">
        <f>IF(H390&lt;&gt;0,I390*#REF!,"")</f>
        <v/>
      </c>
    </row>
    <row r="391" spans="11:11" hidden="1" x14ac:dyDescent="0.2">
      <c r="K391" t="str">
        <f>IF(H391&lt;&gt;0,I391*#REF!,"")</f>
        <v/>
      </c>
    </row>
    <row r="392" spans="11:11" hidden="1" x14ac:dyDescent="0.2">
      <c r="K392" t="str">
        <f>IF(H392&lt;&gt;0,I392*#REF!,"")</f>
        <v/>
      </c>
    </row>
    <row r="393" spans="11:11" hidden="1" x14ac:dyDescent="0.2">
      <c r="K393" t="str">
        <f>IF(H393&lt;&gt;0,I393*#REF!,"")</f>
        <v/>
      </c>
    </row>
    <row r="394" spans="11:11" hidden="1" x14ac:dyDescent="0.2">
      <c r="K394" t="str">
        <f>IF(H394&lt;&gt;0,I394*#REF!,"")</f>
        <v/>
      </c>
    </row>
    <row r="395" spans="11:11" hidden="1" x14ac:dyDescent="0.2">
      <c r="K395" t="str">
        <f>IF(H395&lt;&gt;0,I395*#REF!,"")</f>
        <v/>
      </c>
    </row>
    <row r="396" spans="11:11" hidden="1" x14ac:dyDescent="0.2">
      <c r="K396" t="str">
        <f>IF(H396&lt;&gt;0,I396*#REF!,"")</f>
        <v/>
      </c>
    </row>
    <row r="397" spans="11:11" hidden="1" x14ac:dyDescent="0.2">
      <c r="K397" t="str">
        <f>IF(H397&lt;&gt;0,I397*#REF!,"")</f>
        <v/>
      </c>
    </row>
    <row r="398" spans="11:11" hidden="1" x14ac:dyDescent="0.2">
      <c r="K398" t="str">
        <f>IF(H398&lt;&gt;0,I398*#REF!,"")</f>
        <v/>
      </c>
    </row>
    <row r="399" spans="11:11" hidden="1" x14ac:dyDescent="0.2">
      <c r="K399" t="str">
        <f>IF(H399&lt;&gt;0,I399*#REF!,"")</f>
        <v/>
      </c>
    </row>
    <row r="400" spans="11:11" hidden="1" x14ac:dyDescent="0.2">
      <c r="K400" t="str">
        <f>IF(H400&lt;&gt;0,I400*#REF!,"")</f>
        <v/>
      </c>
    </row>
    <row r="401" spans="11:11" hidden="1" x14ac:dyDescent="0.2">
      <c r="K401" t="str">
        <f>IF(H401&lt;&gt;0,I401*#REF!,"")</f>
        <v/>
      </c>
    </row>
    <row r="402" spans="11:11" hidden="1" x14ac:dyDescent="0.2">
      <c r="K402" t="str">
        <f>IF(H402&lt;&gt;0,I402*#REF!,"")</f>
        <v/>
      </c>
    </row>
    <row r="403" spans="11:11" hidden="1" x14ac:dyDescent="0.2">
      <c r="K403" t="str">
        <f>IF(H403&lt;&gt;0,I403*#REF!,"")</f>
        <v/>
      </c>
    </row>
    <row r="404" spans="11:11" hidden="1" x14ac:dyDescent="0.2">
      <c r="K404" t="str">
        <f>IF(H404&lt;&gt;0,I404*#REF!,"")</f>
        <v/>
      </c>
    </row>
    <row r="405" spans="11:11" hidden="1" x14ac:dyDescent="0.2">
      <c r="K405" t="str">
        <f>IF(H405&lt;&gt;0,I405*#REF!,"")</f>
        <v/>
      </c>
    </row>
    <row r="406" spans="11:11" hidden="1" x14ac:dyDescent="0.2">
      <c r="K406" t="str">
        <f>IF(H406&lt;&gt;0,I406*#REF!,"")</f>
        <v/>
      </c>
    </row>
    <row r="407" spans="11:11" hidden="1" x14ac:dyDescent="0.2">
      <c r="K407" t="str">
        <f>IF(H407&lt;&gt;0,I407*#REF!,"")</f>
        <v/>
      </c>
    </row>
    <row r="408" spans="11:11" hidden="1" x14ac:dyDescent="0.2">
      <c r="K408" t="str">
        <f>IF(H408&lt;&gt;0,I408*#REF!,"")</f>
        <v/>
      </c>
    </row>
    <row r="409" spans="11:11" hidden="1" x14ac:dyDescent="0.2">
      <c r="K409" t="str">
        <f>IF(H409&lt;&gt;0,I409*#REF!,"")</f>
        <v/>
      </c>
    </row>
    <row r="410" spans="11:11" hidden="1" x14ac:dyDescent="0.2">
      <c r="K410" t="str">
        <f>IF(H410&lt;&gt;0,I410*#REF!,"")</f>
        <v/>
      </c>
    </row>
    <row r="411" spans="11:11" hidden="1" x14ac:dyDescent="0.2">
      <c r="K411" t="str">
        <f>IF(H411&lt;&gt;0,I411*#REF!,"")</f>
        <v/>
      </c>
    </row>
    <row r="412" spans="11:11" hidden="1" x14ac:dyDescent="0.2">
      <c r="K412" t="str">
        <f>IF(H412&lt;&gt;0,I412*#REF!,"")</f>
        <v/>
      </c>
    </row>
    <row r="413" spans="11:11" hidden="1" x14ac:dyDescent="0.2">
      <c r="K413" t="str">
        <f>IF(H413&lt;&gt;0,I413*#REF!,"")</f>
        <v/>
      </c>
    </row>
    <row r="414" spans="11:11" hidden="1" x14ac:dyDescent="0.2">
      <c r="K414" t="str">
        <f>IF(H414&lt;&gt;0,I414*#REF!,"")</f>
        <v/>
      </c>
    </row>
    <row r="415" spans="11:11" hidden="1" x14ac:dyDescent="0.2">
      <c r="K415" t="str">
        <f>IF(H415&lt;&gt;0,I415*#REF!,"")</f>
        <v/>
      </c>
    </row>
    <row r="416" spans="11:11" hidden="1" x14ac:dyDescent="0.2">
      <c r="K416" t="str">
        <f>IF(H416&lt;&gt;0,I416*#REF!,"")</f>
        <v/>
      </c>
    </row>
    <row r="417" spans="11:11" hidden="1" x14ac:dyDescent="0.2">
      <c r="K417" t="str">
        <f>IF(H417&lt;&gt;0,I417*#REF!,"")</f>
        <v/>
      </c>
    </row>
    <row r="418" spans="11:11" hidden="1" x14ac:dyDescent="0.2">
      <c r="K418" t="str">
        <f>IF(H418&lt;&gt;0,I418*#REF!,"")</f>
        <v/>
      </c>
    </row>
    <row r="419" spans="11:11" hidden="1" x14ac:dyDescent="0.2">
      <c r="K419" t="str">
        <f>IF(H419&lt;&gt;0,I419*#REF!,"")</f>
        <v/>
      </c>
    </row>
    <row r="420" spans="11:11" hidden="1" x14ac:dyDescent="0.2">
      <c r="K420" t="str">
        <f>IF(H420&lt;&gt;0,I420*#REF!,"")</f>
        <v/>
      </c>
    </row>
    <row r="421" spans="11:11" hidden="1" x14ac:dyDescent="0.2">
      <c r="K421" t="str">
        <f>IF(H421&lt;&gt;0,I421*#REF!,"")</f>
        <v/>
      </c>
    </row>
    <row r="422" spans="11:11" hidden="1" x14ac:dyDescent="0.2">
      <c r="K422" t="str">
        <f>IF(H422&lt;&gt;0,I422*#REF!,"")</f>
        <v/>
      </c>
    </row>
    <row r="423" spans="11:11" hidden="1" x14ac:dyDescent="0.2">
      <c r="K423" t="str">
        <f>IF(H423&lt;&gt;0,I423*#REF!,"")</f>
        <v/>
      </c>
    </row>
    <row r="424" spans="11:11" hidden="1" x14ac:dyDescent="0.2">
      <c r="K424" t="str">
        <f>IF(H424&lt;&gt;0,I424*#REF!,"")</f>
        <v/>
      </c>
    </row>
    <row r="425" spans="11:11" hidden="1" x14ac:dyDescent="0.2">
      <c r="K425" t="str">
        <f>IF(H425&lt;&gt;0,I425*#REF!,"")</f>
        <v/>
      </c>
    </row>
    <row r="426" spans="11:11" hidden="1" x14ac:dyDescent="0.2">
      <c r="K426" t="str">
        <f>IF(H426&lt;&gt;0,I426*#REF!,"")</f>
        <v/>
      </c>
    </row>
    <row r="427" spans="11:11" hidden="1" x14ac:dyDescent="0.2">
      <c r="K427" t="str">
        <f>IF(H427&lt;&gt;0,I427*#REF!,"")</f>
        <v/>
      </c>
    </row>
    <row r="428" spans="11:11" hidden="1" x14ac:dyDescent="0.2">
      <c r="K428" t="str">
        <f>IF(H428&lt;&gt;0,I428*#REF!,"")</f>
        <v/>
      </c>
    </row>
    <row r="429" spans="11:11" hidden="1" x14ac:dyDescent="0.2">
      <c r="K429" t="str">
        <f>IF(H429&lt;&gt;0,I429*#REF!,"")</f>
        <v/>
      </c>
    </row>
    <row r="430" spans="11:11" hidden="1" x14ac:dyDescent="0.2">
      <c r="K430" t="str">
        <f>IF(H430&lt;&gt;0,I430*#REF!,"")</f>
        <v/>
      </c>
    </row>
    <row r="431" spans="11:11" hidden="1" x14ac:dyDescent="0.2">
      <c r="K431" t="str">
        <f>IF(H431&lt;&gt;0,I431*#REF!,"")</f>
        <v/>
      </c>
    </row>
    <row r="432" spans="11:11" hidden="1" x14ac:dyDescent="0.2">
      <c r="K432" t="str">
        <f>IF(H432&lt;&gt;0,I432*#REF!,"")</f>
        <v/>
      </c>
    </row>
    <row r="433" spans="11:11" hidden="1" x14ac:dyDescent="0.2">
      <c r="K433" t="str">
        <f>IF(H433&lt;&gt;0,I433*#REF!,"")</f>
        <v/>
      </c>
    </row>
    <row r="434" spans="11:11" hidden="1" x14ac:dyDescent="0.2">
      <c r="K434" t="str">
        <f>IF(H434&lt;&gt;0,I434*#REF!,"")</f>
        <v/>
      </c>
    </row>
    <row r="435" spans="11:11" hidden="1" x14ac:dyDescent="0.2">
      <c r="K435" t="str">
        <f>IF(H435&lt;&gt;0,I435*#REF!,"")</f>
        <v/>
      </c>
    </row>
    <row r="436" spans="11:11" hidden="1" x14ac:dyDescent="0.2">
      <c r="K436" t="str">
        <f>IF(H436&lt;&gt;0,I436*#REF!,"")</f>
        <v/>
      </c>
    </row>
    <row r="437" spans="11:11" hidden="1" x14ac:dyDescent="0.2">
      <c r="K437" t="str">
        <f>IF(H437&lt;&gt;0,I437*#REF!,"")</f>
        <v/>
      </c>
    </row>
    <row r="438" spans="11:11" hidden="1" x14ac:dyDescent="0.2">
      <c r="K438" t="str">
        <f>IF(H438&lt;&gt;0,I438*#REF!,"")</f>
        <v/>
      </c>
    </row>
    <row r="439" spans="11:11" hidden="1" x14ac:dyDescent="0.2">
      <c r="K439" t="str">
        <f>IF(H439&lt;&gt;0,I439*#REF!,"")</f>
        <v/>
      </c>
    </row>
    <row r="440" spans="11:11" hidden="1" x14ac:dyDescent="0.2">
      <c r="K440" t="str">
        <f>IF(H440&lt;&gt;0,I440*#REF!,"")</f>
        <v/>
      </c>
    </row>
    <row r="441" spans="11:11" hidden="1" x14ac:dyDescent="0.2">
      <c r="K441" t="str">
        <f>IF(H441&lt;&gt;0,I441*#REF!,"")</f>
        <v/>
      </c>
    </row>
    <row r="442" spans="11:11" hidden="1" x14ac:dyDescent="0.2">
      <c r="K442" t="str">
        <f>IF(H442&lt;&gt;0,I442*#REF!,"")</f>
        <v/>
      </c>
    </row>
    <row r="443" spans="11:11" hidden="1" x14ac:dyDescent="0.2">
      <c r="K443" t="str">
        <f>IF(H443&lt;&gt;0,I443*#REF!,"")</f>
        <v/>
      </c>
    </row>
    <row r="444" spans="11:11" hidden="1" x14ac:dyDescent="0.2">
      <c r="K444" t="str">
        <f>IF(H444&lt;&gt;0,I444*#REF!,"")</f>
        <v/>
      </c>
    </row>
    <row r="445" spans="11:11" hidden="1" x14ac:dyDescent="0.2">
      <c r="K445" t="str">
        <f>IF(H445&lt;&gt;0,I445*#REF!,"")</f>
        <v/>
      </c>
    </row>
    <row r="446" spans="11:11" hidden="1" x14ac:dyDescent="0.2">
      <c r="K446" t="str">
        <f>IF(H446&lt;&gt;0,I446*#REF!,"")</f>
        <v/>
      </c>
    </row>
    <row r="447" spans="11:11" hidden="1" x14ac:dyDescent="0.2">
      <c r="K447" t="str">
        <f>IF(H447&lt;&gt;0,I447*#REF!,"")</f>
        <v/>
      </c>
    </row>
    <row r="448" spans="11:11" hidden="1" x14ac:dyDescent="0.2">
      <c r="K448" t="str">
        <f>IF(H448&lt;&gt;0,I448*#REF!,"")</f>
        <v/>
      </c>
    </row>
    <row r="449" spans="11:11" hidden="1" x14ac:dyDescent="0.2">
      <c r="K449" t="str">
        <f>IF(H449&lt;&gt;0,I449*#REF!,"")</f>
        <v/>
      </c>
    </row>
    <row r="450" spans="11:11" hidden="1" x14ac:dyDescent="0.2">
      <c r="K450" t="str">
        <f>IF(H450&lt;&gt;0,I450*#REF!,"")</f>
        <v/>
      </c>
    </row>
    <row r="451" spans="11:11" hidden="1" x14ac:dyDescent="0.2">
      <c r="K451" t="str">
        <f>IF(H451&lt;&gt;0,I451*#REF!,"")</f>
        <v/>
      </c>
    </row>
    <row r="452" spans="11:11" hidden="1" x14ac:dyDescent="0.2">
      <c r="K452" t="str">
        <f>IF(H452&lt;&gt;0,I452*#REF!,"")</f>
        <v/>
      </c>
    </row>
    <row r="453" spans="11:11" hidden="1" x14ac:dyDescent="0.2">
      <c r="K453" t="str">
        <f>IF(H453&lt;&gt;0,I453*#REF!,"")</f>
        <v/>
      </c>
    </row>
    <row r="454" spans="11:11" hidden="1" x14ac:dyDescent="0.2">
      <c r="K454" t="str">
        <f>IF(H454&lt;&gt;0,I454*#REF!,"")</f>
        <v/>
      </c>
    </row>
    <row r="455" spans="11:11" hidden="1" x14ac:dyDescent="0.2">
      <c r="K455" t="str">
        <f>IF(H455&lt;&gt;0,I455*#REF!,"")</f>
        <v/>
      </c>
    </row>
    <row r="456" spans="11:11" hidden="1" x14ac:dyDescent="0.2">
      <c r="K456" t="str">
        <f>IF(H456&lt;&gt;0,I456*#REF!,"")</f>
        <v/>
      </c>
    </row>
    <row r="457" spans="11:11" hidden="1" x14ac:dyDescent="0.2">
      <c r="K457" t="str">
        <f>IF(H457&lt;&gt;0,I457*#REF!,"")</f>
        <v/>
      </c>
    </row>
    <row r="458" spans="11:11" hidden="1" x14ac:dyDescent="0.2">
      <c r="K458" t="str">
        <f>IF(H458&lt;&gt;0,I458*#REF!,"")</f>
        <v/>
      </c>
    </row>
    <row r="459" spans="11:11" hidden="1" x14ac:dyDescent="0.2">
      <c r="K459" t="str">
        <f>IF(H459&lt;&gt;0,I459*#REF!,"")</f>
        <v/>
      </c>
    </row>
    <row r="460" spans="11:11" hidden="1" x14ac:dyDescent="0.2">
      <c r="K460" t="str">
        <f>IF(H460&lt;&gt;0,I460*#REF!,"")</f>
        <v/>
      </c>
    </row>
    <row r="461" spans="11:11" hidden="1" x14ac:dyDescent="0.2">
      <c r="K461" t="str">
        <f>IF(H461&lt;&gt;0,I461*#REF!,"")</f>
        <v/>
      </c>
    </row>
    <row r="462" spans="11:11" hidden="1" x14ac:dyDescent="0.2">
      <c r="K462" t="str">
        <f>IF(H462&lt;&gt;0,I462*#REF!,"")</f>
        <v/>
      </c>
    </row>
    <row r="463" spans="11:11" hidden="1" x14ac:dyDescent="0.2">
      <c r="K463" t="str">
        <f>IF(H463&lt;&gt;0,I463*#REF!,"")</f>
        <v/>
      </c>
    </row>
    <row r="464" spans="11:11" hidden="1" x14ac:dyDescent="0.2">
      <c r="K464" t="str">
        <f>IF(H464&lt;&gt;0,I464*#REF!,"")</f>
        <v/>
      </c>
    </row>
    <row r="465" spans="11:11" hidden="1" x14ac:dyDescent="0.2">
      <c r="K465" t="str">
        <f>IF(H465&lt;&gt;0,I465*#REF!,"")</f>
        <v/>
      </c>
    </row>
    <row r="466" spans="11:11" hidden="1" x14ac:dyDescent="0.2">
      <c r="K466" t="str">
        <f>IF(H466&lt;&gt;0,I466*#REF!,"")</f>
        <v/>
      </c>
    </row>
    <row r="467" spans="11:11" hidden="1" x14ac:dyDescent="0.2">
      <c r="K467" t="str">
        <f>IF(H467&lt;&gt;0,I467*#REF!,"")</f>
        <v/>
      </c>
    </row>
    <row r="468" spans="11:11" hidden="1" x14ac:dyDescent="0.2">
      <c r="K468" t="str">
        <f>IF(H468&lt;&gt;0,I468*#REF!,"")</f>
        <v/>
      </c>
    </row>
    <row r="469" spans="11:11" hidden="1" x14ac:dyDescent="0.2">
      <c r="K469" t="str">
        <f>IF(H469&lt;&gt;0,I469*#REF!,"")</f>
        <v/>
      </c>
    </row>
    <row r="470" spans="11:11" hidden="1" x14ac:dyDescent="0.2">
      <c r="K470" t="str">
        <f>IF(H470&lt;&gt;0,I470*#REF!,"")</f>
        <v/>
      </c>
    </row>
    <row r="471" spans="11:11" hidden="1" x14ac:dyDescent="0.2">
      <c r="K471" t="str">
        <f>IF(H471&lt;&gt;0,I471*#REF!,"")</f>
        <v/>
      </c>
    </row>
    <row r="472" spans="11:11" hidden="1" x14ac:dyDescent="0.2">
      <c r="K472" t="str">
        <f>IF(H472&lt;&gt;0,I472*#REF!,"")</f>
        <v/>
      </c>
    </row>
    <row r="473" spans="11:11" hidden="1" x14ac:dyDescent="0.2">
      <c r="K473" t="str">
        <f>IF(H473&lt;&gt;0,I473*#REF!,"")</f>
        <v/>
      </c>
    </row>
    <row r="474" spans="11:11" hidden="1" x14ac:dyDescent="0.2">
      <c r="K474" t="str">
        <f>IF(H474&lt;&gt;0,I474*#REF!,"")</f>
        <v/>
      </c>
    </row>
    <row r="475" spans="11:11" hidden="1" x14ac:dyDescent="0.2">
      <c r="K475" t="str">
        <f>IF(H475&lt;&gt;0,I475*#REF!,"")</f>
        <v/>
      </c>
    </row>
    <row r="476" spans="11:11" hidden="1" x14ac:dyDescent="0.2">
      <c r="K476" t="str">
        <f>IF(H476&lt;&gt;0,I476*#REF!,"")</f>
        <v/>
      </c>
    </row>
    <row r="477" spans="11:11" hidden="1" x14ac:dyDescent="0.2">
      <c r="K477" t="str">
        <f>IF(H477&lt;&gt;0,I477*#REF!,"")</f>
        <v/>
      </c>
    </row>
    <row r="478" spans="11:11" hidden="1" x14ac:dyDescent="0.2">
      <c r="K478" t="str">
        <f>IF(H478&lt;&gt;0,I478*#REF!,"")</f>
        <v/>
      </c>
    </row>
    <row r="479" spans="11:11" hidden="1" x14ac:dyDescent="0.2">
      <c r="K479" t="str">
        <f>IF(H479&lt;&gt;0,I479*#REF!,"")</f>
        <v/>
      </c>
    </row>
    <row r="480" spans="11:11" hidden="1" x14ac:dyDescent="0.2">
      <c r="K480" t="str">
        <f>IF(H480&lt;&gt;0,I480*#REF!,"")</f>
        <v/>
      </c>
    </row>
    <row r="481" spans="11:11" hidden="1" x14ac:dyDescent="0.2">
      <c r="K481" t="str">
        <f>IF(H481&lt;&gt;0,I481*#REF!,"")</f>
        <v/>
      </c>
    </row>
    <row r="482" spans="11:11" hidden="1" x14ac:dyDescent="0.2">
      <c r="K482" t="str">
        <f>IF(H482&lt;&gt;0,I482*#REF!,"")</f>
        <v/>
      </c>
    </row>
    <row r="483" spans="11:11" hidden="1" x14ac:dyDescent="0.2">
      <c r="K483" t="str">
        <f>IF(H483&lt;&gt;0,I483*#REF!,"")</f>
        <v/>
      </c>
    </row>
    <row r="484" spans="11:11" hidden="1" x14ac:dyDescent="0.2">
      <c r="K484" t="str">
        <f>IF(H484&lt;&gt;0,I484*#REF!,"")</f>
        <v/>
      </c>
    </row>
    <row r="485" spans="11:11" hidden="1" x14ac:dyDescent="0.2">
      <c r="K485" t="str">
        <f>IF(H485&lt;&gt;0,I485*#REF!,"")</f>
        <v/>
      </c>
    </row>
    <row r="486" spans="11:11" hidden="1" x14ac:dyDescent="0.2">
      <c r="K486" t="str">
        <f>IF(H486&lt;&gt;0,I486*#REF!,"")</f>
        <v/>
      </c>
    </row>
    <row r="487" spans="11:11" hidden="1" x14ac:dyDescent="0.2">
      <c r="K487" t="str">
        <f>IF(H487&lt;&gt;0,I487*#REF!,"")</f>
        <v/>
      </c>
    </row>
    <row r="488" spans="11:11" hidden="1" x14ac:dyDescent="0.2">
      <c r="K488" t="str">
        <f>IF(H488&lt;&gt;0,I488*#REF!,"")</f>
        <v/>
      </c>
    </row>
    <row r="489" spans="11:11" hidden="1" x14ac:dyDescent="0.2">
      <c r="K489" t="str">
        <f>IF(H489&lt;&gt;0,I489*#REF!,"")</f>
        <v/>
      </c>
    </row>
    <row r="490" spans="11:11" hidden="1" x14ac:dyDescent="0.2">
      <c r="K490" t="str">
        <f>IF(H490&lt;&gt;0,I490*#REF!,"")</f>
        <v/>
      </c>
    </row>
    <row r="491" spans="11:11" hidden="1" x14ac:dyDescent="0.2">
      <c r="K491" t="str">
        <f>IF(H491&lt;&gt;0,I491*#REF!,"")</f>
        <v/>
      </c>
    </row>
    <row r="492" spans="11:11" hidden="1" x14ac:dyDescent="0.2">
      <c r="K492" t="str">
        <f>IF(H492&lt;&gt;0,I492*#REF!,"")</f>
        <v/>
      </c>
    </row>
    <row r="493" spans="11:11" hidden="1" x14ac:dyDescent="0.2">
      <c r="K493" t="str">
        <f>IF(H493&lt;&gt;0,I493*#REF!,"")</f>
        <v/>
      </c>
    </row>
    <row r="494" spans="11:11" hidden="1" x14ac:dyDescent="0.2">
      <c r="K494" t="str">
        <f>IF(H494&lt;&gt;0,I494*#REF!,"")</f>
        <v/>
      </c>
    </row>
    <row r="495" spans="11:11" hidden="1" x14ac:dyDescent="0.2">
      <c r="K495" t="str">
        <f>IF(H495&lt;&gt;0,I495*#REF!,"")</f>
        <v/>
      </c>
    </row>
    <row r="496" spans="11:11" hidden="1" x14ac:dyDescent="0.2">
      <c r="K496" t="str">
        <f>IF(H496&lt;&gt;0,I496*#REF!,"")</f>
        <v/>
      </c>
    </row>
    <row r="497" spans="11:11" hidden="1" x14ac:dyDescent="0.2">
      <c r="K497" t="str">
        <f>IF(H497&lt;&gt;0,I497*#REF!,"")</f>
        <v/>
      </c>
    </row>
    <row r="498" spans="11:11" hidden="1" x14ac:dyDescent="0.2">
      <c r="K498" t="str">
        <f>IF(H498&lt;&gt;0,I498*#REF!,"")</f>
        <v/>
      </c>
    </row>
    <row r="499" spans="11:11" hidden="1" x14ac:dyDescent="0.2">
      <c r="K499" t="str">
        <f>IF(H499&lt;&gt;0,I499*#REF!,"")</f>
        <v/>
      </c>
    </row>
    <row r="500" spans="11:11" hidden="1" x14ac:dyDescent="0.2">
      <c r="K500" t="str">
        <f>IF(H500&lt;&gt;0,I500*#REF!,"")</f>
        <v/>
      </c>
    </row>
    <row r="501" spans="11:11" hidden="1" x14ac:dyDescent="0.2">
      <c r="K501" t="str">
        <f>IF(H501&lt;&gt;0,I501*#REF!,"")</f>
        <v/>
      </c>
    </row>
    <row r="502" spans="11:11" hidden="1" x14ac:dyDescent="0.2">
      <c r="K502" t="str">
        <f>IF(H502&lt;&gt;0,I502*#REF!,"")</f>
        <v/>
      </c>
    </row>
    <row r="503" spans="11:11" hidden="1" x14ac:dyDescent="0.2">
      <c r="K503" t="str">
        <f>IF(H503&lt;&gt;0,I503*#REF!,"")</f>
        <v/>
      </c>
    </row>
    <row r="504" spans="11:11" hidden="1" x14ac:dyDescent="0.2">
      <c r="K504" t="str">
        <f>IF(H504&lt;&gt;0,I504*#REF!,"")</f>
        <v/>
      </c>
    </row>
    <row r="505" spans="11:11" hidden="1" x14ac:dyDescent="0.2">
      <c r="K505" t="str">
        <f>IF(H505&lt;&gt;0,I505*#REF!,"")</f>
        <v/>
      </c>
    </row>
    <row r="506" spans="11:11" hidden="1" x14ac:dyDescent="0.2">
      <c r="K506" t="str">
        <f>IF(H506&lt;&gt;0,I506*#REF!,"")</f>
        <v/>
      </c>
    </row>
    <row r="507" spans="11:11" hidden="1" x14ac:dyDescent="0.2">
      <c r="K507" t="str">
        <f>IF(H507&lt;&gt;0,I507*#REF!,"")</f>
        <v/>
      </c>
    </row>
    <row r="508" spans="11:11" hidden="1" x14ac:dyDescent="0.2">
      <c r="K508" t="str">
        <f>IF(H508&lt;&gt;0,I508*#REF!,"")</f>
        <v/>
      </c>
    </row>
    <row r="509" spans="11:11" hidden="1" x14ac:dyDescent="0.2">
      <c r="K509" t="str">
        <f>IF(H509&lt;&gt;0,I509*#REF!,"")</f>
        <v/>
      </c>
    </row>
    <row r="510" spans="11:11" hidden="1" x14ac:dyDescent="0.2">
      <c r="K510" t="str">
        <f>IF(H510&lt;&gt;0,I510*#REF!,"")</f>
        <v/>
      </c>
    </row>
    <row r="511" spans="11:11" hidden="1" x14ac:dyDescent="0.2">
      <c r="K511" t="str">
        <f>IF(H511&lt;&gt;0,I511*#REF!,"")</f>
        <v/>
      </c>
    </row>
    <row r="512" spans="11:11" hidden="1" x14ac:dyDescent="0.2">
      <c r="K512" t="str">
        <f>IF(H512&lt;&gt;0,I512*#REF!,"")</f>
        <v/>
      </c>
    </row>
    <row r="513" spans="11:11" hidden="1" x14ac:dyDescent="0.2">
      <c r="K513" t="str">
        <f>IF(H513&lt;&gt;0,I513*#REF!,"")</f>
        <v/>
      </c>
    </row>
    <row r="514" spans="11:11" hidden="1" x14ac:dyDescent="0.2">
      <c r="K514" t="str">
        <f>IF(H514&lt;&gt;0,I514*#REF!,"")</f>
        <v/>
      </c>
    </row>
    <row r="515" spans="11:11" hidden="1" x14ac:dyDescent="0.2">
      <c r="K515" t="str">
        <f>IF(H515&lt;&gt;0,I515*#REF!,"")</f>
        <v/>
      </c>
    </row>
    <row r="516" spans="11:11" hidden="1" x14ac:dyDescent="0.2">
      <c r="K516" t="str">
        <f>IF(H516&lt;&gt;0,I516*#REF!,"")</f>
        <v/>
      </c>
    </row>
    <row r="517" spans="11:11" hidden="1" x14ac:dyDescent="0.2">
      <c r="K517" t="str">
        <f>IF(H517&lt;&gt;0,I517*#REF!,"")</f>
        <v/>
      </c>
    </row>
    <row r="518" spans="11:11" hidden="1" x14ac:dyDescent="0.2">
      <c r="K518" t="str">
        <f>IF(H518&lt;&gt;0,I518*#REF!,"")</f>
        <v/>
      </c>
    </row>
    <row r="519" spans="11:11" hidden="1" x14ac:dyDescent="0.2">
      <c r="K519" t="str">
        <f>IF(H519&lt;&gt;0,I519*#REF!,"")</f>
        <v/>
      </c>
    </row>
    <row r="520" spans="11:11" hidden="1" x14ac:dyDescent="0.2">
      <c r="K520" t="str">
        <f>IF(H520&lt;&gt;0,I520*#REF!,"")</f>
        <v/>
      </c>
    </row>
    <row r="521" spans="11:11" hidden="1" x14ac:dyDescent="0.2">
      <c r="K521" t="str">
        <f>IF(H521&lt;&gt;0,I521*#REF!,"")</f>
        <v/>
      </c>
    </row>
    <row r="522" spans="11:11" hidden="1" x14ac:dyDescent="0.2">
      <c r="K522" t="str">
        <f>IF(H522&lt;&gt;0,I522*#REF!,"")</f>
        <v/>
      </c>
    </row>
    <row r="523" spans="11:11" hidden="1" x14ac:dyDescent="0.2">
      <c r="K523" t="str">
        <f>IF(H523&lt;&gt;0,I523*#REF!,"")</f>
        <v/>
      </c>
    </row>
    <row r="524" spans="11:11" hidden="1" x14ac:dyDescent="0.2">
      <c r="K524" t="str">
        <f>IF(H524&lt;&gt;0,I524*#REF!,"")</f>
        <v/>
      </c>
    </row>
    <row r="525" spans="11:11" hidden="1" x14ac:dyDescent="0.2">
      <c r="K525" t="str">
        <f>IF(H525&lt;&gt;0,I525*#REF!,"")</f>
        <v/>
      </c>
    </row>
    <row r="526" spans="11:11" hidden="1" x14ac:dyDescent="0.2">
      <c r="K526" t="str">
        <f>IF(H526&lt;&gt;0,I526*#REF!,"")</f>
        <v/>
      </c>
    </row>
    <row r="527" spans="11:11" hidden="1" x14ac:dyDescent="0.2">
      <c r="K527" t="str">
        <f>IF(H527&lt;&gt;0,I527*#REF!,"")</f>
        <v/>
      </c>
    </row>
    <row r="528" spans="11:11" hidden="1" x14ac:dyDescent="0.2">
      <c r="K528" t="str">
        <f>IF(H528&lt;&gt;0,I528*#REF!,"")</f>
        <v/>
      </c>
    </row>
    <row r="529" spans="11:11" hidden="1" x14ac:dyDescent="0.2">
      <c r="K529" t="str">
        <f>IF(H529&lt;&gt;0,I529*#REF!,"")</f>
        <v/>
      </c>
    </row>
    <row r="530" spans="11:11" hidden="1" x14ac:dyDescent="0.2">
      <c r="K530" t="str">
        <f>IF(H530&lt;&gt;0,I530*#REF!,"")</f>
        <v/>
      </c>
    </row>
    <row r="531" spans="11:11" hidden="1" x14ac:dyDescent="0.2">
      <c r="K531" t="str">
        <f>IF(H531&lt;&gt;0,I531*#REF!,"")</f>
        <v/>
      </c>
    </row>
    <row r="532" spans="11:11" hidden="1" x14ac:dyDescent="0.2">
      <c r="K532" t="str">
        <f>IF(H532&lt;&gt;0,I532*#REF!,"")</f>
        <v/>
      </c>
    </row>
    <row r="533" spans="11:11" hidden="1" x14ac:dyDescent="0.2">
      <c r="K533" t="str">
        <f>IF(H533&lt;&gt;0,I533*#REF!,"")</f>
        <v/>
      </c>
    </row>
    <row r="534" spans="11:11" hidden="1" x14ac:dyDescent="0.2">
      <c r="K534" t="str">
        <f>IF(H534&lt;&gt;0,I534*#REF!,"")</f>
        <v/>
      </c>
    </row>
    <row r="535" spans="11:11" hidden="1" x14ac:dyDescent="0.2">
      <c r="K535" t="str">
        <f>IF(H535&lt;&gt;0,I535*#REF!,"")</f>
        <v/>
      </c>
    </row>
    <row r="536" spans="11:11" hidden="1" x14ac:dyDescent="0.2">
      <c r="K536" t="str">
        <f>IF(H536&lt;&gt;0,I536*#REF!,"")</f>
        <v/>
      </c>
    </row>
    <row r="537" spans="11:11" hidden="1" x14ac:dyDescent="0.2">
      <c r="K537" t="str">
        <f>IF(H537&lt;&gt;0,I537*#REF!,"")</f>
        <v/>
      </c>
    </row>
    <row r="538" spans="11:11" hidden="1" x14ac:dyDescent="0.2">
      <c r="K538" t="str">
        <f>IF(H538&lt;&gt;0,I538*#REF!,"")</f>
        <v/>
      </c>
    </row>
    <row r="539" spans="11:11" hidden="1" x14ac:dyDescent="0.2">
      <c r="K539" t="str">
        <f>IF(H539&lt;&gt;0,I539*#REF!,"")</f>
        <v/>
      </c>
    </row>
    <row r="540" spans="11:11" hidden="1" x14ac:dyDescent="0.2">
      <c r="K540" t="str">
        <f>IF(H540&lt;&gt;0,I540*#REF!,"")</f>
        <v/>
      </c>
    </row>
    <row r="541" spans="11:11" hidden="1" x14ac:dyDescent="0.2">
      <c r="K541" t="str">
        <f>IF(H541&lt;&gt;0,I541*#REF!,"")</f>
        <v/>
      </c>
    </row>
    <row r="542" spans="11:11" hidden="1" x14ac:dyDescent="0.2">
      <c r="K542" t="str">
        <f>IF(H542&lt;&gt;0,I542*#REF!,"")</f>
        <v/>
      </c>
    </row>
    <row r="543" spans="11:11" hidden="1" x14ac:dyDescent="0.2">
      <c r="K543" t="str">
        <f>IF(H543&lt;&gt;0,I543*#REF!,"")</f>
        <v/>
      </c>
    </row>
    <row r="544" spans="11:11" hidden="1" x14ac:dyDescent="0.2">
      <c r="K544" t="str">
        <f>IF(H544&lt;&gt;0,I544*#REF!,"")</f>
        <v/>
      </c>
    </row>
    <row r="545" spans="11:11" hidden="1" x14ac:dyDescent="0.2">
      <c r="K545" t="str">
        <f>IF(H545&lt;&gt;0,I545*#REF!,"")</f>
        <v/>
      </c>
    </row>
    <row r="546" spans="11:11" hidden="1" x14ac:dyDescent="0.2">
      <c r="K546" t="str">
        <f>IF(H546&lt;&gt;0,I546*#REF!,"")</f>
        <v/>
      </c>
    </row>
    <row r="547" spans="11:11" hidden="1" x14ac:dyDescent="0.2">
      <c r="K547" t="str">
        <f>IF(H547&lt;&gt;0,I547*#REF!,"")</f>
        <v/>
      </c>
    </row>
    <row r="548" spans="11:11" hidden="1" x14ac:dyDescent="0.2">
      <c r="K548" t="str">
        <f>IF(H548&lt;&gt;0,I548*#REF!,"")</f>
        <v/>
      </c>
    </row>
    <row r="549" spans="11:11" hidden="1" x14ac:dyDescent="0.2">
      <c r="K549" t="str">
        <f>IF(H549&lt;&gt;0,I549*#REF!,"")</f>
        <v/>
      </c>
    </row>
    <row r="550" spans="11:11" hidden="1" x14ac:dyDescent="0.2">
      <c r="K550" t="str">
        <f>IF(H550&lt;&gt;0,I550*#REF!,"")</f>
        <v/>
      </c>
    </row>
    <row r="551" spans="11:11" hidden="1" x14ac:dyDescent="0.2">
      <c r="K551" t="str">
        <f>IF(H551&lt;&gt;0,I551*#REF!,"")</f>
        <v/>
      </c>
    </row>
    <row r="552" spans="11:11" hidden="1" x14ac:dyDescent="0.2">
      <c r="K552" t="str">
        <f>IF(H552&lt;&gt;0,I552*#REF!,"")</f>
        <v/>
      </c>
    </row>
    <row r="553" spans="11:11" hidden="1" x14ac:dyDescent="0.2">
      <c r="K553" t="str">
        <f>IF(H553&lt;&gt;0,I553*#REF!,"")</f>
        <v/>
      </c>
    </row>
    <row r="554" spans="11:11" hidden="1" x14ac:dyDescent="0.2">
      <c r="K554" t="str">
        <f>IF(H554&lt;&gt;0,I554*#REF!,"")</f>
        <v/>
      </c>
    </row>
    <row r="555" spans="11:11" hidden="1" x14ac:dyDescent="0.2">
      <c r="K555" t="str">
        <f>IF(H555&lt;&gt;0,I555*#REF!,"")</f>
        <v/>
      </c>
    </row>
    <row r="556" spans="11:11" hidden="1" x14ac:dyDescent="0.2">
      <c r="K556" t="str">
        <f>IF(H556&lt;&gt;0,I556*#REF!,"")</f>
        <v/>
      </c>
    </row>
    <row r="557" spans="11:11" hidden="1" x14ac:dyDescent="0.2">
      <c r="K557" t="str">
        <f>IF(H557&lt;&gt;0,I557*#REF!,"")</f>
        <v/>
      </c>
    </row>
    <row r="558" spans="11:11" hidden="1" x14ac:dyDescent="0.2">
      <c r="K558" t="str">
        <f>IF(H558&lt;&gt;0,I558*#REF!,"")</f>
        <v/>
      </c>
    </row>
    <row r="559" spans="11:11" hidden="1" x14ac:dyDescent="0.2">
      <c r="K559" t="str">
        <f>IF(H559&lt;&gt;0,I559*#REF!,"")</f>
        <v/>
      </c>
    </row>
    <row r="560" spans="11:11" hidden="1" x14ac:dyDescent="0.2">
      <c r="K560" t="str">
        <f>IF(H560&lt;&gt;0,I560*#REF!,"")</f>
        <v/>
      </c>
    </row>
    <row r="561" spans="11:11" hidden="1" x14ac:dyDescent="0.2">
      <c r="K561" t="str">
        <f>IF(H561&lt;&gt;0,I561*#REF!,"")</f>
        <v/>
      </c>
    </row>
    <row r="562" spans="11:11" hidden="1" x14ac:dyDescent="0.2">
      <c r="K562" t="str">
        <f>IF(H562&lt;&gt;0,I562*#REF!,"")</f>
        <v/>
      </c>
    </row>
    <row r="563" spans="11:11" hidden="1" x14ac:dyDescent="0.2">
      <c r="K563" t="str">
        <f>IF(H563&lt;&gt;0,I563*#REF!,"")</f>
        <v/>
      </c>
    </row>
    <row r="564" spans="11:11" hidden="1" x14ac:dyDescent="0.2">
      <c r="K564" t="str">
        <f>IF(H564&lt;&gt;0,I564*#REF!,"")</f>
        <v/>
      </c>
    </row>
    <row r="565" spans="11:11" hidden="1" x14ac:dyDescent="0.2">
      <c r="K565" t="str">
        <f>IF(H565&lt;&gt;0,I565*#REF!,"")</f>
        <v/>
      </c>
    </row>
    <row r="566" spans="11:11" hidden="1" x14ac:dyDescent="0.2">
      <c r="K566" t="str">
        <f>IF(H566&lt;&gt;0,I566*#REF!,"")</f>
        <v/>
      </c>
    </row>
    <row r="567" spans="11:11" hidden="1" x14ac:dyDescent="0.2">
      <c r="K567" t="str">
        <f>IF(H567&lt;&gt;0,I567*#REF!,"")</f>
        <v/>
      </c>
    </row>
    <row r="568" spans="11:11" hidden="1" x14ac:dyDescent="0.2">
      <c r="K568" t="str">
        <f>IF(H568&lt;&gt;0,I568*#REF!,"")</f>
        <v/>
      </c>
    </row>
    <row r="569" spans="11:11" hidden="1" x14ac:dyDescent="0.2">
      <c r="K569" t="str">
        <f>IF(H569&lt;&gt;0,I569*#REF!,"")</f>
        <v/>
      </c>
    </row>
    <row r="570" spans="11:11" hidden="1" x14ac:dyDescent="0.2">
      <c r="K570" t="str">
        <f>IF(H570&lt;&gt;0,I570*#REF!,"")</f>
        <v/>
      </c>
    </row>
    <row r="571" spans="11:11" hidden="1" x14ac:dyDescent="0.2">
      <c r="K571" t="str">
        <f>IF(H571&lt;&gt;0,I571*#REF!,"")</f>
        <v/>
      </c>
    </row>
    <row r="572" spans="11:11" hidden="1" x14ac:dyDescent="0.2">
      <c r="K572" t="str">
        <f>IF(H572&lt;&gt;0,I572*#REF!,"")</f>
        <v/>
      </c>
    </row>
    <row r="573" spans="11:11" hidden="1" x14ac:dyDescent="0.2">
      <c r="K573" t="str">
        <f>IF(H573&lt;&gt;0,I573*#REF!,"")</f>
        <v/>
      </c>
    </row>
    <row r="574" spans="11:11" hidden="1" x14ac:dyDescent="0.2">
      <c r="K574" t="str">
        <f>IF(H574&lt;&gt;0,I574*#REF!,"")</f>
        <v/>
      </c>
    </row>
    <row r="575" spans="11:11" hidden="1" x14ac:dyDescent="0.2">
      <c r="K575" t="str">
        <f>IF(H575&lt;&gt;0,I575*#REF!,"")</f>
        <v/>
      </c>
    </row>
    <row r="576" spans="11:11" hidden="1" x14ac:dyDescent="0.2">
      <c r="K576" t="str">
        <f>IF(H576&lt;&gt;0,I576*#REF!,"")</f>
        <v/>
      </c>
    </row>
    <row r="577" spans="11:11" hidden="1" x14ac:dyDescent="0.2">
      <c r="K577" t="str">
        <f>IF(H577&lt;&gt;0,I577*#REF!,"")</f>
        <v/>
      </c>
    </row>
    <row r="578" spans="11:11" hidden="1" x14ac:dyDescent="0.2">
      <c r="K578" t="str">
        <f>IF(H578&lt;&gt;0,I578*#REF!,"")</f>
        <v/>
      </c>
    </row>
    <row r="579" spans="11:11" hidden="1" x14ac:dyDescent="0.2">
      <c r="K579" t="str">
        <f>IF(H579&lt;&gt;0,I579*#REF!,"")</f>
        <v/>
      </c>
    </row>
    <row r="580" spans="11:11" hidden="1" x14ac:dyDescent="0.2">
      <c r="K580" t="str">
        <f>IF(H580&lt;&gt;0,I580*#REF!,"")</f>
        <v/>
      </c>
    </row>
    <row r="581" spans="11:11" hidden="1" x14ac:dyDescent="0.2">
      <c r="K581" t="str">
        <f>IF(H581&lt;&gt;0,I581*#REF!,"")</f>
        <v/>
      </c>
    </row>
    <row r="582" spans="11:11" hidden="1" x14ac:dyDescent="0.2">
      <c r="K582" t="str">
        <f>IF(H582&lt;&gt;0,I582*#REF!,"")</f>
        <v/>
      </c>
    </row>
    <row r="583" spans="11:11" hidden="1" x14ac:dyDescent="0.2">
      <c r="K583" t="str">
        <f>IF(H583&lt;&gt;0,I583*#REF!,"")</f>
        <v/>
      </c>
    </row>
    <row r="584" spans="11:11" hidden="1" x14ac:dyDescent="0.2">
      <c r="K584" t="str">
        <f>IF(H584&lt;&gt;0,I584*#REF!,"")</f>
        <v/>
      </c>
    </row>
    <row r="585" spans="11:11" hidden="1" x14ac:dyDescent="0.2">
      <c r="K585" t="str">
        <f>IF(H585&lt;&gt;0,I585*#REF!,"")</f>
        <v/>
      </c>
    </row>
    <row r="586" spans="11:11" hidden="1" x14ac:dyDescent="0.2">
      <c r="K586" t="str">
        <f>IF(H586&lt;&gt;0,I586*#REF!,"")</f>
        <v/>
      </c>
    </row>
    <row r="587" spans="11:11" hidden="1" x14ac:dyDescent="0.2">
      <c r="K587" t="str">
        <f>IF(H587&lt;&gt;0,I587*#REF!,"")</f>
        <v/>
      </c>
    </row>
    <row r="588" spans="11:11" hidden="1" x14ac:dyDescent="0.2">
      <c r="K588" t="str">
        <f>IF(H588&lt;&gt;0,I588*#REF!,"")</f>
        <v/>
      </c>
    </row>
    <row r="589" spans="11:11" hidden="1" x14ac:dyDescent="0.2">
      <c r="K589" t="str">
        <f>IF(H589&lt;&gt;0,I589*#REF!,"")</f>
        <v/>
      </c>
    </row>
    <row r="590" spans="11:11" hidden="1" x14ac:dyDescent="0.2">
      <c r="K590" t="str">
        <f>IF(H590&lt;&gt;0,I590*#REF!,"")</f>
        <v/>
      </c>
    </row>
    <row r="591" spans="11:11" hidden="1" x14ac:dyDescent="0.2">
      <c r="K591" t="str">
        <f>IF(H591&lt;&gt;0,I591*#REF!,"")</f>
        <v/>
      </c>
    </row>
    <row r="592" spans="11:11" hidden="1" x14ac:dyDescent="0.2">
      <c r="K592" t="str">
        <f>IF(H592&lt;&gt;0,I592*#REF!,"")</f>
        <v/>
      </c>
    </row>
    <row r="593" spans="11:11" hidden="1" x14ac:dyDescent="0.2">
      <c r="K593" t="str">
        <f>IF(H593&lt;&gt;0,I593*#REF!,"")</f>
        <v/>
      </c>
    </row>
    <row r="594" spans="11:11" hidden="1" x14ac:dyDescent="0.2">
      <c r="K594" t="str">
        <f>IF(H594&lt;&gt;0,I594*#REF!,"")</f>
        <v/>
      </c>
    </row>
    <row r="595" spans="11:11" hidden="1" x14ac:dyDescent="0.2">
      <c r="K595" t="str">
        <f>IF(H595&lt;&gt;0,I595*#REF!,"")</f>
        <v/>
      </c>
    </row>
    <row r="596" spans="11:11" hidden="1" x14ac:dyDescent="0.2">
      <c r="K596" t="str">
        <f>IF(H596&lt;&gt;0,I596*#REF!,"")</f>
        <v/>
      </c>
    </row>
    <row r="597" spans="11:11" hidden="1" x14ac:dyDescent="0.2">
      <c r="K597" t="str">
        <f>IF(H597&lt;&gt;0,I597*#REF!,"")</f>
        <v/>
      </c>
    </row>
    <row r="598" spans="11:11" hidden="1" x14ac:dyDescent="0.2">
      <c r="K598" t="str">
        <f>IF(H598&lt;&gt;0,I598*#REF!,"")</f>
        <v/>
      </c>
    </row>
    <row r="599" spans="11:11" hidden="1" x14ac:dyDescent="0.2">
      <c r="K599" t="str">
        <f>IF(H599&lt;&gt;0,I599*#REF!,"")</f>
        <v/>
      </c>
    </row>
    <row r="600" spans="11:11" hidden="1" x14ac:dyDescent="0.2">
      <c r="K600" t="str">
        <f>IF(H600&lt;&gt;0,I600*#REF!,"")</f>
        <v/>
      </c>
    </row>
    <row r="601" spans="11:11" hidden="1" x14ac:dyDescent="0.2">
      <c r="K601" t="str">
        <f>IF(H601&lt;&gt;0,I601*#REF!,"")</f>
        <v/>
      </c>
    </row>
    <row r="602" spans="11:11" hidden="1" x14ac:dyDescent="0.2">
      <c r="K602" t="str">
        <f>IF(H602&lt;&gt;0,I602*#REF!,"")</f>
        <v/>
      </c>
    </row>
    <row r="603" spans="11:11" hidden="1" x14ac:dyDescent="0.2">
      <c r="K603" t="str">
        <f>IF(H603&lt;&gt;0,I603*#REF!,"")</f>
        <v/>
      </c>
    </row>
    <row r="604" spans="11:11" hidden="1" x14ac:dyDescent="0.2">
      <c r="K604" t="str">
        <f>IF(H604&lt;&gt;0,I604*#REF!,"")</f>
        <v/>
      </c>
    </row>
    <row r="605" spans="11:11" hidden="1" x14ac:dyDescent="0.2">
      <c r="K605" t="str">
        <f>IF(H605&lt;&gt;0,I605*#REF!,"")</f>
        <v/>
      </c>
    </row>
    <row r="606" spans="11:11" hidden="1" x14ac:dyDescent="0.2">
      <c r="K606" t="str">
        <f>IF(H606&lt;&gt;0,I606*#REF!,"")</f>
        <v/>
      </c>
    </row>
    <row r="607" spans="11:11" hidden="1" x14ac:dyDescent="0.2">
      <c r="K607" t="str">
        <f>IF(H607&lt;&gt;0,I607*#REF!,"")</f>
        <v/>
      </c>
    </row>
    <row r="608" spans="11:11" hidden="1" x14ac:dyDescent="0.2">
      <c r="K608" t="str">
        <f>IF(H608&lt;&gt;0,I608*#REF!,"")</f>
        <v/>
      </c>
    </row>
    <row r="609" spans="11:11" hidden="1" x14ac:dyDescent="0.2">
      <c r="K609" t="str">
        <f>IF(H609&lt;&gt;0,I609*#REF!,"")</f>
        <v/>
      </c>
    </row>
    <row r="610" spans="11:11" hidden="1" x14ac:dyDescent="0.2">
      <c r="K610" t="str">
        <f>IF(H610&lt;&gt;0,I610*#REF!,"")</f>
        <v/>
      </c>
    </row>
    <row r="611" spans="11:11" hidden="1" x14ac:dyDescent="0.2">
      <c r="K611" t="str">
        <f>IF(H611&lt;&gt;0,I611*#REF!,"")</f>
        <v/>
      </c>
    </row>
    <row r="612" spans="11:11" hidden="1" x14ac:dyDescent="0.2">
      <c r="K612" t="str">
        <f>IF(H612&lt;&gt;0,I612*#REF!,"")</f>
        <v/>
      </c>
    </row>
    <row r="613" spans="11:11" hidden="1" x14ac:dyDescent="0.2">
      <c r="K613" t="str">
        <f>IF(H613&lt;&gt;0,I613*#REF!,"")</f>
        <v/>
      </c>
    </row>
    <row r="614" spans="11:11" hidden="1" x14ac:dyDescent="0.2">
      <c r="K614" t="str">
        <f>IF(H614&lt;&gt;0,I614*#REF!,"")</f>
        <v/>
      </c>
    </row>
    <row r="615" spans="11:11" hidden="1" x14ac:dyDescent="0.2">
      <c r="K615" t="str">
        <f>IF(H615&lt;&gt;0,I615*#REF!,"")</f>
        <v/>
      </c>
    </row>
    <row r="616" spans="11:11" hidden="1" x14ac:dyDescent="0.2">
      <c r="K616" t="str">
        <f>IF(H616&lt;&gt;0,I616*#REF!,"")</f>
        <v/>
      </c>
    </row>
    <row r="617" spans="11:11" hidden="1" x14ac:dyDescent="0.2">
      <c r="K617" t="str">
        <f>IF(H617&lt;&gt;0,I617*#REF!,"")</f>
        <v/>
      </c>
    </row>
    <row r="618" spans="11:11" hidden="1" x14ac:dyDescent="0.2">
      <c r="K618" t="str">
        <f>IF(H618&lt;&gt;0,I618*#REF!,"")</f>
        <v/>
      </c>
    </row>
    <row r="619" spans="11:11" hidden="1" x14ac:dyDescent="0.2">
      <c r="K619" t="str">
        <f>IF(H619&lt;&gt;0,I619*#REF!,"")</f>
        <v/>
      </c>
    </row>
    <row r="620" spans="11:11" hidden="1" x14ac:dyDescent="0.2">
      <c r="K620" t="str">
        <f>IF(H620&lt;&gt;0,I620*#REF!,"")</f>
        <v/>
      </c>
    </row>
    <row r="621" spans="11:11" hidden="1" x14ac:dyDescent="0.2">
      <c r="K621" t="str">
        <f>IF(H621&lt;&gt;0,I621*#REF!,"")</f>
        <v/>
      </c>
    </row>
    <row r="622" spans="11:11" hidden="1" x14ac:dyDescent="0.2">
      <c r="K622" t="str">
        <f>IF(H622&lt;&gt;0,I622*#REF!,"")</f>
        <v/>
      </c>
    </row>
    <row r="623" spans="11:11" hidden="1" x14ac:dyDescent="0.2">
      <c r="K623" t="str">
        <f>IF(H623&lt;&gt;0,I623*#REF!,"")</f>
        <v/>
      </c>
    </row>
    <row r="624" spans="11:11" hidden="1" x14ac:dyDescent="0.2">
      <c r="K624" t="str">
        <f>IF(H624&lt;&gt;0,I624*#REF!,"")</f>
        <v/>
      </c>
    </row>
    <row r="625" spans="11:11" hidden="1" x14ac:dyDescent="0.2">
      <c r="K625" t="str">
        <f>IF(H625&lt;&gt;0,I625*#REF!,"")</f>
        <v/>
      </c>
    </row>
    <row r="626" spans="11:11" hidden="1" x14ac:dyDescent="0.2">
      <c r="K626" t="str">
        <f>IF(H626&lt;&gt;0,I626*#REF!,"")</f>
        <v/>
      </c>
    </row>
    <row r="627" spans="11:11" hidden="1" x14ac:dyDescent="0.2">
      <c r="K627" t="str">
        <f>IF(H627&lt;&gt;0,I627*#REF!,"")</f>
        <v/>
      </c>
    </row>
    <row r="628" spans="11:11" hidden="1" x14ac:dyDescent="0.2">
      <c r="K628" t="str">
        <f>IF(H628&lt;&gt;0,I628*#REF!,"")</f>
        <v/>
      </c>
    </row>
    <row r="629" spans="11:11" hidden="1" x14ac:dyDescent="0.2">
      <c r="K629" t="str">
        <f>IF(H629&lt;&gt;0,I629*#REF!,"")</f>
        <v/>
      </c>
    </row>
    <row r="630" spans="11:11" hidden="1" x14ac:dyDescent="0.2">
      <c r="K630" t="str">
        <f>IF(H630&lt;&gt;0,I630*#REF!,"")</f>
        <v/>
      </c>
    </row>
    <row r="631" spans="11:11" hidden="1" x14ac:dyDescent="0.2">
      <c r="K631" t="str">
        <f>IF(H631&lt;&gt;0,I631*#REF!,"")</f>
        <v/>
      </c>
    </row>
    <row r="632" spans="11:11" hidden="1" x14ac:dyDescent="0.2">
      <c r="K632" t="str">
        <f>IF(H632&lt;&gt;0,I632*#REF!,"")</f>
        <v/>
      </c>
    </row>
    <row r="633" spans="11:11" hidden="1" x14ac:dyDescent="0.2">
      <c r="K633" t="str">
        <f>IF(H633&lt;&gt;0,I633*#REF!,"")</f>
        <v/>
      </c>
    </row>
    <row r="634" spans="11:11" hidden="1" x14ac:dyDescent="0.2">
      <c r="K634" t="str">
        <f>IF(H634&lt;&gt;0,I634*#REF!,"")</f>
        <v/>
      </c>
    </row>
    <row r="635" spans="11:11" hidden="1" x14ac:dyDescent="0.2">
      <c r="K635" t="str">
        <f>IF(H635&lt;&gt;0,I635*#REF!,"")</f>
        <v/>
      </c>
    </row>
    <row r="636" spans="11:11" hidden="1" x14ac:dyDescent="0.2">
      <c r="K636" t="str">
        <f>IF(H636&lt;&gt;0,I636*#REF!,"")</f>
        <v/>
      </c>
    </row>
    <row r="637" spans="11:11" hidden="1" x14ac:dyDescent="0.2">
      <c r="K637" t="str">
        <f>IF(H637&lt;&gt;0,I637*#REF!,"")</f>
        <v/>
      </c>
    </row>
    <row r="638" spans="11:11" hidden="1" x14ac:dyDescent="0.2">
      <c r="K638" t="str">
        <f>IF(H638&lt;&gt;0,I638*#REF!,"")</f>
        <v/>
      </c>
    </row>
    <row r="639" spans="11:11" hidden="1" x14ac:dyDescent="0.2">
      <c r="K639" t="str">
        <f>IF(H639&lt;&gt;0,I639*#REF!,"")</f>
        <v/>
      </c>
    </row>
    <row r="640" spans="11:11" hidden="1" x14ac:dyDescent="0.2">
      <c r="K640" t="str">
        <f>IF(H640&lt;&gt;0,I640*#REF!,"")</f>
        <v/>
      </c>
    </row>
    <row r="641" spans="11:11" hidden="1" x14ac:dyDescent="0.2">
      <c r="K641" t="str">
        <f>IF(H641&lt;&gt;0,I641*#REF!,"")</f>
        <v/>
      </c>
    </row>
    <row r="642" spans="11:11" hidden="1" x14ac:dyDescent="0.2">
      <c r="K642" t="str">
        <f>IF(H642&lt;&gt;0,I642*#REF!,"")</f>
        <v/>
      </c>
    </row>
    <row r="643" spans="11:11" hidden="1" x14ac:dyDescent="0.2">
      <c r="K643" t="str">
        <f>IF(H643&lt;&gt;0,I643*#REF!,"")</f>
        <v/>
      </c>
    </row>
    <row r="644" spans="11:11" hidden="1" x14ac:dyDescent="0.2">
      <c r="K644" t="str">
        <f>IF(H644&lt;&gt;0,I644*#REF!,"")</f>
        <v/>
      </c>
    </row>
    <row r="645" spans="11:11" hidden="1" x14ac:dyDescent="0.2">
      <c r="K645" t="str">
        <f>IF(H645&lt;&gt;0,I645*#REF!,"")</f>
        <v/>
      </c>
    </row>
    <row r="646" spans="11:11" hidden="1" x14ac:dyDescent="0.2">
      <c r="K646" t="str">
        <f>IF(H646&lt;&gt;0,I646*#REF!,"")</f>
        <v/>
      </c>
    </row>
    <row r="647" spans="11:11" hidden="1" x14ac:dyDescent="0.2">
      <c r="K647" t="str">
        <f>IF(H647&lt;&gt;0,I647*#REF!,"")</f>
        <v/>
      </c>
    </row>
    <row r="648" spans="11:11" hidden="1" x14ac:dyDescent="0.2">
      <c r="K648" t="str">
        <f>IF(H648&lt;&gt;0,I648*#REF!,"")</f>
        <v/>
      </c>
    </row>
    <row r="649" spans="11:11" hidden="1" x14ac:dyDescent="0.2">
      <c r="K649" t="str">
        <f>IF(H649&lt;&gt;0,I649*#REF!,"")</f>
        <v/>
      </c>
    </row>
    <row r="650" spans="11:11" hidden="1" x14ac:dyDescent="0.2">
      <c r="K650" t="str">
        <f>IF(H650&lt;&gt;0,I650*#REF!,"")</f>
        <v/>
      </c>
    </row>
    <row r="651" spans="11:11" hidden="1" x14ac:dyDescent="0.2">
      <c r="K651" t="str">
        <f>IF(H651&lt;&gt;0,I651*#REF!,"")</f>
        <v/>
      </c>
    </row>
    <row r="652" spans="11:11" hidden="1" x14ac:dyDescent="0.2">
      <c r="K652" t="str">
        <f>IF(H652&lt;&gt;0,I652*#REF!,"")</f>
        <v/>
      </c>
    </row>
    <row r="653" spans="11:11" hidden="1" x14ac:dyDescent="0.2">
      <c r="K653" t="str">
        <f>IF(H653&lt;&gt;0,I653*#REF!,"")</f>
        <v/>
      </c>
    </row>
    <row r="654" spans="11:11" hidden="1" x14ac:dyDescent="0.2">
      <c r="K654" t="str">
        <f>IF(H654&lt;&gt;0,I654*#REF!,"")</f>
        <v/>
      </c>
    </row>
    <row r="655" spans="11:11" hidden="1" x14ac:dyDescent="0.2">
      <c r="K655" t="str">
        <f>IF(H655&lt;&gt;0,I655*#REF!,"")</f>
        <v/>
      </c>
    </row>
    <row r="656" spans="11:11" hidden="1" x14ac:dyDescent="0.2">
      <c r="K656" t="str">
        <f>IF(H656&lt;&gt;0,I656*#REF!,"")</f>
        <v/>
      </c>
    </row>
    <row r="657" spans="11:11" hidden="1" x14ac:dyDescent="0.2">
      <c r="K657" t="str">
        <f>IF(H657&lt;&gt;0,I657*#REF!,"")</f>
        <v/>
      </c>
    </row>
    <row r="658" spans="11:11" hidden="1" x14ac:dyDescent="0.2">
      <c r="K658" t="str">
        <f>IF(H658&lt;&gt;0,I658*#REF!,"")</f>
        <v/>
      </c>
    </row>
    <row r="659" spans="11:11" hidden="1" x14ac:dyDescent="0.2">
      <c r="K659" t="str">
        <f>IF(H659&lt;&gt;0,I659*#REF!,"")</f>
        <v/>
      </c>
    </row>
    <row r="660" spans="11:11" hidden="1" x14ac:dyDescent="0.2">
      <c r="K660" t="str">
        <f>IF(H660&lt;&gt;0,I660*#REF!,"")</f>
        <v/>
      </c>
    </row>
    <row r="661" spans="11:11" hidden="1" x14ac:dyDescent="0.2">
      <c r="K661" t="str">
        <f>IF(H661&lt;&gt;0,I661*#REF!,"")</f>
        <v/>
      </c>
    </row>
    <row r="662" spans="11:11" hidden="1" x14ac:dyDescent="0.2">
      <c r="K662" t="str">
        <f>IF(H662&lt;&gt;0,I662*#REF!,"")</f>
        <v/>
      </c>
    </row>
    <row r="663" spans="11:11" hidden="1" x14ac:dyDescent="0.2">
      <c r="K663" t="str">
        <f>IF(H663&lt;&gt;0,I663*#REF!,"")</f>
        <v/>
      </c>
    </row>
    <row r="664" spans="11:11" hidden="1" x14ac:dyDescent="0.2">
      <c r="K664" t="str">
        <f>IF(H664&lt;&gt;0,I664*#REF!,"")</f>
        <v/>
      </c>
    </row>
    <row r="665" spans="11:11" hidden="1" x14ac:dyDescent="0.2">
      <c r="K665" t="str">
        <f>IF(H665&lt;&gt;0,I665*#REF!,"")</f>
        <v/>
      </c>
    </row>
    <row r="666" spans="11:11" hidden="1" x14ac:dyDescent="0.2">
      <c r="K666" t="str">
        <f>IF(H666&lt;&gt;0,I666*#REF!,"")</f>
        <v/>
      </c>
    </row>
    <row r="667" spans="11:11" hidden="1" x14ac:dyDescent="0.2">
      <c r="K667" t="str">
        <f>IF(H667&lt;&gt;0,I667*#REF!,"")</f>
        <v/>
      </c>
    </row>
    <row r="668" spans="11:11" hidden="1" x14ac:dyDescent="0.2">
      <c r="K668" t="str">
        <f>IF(H668&lt;&gt;0,I668*#REF!,"")</f>
        <v/>
      </c>
    </row>
    <row r="669" spans="11:11" hidden="1" x14ac:dyDescent="0.2">
      <c r="K669" t="str">
        <f>IF(H669&lt;&gt;0,I669*#REF!,"")</f>
        <v/>
      </c>
    </row>
    <row r="670" spans="11:11" hidden="1" x14ac:dyDescent="0.2">
      <c r="K670" t="str">
        <f>IF(H670&lt;&gt;0,I670*#REF!,"")</f>
        <v/>
      </c>
    </row>
    <row r="671" spans="11:11" hidden="1" x14ac:dyDescent="0.2">
      <c r="K671" t="str">
        <f>IF(H671&lt;&gt;0,I671*#REF!,"")</f>
        <v/>
      </c>
    </row>
    <row r="672" spans="11:11" hidden="1" x14ac:dyDescent="0.2">
      <c r="K672" t="str">
        <f>IF(H672&lt;&gt;0,I672*#REF!,"")</f>
        <v/>
      </c>
    </row>
    <row r="673" spans="11:11" hidden="1" x14ac:dyDescent="0.2">
      <c r="K673" t="str">
        <f>IF(H673&lt;&gt;0,I673*#REF!,"")</f>
        <v/>
      </c>
    </row>
    <row r="674" spans="11:11" hidden="1" x14ac:dyDescent="0.2">
      <c r="K674" t="str">
        <f>IF(H674&lt;&gt;0,I674*#REF!,"")</f>
        <v/>
      </c>
    </row>
    <row r="675" spans="11:11" hidden="1" x14ac:dyDescent="0.2">
      <c r="K675" t="str">
        <f>IF(H675&lt;&gt;0,I675*#REF!,"")</f>
        <v/>
      </c>
    </row>
    <row r="676" spans="11:11" hidden="1" x14ac:dyDescent="0.2">
      <c r="K676" t="str">
        <f>IF(H676&lt;&gt;0,I676*#REF!,"")</f>
        <v/>
      </c>
    </row>
    <row r="677" spans="11:11" hidden="1" x14ac:dyDescent="0.2">
      <c r="K677" t="str">
        <f>IF(H677&lt;&gt;0,I677*#REF!,"")</f>
        <v/>
      </c>
    </row>
    <row r="678" spans="11:11" hidden="1" x14ac:dyDescent="0.2">
      <c r="K678" t="str">
        <f>IF(H678&lt;&gt;0,I678*#REF!,"")</f>
        <v/>
      </c>
    </row>
    <row r="679" spans="11:11" hidden="1" x14ac:dyDescent="0.2">
      <c r="K679" t="str">
        <f>IF(H679&lt;&gt;0,I679*#REF!,"")</f>
        <v/>
      </c>
    </row>
    <row r="680" spans="11:11" hidden="1" x14ac:dyDescent="0.2">
      <c r="K680" t="str">
        <f>IF(H680&lt;&gt;0,I680*#REF!,"")</f>
        <v/>
      </c>
    </row>
    <row r="681" spans="11:11" hidden="1" x14ac:dyDescent="0.2">
      <c r="K681" t="str">
        <f>IF(H681&lt;&gt;0,I681*#REF!,"")</f>
        <v/>
      </c>
    </row>
    <row r="682" spans="11:11" hidden="1" x14ac:dyDescent="0.2">
      <c r="K682" t="str">
        <f>IF(H682&lt;&gt;0,I682*#REF!,"")</f>
        <v/>
      </c>
    </row>
    <row r="683" spans="11:11" hidden="1" x14ac:dyDescent="0.2">
      <c r="K683" t="str">
        <f>IF(H683&lt;&gt;0,I683*#REF!,"")</f>
        <v/>
      </c>
    </row>
    <row r="684" spans="11:11" hidden="1" x14ac:dyDescent="0.2">
      <c r="K684" t="str">
        <f>IF(H684&lt;&gt;0,I684*#REF!,"")</f>
        <v/>
      </c>
    </row>
    <row r="685" spans="11:11" hidden="1" x14ac:dyDescent="0.2">
      <c r="K685" t="str">
        <f>IF(H685&lt;&gt;0,I685*#REF!,"")</f>
        <v/>
      </c>
    </row>
    <row r="686" spans="11:11" hidden="1" x14ac:dyDescent="0.2">
      <c r="K686" t="str">
        <f>IF(H686&lt;&gt;0,I686*#REF!,"")</f>
        <v/>
      </c>
    </row>
    <row r="687" spans="11:11" hidden="1" x14ac:dyDescent="0.2">
      <c r="K687" t="str">
        <f>IF(H687&lt;&gt;0,I687*#REF!,"")</f>
        <v/>
      </c>
    </row>
    <row r="688" spans="11:11" hidden="1" x14ac:dyDescent="0.2">
      <c r="K688" t="str">
        <f>IF(H688&lt;&gt;0,I688*#REF!,"")</f>
        <v/>
      </c>
    </row>
    <row r="689" spans="11:11" hidden="1" x14ac:dyDescent="0.2">
      <c r="K689" t="str">
        <f>IF(H689&lt;&gt;0,I689*#REF!,"")</f>
        <v/>
      </c>
    </row>
    <row r="690" spans="11:11" hidden="1" x14ac:dyDescent="0.2">
      <c r="K690" t="str">
        <f>IF(H690&lt;&gt;0,I690*#REF!,"")</f>
        <v/>
      </c>
    </row>
    <row r="691" spans="11:11" hidden="1" x14ac:dyDescent="0.2">
      <c r="K691" t="str">
        <f>IF(H691&lt;&gt;0,I691*#REF!,"")</f>
        <v/>
      </c>
    </row>
    <row r="692" spans="11:11" hidden="1" x14ac:dyDescent="0.2">
      <c r="K692" t="str">
        <f>IF(H692&lt;&gt;0,I692*#REF!,"")</f>
        <v/>
      </c>
    </row>
    <row r="693" spans="11:11" hidden="1" x14ac:dyDescent="0.2">
      <c r="K693" t="str">
        <f>IF(H693&lt;&gt;0,I693*#REF!,"")</f>
        <v/>
      </c>
    </row>
    <row r="694" spans="11:11" hidden="1" x14ac:dyDescent="0.2">
      <c r="K694" t="str">
        <f>IF(H694&lt;&gt;0,I694*#REF!,"")</f>
        <v/>
      </c>
    </row>
    <row r="695" spans="11:11" hidden="1" x14ac:dyDescent="0.2">
      <c r="K695" t="str">
        <f>IF(H695&lt;&gt;0,I695*#REF!,"")</f>
        <v/>
      </c>
    </row>
    <row r="696" spans="11:11" hidden="1" x14ac:dyDescent="0.2">
      <c r="K696" t="str">
        <f>IF(H696&lt;&gt;0,I696*#REF!,"")</f>
        <v/>
      </c>
    </row>
    <row r="697" spans="11:11" hidden="1" x14ac:dyDescent="0.2">
      <c r="K697" t="str">
        <f>IF(H697&lt;&gt;0,I697*#REF!,"")</f>
        <v/>
      </c>
    </row>
    <row r="698" spans="11:11" hidden="1" x14ac:dyDescent="0.2">
      <c r="K698" t="str">
        <f>IF(H698&lt;&gt;0,I698*#REF!,"")</f>
        <v/>
      </c>
    </row>
    <row r="699" spans="11:11" hidden="1" x14ac:dyDescent="0.2">
      <c r="K699" t="str">
        <f>IF(H699&lt;&gt;0,I699*#REF!,"")</f>
        <v/>
      </c>
    </row>
    <row r="700" spans="11:11" hidden="1" x14ac:dyDescent="0.2">
      <c r="K700" t="str">
        <f>IF(H700&lt;&gt;0,I700*#REF!,"")</f>
        <v/>
      </c>
    </row>
    <row r="701" spans="11:11" hidden="1" x14ac:dyDescent="0.2">
      <c r="K701" t="str">
        <f>IF(H701&lt;&gt;0,I701*#REF!,"")</f>
        <v/>
      </c>
    </row>
    <row r="702" spans="11:11" hidden="1" x14ac:dyDescent="0.2">
      <c r="K702" t="str">
        <f>IF(H702&lt;&gt;0,I702*#REF!,"")</f>
        <v/>
      </c>
    </row>
    <row r="703" spans="11:11" hidden="1" x14ac:dyDescent="0.2">
      <c r="K703" t="str">
        <f>IF(H703&lt;&gt;0,I703*#REF!,"")</f>
        <v/>
      </c>
    </row>
    <row r="704" spans="11:11" hidden="1" x14ac:dyDescent="0.2">
      <c r="K704" t="str">
        <f>IF(H704&lt;&gt;0,I704*#REF!,"")</f>
        <v/>
      </c>
    </row>
    <row r="705" spans="11:11" hidden="1" x14ac:dyDescent="0.2">
      <c r="K705" t="str">
        <f>IF(H705&lt;&gt;0,I705*#REF!,"")</f>
        <v/>
      </c>
    </row>
    <row r="706" spans="11:11" hidden="1" x14ac:dyDescent="0.2">
      <c r="K706" t="str">
        <f>IF(H706&lt;&gt;0,I706*#REF!,"")</f>
        <v/>
      </c>
    </row>
    <row r="707" spans="11:11" hidden="1" x14ac:dyDescent="0.2">
      <c r="K707" t="str">
        <f>IF(H707&lt;&gt;0,I707*#REF!,"")</f>
        <v/>
      </c>
    </row>
    <row r="708" spans="11:11" hidden="1" x14ac:dyDescent="0.2">
      <c r="K708" t="str">
        <f>IF(H708&lt;&gt;0,I708*#REF!,"")</f>
        <v/>
      </c>
    </row>
    <row r="709" spans="11:11" hidden="1" x14ac:dyDescent="0.2">
      <c r="K709" t="str">
        <f>IF(H709&lt;&gt;0,I709*#REF!,"")</f>
        <v/>
      </c>
    </row>
    <row r="710" spans="11:11" hidden="1" x14ac:dyDescent="0.2">
      <c r="K710" t="str">
        <f>IF(H710&lt;&gt;0,I710*#REF!,"")</f>
        <v/>
      </c>
    </row>
    <row r="711" spans="11:11" hidden="1" x14ac:dyDescent="0.2">
      <c r="K711" t="str">
        <f>IF(H711&lt;&gt;0,I711*#REF!,"")</f>
        <v/>
      </c>
    </row>
    <row r="712" spans="11:11" hidden="1" x14ac:dyDescent="0.2">
      <c r="K712" t="str">
        <f>IF(H712&lt;&gt;0,I712*#REF!,"")</f>
        <v/>
      </c>
    </row>
    <row r="713" spans="11:11" hidden="1" x14ac:dyDescent="0.2">
      <c r="K713" t="str">
        <f>IF(H713&lt;&gt;0,I713*#REF!,"")</f>
        <v/>
      </c>
    </row>
    <row r="714" spans="11:11" hidden="1" x14ac:dyDescent="0.2">
      <c r="K714" t="str">
        <f>IF(H714&lt;&gt;0,I714*#REF!,"")</f>
        <v/>
      </c>
    </row>
    <row r="715" spans="11:11" hidden="1" x14ac:dyDescent="0.2">
      <c r="K715" t="str">
        <f>IF(H715&lt;&gt;0,I715*#REF!,"")</f>
        <v/>
      </c>
    </row>
    <row r="716" spans="11:11" hidden="1" x14ac:dyDescent="0.2">
      <c r="K716" t="str">
        <f>IF(H716&lt;&gt;0,I716*#REF!,"")</f>
        <v/>
      </c>
    </row>
    <row r="717" spans="11:11" hidden="1" x14ac:dyDescent="0.2">
      <c r="K717" t="str">
        <f>IF(H717&lt;&gt;0,I717*#REF!,"")</f>
        <v/>
      </c>
    </row>
    <row r="718" spans="11:11" hidden="1" x14ac:dyDescent="0.2">
      <c r="K718" t="str">
        <f>IF(H718&lt;&gt;0,I718*#REF!,"")</f>
        <v/>
      </c>
    </row>
    <row r="719" spans="11:11" hidden="1" x14ac:dyDescent="0.2">
      <c r="K719" t="str">
        <f>IF(H719&lt;&gt;0,I719*#REF!,"")</f>
        <v/>
      </c>
    </row>
    <row r="720" spans="11:11" hidden="1" x14ac:dyDescent="0.2">
      <c r="K720" t="str">
        <f>IF(H720&lt;&gt;0,I720*#REF!,"")</f>
        <v/>
      </c>
    </row>
    <row r="721" spans="11:11" hidden="1" x14ac:dyDescent="0.2">
      <c r="K721" t="str">
        <f>IF(H721&lt;&gt;0,I721*#REF!,"")</f>
        <v/>
      </c>
    </row>
    <row r="722" spans="11:11" hidden="1" x14ac:dyDescent="0.2">
      <c r="K722" t="str">
        <f>IF(H722&lt;&gt;0,I722*#REF!,"")</f>
        <v/>
      </c>
    </row>
    <row r="723" spans="11:11" hidden="1" x14ac:dyDescent="0.2">
      <c r="K723" t="str">
        <f>IF(H723&lt;&gt;0,I723*#REF!,"")</f>
        <v/>
      </c>
    </row>
    <row r="724" spans="11:11" hidden="1" x14ac:dyDescent="0.2">
      <c r="K724" t="str">
        <f>IF(H724&lt;&gt;0,I724*#REF!,"")</f>
        <v/>
      </c>
    </row>
    <row r="725" spans="11:11" hidden="1" x14ac:dyDescent="0.2">
      <c r="K725" t="str">
        <f>IF(H725&lt;&gt;0,I725*#REF!,"")</f>
        <v/>
      </c>
    </row>
    <row r="726" spans="11:11" hidden="1" x14ac:dyDescent="0.2">
      <c r="K726" t="str">
        <f>IF(H726&lt;&gt;0,I726*#REF!,"")</f>
        <v/>
      </c>
    </row>
    <row r="727" spans="11:11" hidden="1" x14ac:dyDescent="0.2">
      <c r="K727" t="str">
        <f>IF(H727&lt;&gt;0,I727*#REF!,"")</f>
        <v/>
      </c>
    </row>
    <row r="728" spans="11:11" hidden="1" x14ac:dyDescent="0.2">
      <c r="K728" t="str">
        <f>IF(H728&lt;&gt;0,I728*#REF!,"")</f>
        <v/>
      </c>
    </row>
    <row r="729" spans="11:11" hidden="1" x14ac:dyDescent="0.2">
      <c r="K729" t="str">
        <f>IF(H729&lt;&gt;0,I729*#REF!,"")</f>
        <v/>
      </c>
    </row>
    <row r="730" spans="11:11" hidden="1" x14ac:dyDescent="0.2">
      <c r="K730" t="str">
        <f>IF(H730&lt;&gt;0,I730*#REF!,"")</f>
        <v/>
      </c>
    </row>
    <row r="731" spans="11:11" hidden="1" x14ac:dyDescent="0.2">
      <c r="K731" t="str">
        <f>IF(H731&lt;&gt;0,I731*#REF!,"")</f>
        <v/>
      </c>
    </row>
    <row r="732" spans="11:11" hidden="1" x14ac:dyDescent="0.2">
      <c r="K732" t="str">
        <f>IF(H732&lt;&gt;0,I732*#REF!,"")</f>
        <v/>
      </c>
    </row>
    <row r="733" spans="11:11" hidden="1" x14ac:dyDescent="0.2">
      <c r="K733" t="str">
        <f>IF(H733&lt;&gt;0,I733*#REF!,"")</f>
        <v/>
      </c>
    </row>
    <row r="734" spans="11:11" hidden="1" x14ac:dyDescent="0.2">
      <c r="K734" t="str">
        <f>IF(H734&lt;&gt;0,I734*#REF!,"")</f>
        <v/>
      </c>
    </row>
    <row r="735" spans="11:11" hidden="1" x14ac:dyDescent="0.2">
      <c r="K735" t="str">
        <f>IF(H735&lt;&gt;0,I735*#REF!,"")</f>
        <v/>
      </c>
    </row>
    <row r="736" spans="11:11" hidden="1" x14ac:dyDescent="0.2">
      <c r="K736" t="str">
        <f>IF(H736&lt;&gt;0,I736*#REF!,"")</f>
        <v/>
      </c>
    </row>
    <row r="737" spans="11:11" hidden="1" x14ac:dyDescent="0.2">
      <c r="K737" t="str">
        <f>IF(H737&lt;&gt;0,I737*#REF!,"")</f>
        <v/>
      </c>
    </row>
    <row r="738" spans="11:11" hidden="1" x14ac:dyDescent="0.2">
      <c r="K738" t="str">
        <f>IF(H738&lt;&gt;0,I738*#REF!,"")</f>
        <v/>
      </c>
    </row>
    <row r="739" spans="11:11" hidden="1" x14ac:dyDescent="0.2">
      <c r="K739" t="str">
        <f>IF(H739&lt;&gt;0,I739*#REF!,"")</f>
        <v/>
      </c>
    </row>
    <row r="740" spans="11:11" hidden="1" x14ac:dyDescent="0.2">
      <c r="K740" t="str">
        <f>IF(H740&lt;&gt;0,I740*#REF!,"")</f>
        <v/>
      </c>
    </row>
    <row r="741" spans="11:11" hidden="1" x14ac:dyDescent="0.2">
      <c r="K741" t="str">
        <f>IF(H741&lt;&gt;0,I741*#REF!,"")</f>
        <v/>
      </c>
    </row>
    <row r="742" spans="11:11" hidden="1" x14ac:dyDescent="0.2">
      <c r="K742" t="str">
        <f>IF(H742&lt;&gt;0,I742*#REF!,"")</f>
        <v/>
      </c>
    </row>
    <row r="743" spans="11:11" hidden="1" x14ac:dyDescent="0.2">
      <c r="K743" t="str">
        <f>IF(H743&lt;&gt;0,I743*#REF!,"")</f>
        <v/>
      </c>
    </row>
    <row r="744" spans="11:11" hidden="1" x14ac:dyDescent="0.2">
      <c r="K744" t="str">
        <f>IF(H744&lt;&gt;0,I744*#REF!,"")</f>
        <v/>
      </c>
    </row>
    <row r="745" spans="11:11" hidden="1" x14ac:dyDescent="0.2">
      <c r="K745" t="str">
        <f>IF(H745&lt;&gt;0,I745*#REF!,"")</f>
        <v/>
      </c>
    </row>
    <row r="746" spans="11:11" hidden="1" x14ac:dyDescent="0.2">
      <c r="K746" t="str">
        <f>IF(H746&lt;&gt;0,I746*#REF!,"")</f>
        <v/>
      </c>
    </row>
    <row r="747" spans="11:11" hidden="1" x14ac:dyDescent="0.2">
      <c r="K747" t="str">
        <f>IF(H747&lt;&gt;0,I747*#REF!,"")</f>
        <v/>
      </c>
    </row>
    <row r="748" spans="11:11" hidden="1" x14ac:dyDescent="0.2">
      <c r="K748" t="str">
        <f>IF(H748&lt;&gt;0,I748*#REF!,"")</f>
        <v/>
      </c>
    </row>
    <row r="749" spans="11:11" hidden="1" x14ac:dyDescent="0.2">
      <c r="K749" t="str">
        <f>IF(H749&lt;&gt;0,I749*#REF!,"")</f>
        <v/>
      </c>
    </row>
    <row r="750" spans="11:11" hidden="1" x14ac:dyDescent="0.2">
      <c r="K750" t="str">
        <f>IF(H750&lt;&gt;0,I750*#REF!,"")</f>
        <v/>
      </c>
    </row>
    <row r="751" spans="11:11" hidden="1" x14ac:dyDescent="0.2">
      <c r="K751" t="str">
        <f>IF(H751&lt;&gt;0,I751*#REF!,"")</f>
        <v/>
      </c>
    </row>
    <row r="752" spans="11:11" hidden="1" x14ac:dyDescent="0.2">
      <c r="K752" t="str">
        <f>IF(H752&lt;&gt;0,I752*#REF!,"")</f>
        <v/>
      </c>
    </row>
    <row r="753" spans="11:11" hidden="1" x14ac:dyDescent="0.2">
      <c r="K753" t="str">
        <f>IF(H753&lt;&gt;0,I753*#REF!,"")</f>
        <v/>
      </c>
    </row>
    <row r="754" spans="11:11" hidden="1" x14ac:dyDescent="0.2">
      <c r="K754" t="str">
        <f>IF(H754&lt;&gt;0,I754*#REF!,"")</f>
        <v/>
      </c>
    </row>
    <row r="755" spans="11:11" hidden="1" x14ac:dyDescent="0.2">
      <c r="K755" t="str">
        <f>IF(H755&lt;&gt;0,I755*#REF!,"")</f>
        <v/>
      </c>
    </row>
    <row r="756" spans="11:11" hidden="1" x14ac:dyDescent="0.2">
      <c r="K756" t="str">
        <f>IF(H756&lt;&gt;0,I756*#REF!,"")</f>
        <v/>
      </c>
    </row>
    <row r="757" spans="11:11" hidden="1" x14ac:dyDescent="0.2">
      <c r="K757" t="str">
        <f>IF(H757&lt;&gt;0,I757*#REF!,"")</f>
        <v/>
      </c>
    </row>
    <row r="758" spans="11:11" hidden="1" x14ac:dyDescent="0.2">
      <c r="K758" t="str">
        <f>IF(H758&lt;&gt;0,I758*#REF!,"")</f>
        <v/>
      </c>
    </row>
    <row r="759" spans="11:11" hidden="1" x14ac:dyDescent="0.2">
      <c r="K759" t="str">
        <f>IF(H759&lt;&gt;0,I759*#REF!,"")</f>
        <v/>
      </c>
    </row>
    <row r="760" spans="11:11" hidden="1" x14ac:dyDescent="0.2">
      <c r="K760" t="str">
        <f>IF(H760&lt;&gt;0,I760*#REF!,"")</f>
        <v/>
      </c>
    </row>
    <row r="761" spans="11:11" hidden="1" x14ac:dyDescent="0.2">
      <c r="K761" t="str">
        <f>IF(H761&lt;&gt;0,I761*#REF!,"")</f>
        <v/>
      </c>
    </row>
    <row r="762" spans="11:11" hidden="1" x14ac:dyDescent="0.2">
      <c r="K762" t="str">
        <f>IF(H762&lt;&gt;0,I762*#REF!,"")</f>
        <v/>
      </c>
    </row>
    <row r="763" spans="11:11" hidden="1" x14ac:dyDescent="0.2">
      <c r="K763" t="str">
        <f>IF(H763&lt;&gt;0,I763*#REF!,"")</f>
        <v/>
      </c>
    </row>
    <row r="764" spans="11:11" hidden="1" x14ac:dyDescent="0.2">
      <c r="K764" t="str">
        <f>IF(H764&lt;&gt;0,I764*#REF!,"")</f>
        <v/>
      </c>
    </row>
    <row r="765" spans="11:11" hidden="1" x14ac:dyDescent="0.2">
      <c r="K765" t="str">
        <f>IF(H765&lt;&gt;0,I765*#REF!,"")</f>
        <v/>
      </c>
    </row>
    <row r="766" spans="11:11" hidden="1" x14ac:dyDescent="0.2">
      <c r="K766" t="str">
        <f>IF(H766&lt;&gt;0,I766*#REF!,"")</f>
        <v/>
      </c>
    </row>
    <row r="767" spans="11:11" hidden="1" x14ac:dyDescent="0.2">
      <c r="K767" t="str">
        <f>IF(H767&lt;&gt;0,I767*#REF!,"")</f>
        <v/>
      </c>
    </row>
    <row r="768" spans="11:11" hidden="1" x14ac:dyDescent="0.2">
      <c r="K768" t="str">
        <f>IF(H768&lt;&gt;0,I768*#REF!,"")</f>
        <v/>
      </c>
    </row>
    <row r="769" spans="11:11" hidden="1" x14ac:dyDescent="0.2">
      <c r="K769" t="str">
        <f>IF(H769&lt;&gt;0,I769*#REF!,"")</f>
        <v/>
      </c>
    </row>
    <row r="770" spans="11:11" hidden="1" x14ac:dyDescent="0.2">
      <c r="K770" t="str">
        <f>IF(H770&lt;&gt;0,I770*#REF!,"")</f>
        <v/>
      </c>
    </row>
    <row r="771" spans="11:11" hidden="1" x14ac:dyDescent="0.2">
      <c r="K771" t="str">
        <f>IF(H771&lt;&gt;0,I771*#REF!,"")</f>
        <v/>
      </c>
    </row>
    <row r="772" spans="11:11" hidden="1" x14ac:dyDescent="0.2">
      <c r="K772" t="str">
        <f>IF(H772&lt;&gt;0,I772*#REF!,"")</f>
        <v/>
      </c>
    </row>
    <row r="773" spans="11:11" hidden="1" x14ac:dyDescent="0.2">
      <c r="K773" t="str">
        <f>IF(H773&lt;&gt;0,I773*#REF!,"")</f>
        <v/>
      </c>
    </row>
    <row r="774" spans="11:11" hidden="1" x14ac:dyDescent="0.2">
      <c r="K774" t="str">
        <f>IF(H774&lt;&gt;0,I774*#REF!,"")</f>
        <v/>
      </c>
    </row>
    <row r="775" spans="11:11" hidden="1" x14ac:dyDescent="0.2">
      <c r="K775" t="str">
        <f>IF(H775&lt;&gt;0,I775*#REF!,"")</f>
        <v/>
      </c>
    </row>
    <row r="776" spans="11:11" hidden="1" x14ac:dyDescent="0.2">
      <c r="K776" t="str">
        <f>IF(H776&lt;&gt;0,I776*#REF!,"")</f>
        <v/>
      </c>
    </row>
    <row r="777" spans="11:11" hidden="1" x14ac:dyDescent="0.2">
      <c r="K777" t="str">
        <f>IF(H777&lt;&gt;0,I777*#REF!,"")</f>
        <v/>
      </c>
    </row>
    <row r="778" spans="11:11" hidden="1" x14ac:dyDescent="0.2">
      <c r="K778" t="str">
        <f>IF(H778&lt;&gt;0,I778*#REF!,"")</f>
        <v/>
      </c>
    </row>
    <row r="779" spans="11:11" hidden="1" x14ac:dyDescent="0.2">
      <c r="K779" t="str">
        <f>IF(H779&lt;&gt;0,I779*#REF!,"")</f>
        <v/>
      </c>
    </row>
    <row r="780" spans="11:11" hidden="1" x14ac:dyDescent="0.2">
      <c r="K780" t="str">
        <f>IF(H780&lt;&gt;0,I780*#REF!,"")</f>
        <v/>
      </c>
    </row>
    <row r="781" spans="11:11" hidden="1" x14ac:dyDescent="0.2">
      <c r="K781" t="str">
        <f>IF(H781&lt;&gt;0,I781*#REF!,"")</f>
        <v/>
      </c>
    </row>
    <row r="782" spans="11:11" hidden="1" x14ac:dyDescent="0.2">
      <c r="K782" t="str">
        <f>IF(H782&lt;&gt;0,I782*#REF!,"")</f>
        <v/>
      </c>
    </row>
    <row r="783" spans="11:11" hidden="1" x14ac:dyDescent="0.2">
      <c r="K783" t="str">
        <f>IF(H783&lt;&gt;0,I783*#REF!,"")</f>
        <v/>
      </c>
    </row>
    <row r="784" spans="11:11" hidden="1" x14ac:dyDescent="0.2">
      <c r="K784" t="str">
        <f>IF(H784&lt;&gt;0,I784*#REF!,"")</f>
        <v/>
      </c>
    </row>
    <row r="785" spans="11:11" hidden="1" x14ac:dyDescent="0.2">
      <c r="K785" t="str">
        <f>IF(H785&lt;&gt;0,I785*#REF!,"")</f>
        <v/>
      </c>
    </row>
    <row r="786" spans="11:11" hidden="1" x14ac:dyDescent="0.2">
      <c r="K786" t="str">
        <f>IF(H786&lt;&gt;0,I786*#REF!,"")</f>
        <v/>
      </c>
    </row>
    <row r="787" spans="11:11" hidden="1" x14ac:dyDescent="0.2">
      <c r="K787" t="str">
        <f>IF(H787&lt;&gt;0,I787*#REF!,"")</f>
        <v/>
      </c>
    </row>
    <row r="788" spans="11:11" hidden="1" x14ac:dyDescent="0.2">
      <c r="K788" t="str">
        <f>IF(H788&lt;&gt;0,I788*#REF!,"")</f>
        <v/>
      </c>
    </row>
    <row r="789" spans="11:11" hidden="1" x14ac:dyDescent="0.2">
      <c r="K789" t="str">
        <f>IF(H789&lt;&gt;0,I789*#REF!,"")</f>
        <v/>
      </c>
    </row>
    <row r="790" spans="11:11" hidden="1" x14ac:dyDescent="0.2">
      <c r="K790" t="str">
        <f>IF(H790&lt;&gt;0,I790*#REF!,"")</f>
        <v/>
      </c>
    </row>
    <row r="791" spans="11:11" hidden="1" x14ac:dyDescent="0.2">
      <c r="K791" t="str">
        <f>IF(H791&lt;&gt;0,I791*#REF!,"")</f>
        <v/>
      </c>
    </row>
    <row r="792" spans="11:11" hidden="1" x14ac:dyDescent="0.2">
      <c r="K792" t="str">
        <f>IF(H792&lt;&gt;0,I792*#REF!,"")</f>
        <v/>
      </c>
    </row>
    <row r="793" spans="11:11" hidden="1" x14ac:dyDescent="0.2">
      <c r="K793" t="str">
        <f>IF(H793&lt;&gt;0,I793*#REF!,"")</f>
        <v/>
      </c>
    </row>
    <row r="794" spans="11:11" hidden="1" x14ac:dyDescent="0.2">
      <c r="K794" t="str">
        <f>IF(H794&lt;&gt;0,I794*#REF!,"")</f>
        <v/>
      </c>
    </row>
    <row r="795" spans="11:11" hidden="1" x14ac:dyDescent="0.2">
      <c r="K795" t="str">
        <f>IF(H795&lt;&gt;0,I795*#REF!,"")</f>
        <v/>
      </c>
    </row>
    <row r="796" spans="11:11" hidden="1" x14ac:dyDescent="0.2">
      <c r="K796" t="str">
        <f>IF(H796&lt;&gt;0,I796*#REF!,"")</f>
        <v/>
      </c>
    </row>
    <row r="797" spans="11:11" hidden="1" x14ac:dyDescent="0.2">
      <c r="K797" t="str">
        <f>IF(H797&lt;&gt;0,I797*#REF!,"")</f>
        <v/>
      </c>
    </row>
    <row r="798" spans="11:11" hidden="1" x14ac:dyDescent="0.2">
      <c r="K798" t="str">
        <f>IF(H798&lt;&gt;0,I798*#REF!,"")</f>
        <v/>
      </c>
    </row>
    <row r="799" spans="11:11" hidden="1" x14ac:dyDescent="0.2">
      <c r="K799" t="str">
        <f>IF(H799&lt;&gt;0,I799*#REF!,"")</f>
        <v/>
      </c>
    </row>
    <row r="800" spans="11:11" hidden="1" x14ac:dyDescent="0.2">
      <c r="K800" t="str">
        <f>IF(H800&lt;&gt;0,I800*#REF!,"")</f>
        <v/>
      </c>
    </row>
    <row r="801" spans="11:11" hidden="1" x14ac:dyDescent="0.2">
      <c r="K801" t="str">
        <f>IF(H801&lt;&gt;0,I801*#REF!,"")</f>
        <v/>
      </c>
    </row>
    <row r="802" spans="11:11" hidden="1" x14ac:dyDescent="0.2">
      <c r="K802" t="str">
        <f>IF(H802&lt;&gt;0,I802*#REF!,"")</f>
        <v/>
      </c>
    </row>
    <row r="803" spans="11:11" hidden="1" x14ac:dyDescent="0.2">
      <c r="K803" t="str">
        <f>IF(H803&lt;&gt;0,I803*#REF!,"")</f>
        <v/>
      </c>
    </row>
    <row r="804" spans="11:11" hidden="1" x14ac:dyDescent="0.2">
      <c r="K804" t="str">
        <f>IF(H804&lt;&gt;0,I804*#REF!,"")</f>
        <v/>
      </c>
    </row>
    <row r="805" spans="11:11" hidden="1" x14ac:dyDescent="0.2">
      <c r="K805" t="str">
        <f>IF(H805&lt;&gt;0,I805*#REF!,"")</f>
        <v/>
      </c>
    </row>
    <row r="806" spans="11:11" hidden="1" x14ac:dyDescent="0.2">
      <c r="K806" t="str">
        <f>IF(H806&lt;&gt;0,I806*#REF!,"")</f>
        <v/>
      </c>
    </row>
    <row r="807" spans="11:11" hidden="1" x14ac:dyDescent="0.2">
      <c r="K807" t="str">
        <f>IF(H807&lt;&gt;0,I807*#REF!,"")</f>
        <v/>
      </c>
    </row>
    <row r="808" spans="11:11" hidden="1" x14ac:dyDescent="0.2">
      <c r="K808" t="str">
        <f>IF(H808&lt;&gt;0,I808*#REF!,"")</f>
        <v/>
      </c>
    </row>
    <row r="809" spans="11:11" hidden="1" x14ac:dyDescent="0.2">
      <c r="K809" t="str">
        <f>IF(H809&lt;&gt;0,I809*#REF!,"")</f>
        <v/>
      </c>
    </row>
    <row r="810" spans="11:11" hidden="1" x14ac:dyDescent="0.2">
      <c r="K810" t="str">
        <f>IF(H810&lt;&gt;0,I810*#REF!,"")</f>
        <v/>
      </c>
    </row>
    <row r="811" spans="11:11" hidden="1" x14ac:dyDescent="0.2">
      <c r="K811" t="str">
        <f>IF(H811&lt;&gt;0,I811*#REF!,"")</f>
        <v/>
      </c>
    </row>
    <row r="812" spans="11:11" hidden="1" x14ac:dyDescent="0.2">
      <c r="K812" t="str">
        <f>IF(H812&lt;&gt;0,I812*#REF!,"")</f>
        <v/>
      </c>
    </row>
    <row r="813" spans="11:11" hidden="1" x14ac:dyDescent="0.2">
      <c r="K813" t="str">
        <f>IF(H813&lt;&gt;0,I813*#REF!,"")</f>
        <v/>
      </c>
    </row>
    <row r="814" spans="11:11" hidden="1" x14ac:dyDescent="0.2">
      <c r="K814" t="str">
        <f>IF(H814&lt;&gt;0,I814*#REF!,"")</f>
        <v/>
      </c>
    </row>
    <row r="815" spans="11:11" hidden="1" x14ac:dyDescent="0.2">
      <c r="K815" t="str">
        <f>IF(H815&lt;&gt;0,I815*#REF!,"")</f>
        <v/>
      </c>
    </row>
    <row r="816" spans="11:11" hidden="1" x14ac:dyDescent="0.2">
      <c r="K816" t="str">
        <f>IF(H816&lt;&gt;0,I816*#REF!,"")</f>
        <v/>
      </c>
    </row>
    <row r="817" spans="11:11" hidden="1" x14ac:dyDescent="0.2">
      <c r="K817" t="str">
        <f>IF(H817&lt;&gt;0,I817*#REF!,"")</f>
        <v/>
      </c>
    </row>
    <row r="818" spans="11:11" hidden="1" x14ac:dyDescent="0.2">
      <c r="K818" t="str">
        <f>IF(H818&lt;&gt;0,I818*#REF!,"")</f>
        <v/>
      </c>
    </row>
    <row r="819" spans="11:11" hidden="1" x14ac:dyDescent="0.2">
      <c r="K819" t="str">
        <f>IF(H819&lt;&gt;0,I819*#REF!,"")</f>
        <v/>
      </c>
    </row>
    <row r="820" spans="11:11" hidden="1" x14ac:dyDescent="0.2">
      <c r="K820" t="str">
        <f>IF(H820&lt;&gt;0,I820*#REF!,"")</f>
        <v/>
      </c>
    </row>
    <row r="821" spans="11:11" hidden="1" x14ac:dyDescent="0.2">
      <c r="K821" t="str">
        <f>IF(H821&lt;&gt;0,I821*#REF!,"")</f>
        <v/>
      </c>
    </row>
    <row r="822" spans="11:11" hidden="1" x14ac:dyDescent="0.2">
      <c r="K822" t="str">
        <f>IF(H822&lt;&gt;0,I822*#REF!,"")</f>
        <v/>
      </c>
    </row>
    <row r="823" spans="11:11" hidden="1" x14ac:dyDescent="0.2">
      <c r="K823" t="str">
        <f>IF(H823&lt;&gt;0,I823*#REF!,"")</f>
        <v/>
      </c>
    </row>
    <row r="824" spans="11:11" hidden="1" x14ac:dyDescent="0.2">
      <c r="K824" t="str">
        <f>IF(H824&lt;&gt;0,I824*#REF!,"")</f>
        <v/>
      </c>
    </row>
    <row r="825" spans="11:11" hidden="1" x14ac:dyDescent="0.2">
      <c r="K825" t="str">
        <f>IF(H825&lt;&gt;0,I825*#REF!,"")</f>
        <v/>
      </c>
    </row>
    <row r="826" spans="11:11" hidden="1" x14ac:dyDescent="0.2">
      <c r="K826" t="str">
        <f>IF(H826&lt;&gt;0,I826*#REF!,"")</f>
        <v/>
      </c>
    </row>
    <row r="827" spans="11:11" hidden="1" x14ac:dyDescent="0.2">
      <c r="K827" t="str">
        <f>IF(H827&lt;&gt;0,I827*#REF!,"")</f>
        <v/>
      </c>
    </row>
    <row r="828" spans="11:11" hidden="1" x14ac:dyDescent="0.2">
      <c r="K828" t="str">
        <f>IF(H828&lt;&gt;0,I828*#REF!,"")</f>
        <v/>
      </c>
    </row>
    <row r="829" spans="11:11" hidden="1" x14ac:dyDescent="0.2">
      <c r="K829" t="str">
        <f>IF(H829&lt;&gt;0,I829*#REF!,"")</f>
        <v/>
      </c>
    </row>
    <row r="830" spans="11:11" hidden="1" x14ac:dyDescent="0.2">
      <c r="K830" t="str">
        <f>IF(H830&lt;&gt;0,I830*#REF!,"")</f>
        <v/>
      </c>
    </row>
    <row r="831" spans="11:11" hidden="1" x14ac:dyDescent="0.2">
      <c r="K831" t="str">
        <f>IF(H831&lt;&gt;0,I831*#REF!,"")</f>
        <v/>
      </c>
    </row>
    <row r="832" spans="11:11" hidden="1" x14ac:dyDescent="0.2">
      <c r="K832" t="str">
        <f>IF(H832&lt;&gt;0,I832*#REF!,"")</f>
        <v/>
      </c>
    </row>
    <row r="833" spans="11:11" hidden="1" x14ac:dyDescent="0.2">
      <c r="K833" t="str">
        <f>IF(H833&lt;&gt;0,I833*#REF!,"")</f>
        <v/>
      </c>
    </row>
    <row r="834" spans="11:11" hidden="1" x14ac:dyDescent="0.2">
      <c r="K834" t="str">
        <f>IF(H834&lt;&gt;0,I834*#REF!,"")</f>
        <v/>
      </c>
    </row>
    <row r="835" spans="11:11" hidden="1" x14ac:dyDescent="0.2">
      <c r="K835" t="str">
        <f>IF(H835&lt;&gt;0,I835*#REF!,"")</f>
        <v/>
      </c>
    </row>
    <row r="836" spans="11:11" hidden="1" x14ac:dyDescent="0.2">
      <c r="K836" t="str">
        <f>IF(H836&lt;&gt;0,I836*#REF!,"")</f>
        <v/>
      </c>
    </row>
    <row r="837" spans="11:11" hidden="1" x14ac:dyDescent="0.2">
      <c r="K837" t="str">
        <f>IF(H837&lt;&gt;0,I837*#REF!,"")</f>
        <v/>
      </c>
    </row>
    <row r="838" spans="11:11" hidden="1" x14ac:dyDescent="0.2">
      <c r="K838" t="str">
        <f>IF(H838&lt;&gt;0,I838*#REF!,"")</f>
        <v/>
      </c>
    </row>
    <row r="839" spans="11:11" hidden="1" x14ac:dyDescent="0.2">
      <c r="K839" t="str">
        <f>IF(H839&lt;&gt;0,I839*#REF!,"")</f>
        <v/>
      </c>
    </row>
    <row r="840" spans="11:11" hidden="1" x14ac:dyDescent="0.2">
      <c r="K840" t="str">
        <f>IF(H840&lt;&gt;0,I840*#REF!,"")</f>
        <v/>
      </c>
    </row>
    <row r="841" spans="11:11" hidden="1" x14ac:dyDescent="0.2">
      <c r="K841" t="str">
        <f>IF(H841&lt;&gt;0,I841*#REF!,"")</f>
        <v/>
      </c>
    </row>
    <row r="842" spans="11:11" hidden="1" x14ac:dyDescent="0.2">
      <c r="K842" t="str">
        <f>IF(H842&lt;&gt;0,I842*#REF!,"")</f>
        <v/>
      </c>
    </row>
    <row r="843" spans="11:11" hidden="1" x14ac:dyDescent="0.2">
      <c r="K843" t="str">
        <f>IF(H843&lt;&gt;0,I843*#REF!,"")</f>
        <v/>
      </c>
    </row>
    <row r="844" spans="11:11" hidden="1" x14ac:dyDescent="0.2">
      <c r="K844" t="str">
        <f>IF(H844&lt;&gt;0,I844*#REF!,"")</f>
        <v/>
      </c>
    </row>
    <row r="845" spans="11:11" hidden="1" x14ac:dyDescent="0.2">
      <c r="K845" t="str">
        <f>IF(H845&lt;&gt;0,I845*#REF!,"")</f>
        <v/>
      </c>
    </row>
    <row r="846" spans="11:11" hidden="1" x14ac:dyDescent="0.2">
      <c r="K846" t="str">
        <f>IF(H846&lt;&gt;0,I846*#REF!,"")</f>
        <v/>
      </c>
    </row>
    <row r="847" spans="11:11" hidden="1" x14ac:dyDescent="0.2">
      <c r="K847" t="str">
        <f>IF(H847&lt;&gt;0,I847*#REF!,"")</f>
        <v/>
      </c>
    </row>
    <row r="848" spans="11:11" hidden="1" x14ac:dyDescent="0.2">
      <c r="K848" t="str">
        <f>IF(H848&lt;&gt;0,I848*#REF!,"")</f>
        <v/>
      </c>
    </row>
    <row r="849" spans="11:11" hidden="1" x14ac:dyDescent="0.2">
      <c r="K849" t="str">
        <f>IF(H849&lt;&gt;0,I849*#REF!,"")</f>
        <v/>
      </c>
    </row>
    <row r="850" spans="11:11" hidden="1" x14ac:dyDescent="0.2">
      <c r="K850" t="str">
        <f>IF(H850&lt;&gt;0,I850*#REF!,"")</f>
        <v/>
      </c>
    </row>
    <row r="851" spans="11:11" hidden="1" x14ac:dyDescent="0.2">
      <c r="K851" t="str">
        <f>IF(H851&lt;&gt;0,I851*#REF!,"")</f>
        <v/>
      </c>
    </row>
    <row r="852" spans="11:11" hidden="1" x14ac:dyDescent="0.2">
      <c r="K852" t="str">
        <f>IF(H852&lt;&gt;0,I852*#REF!,"")</f>
        <v/>
      </c>
    </row>
    <row r="853" spans="11:11" hidden="1" x14ac:dyDescent="0.2">
      <c r="K853" t="str">
        <f>IF(H853&lt;&gt;0,I853*#REF!,"")</f>
        <v/>
      </c>
    </row>
    <row r="854" spans="11:11" hidden="1" x14ac:dyDescent="0.2">
      <c r="K854" t="str">
        <f>IF(H854&lt;&gt;0,I854*#REF!,"")</f>
        <v/>
      </c>
    </row>
    <row r="855" spans="11:11" hidden="1" x14ac:dyDescent="0.2">
      <c r="K855" t="str">
        <f>IF(H855&lt;&gt;0,I855*#REF!,"")</f>
        <v/>
      </c>
    </row>
    <row r="856" spans="11:11" hidden="1" x14ac:dyDescent="0.2">
      <c r="K856" t="str">
        <f>IF(H856&lt;&gt;0,I856*#REF!,"")</f>
        <v/>
      </c>
    </row>
    <row r="857" spans="11:11" hidden="1" x14ac:dyDescent="0.2">
      <c r="K857" t="str">
        <f>IF(H857&lt;&gt;0,I857*#REF!,"")</f>
        <v/>
      </c>
    </row>
    <row r="858" spans="11:11" hidden="1" x14ac:dyDescent="0.2">
      <c r="K858" t="str">
        <f>IF(H858&lt;&gt;0,I858*#REF!,"")</f>
        <v/>
      </c>
    </row>
    <row r="859" spans="11:11" hidden="1" x14ac:dyDescent="0.2">
      <c r="K859" t="str">
        <f>IF(H859&lt;&gt;0,I859*#REF!,"")</f>
        <v/>
      </c>
    </row>
    <row r="860" spans="11:11" hidden="1" x14ac:dyDescent="0.2">
      <c r="K860" t="str">
        <f>IF(H860&lt;&gt;0,I860*#REF!,"")</f>
        <v/>
      </c>
    </row>
    <row r="861" spans="11:11" hidden="1" x14ac:dyDescent="0.2">
      <c r="K861" t="str">
        <f>IF(H861&lt;&gt;0,I861*#REF!,"")</f>
        <v/>
      </c>
    </row>
    <row r="862" spans="11:11" hidden="1" x14ac:dyDescent="0.2">
      <c r="K862" t="str">
        <f>IF(H862&lt;&gt;0,I862*#REF!,"")</f>
        <v/>
      </c>
    </row>
    <row r="863" spans="11:11" hidden="1" x14ac:dyDescent="0.2">
      <c r="K863" t="str">
        <f>IF(H863&lt;&gt;0,I863*#REF!,"")</f>
        <v/>
      </c>
    </row>
    <row r="864" spans="11:11" hidden="1" x14ac:dyDescent="0.2">
      <c r="K864" t="str">
        <f>IF(H864&lt;&gt;0,I864*#REF!,"")</f>
        <v/>
      </c>
    </row>
    <row r="865" spans="11:11" hidden="1" x14ac:dyDescent="0.2">
      <c r="K865" t="str">
        <f>IF(H865&lt;&gt;0,I865*#REF!,"")</f>
        <v/>
      </c>
    </row>
    <row r="866" spans="11:11" hidden="1" x14ac:dyDescent="0.2">
      <c r="K866" t="str">
        <f>IF(H866&lt;&gt;0,I866*#REF!,"")</f>
        <v/>
      </c>
    </row>
    <row r="867" spans="11:11" hidden="1" x14ac:dyDescent="0.2">
      <c r="K867" t="str">
        <f>IF(H867&lt;&gt;0,I867*#REF!,"")</f>
        <v/>
      </c>
    </row>
    <row r="868" spans="11:11" hidden="1" x14ac:dyDescent="0.2">
      <c r="K868" t="str">
        <f>IF(H868&lt;&gt;0,I868*#REF!,"")</f>
        <v/>
      </c>
    </row>
    <row r="869" spans="11:11" hidden="1" x14ac:dyDescent="0.2">
      <c r="K869" t="str">
        <f>IF(H869&lt;&gt;0,I869*#REF!,"")</f>
        <v/>
      </c>
    </row>
    <row r="870" spans="11:11" hidden="1" x14ac:dyDescent="0.2">
      <c r="K870" t="str">
        <f>IF(H870&lt;&gt;0,I870*#REF!,"")</f>
        <v/>
      </c>
    </row>
    <row r="871" spans="11:11" hidden="1" x14ac:dyDescent="0.2">
      <c r="K871" t="str">
        <f>IF(H871&lt;&gt;0,I871*#REF!,"")</f>
        <v/>
      </c>
    </row>
    <row r="872" spans="11:11" hidden="1" x14ac:dyDescent="0.2">
      <c r="K872" t="str">
        <f>IF(H872&lt;&gt;0,I872*#REF!,"")</f>
        <v/>
      </c>
    </row>
    <row r="873" spans="11:11" hidden="1" x14ac:dyDescent="0.2">
      <c r="K873" t="str">
        <f>IF(H873&lt;&gt;0,I873*#REF!,"")</f>
        <v/>
      </c>
    </row>
    <row r="874" spans="11:11" hidden="1" x14ac:dyDescent="0.2">
      <c r="K874" t="str">
        <f>IF(H874&lt;&gt;0,I874*#REF!,"")</f>
        <v/>
      </c>
    </row>
    <row r="875" spans="11:11" hidden="1" x14ac:dyDescent="0.2">
      <c r="K875" t="str">
        <f>IF(H875&lt;&gt;0,I875*#REF!,"")</f>
        <v/>
      </c>
    </row>
    <row r="876" spans="11:11" hidden="1" x14ac:dyDescent="0.2">
      <c r="K876" t="str">
        <f>IF(H876&lt;&gt;0,I876*#REF!,"")</f>
        <v/>
      </c>
    </row>
    <row r="877" spans="11:11" hidden="1" x14ac:dyDescent="0.2">
      <c r="K877" t="str">
        <f>IF(H877&lt;&gt;0,I877*#REF!,"")</f>
        <v/>
      </c>
    </row>
    <row r="878" spans="11:11" hidden="1" x14ac:dyDescent="0.2">
      <c r="K878" t="str">
        <f>IF(H878&lt;&gt;0,I878*#REF!,"")</f>
        <v/>
      </c>
    </row>
    <row r="879" spans="11:11" hidden="1" x14ac:dyDescent="0.2">
      <c r="K879" t="str">
        <f>IF(H879&lt;&gt;0,I879*#REF!,"")</f>
        <v/>
      </c>
    </row>
    <row r="880" spans="11:11" hidden="1" x14ac:dyDescent="0.2">
      <c r="K880" t="str">
        <f>IF(H880&lt;&gt;0,I880*#REF!,"")</f>
        <v/>
      </c>
    </row>
    <row r="881" spans="11:11" hidden="1" x14ac:dyDescent="0.2">
      <c r="K881" t="str">
        <f>IF(H881&lt;&gt;0,I881*#REF!,"")</f>
        <v/>
      </c>
    </row>
    <row r="882" spans="11:11" hidden="1" x14ac:dyDescent="0.2">
      <c r="K882" t="str">
        <f>IF(H882&lt;&gt;0,I882*#REF!,"")</f>
        <v/>
      </c>
    </row>
    <row r="883" spans="11:11" hidden="1" x14ac:dyDescent="0.2">
      <c r="K883" t="str">
        <f>IF(H883&lt;&gt;0,I883*#REF!,"")</f>
        <v/>
      </c>
    </row>
    <row r="884" spans="11:11" hidden="1" x14ac:dyDescent="0.2">
      <c r="K884" t="str">
        <f>IF(H884&lt;&gt;0,I884*#REF!,"")</f>
        <v/>
      </c>
    </row>
    <row r="885" spans="11:11" hidden="1" x14ac:dyDescent="0.2">
      <c r="K885" t="str">
        <f>IF(H885&lt;&gt;0,I885*#REF!,"")</f>
        <v/>
      </c>
    </row>
    <row r="886" spans="11:11" hidden="1" x14ac:dyDescent="0.2">
      <c r="K886" t="str">
        <f>IF(H886&lt;&gt;0,I886*#REF!,"")</f>
        <v/>
      </c>
    </row>
    <row r="887" spans="11:11" hidden="1" x14ac:dyDescent="0.2">
      <c r="K887" t="str">
        <f>IF(H887&lt;&gt;0,I887*#REF!,"")</f>
        <v/>
      </c>
    </row>
    <row r="888" spans="11:11" hidden="1" x14ac:dyDescent="0.2">
      <c r="K888" t="str">
        <f>IF(H888&lt;&gt;0,I888*#REF!,"")</f>
        <v/>
      </c>
    </row>
    <row r="889" spans="11:11" hidden="1" x14ac:dyDescent="0.2">
      <c r="K889" t="str">
        <f>IF(H889&lt;&gt;0,I889*#REF!,"")</f>
        <v/>
      </c>
    </row>
    <row r="890" spans="11:11" hidden="1" x14ac:dyDescent="0.2">
      <c r="K890" t="str">
        <f>IF(H890&lt;&gt;0,I890*#REF!,"")</f>
        <v/>
      </c>
    </row>
    <row r="891" spans="11:11" hidden="1" x14ac:dyDescent="0.2">
      <c r="K891" t="str">
        <f>IF(H891&lt;&gt;0,I891*#REF!,"")</f>
        <v/>
      </c>
    </row>
    <row r="892" spans="11:11" hidden="1" x14ac:dyDescent="0.2">
      <c r="K892" t="str">
        <f>IF(H892&lt;&gt;0,I892*#REF!,"")</f>
        <v/>
      </c>
    </row>
    <row r="893" spans="11:11" hidden="1" x14ac:dyDescent="0.2">
      <c r="K893" t="str">
        <f>IF(H893&lt;&gt;0,I893*#REF!,"")</f>
        <v/>
      </c>
    </row>
    <row r="894" spans="11:11" hidden="1" x14ac:dyDescent="0.2">
      <c r="K894" t="str">
        <f>IF(H894&lt;&gt;0,I894*#REF!,"")</f>
        <v/>
      </c>
    </row>
    <row r="895" spans="11:11" hidden="1" x14ac:dyDescent="0.2">
      <c r="K895" t="str">
        <f>IF(H895&lt;&gt;0,I895*#REF!,"")</f>
        <v/>
      </c>
    </row>
    <row r="896" spans="11:11" hidden="1" x14ac:dyDescent="0.2">
      <c r="K896" t="str">
        <f>IF(H896&lt;&gt;0,I896*#REF!,"")</f>
        <v/>
      </c>
    </row>
    <row r="897" spans="11:11" hidden="1" x14ac:dyDescent="0.2">
      <c r="K897" t="str">
        <f>IF(H897&lt;&gt;0,I897*#REF!,"")</f>
        <v/>
      </c>
    </row>
    <row r="898" spans="11:11" hidden="1" x14ac:dyDescent="0.2">
      <c r="K898" t="str">
        <f>IF(H898&lt;&gt;0,I898*#REF!,"")</f>
        <v/>
      </c>
    </row>
    <row r="899" spans="11:11" hidden="1" x14ac:dyDescent="0.2">
      <c r="K899" t="str">
        <f>IF(H899&lt;&gt;0,I899*#REF!,"")</f>
        <v/>
      </c>
    </row>
    <row r="900" spans="11:11" hidden="1" x14ac:dyDescent="0.2">
      <c r="K900" t="str">
        <f>IF(H900&lt;&gt;0,I900*#REF!,"")</f>
        <v/>
      </c>
    </row>
    <row r="901" spans="11:11" hidden="1" x14ac:dyDescent="0.2">
      <c r="K901" t="str">
        <f>IF(H901&lt;&gt;0,I901*#REF!,"")</f>
        <v/>
      </c>
    </row>
    <row r="902" spans="11:11" hidden="1" x14ac:dyDescent="0.2">
      <c r="K902" t="str">
        <f>IF(H902&lt;&gt;0,I902*#REF!,"")</f>
        <v/>
      </c>
    </row>
    <row r="903" spans="11:11" hidden="1" x14ac:dyDescent="0.2">
      <c r="K903" t="str">
        <f>IF(H903&lt;&gt;0,I903*#REF!,"")</f>
        <v/>
      </c>
    </row>
    <row r="904" spans="11:11" hidden="1" x14ac:dyDescent="0.2">
      <c r="K904" t="str">
        <f>IF(H904&lt;&gt;0,I904*#REF!,"")</f>
        <v/>
      </c>
    </row>
    <row r="905" spans="11:11" hidden="1" x14ac:dyDescent="0.2">
      <c r="K905" t="str">
        <f>IF(H905&lt;&gt;0,I905*#REF!,"")</f>
        <v/>
      </c>
    </row>
    <row r="906" spans="11:11" hidden="1" x14ac:dyDescent="0.2">
      <c r="K906" t="str">
        <f>IF(H906&lt;&gt;0,I906*#REF!,"")</f>
        <v/>
      </c>
    </row>
    <row r="907" spans="11:11" hidden="1" x14ac:dyDescent="0.2">
      <c r="K907" t="str">
        <f>IF(H907&lt;&gt;0,I907*#REF!,"")</f>
        <v/>
      </c>
    </row>
    <row r="908" spans="11:11" hidden="1" x14ac:dyDescent="0.2">
      <c r="K908" t="str">
        <f>IF(H908&lt;&gt;0,I908*#REF!,"")</f>
        <v/>
      </c>
    </row>
    <row r="909" spans="11:11" hidden="1" x14ac:dyDescent="0.2">
      <c r="K909" t="str">
        <f>IF(H909&lt;&gt;0,I909*#REF!,"")</f>
        <v/>
      </c>
    </row>
    <row r="910" spans="11:11" hidden="1" x14ac:dyDescent="0.2">
      <c r="K910" t="str">
        <f>IF(H910&lt;&gt;0,I910*#REF!,"")</f>
        <v/>
      </c>
    </row>
    <row r="911" spans="11:11" hidden="1" x14ac:dyDescent="0.2">
      <c r="K911" t="str">
        <f>IF(H911&lt;&gt;0,I911*#REF!,"")</f>
        <v/>
      </c>
    </row>
    <row r="912" spans="11:11" hidden="1" x14ac:dyDescent="0.2">
      <c r="K912" t="str">
        <f>IF(H912&lt;&gt;0,I912*#REF!,"")</f>
        <v/>
      </c>
    </row>
    <row r="913" spans="11:11" hidden="1" x14ac:dyDescent="0.2">
      <c r="K913" t="str">
        <f>IF(H913&lt;&gt;0,I913*#REF!,"")</f>
        <v/>
      </c>
    </row>
    <row r="914" spans="11:11" hidden="1" x14ac:dyDescent="0.2">
      <c r="K914" t="str">
        <f>IF(H914&lt;&gt;0,I914*#REF!,"")</f>
        <v/>
      </c>
    </row>
    <row r="915" spans="11:11" hidden="1" x14ac:dyDescent="0.2">
      <c r="K915" t="str">
        <f>IF(H915&lt;&gt;0,I915*#REF!,"")</f>
        <v/>
      </c>
    </row>
    <row r="916" spans="11:11" hidden="1" x14ac:dyDescent="0.2">
      <c r="K916" t="str">
        <f>IF(H916&lt;&gt;0,I916*#REF!,"")</f>
        <v/>
      </c>
    </row>
    <row r="917" spans="11:11" hidden="1" x14ac:dyDescent="0.2">
      <c r="K917" t="str">
        <f>IF(H917&lt;&gt;0,I917*#REF!,"")</f>
        <v/>
      </c>
    </row>
    <row r="918" spans="11:11" hidden="1" x14ac:dyDescent="0.2">
      <c r="K918" t="str">
        <f>IF(H918&lt;&gt;0,I918*#REF!,"")</f>
        <v/>
      </c>
    </row>
    <row r="919" spans="11:11" hidden="1" x14ac:dyDescent="0.2">
      <c r="K919" t="str">
        <f>IF(H919&lt;&gt;0,I919*#REF!,"")</f>
        <v/>
      </c>
    </row>
    <row r="920" spans="11:11" hidden="1" x14ac:dyDescent="0.2">
      <c r="K920" t="str">
        <f>IF(H920&lt;&gt;0,I920*#REF!,"")</f>
        <v/>
      </c>
    </row>
    <row r="921" spans="11:11" hidden="1" x14ac:dyDescent="0.2">
      <c r="K921" t="str">
        <f>IF(H921&lt;&gt;0,I921*#REF!,"")</f>
        <v/>
      </c>
    </row>
    <row r="922" spans="11:11" hidden="1" x14ac:dyDescent="0.2">
      <c r="K922" t="str">
        <f>IF(H922&lt;&gt;0,I922*#REF!,"")</f>
        <v/>
      </c>
    </row>
    <row r="923" spans="11:11" hidden="1" x14ac:dyDescent="0.2">
      <c r="K923" t="str">
        <f>IF(H923&lt;&gt;0,I923*#REF!,"")</f>
        <v/>
      </c>
    </row>
    <row r="924" spans="11:11" hidden="1" x14ac:dyDescent="0.2">
      <c r="K924" t="str">
        <f>IF(H924&lt;&gt;0,I924*#REF!,"")</f>
        <v/>
      </c>
    </row>
    <row r="925" spans="11:11" hidden="1" x14ac:dyDescent="0.2">
      <c r="K925" t="str">
        <f>IF(H925&lt;&gt;0,I925*#REF!,"")</f>
        <v/>
      </c>
    </row>
    <row r="926" spans="11:11" hidden="1" x14ac:dyDescent="0.2">
      <c r="K926" t="str">
        <f>IF(H926&lt;&gt;0,I926*#REF!,"")</f>
        <v/>
      </c>
    </row>
    <row r="927" spans="11:11" hidden="1" x14ac:dyDescent="0.2">
      <c r="K927" t="str">
        <f>IF(H927&lt;&gt;0,I927*#REF!,"")</f>
        <v/>
      </c>
    </row>
    <row r="928" spans="11:11" hidden="1" x14ac:dyDescent="0.2">
      <c r="K928" t="str">
        <f>IF(H928&lt;&gt;0,I928*#REF!,"")</f>
        <v/>
      </c>
    </row>
    <row r="929" spans="11:11" hidden="1" x14ac:dyDescent="0.2">
      <c r="K929" t="str">
        <f>IF(H929&lt;&gt;0,I929*#REF!,"")</f>
        <v/>
      </c>
    </row>
    <row r="930" spans="11:11" hidden="1" x14ac:dyDescent="0.2">
      <c r="K930" t="str">
        <f>IF(H930&lt;&gt;0,I930*#REF!,"")</f>
        <v/>
      </c>
    </row>
    <row r="931" spans="11:11" hidden="1" x14ac:dyDescent="0.2">
      <c r="K931" t="str">
        <f>IF(H931&lt;&gt;0,I931*#REF!,"")</f>
        <v/>
      </c>
    </row>
    <row r="932" spans="11:11" hidden="1" x14ac:dyDescent="0.2">
      <c r="K932" t="str">
        <f>IF(H932&lt;&gt;0,I932*#REF!,"")</f>
        <v/>
      </c>
    </row>
    <row r="933" spans="11:11" hidden="1" x14ac:dyDescent="0.2">
      <c r="K933" t="str">
        <f>IF(H933&lt;&gt;0,I933*#REF!,"")</f>
        <v/>
      </c>
    </row>
    <row r="934" spans="11:11" hidden="1" x14ac:dyDescent="0.2">
      <c r="K934" t="str">
        <f>IF(H934&lt;&gt;0,I934*#REF!,"")</f>
        <v/>
      </c>
    </row>
    <row r="935" spans="11:11" hidden="1" x14ac:dyDescent="0.2">
      <c r="K935" t="str">
        <f>IF(H935&lt;&gt;0,I935*#REF!,"")</f>
        <v/>
      </c>
    </row>
    <row r="936" spans="11:11" hidden="1" x14ac:dyDescent="0.2">
      <c r="K936" t="str">
        <f>IF(H936&lt;&gt;0,I936*#REF!,"")</f>
        <v/>
      </c>
    </row>
    <row r="937" spans="11:11" hidden="1" x14ac:dyDescent="0.2">
      <c r="K937" t="str">
        <f>IF(H937&lt;&gt;0,I937*#REF!,"")</f>
        <v/>
      </c>
    </row>
    <row r="938" spans="11:11" hidden="1" x14ac:dyDescent="0.2">
      <c r="K938" t="str">
        <f>IF(H938&lt;&gt;0,I938*#REF!,"")</f>
        <v/>
      </c>
    </row>
    <row r="939" spans="11:11" hidden="1" x14ac:dyDescent="0.2">
      <c r="K939" t="str">
        <f>IF(H939&lt;&gt;0,I939*#REF!,"")</f>
        <v/>
      </c>
    </row>
    <row r="940" spans="11:11" hidden="1" x14ac:dyDescent="0.2">
      <c r="K940" t="str">
        <f>IF(H940&lt;&gt;0,I940*#REF!,"")</f>
        <v/>
      </c>
    </row>
    <row r="941" spans="11:11" hidden="1" x14ac:dyDescent="0.2">
      <c r="K941" t="str">
        <f>IF(H941&lt;&gt;0,I941*#REF!,"")</f>
        <v/>
      </c>
    </row>
    <row r="942" spans="11:11" hidden="1" x14ac:dyDescent="0.2">
      <c r="K942" t="str">
        <f>IF(H942&lt;&gt;0,I942*#REF!,"")</f>
        <v/>
      </c>
    </row>
    <row r="943" spans="11:11" hidden="1" x14ac:dyDescent="0.2">
      <c r="K943" t="str">
        <f>IF(H943&lt;&gt;0,I943*#REF!,"")</f>
        <v/>
      </c>
    </row>
    <row r="944" spans="11:11" hidden="1" x14ac:dyDescent="0.2">
      <c r="K944" t="str">
        <f>IF(H944&lt;&gt;0,I944*#REF!,"")</f>
        <v/>
      </c>
    </row>
    <row r="945" spans="11:11" hidden="1" x14ac:dyDescent="0.2">
      <c r="K945" t="str">
        <f>IF(H945&lt;&gt;0,I945*#REF!,"")</f>
        <v/>
      </c>
    </row>
    <row r="946" spans="11:11" hidden="1" x14ac:dyDescent="0.2">
      <c r="K946" t="str">
        <f>IF(H946&lt;&gt;0,I946*#REF!,"")</f>
        <v/>
      </c>
    </row>
    <row r="947" spans="11:11" hidden="1" x14ac:dyDescent="0.2">
      <c r="K947" t="str">
        <f>IF(H947&lt;&gt;0,I947*#REF!,"")</f>
        <v/>
      </c>
    </row>
    <row r="948" spans="11:11" hidden="1" x14ac:dyDescent="0.2">
      <c r="K948" t="str">
        <f>IF(H948&lt;&gt;0,I948*#REF!,"")</f>
        <v/>
      </c>
    </row>
    <row r="949" spans="11:11" hidden="1" x14ac:dyDescent="0.2">
      <c r="K949" t="str">
        <f>IF(H949&lt;&gt;0,I949*#REF!,"")</f>
        <v/>
      </c>
    </row>
    <row r="950" spans="11:11" hidden="1" x14ac:dyDescent="0.2">
      <c r="K950" t="str">
        <f>IF(H950&lt;&gt;0,I950*#REF!,"")</f>
        <v/>
      </c>
    </row>
    <row r="951" spans="11:11" hidden="1" x14ac:dyDescent="0.2">
      <c r="K951" t="str">
        <f>IF(H951&lt;&gt;0,I951*#REF!,"")</f>
        <v/>
      </c>
    </row>
    <row r="952" spans="11:11" hidden="1" x14ac:dyDescent="0.2">
      <c r="K952" t="str">
        <f>IF(H952&lt;&gt;0,I952*#REF!,"")</f>
        <v/>
      </c>
    </row>
    <row r="953" spans="11:11" hidden="1" x14ac:dyDescent="0.2">
      <c r="K953" t="str">
        <f>IF(H953&lt;&gt;0,I953*#REF!,"")</f>
        <v/>
      </c>
    </row>
    <row r="954" spans="11:11" hidden="1" x14ac:dyDescent="0.2">
      <c r="K954" t="str">
        <f>IF(H954&lt;&gt;0,I954*#REF!,"")</f>
        <v/>
      </c>
    </row>
    <row r="955" spans="11:11" hidden="1" x14ac:dyDescent="0.2">
      <c r="K955" t="str">
        <f>IF(H955&lt;&gt;0,I955*#REF!,"")</f>
        <v/>
      </c>
    </row>
    <row r="956" spans="11:11" hidden="1" x14ac:dyDescent="0.2">
      <c r="K956" t="str">
        <f>IF(H956&lt;&gt;0,I956*#REF!,"")</f>
        <v/>
      </c>
    </row>
    <row r="957" spans="11:11" hidden="1" x14ac:dyDescent="0.2">
      <c r="K957" t="str">
        <f>IF(H957&lt;&gt;0,I957*#REF!,"")</f>
        <v/>
      </c>
    </row>
    <row r="958" spans="11:11" hidden="1" x14ac:dyDescent="0.2">
      <c r="K958" t="str">
        <f>IF(H958&lt;&gt;0,I958*#REF!,"")</f>
        <v/>
      </c>
    </row>
    <row r="959" spans="11:11" hidden="1" x14ac:dyDescent="0.2">
      <c r="K959" t="str">
        <f>IF(H959&lt;&gt;0,I959*#REF!,"")</f>
        <v/>
      </c>
    </row>
    <row r="960" spans="11:11" hidden="1" x14ac:dyDescent="0.2">
      <c r="K960" t="str">
        <f>IF(H960&lt;&gt;0,I960*#REF!,"")</f>
        <v/>
      </c>
    </row>
    <row r="961" spans="11:11" hidden="1" x14ac:dyDescent="0.2">
      <c r="K961" t="str">
        <f>IF(H961&lt;&gt;0,I961*#REF!,"")</f>
        <v/>
      </c>
    </row>
    <row r="962" spans="11:11" hidden="1" x14ac:dyDescent="0.2">
      <c r="K962" t="str">
        <f>IF(H962&lt;&gt;0,I962*#REF!,"")</f>
        <v/>
      </c>
    </row>
    <row r="963" spans="11:11" hidden="1" x14ac:dyDescent="0.2">
      <c r="K963" t="str">
        <f>IF(H963&lt;&gt;0,I963*#REF!,"")</f>
        <v/>
      </c>
    </row>
    <row r="964" spans="11:11" hidden="1" x14ac:dyDescent="0.2">
      <c r="K964" t="str">
        <f>IF(H964&lt;&gt;0,I964*#REF!,"")</f>
        <v/>
      </c>
    </row>
    <row r="965" spans="11:11" hidden="1" x14ac:dyDescent="0.2">
      <c r="K965" t="str">
        <f>IF(H965&lt;&gt;0,I965*#REF!,"")</f>
        <v/>
      </c>
    </row>
    <row r="966" spans="11:11" hidden="1" x14ac:dyDescent="0.2">
      <c r="K966" t="str">
        <f>IF(H966&lt;&gt;0,I966*#REF!,"")</f>
        <v/>
      </c>
    </row>
    <row r="967" spans="11:11" hidden="1" x14ac:dyDescent="0.2">
      <c r="K967" t="str">
        <f>IF(H967&lt;&gt;0,I967*#REF!,"")</f>
        <v/>
      </c>
    </row>
    <row r="968" spans="11:11" hidden="1" x14ac:dyDescent="0.2">
      <c r="K968" t="str">
        <f>IF(H968&lt;&gt;0,I968*#REF!,"")</f>
        <v/>
      </c>
    </row>
    <row r="969" spans="11:11" hidden="1" x14ac:dyDescent="0.2">
      <c r="K969" t="str">
        <f>IF(H969&lt;&gt;0,I969*#REF!,"")</f>
        <v/>
      </c>
    </row>
    <row r="970" spans="11:11" hidden="1" x14ac:dyDescent="0.2">
      <c r="K970" t="str">
        <f>IF(H970&lt;&gt;0,I970*#REF!,"")</f>
        <v/>
      </c>
    </row>
    <row r="971" spans="11:11" hidden="1" x14ac:dyDescent="0.2">
      <c r="K971" t="str">
        <f>IF(H971&lt;&gt;0,I971*#REF!,"")</f>
        <v/>
      </c>
    </row>
    <row r="972" spans="11:11" hidden="1" x14ac:dyDescent="0.2">
      <c r="K972" t="str">
        <f>IF(H972&lt;&gt;0,I972*#REF!,"")</f>
        <v/>
      </c>
    </row>
    <row r="973" spans="11:11" hidden="1" x14ac:dyDescent="0.2">
      <c r="K973" t="str">
        <f>IF(H973&lt;&gt;0,I973*#REF!,"")</f>
        <v/>
      </c>
    </row>
    <row r="974" spans="11:11" hidden="1" x14ac:dyDescent="0.2">
      <c r="K974" t="str">
        <f>IF(H974&lt;&gt;0,I974*#REF!,"")</f>
        <v/>
      </c>
    </row>
    <row r="975" spans="11:11" hidden="1" x14ac:dyDescent="0.2">
      <c r="K975" t="str">
        <f>IF(H975&lt;&gt;0,I975*#REF!,"")</f>
        <v/>
      </c>
    </row>
    <row r="976" spans="11:11" hidden="1" x14ac:dyDescent="0.2">
      <c r="K976" t="str">
        <f>IF(H976&lt;&gt;0,I976*#REF!,"")</f>
        <v/>
      </c>
    </row>
    <row r="977" spans="11:11" hidden="1" x14ac:dyDescent="0.2">
      <c r="K977" t="str">
        <f>IF(H977&lt;&gt;0,I977*#REF!,"")</f>
        <v/>
      </c>
    </row>
    <row r="978" spans="11:11" hidden="1" x14ac:dyDescent="0.2">
      <c r="K978" t="str">
        <f>IF(H978&lt;&gt;0,I978*#REF!,"")</f>
        <v/>
      </c>
    </row>
    <row r="979" spans="11:11" hidden="1" x14ac:dyDescent="0.2">
      <c r="K979" t="str">
        <f>IF(H979&lt;&gt;0,I979*#REF!,"")</f>
        <v/>
      </c>
    </row>
    <row r="980" spans="11:11" hidden="1" x14ac:dyDescent="0.2">
      <c r="K980" t="str">
        <f>IF(H980&lt;&gt;0,I980*#REF!,"")</f>
        <v/>
      </c>
    </row>
    <row r="981" spans="11:11" hidden="1" x14ac:dyDescent="0.2">
      <c r="K981" t="str">
        <f>IF(H981&lt;&gt;0,I981*#REF!,"")</f>
        <v/>
      </c>
    </row>
    <row r="982" spans="11:11" hidden="1" x14ac:dyDescent="0.2">
      <c r="K982" t="str">
        <f>IF(H982&lt;&gt;0,I982*#REF!,"")</f>
        <v/>
      </c>
    </row>
    <row r="983" spans="11:11" hidden="1" x14ac:dyDescent="0.2">
      <c r="K983" t="str">
        <f>IF(H983&lt;&gt;0,I983*#REF!,"")</f>
        <v/>
      </c>
    </row>
    <row r="984" spans="11:11" hidden="1" x14ac:dyDescent="0.2">
      <c r="K984" t="str">
        <f>IF(H984&lt;&gt;0,I984*#REF!,"")</f>
        <v/>
      </c>
    </row>
    <row r="985" spans="11:11" hidden="1" x14ac:dyDescent="0.2">
      <c r="K985" t="str">
        <f>IF(H985&lt;&gt;0,I985*#REF!,"")</f>
        <v/>
      </c>
    </row>
    <row r="986" spans="11:11" hidden="1" x14ac:dyDescent="0.2">
      <c r="K986" t="str">
        <f>IF(H986&lt;&gt;0,I986*#REF!,"")</f>
        <v/>
      </c>
    </row>
    <row r="987" spans="11:11" hidden="1" x14ac:dyDescent="0.2">
      <c r="K987" t="str">
        <f>IF(H987&lt;&gt;0,I987*#REF!,"")</f>
        <v/>
      </c>
    </row>
    <row r="988" spans="11:11" hidden="1" x14ac:dyDescent="0.2">
      <c r="K988" t="str">
        <f>IF(H988&lt;&gt;0,I988*#REF!,"")</f>
        <v/>
      </c>
    </row>
    <row r="989" spans="11:11" hidden="1" x14ac:dyDescent="0.2">
      <c r="K989" t="str">
        <f>IF(H989&lt;&gt;0,I989*#REF!,"")</f>
        <v/>
      </c>
    </row>
    <row r="990" spans="11:11" hidden="1" x14ac:dyDescent="0.2">
      <c r="K990" t="str">
        <f>IF(H990&lt;&gt;0,I990*#REF!,"")</f>
        <v/>
      </c>
    </row>
    <row r="991" spans="11:11" hidden="1" x14ac:dyDescent="0.2">
      <c r="K991" t="str">
        <f>IF(H991&lt;&gt;0,I991*#REF!,"")</f>
        <v/>
      </c>
    </row>
    <row r="992" spans="11:11" hidden="1" x14ac:dyDescent="0.2">
      <c r="K992" t="str">
        <f>IF(H992&lt;&gt;0,I992*#REF!,"")</f>
        <v/>
      </c>
    </row>
    <row r="993" spans="11:11" hidden="1" x14ac:dyDescent="0.2">
      <c r="K993" t="str">
        <f>IF(H993&lt;&gt;0,I993*#REF!,"")</f>
        <v/>
      </c>
    </row>
    <row r="994" spans="11:11" hidden="1" x14ac:dyDescent="0.2">
      <c r="K994" t="str">
        <f>IF(H994&lt;&gt;0,I994*#REF!,"")</f>
        <v/>
      </c>
    </row>
    <row r="995" spans="11:11" hidden="1" x14ac:dyDescent="0.2">
      <c r="K995" t="str">
        <f>IF(H995&lt;&gt;0,I995*#REF!,"")</f>
        <v/>
      </c>
    </row>
    <row r="996" spans="11:11" hidden="1" x14ac:dyDescent="0.2">
      <c r="K996" t="str">
        <f>IF(H996&lt;&gt;0,I996*#REF!,"")</f>
        <v/>
      </c>
    </row>
    <row r="997" spans="11:11" hidden="1" x14ac:dyDescent="0.2">
      <c r="K997" t="str">
        <f>IF(H997&lt;&gt;0,I997*#REF!,"")</f>
        <v/>
      </c>
    </row>
    <row r="998" spans="11:11" hidden="1" x14ac:dyDescent="0.2">
      <c r="K998" t="str">
        <f>IF(H998&lt;&gt;0,I998*#REF!,"")</f>
        <v/>
      </c>
    </row>
    <row r="999" spans="11:11" hidden="1" x14ac:dyDescent="0.2">
      <c r="K999" t="str">
        <f>IF(H999&lt;&gt;0,I999*#REF!,"")</f>
        <v/>
      </c>
    </row>
    <row r="1000" spans="11:11" hidden="1" x14ac:dyDescent="0.2">
      <c r="K1000" t="str">
        <f>IF(H1000&lt;&gt;0,I1000*#REF!,"")</f>
        <v/>
      </c>
    </row>
  </sheetData>
  <sheetProtection algorithmName="SHA-512" hashValue="l6lKYQbkKtN1o/ZTzk20eavUMpYhesGuezL73tX94Ibnxw0hj1v1Di7Cewu9sN+xq6KVmv/Y3wtz0neirYeSBQ==" saltValue="/U2FVnhsdgifU2rZTpturw==" spinCount="100000" sheet="1" objects="1" scenarios="1"/>
  <mergeCells count="1">
    <mergeCell ref="E4:I4"/>
  </mergeCells>
  <phoneticPr fontId="2" type="noConversion"/>
  <dataValidations count="8">
    <dataValidation type="date" operator="greaterThanOrEqual" allowBlank="1" showInputMessage="1" showErrorMessage="1" sqref="D206:D1000" xr:uid="{00000000-0002-0000-0100-000000000000}">
      <formula1>D201</formula1>
    </dataValidation>
    <dataValidation type="list" allowBlank="1" showInputMessage="1" showErrorMessage="1" sqref="H206:H1000" xr:uid="{00000000-0002-0000-0100-000001000000}">
      <formula1>cimbev</formula1>
    </dataValidation>
    <dataValidation type="whole" operator="greaterThanOrEqual" allowBlank="1" showInputMessage="1" showErrorMessage="1" sqref="I206:J1000" xr:uid="{00000000-0002-0000-0100-000002000000}">
      <formula1>1</formula1>
    </dataValidation>
    <dataValidation operator="greaterThanOrEqual" allowBlank="1" showInputMessage="1" showErrorMessage="1" sqref="J6:J205 D6:D205" xr:uid="{00000000-0002-0000-0100-000003000000}"/>
    <dataValidation type="decimal" operator="greaterThanOrEqual" allowBlank="1" showInputMessage="1" showErrorMessage="1" errorTitle="Hiba!" error="Ebbe az oszlopba csak nullánál nagyobb szám írható!" sqref="I6:I205" xr:uid="{00000000-0002-0000-0100-000004000000}">
      <formula1>0</formula1>
    </dataValidation>
    <dataValidation type="list" allowBlank="1" showInputMessage="1" showErrorMessage="1" errorTitle="Hiba" error="A helyes megnevezések elérhetőek a lenyílóban!" sqref="H201:H205" xr:uid="{00000000-0002-0000-0100-000005000000}">
      <formula1>cimbev</formula1>
    </dataValidation>
    <dataValidation type="date" allowBlank="1" showErrorMessage="1" errorTitle="Hiba!" error="Ebbe az oszlopba csak dátum írható, növekvő sorrendben." sqref="E6:E205" xr:uid="{00000000-0002-0000-0100-000006000000}">
      <formula1>$E$1</formula1>
      <formula2>kvegez</formula2>
    </dataValidation>
    <dataValidation type="list" showInputMessage="1" showErrorMessage="1" errorTitle="Hiba" error="A helyes megnevezések elérhetőek a lenyílóban!" sqref="G6:G200" xr:uid="{00000000-0002-0000-0100-000007000000}">
      <formula1>cimbev</formula1>
    </dataValidation>
  </dataValidations>
  <pageMargins left="0.75" right="0.75" top="1" bottom="1" header="0.5" footer="0.5"/>
  <pageSetup paperSize="9" orientation="portrait" r:id="rId1"/>
  <headerFooter alignWithMargins="0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37771ACA-3403-438F-B09E-A6BB06543912}">
            <xm:f>ISERROR(Kiadas!$Q6)</xm:f>
            <x14:dxf>
              <fill>
                <patternFill>
                  <bgColor rgb="FFFF0000"/>
                </patternFill>
              </fill>
            </x14:dxf>
          </x14:cfRule>
          <xm:sqref>E6:I205</xm:sqref>
        </x14:conditionalFormatting>
        <x14:conditionalFormatting xmlns:xm="http://schemas.microsoft.com/office/excel/2006/main">
          <x14:cfRule type="expression" priority="2" stopIfTrue="1" id="{0B83C906-9E97-4FFC-BA88-CABA4762FC04}">
            <xm:f>YEAR(Kiadas!$W6)&lt;&gt;YEAR(Kiadas!$W7)</xm:f>
            <x14:dxf>
              <border>
                <top style="thin">
                  <color rgb="FFFF0000"/>
                </top>
                <vertical/>
                <horizontal/>
              </border>
            </x14:dxf>
          </x14:cfRule>
          <xm:sqref>D7:L205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BA2001"/>
  <sheetViews>
    <sheetView showGridLines="0" showRowColHeaders="0" topLeftCell="D1004" zoomScale="120" zoomScaleNormal="120" workbookViewId="0">
      <selection activeCell="E1006" sqref="E1006"/>
    </sheetView>
  </sheetViews>
  <sheetFormatPr defaultColWidth="0" defaultRowHeight="18" zeroHeight="1" x14ac:dyDescent="0.25"/>
  <cols>
    <col min="1" max="1" width="7" style="91" hidden="1" customWidth="1"/>
    <col min="2" max="2" width="7.140625" hidden="1" customWidth="1"/>
    <col min="3" max="3" width="8.5703125" hidden="1" customWidth="1"/>
    <col min="4" max="4" width="10.140625" style="104" bestFit="1" customWidth="1"/>
    <col min="5" max="5" width="13.28515625" style="49" customWidth="1"/>
    <col min="6" max="6" width="38" style="49" customWidth="1"/>
    <col min="7" max="7" width="58.42578125" style="49" customWidth="1"/>
    <col min="8" max="8" width="25.7109375" style="49" customWidth="1"/>
    <col min="9" max="9" width="12.28515625" style="49" bestFit="1" customWidth="1"/>
    <col min="10" max="10" width="9.5703125" style="104" bestFit="1" customWidth="1"/>
    <col min="11" max="11" width="13.42578125" style="104" customWidth="1"/>
    <col min="12" max="12" width="14.140625" style="104" customWidth="1"/>
    <col min="13" max="13" width="35.7109375" style="107" customWidth="1"/>
    <col min="14" max="16" width="9.140625" hidden="1" customWidth="1"/>
    <col min="17" max="17" width="23.85546875" hidden="1" customWidth="1"/>
    <col min="18" max="19" width="9.140625" hidden="1" customWidth="1"/>
    <col min="20" max="20" width="26.7109375" hidden="1" customWidth="1"/>
    <col min="21" max="21" width="38.85546875" hidden="1" customWidth="1"/>
    <col min="22" max="22" width="9.140625" hidden="1" customWidth="1"/>
    <col min="23" max="24" width="10.140625" hidden="1" customWidth="1"/>
    <col min="25" max="25" width="3" hidden="1" customWidth="1"/>
    <col min="26" max="26" width="5" hidden="1" customWidth="1"/>
    <col min="27" max="27" width="19.28515625" hidden="1" customWidth="1"/>
    <col min="28" max="16384" width="9.140625" hidden="1"/>
  </cols>
  <sheetData>
    <row r="1" spans="1:53" s="1" customFormat="1" hidden="1" x14ac:dyDescent="0.25">
      <c r="A1" s="18"/>
      <c r="B1" s="1" t="s">
        <v>41</v>
      </c>
      <c r="D1" s="102">
        <f>Keszlet!K1</f>
        <v>45658</v>
      </c>
      <c r="E1" s="42">
        <f>IF(MAX(E1006:E3000)&gt;kkezd,MAX(E1006:E3000),kkezd)</f>
        <v>45658</v>
      </c>
      <c r="F1" s="38"/>
      <c r="G1" s="38"/>
      <c r="H1" s="38"/>
      <c r="I1" s="38"/>
      <c r="J1" s="105"/>
      <c r="K1" s="106"/>
      <c r="L1" s="106"/>
      <c r="M1" s="107"/>
      <c r="W1" s="6"/>
      <c r="X1" s="6">
        <v>55153</v>
      </c>
    </row>
    <row r="2" spans="1:53" s="1" customFormat="1" hidden="1" x14ac:dyDescent="0.25">
      <c r="A2" s="18"/>
      <c r="B2" s="1" t="str">
        <f>Kisero_iv!M2</f>
        <v>b</v>
      </c>
      <c r="D2" s="102">
        <f>Keszlet!K2</f>
        <v>55153</v>
      </c>
      <c r="E2" s="38"/>
      <c r="F2" s="38"/>
      <c r="G2" s="38"/>
      <c r="H2" s="38"/>
      <c r="I2" s="38"/>
      <c r="J2" s="105"/>
      <c r="K2" s="106"/>
      <c r="L2" s="106"/>
      <c r="M2" s="107"/>
      <c r="W2" s="6"/>
      <c r="X2" s="6"/>
    </row>
    <row r="3" spans="1:53" s="1" customFormat="1" hidden="1" x14ac:dyDescent="0.25">
      <c r="A3" s="18"/>
      <c r="B3" s="1" t="str">
        <f>Kisero_iv!M3</f>
        <v>k</v>
      </c>
      <c r="D3" s="102"/>
      <c r="E3" s="38"/>
      <c r="F3" s="38"/>
      <c r="G3" s="38"/>
      <c r="H3" s="38"/>
      <c r="I3" s="38"/>
      <c r="J3" s="105"/>
      <c r="K3" s="106"/>
      <c r="L3" s="106"/>
      <c r="M3" s="107"/>
      <c r="W3" s="6"/>
      <c r="X3" s="6"/>
    </row>
    <row r="4" spans="1:53" s="1" customFormat="1" hidden="1" x14ac:dyDescent="0.25">
      <c r="A4" s="18"/>
      <c r="B4" s="1">
        <f>Kisero_iv!N1</f>
        <v>1900</v>
      </c>
      <c r="D4" s="102"/>
      <c r="E4" s="38"/>
      <c r="F4" s="38"/>
      <c r="G4" s="38"/>
      <c r="H4" s="38"/>
      <c r="I4" s="38"/>
      <c r="J4" s="105"/>
      <c r="K4" s="106"/>
      <c r="L4" s="106"/>
      <c r="M4" s="107"/>
      <c r="W4" s="6"/>
      <c r="X4" s="6"/>
    </row>
    <row r="5" spans="1:53" s="9" customFormat="1" hidden="1" x14ac:dyDescent="0.2">
      <c r="A5" s="90"/>
      <c r="D5" s="103" t="s">
        <v>4</v>
      </c>
      <c r="E5" s="40" t="s">
        <v>3</v>
      </c>
      <c r="F5" s="41" t="s">
        <v>19</v>
      </c>
      <c r="G5" s="40" t="s">
        <v>13</v>
      </c>
      <c r="H5" s="41" t="s">
        <v>16</v>
      </c>
      <c r="I5" s="40" t="s">
        <v>17</v>
      </c>
      <c r="J5" s="108" t="s">
        <v>57</v>
      </c>
      <c r="K5" s="109" t="s">
        <v>1</v>
      </c>
      <c r="L5" s="109" t="s">
        <v>0</v>
      </c>
      <c r="M5" s="110"/>
    </row>
    <row r="6" spans="1:53" s="1" customFormat="1" hidden="1" x14ac:dyDescent="0.25">
      <c r="A6" s="18">
        <f>IF(COUNTIF($Y$6:Y6,Y6)=1,Y6,Y6+COUNTIF($Y$5:Y5,Y6))</f>
        <v>996</v>
      </c>
      <c r="B6" s="1">
        <f>IF(AND(Kisero_iv!$N$2=C6,Kisero_iv!$K$5=$B$2,SUM(I6:L10)&lt;&gt;0,$B$4=YEAR(W6)),B5+1,0)</f>
        <v>0</v>
      </c>
      <c r="C6" s="1">
        <f>IF(YEAR(W5)&lt;&gt;YEAR(W6),1,IF(Bevetel!T6&lt;&gt;0,C5+1,C5))</f>
        <v>1</v>
      </c>
      <c r="D6" s="102" t="str">
        <f>Bevetel!D6</f>
        <v/>
      </c>
      <c r="E6" s="42">
        <f>Bevetel!E6</f>
        <v>0</v>
      </c>
      <c r="F6" s="38" t="str">
        <f>IF(Bevetel!F6&lt;&gt;0,Bevetel!F6,"")</f>
        <v/>
      </c>
      <c r="G6" s="38" t="str">
        <f>IF(Bevetel!G6&lt;&gt;0,Bevetel!G6,"")</f>
        <v/>
      </c>
      <c r="H6" s="38" t="str">
        <f>IF(Bevetel!H6&lt;&gt;0,Bevetel!H6,"")</f>
        <v/>
      </c>
      <c r="I6" s="38">
        <f>Bevetel!I6</f>
        <v>0</v>
      </c>
      <c r="J6" s="105" t="str">
        <f>Bevetel!J6</f>
        <v/>
      </c>
      <c r="K6" s="106" t="str">
        <f>Bevetel!K6</f>
        <v/>
      </c>
      <c r="L6" s="106" t="str">
        <f>Bevetel!L6</f>
        <v/>
      </c>
      <c r="M6" s="107"/>
      <c r="Q6" s="1">
        <f>VLOOKUP(G6,Keszlet!$C$5:$E$205,3,FALSE)</f>
        <v>0</v>
      </c>
      <c r="T6" s="1" t="str">
        <f>IF(OR(E6&lt;&gt;0,COUNTIF(T1:T5,0)=5,F6&lt;&gt;"",SUM(L6:L26)=0),E6&amp;F6,0)</f>
        <v>0</v>
      </c>
      <c r="U6" s="1">
        <f>IF(F6&lt;&gt;"",F6,U5)</f>
        <v>0</v>
      </c>
      <c r="W6" s="6">
        <f>IF(E6&lt;&gt;0,E6,W5)</f>
        <v>0</v>
      </c>
      <c r="X6" s="6">
        <f t="shared" ref="X6:X37" si="0">IF(G6=q,W6,$X$1)</f>
        <v>55153</v>
      </c>
      <c r="Y6" s="1">
        <f>RANK(X6,$X$6:$X$10000,1)</f>
        <v>996</v>
      </c>
      <c r="Z6" s="1">
        <f>IF(COUNTIF($Y$6:Y6,Y6)=1,Y6,Y6+COUNTIF($Y$5:Y5,Y6))</f>
        <v>996</v>
      </c>
      <c r="AD6" s="1" t="str">
        <f>IF(AND(C5&lt;&gt;C6,SUM(L6:L26)&lt;&gt;0,$B$4=YEAR(W6)),C6,"")</f>
        <v/>
      </c>
      <c r="BA6" s="1">
        <f>IF(W6&lt;=Leltar_iv!$Y$1,I6,0)</f>
        <v>0</v>
      </c>
    </row>
    <row r="7" spans="1:53" s="1" customFormat="1" hidden="1" x14ac:dyDescent="0.25">
      <c r="A7" s="18">
        <f>IF(COUNTIF($Y$6:Y7,Y7)=1,Y7,Y7+COUNTIF($Y$5:Y6,Y7))</f>
        <v>997</v>
      </c>
      <c r="B7" s="1">
        <f>IF(AND(Kisero_iv!$N$2=C7,Kisero_iv!$K$5=$B$2,SUM(I7:L11)&lt;&gt;0,$B$4=YEAR(W7)),B6+1,0)</f>
        <v>0</v>
      </c>
      <c r="C7" s="1">
        <f>IF(YEAR(W6)&lt;&gt;YEAR(W7),1,IF(Bevetel!T7&lt;&gt;0,C6+1,C6))</f>
        <v>2</v>
      </c>
      <c r="D7" s="102" t="str">
        <f>Bevetel!D7</f>
        <v/>
      </c>
      <c r="E7" s="42">
        <f>Bevetel!E7</f>
        <v>0</v>
      </c>
      <c r="F7" s="38" t="str">
        <f>IF(Bevetel!F7&lt;&gt;0,Bevetel!F7,"")</f>
        <v/>
      </c>
      <c r="G7" s="38" t="str">
        <f>IF(Bevetel!G7&lt;&gt;0,Bevetel!G7,"")</f>
        <v/>
      </c>
      <c r="H7" s="38" t="str">
        <f>IF(Bevetel!H7&lt;&gt;0,Bevetel!H7,"")</f>
        <v/>
      </c>
      <c r="I7" s="38">
        <f>Bevetel!I7</f>
        <v>0</v>
      </c>
      <c r="J7" s="105" t="str">
        <f>Bevetel!J7</f>
        <v/>
      </c>
      <c r="K7" s="106" t="str">
        <f>Bevetel!K7</f>
        <v/>
      </c>
      <c r="L7" s="106" t="str">
        <f>Bevetel!L7</f>
        <v/>
      </c>
      <c r="M7" s="107"/>
      <c r="Q7" s="1">
        <f>VLOOKUP(G7,Keszlet!$C$5:$E$205,3,FALSE)</f>
        <v>0</v>
      </c>
      <c r="T7" s="1" t="str">
        <f t="shared" ref="T7:T70" si="1">IF(OR(E7&lt;&gt;0,COUNTIF(T2:T6,0)=5,F7&lt;&gt;"",SUM(L7:L27)=0),E7&amp;F7,0)</f>
        <v>0</v>
      </c>
      <c r="U7" s="1">
        <f t="shared" ref="U7:U70" si="2">IF(F7&lt;&gt;"",F7,U6)</f>
        <v>0</v>
      </c>
      <c r="W7" s="6">
        <f t="shared" ref="W7:W70" si="3">IF(E7&lt;&gt;0,E7,W6)</f>
        <v>0</v>
      </c>
      <c r="X7" s="6">
        <f t="shared" si="0"/>
        <v>55153</v>
      </c>
      <c r="Y7" s="1">
        <f t="shared" ref="Y7:Y70" si="4">RANK(X7,$X$6:$X$10000,1)</f>
        <v>996</v>
      </c>
      <c r="Z7" s="1">
        <f>IF(COUNTIF($Y$6:Y7,Y7)=1,Y7,Y7+COUNTIF($Y$5:Y6,Y7))</f>
        <v>997</v>
      </c>
      <c r="AD7" s="1" t="str">
        <f t="shared" ref="AD7:AD70" si="5">IF(AND(C6&lt;&gt;C7,SUM(L7:L27)&lt;&gt;0,$B$4=YEAR(W7)),C7,"")</f>
        <v/>
      </c>
      <c r="BA7" s="1">
        <f>IF(W7&lt;=Leltar_iv!$Y$1,I7,0)</f>
        <v>0</v>
      </c>
    </row>
    <row r="8" spans="1:53" s="1" customFormat="1" hidden="1" x14ac:dyDescent="0.25">
      <c r="A8" s="18">
        <f>IF(COUNTIF($Y$6:Y8,Y8)=1,Y8,Y8+COUNTIF($Y$5:Y7,Y8))</f>
        <v>998</v>
      </c>
      <c r="B8" s="1">
        <f>IF(AND(Kisero_iv!$N$2=C8,Kisero_iv!$K$5=$B$2,SUM(I8:L12)&lt;&gt;0,$B$4=YEAR(W8)),B7+1,0)</f>
        <v>0</v>
      </c>
      <c r="C8" s="1">
        <f>IF(YEAR(W7)&lt;&gt;YEAR(W8),1,IF(Bevetel!T8&lt;&gt;0,C7+1,C7))</f>
        <v>3</v>
      </c>
      <c r="D8" s="102" t="str">
        <f>Bevetel!D8</f>
        <v/>
      </c>
      <c r="E8" s="42">
        <f>Bevetel!E8</f>
        <v>0</v>
      </c>
      <c r="F8" s="38" t="str">
        <f>IF(Bevetel!F8&lt;&gt;0,Bevetel!F8,"")</f>
        <v/>
      </c>
      <c r="G8" s="38" t="str">
        <f>IF(Bevetel!G8&lt;&gt;0,Bevetel!G8,"")</f>
        <v/>
      </c>
      <c r="H8" s="38" t="str">
        <f>IF(Bevetel!H8&lt;&gt;0,Bevetel!H8,"")</f>
        <v/>
      </c>
      <c r="I8" s="38">
        <f>Bevetel!I8</f>
        <v>0</v>
      </c>
      <c r="J8" s="105" t="str">
        <f>Bevetel!J8</f>
        <v/>
      </c>
      <c r="K8" s="106" t="str">
        <f>Bevetel!K8</f>
        <v/>
      </c>
      <c r="L8" s="106" t="str">
        <f>Bevetel!L8</f>
        <v/>
      </c>
      <c r="M8" s="107"/>
      <c r="Q8" s="1">
        <f>VLOOKUP(G8,Keszlet!$C$5:$E$205,3,FALSE)</f>
        <v>0</v>
      </c>
      <c r="T8" s="1" t="str">
        <f t="shared" si="1"/>
        <v>0</v>
      </c>
      <c r="U8" s="1">
        <f t="shared" si="2"/>
        <v>0</v>
      </c>
      <c r="W8" s="6">
        <f t="shared" si="3"/>
        <v>0</v>
      </c>
      <c r="X8" s="6">
        <f t="shared" si="0"/>
        <v>55153</v>
      </c>
      <c r="Y8" s="1">
        <f t="shared" si="4"/>
        <v>996</v>
      </c>
      <c r="Z8" s="1">
        <f>IF(COUNTIF($Y$6:Y8,Y8)=1,Y8,Y8+COUNTIF($Y$5:Y7,Y8))</f>
        <v>998</v>
      </c>
      <c r="AD8" s="1" t="str">
        <f t="shared" si="5"/>
        <v/>
      </c>
      <c r="BA8" s="1">
        <f>IF(W8&lt;=Leltar_iv!$Y$1,I8,0)</f>
        <v>0</v>
      </c>
    </row>
    <row r="9" spans="1:53" s="1" customFormat="1" hidden="1" x14ac:dyDescent="0.25">
      <c r="A9" s="18">
        <f>IF(COUNTIF($Y$6:Y9,Y9)=1,Y9,Y9+COUNTIF($Y$5:Y8,Y9))</f>
        <v>999</v>
      </c>
      <c r="B9" s="1">
        <f>IF(AND(Kisero_iv!$N$2=C9,Kisero_iv!$K$5=$B$2,SUM(I9:L13)&lt;&gt;0,$B$4=YEAR(W9)),B8+1,0)</f>
        <v>0</v>
      </c>
      <c r="C9" s="1">
        <f>IF(YEAR(W8)&lt;&gt;YEAR(W9),1,IF(Bevetel!T9&lt;&gt;0,C8+1,C8))</f>
        <v>4</v>
      </c>
      <c r="D9" s="102" t="str">
        <f>Bevetel!D9</f>
        <v/>
      </c>
      <c r="E9" s="42">
        <f>Bevetel!E9</f>
        <v>0</v>
      </c>
      <c r="F9" s="38" t="str">
        <f>IF(Bevetel!F9&lt;&gt;0,Bevetel!F9,"")</f>
        <v/>
      </c>
      <c r="G9" s="38" t="str">
        <f>IF(Bevetel!G9&lt;&gt;0,Bevetel!G9,"")</f>
        <v/>
      </c>
      <c r="H9" s="38" t="str">
        <f>IF(Bevetel!H9&lt;&gt;0,Bevetel!H9,"")</f>
        <v/>
      </c>
      <c r="I9" s="38">
        <f>Bevetel!I9</f>
        <v>0</v>
      </c>
      <c r="J9" s="105" t="str">
        <f>Bevetel!J9</f>
        <v/>
      </c>
      <c r="K9" s="106" t="str">
        <f>Bevetel!K9</f>
        <v/>
      </c>
      <c r="L9" s="106" t="str">
        <f>Bevetel!L9</f>
        <v/>
      </c>
      <c r="M9" s="107"/>
      <c r="Q9" s="1">
        <f>VLOOKUP(G9,Keszlet!$C$5:$E$205,3,FALSE)</f>
        <v>0</v>
      </c>
      <c r="T9" s="1" t="str">
        <f t="shared" si="1"/>
        <v>0</v>
      </c>
      <c r="U9" s="1">
        <f t="shared" si="2"/>
        <v>0</v>
      </c>
      <c r="W9" s="6">
        <f t="shared" si="3"/>
        <v>0</v>
      </c>
      <c r="X9" s="6">
        <f t="shared" si="0"/>
        <v>55153</v>
      </c>
      <c r="Y9" s="1">
        <f t="shared" si="4"/>
        <v>996</v>
      </c>
      <c r="Z9" s="1">
        <f>IF(COUNTIF($Y$6:Y9,Y9)=1,Y9,Y9+COUNTIF($Y$5:Y8,Y9))</f>
        <v>999</v>
      </c>
      <c r="AD9" s="1" t="str">
        <f t="shared" si="5"/>
        <v/>
      </c>
      <c r="BA9" s="1">
        <f>IF(W9&lt;=Leltar_iv!$Y$1,I9,0)</f>
        <v>0</v>
      </c>
    </row>
    <row r="10" spans="1:53" s="1" customFormat="1" hidden="1" x14ac:dyDescent="0.25">
      <c r="A10" s="18">
        <f>IF(COUNTIF($Y$6:Y10,Y10)=1,Y10,Y10+COUNTIF($Y$5:Y9,Y10))</f>
        <v>1000</v>
      </c>
      <c r="B10" s="1">
        <f>IF(AND(Kisero_iv!$N$2=C10,Kisero_iv!$K$5=$B$2,SUM(I10:L14)&lt;&gt;0,$B$4=YEAR(W10)),B9+1,0)</f>
        <v>0</v>
      </c>
      <c r="C10" s="1">
        <f>IF(YEAR(W9)&lt;&gt;YEAR(W10),1,IF(Bevetel!T10&lt;&gt;0,C9+1,C9))</f>
        <v>5</v>
      </c>
      <c r="D10" s="102" t="str">
        <f>Bevetel!D10</f>
        <v/>
      </c>
      <c r="E10" s="42">
        <f>Bevetel!E10</f>
        <v>0</v>
      </c>
      <c r="F10" s="38" t="str">
        <f>IF(Bevetel!F10&lt;&gt;0,Bevetel!F10,"")</f>
        <v/>
      </c>
      <c r="G10" s="38" t="str">
        <f>IF(Bevetel!G10&lt;&gt;0,Bevetel!G10,"")</f>
        <v/>
      </c>
      <c r="H10" s="38" t="str">
        <f>IF(Bevetel!H10&lt;&gt;0,Bevetel!H10,"")</f>
        <v/>
      </c>
      <c r="I10" s="38">
        <f>Bevetel!I10</f>
        <v>0</v>
      </c>
      <c r="J10" s="105" t="str">
        <f>Bevetel!J10</f>
        <v/>
      </c>
      <c r="K10" s="106" t="str">
        <f>Bevetel!K10</f>
        <v/>
      </c>
      <c r="L10" s="106" t="str">
        <f>Bevetel!L10</f>
        <v/>
      </c>
      <c r="M10" s="107"/>
      <c r="Q10" s="1">
        <f>VLOOKUP(G10,Keszlet!$C$5:$E$205,3,FALSE)</f>
        <v>0</v>
      </c>
      <c r="T10" s="1" t="str">
        <f t="shared" si="1"/>
        <v>0</v>
      </c>
      <c r="U10" s="1">
        <f t="shared" si="2"/>
        <v>0</v>
      </c>
      <c r="W10" s="6">
        <f t="shared" si="3"/>
        <v>0</v>
      </c>
      <c r="X10" s="6">
        <f t="shared" si="0"/>
        <v>55153</v>
      </c>
      <c r="Y10" s="1">
        <f t="shared" si="4"/>
        <v>996</v>
      </c>
      <c r="Z10" s="1">
        <f>IF(COUNTIF($Y$6:Y10,Y10)=1,Y10,Y10+COUNTIF($Y$5:Y9,Y10))</f>
        <v>1000</v>
      </c>
      <c r="AD10" s="1" t="str">
        <f t="shared" si="5"/>
        <v/>
      </c>
      <c r="BA10" s="1">
        <f>IF(W10&lt;=Leltar_iv!$Y$1,I10,0)</f>
        <v>0</v>
      </c>
    </row>
    <row r="11" spans="1:53" s="1" customFormat="1" hidden="1" x14ac:dyDescent="0.25">
      <c r="A11" s="18">
        <f>IF(COUNTIF($Y$6:Y11,Y11)=1,Y11,Y11+COUNTIF($Y$5:Y10,Y11))</f>
        <v>1001</v>
      </c>
      <c r="B11" s="1">
        <f>IF(AND(Kisero_iv!$N$2=C11,Kisero_iv!$K$5=$B$2,SUM(I11:L15)&lt;&gt;0,$B$4=YEAR(W11)),B10+1,0)</f>
        <v>0</v>
      </c>
      <c r="C11" s="1">
        <f>IF(YEAR(W10)&lt;&gt;YEAR(W11),1,IF(Bevetel!T11&lt;&gt;0,C10+1,C10))</f>
        <v>6</v>
      </c>
      <c r="D11" s="102" t="str">
        <f>Bevetel!D11</f>
        <v/>
      </c>
      <c r="E11" s="42">
        <f>Bevetel!E11</f>
        <v>0</v>
      </c>
      <c r="F11" s="38" t="str">
        <f>IF(Bevetel!F11&lt;&gt;0,Bevetel!F11,"")</f>
        <v/>
      </c>
      <c r="G11" s="38" t="str">
        <f>IF(Bevetel!G11&lt;&gt;0,Bevetel!G11,"")</f>
        <v/>
      </c>
      <c r="H11" s="38" t="str">
        <f>IF(Bevetel!H11&lt;&gt;0,Bevetel!H11,"")</f>
        <v/>
      </c>
      <c r="I11" s="38">
        <f>Bevetel!I11</f>
        <v>0</v>
      </c>
      <c r="J11" s="105" t="str">
        <f>Bevetel!J11</f>
        <v/>
      </c>
      <c r="K11" s="106" t="str">
        <f>Bevetel!K11</f>
        <v/>
      </c>
      <c r="L11" s="106" t="str">
        <f>Bevetel!L11</f>
        <v/>
      </c>
      <c r="M11" s="107"/>
      <c r="Q11" s="1">
        <f>VLOOKUP(G11,Keszlet!$C$5:$E$205,3,FALSE)</f>
        <v>0</v>
      </c>
      <c r="T11" s="1" t="str">
        <f t="shared" si="1"/>
        <v>0</v>
      </c>
      <c r="U11" s="1">
        <f t="shared" si="2"/>
        <v>0</v>
      </c>
      <c r="W11" s="6">
        <f t="shared" si="3"/>
        <v>0</v>
      </c>
      <c r="X11" s="6">
        <f t="shared" si="0"/>
        <v>55153</v>
      </c>
      <c r="Y11" s="1">
        <f t="shared" si="4"/>
        <v>996</v>
      </c>
      <c r="Z11" s="1">
        <f>IF(COUNTIF($Y$6:Y11,Y11)=1,Y11,Y11+COUNTIF($Y$5:Y10,Y11))</f>
        <v>1001</v>
      </c>
      <c r="AD11" s="1" t="str">
        <f t="shared" si="5"/>
        <v/>
      </c>
      <c r="BA11" s="1">
        <f>IF(W11&lt;=Leltar_iv!$Y$1,I11,0)</f>
        <v>0</v>
      </c>
    </row>
    <row r="12" spans="1:53" s="1" customFormat="1" hidden="1" x14ac:dyDescent="0.25">
      <c r="A12" s="18">
        <f>IF(COUNTIF($Y$6:Y12,Y12)=1,Y12,Y12+COUNTIF($Y$5:Y11,Y12))</f>
        <v>1002</v>
      </c>
      <c r="B12" s="1">
        <f>IF(AND(Kisero_iv!$N$2=C12,Kisero_iv!$K$5=$B$2,SUM(I12:L16)&lt;&gt;0,$B$4=YEAR(W12)),B11+1,0)</f>
        <v>0</v>
      </c>
      <c r="C12" s="1">
        <f>IF(YEAR(W11)&lt;&gt;YEAR(W12),1,IF(Bevetel!T12&lt;&gt;0,C11+1,C11))</f>
        <v>7</v>
      </c>
      <c r="D12" s="102" t="str">
        <f>Bevetel!D12</f>
        <v/>
      </c>
      <c r="E12" s="42">
        <f>Bevetel!E12</f>
        <v>0</v>
      </c>
      <c r="F12" s="38" t="str">
        <f>IF(Bevetel!F12&lt;&gt;0,Bevetel!F12,"")</f>
        <v/>
      </c>
      <c r="G12" s="38" t="str">
        <f>IF(Bevetel!G12&lt;&gt;0,Bevetel!G12,"")</f>
        <v/>
      </c>
      <c r="H12" s="38" t="str">
        <f>IF(Bevetel!H12&lt;&gt;0,Bevetel!H12,"")</f>
        <v/>
      </c>
      <c r="I12" s="38">
        <f>Bevetel!I12</f>
        <v>0</v>
      </c>
      <c r="J12" s="105" t="str">
        <f>Bevetel!J12</f>
        <v/>
      </c>
      <c r="K12" s="106" t="str">
        <f>Bevetel!K12</f>
        <v/>
      </c>
      <c r="L12" s="106" t="str">
        <f>Bevetel!L12</f>
        <v/>
      </c>
      <c r="M12" s="107"/>
      <c r="Q12" s="1">
        <f>VLOOKUP(G12,Keszlet!$C$5:$E$205,3,FALSE)</f>
        <v>0</v>
      </c>
      <c r="T12" s="1" t="str">
        <f t="shared" si="1"/>
        <v>0</v>
      </c>
      <c r="U12" s="1">
        <f t="shared" si="2"/>
        <v>0</v>
      </c>
      <c r="W12" s="6">
        <f t="shared" si="3"/>
        <v>0</v>
      </c>
      <c r="X12" s="6">
        <f t="shared" si="0"/>
        <v>55153</v>
      </c>
      <c r="Y12" s="1">
        <f t="shared" si="4"/>
        <v>996</v>
      </c>
      <c r="Z12" s="1">
        <f>IF(COUNTIF($Y$6:Y12,Y12)=1,Y12,Y12+COUNTIF($Y$5:Y11,Y12))</f>
        <v>1002</v>
      </c>
      <c r="AD12" s="1" t="str">
        <f t="shared" si="5"/>
        <v/>
      </c>
      <c r="BA12" s="1">
        <f>IF(W12&lt;=Leltar_iv!$Y$1,I12,0)</f>
        <v>0</v>
      </c>
    </row>
    <row r="13" spans="1:53" s="1" customFormat="1" hidden="1" x14ac:dyDescent="0.25">
      <c r="A13" s="18">
        <f>IF(COUNTIF($Y$6:Y13,Y13)=1,Y13,Y13+COUNTIF($Y$5:Y12,Y13))</f>
        <v>1003</v>
      </c>
      <c r="B13" s="1">
        <f>IF(AND(Kisero_iv!$N$2=C13,Kisero_iv!$K$5=$B$2,SUM(I13:L17)&lt;&gt;0,$B$4=YEAR(W13)),B12+1,0)</f>
        <v>0</v>
      </c>
      <c r="C13" s="1">
        <f>IF(YEAR(W12)&lt;&gt;YEAR(W13),1,IF(Bevetel!T13&lt;&gt;0,C12+1,C12))</f>
        <v>8</v>
      </c>
      <c r="D13" s="102" t="str">
        <f>Bevetel!D13</f>
        <v/>
      </c>
      <c r="E13" s="42">
        <f>Bevetel!E13</f>
        <v>0</v>
      </c>
      <c r="F13" s="38" t="str">
        <f>IF(Bevetel!F13&lt;&gt;0,Bevetel!F13,"")</f>
        <v/>
      </c>
      <c r="G13" s="38" t="str">
        <f>IF(Bevetel!G13&lt;&gt;0,Bevetel!G13,"")</f>
        <v/>
      </c>
      <c r="H13" s="38" t="str">
        <f>IF(Bevetel!H13&lt;&gt;0,Bevetel!H13,"")</f>
        <v/>
      </c>
      <c r="I13" s="38">
        <f>Bevetel!I13</f>
        <v>0</v>
      </c>
      <c r="J13" s="105" t="str">
        <f>Bevetel!J13</f>
        <v/>
      </c>
      <c r="K13" s="106" t="str">
        <f>Bevetel!K13</f>
        <v/>
      </c>
      <c r="L13" s="106" t="str">
        <f>Bevetel!L13</f>
        <v/>
      </c>
      <c r="M13" s="107"/>
      <c r="Q13" s="1">
        <f>VLOOKUP(G13,Keszlet!$C$5:$E$205,3,FALSE)</f>
        <v>0</v>
      </c>
      <c r="T13" s="1" t="str">
        <f t="shared" si="1"/>
        <v>0</v>
      </c>
      <c r="U13" s="1">
        <f t="shared" si="2"/>
        <v>0</v>
      </c>
      <c r="W13" s="6">
        <f t="shared" si="3"/>
        <v>0</v>
      </c>
      <c r="X13" s="6">
        <f t="shared" si="0"/>
        <v>55153</v>
      </c>
      <c r="Y13" s="1">
        <f t="shared" si="4"/>
        <v>996</v>
      </c>
      <c r="Z13" s="1">
        <f>IF(COUNTIF($Y$6:Y13,Y13)=1,Y13,Y13+COUNTIF($Y$5:Y12,Y13))</f>
        <v>1003</v>
      </c>
      <c r="AD13" s="1" t="str">
        <f t="shared" si="5"/>
        <v/>
      </c>
      <c r="BA13" s="1">
        <f>IF(W13&lt;=Leltar_iv!$Y$1,I13,0)</f>
        <v>0</v>
      </c>
    </row>
    <row r="14" spans="1:53" s="1" customFormat="1" hidden="1" x14ac:dyDescent="0.25">
      <c r="A14" s="18">
        <f>IF(COUNTIF($Y$6:Y14,Y14)=1,Y14,Y14+COUNTIF($Y$5:Y13,Y14))</f>
        <v>1004</v>
      </c>
      <c r="B14" s="1">
        <f>IF(AND(Kisero_iv!$N$2=C14,Kisero_iv!$K$5=$B$2,SUM(I14:L18)&lt;&gt;0,$B$4=YEAR(W14)),B13+1,0)</f>
        <v>0</v>
      </c>
      <c r="C14" s="1">
        <f>IF(YEAR(W13)&lt;&gt;YEAR(W14),1,IF(Bevetel!T14&lt;&gt;0,C13+1,C13))</f>
        <v>9</v>
      </c>
      <c r="D14" s="102" t="str">
        <f>Bevetel!D14</f>
        <v/>
      </c>
      <c r="E14" s="42">
        <f>Bevetel!E14</f>
        <v>0</v>
      </c>
      <c r="F14" s="38" t="str">
        <f>IF(Bevetel!F14&lt;&gt;0,Bevetel!F14,"")</f>
        <v/>
      </c>
      <c r="G14" s="38" t="str">
        <f>IF(Bevetel!G14&lt;&gt;0,Bevetel!G14,"")</f>
        <v/>
      </c>
      <c r="H14" s="38" t="str">
        <f>IF(Bevetel!H14&lt;&gt;0,Bevetel!H14,"")</f>
        <v/>
      </c>
      <c r="I14" s="38">
        <f>Bevetel!I14</f>
        <v>0</v>
      </c>
      <c r="J14" s="105" t="str">
        <f>Bevetel!J14</f>
        <v/>
      </c>
      <c r="K14" s="106" t="str">
        <f>Bevetel!K14</f>
        <v/>
      </c>
      <c r="L14" s="106" t="str">
        <f>Bevetel!L14</f>
        <v/>
      </c>
      <c r="M14" s="107"/>
      <c r="Q14" s="1">
        <f>VLOOKUP(G14,Keszlet!$C$5:$E$205,3,FALSE)</f>
        <v>0</v>
      </c>
      <c r="T14" s="1" t="str">
        <f t="shared" si="1"/>
        <v>0</v>
      </c>
      <c r="U14" s="1">
        <f t="shared" si="2"/>
        <v>0</v>
      </c>
      <c r="W14" s="6">
        <f t="shared" si="3"/>
        <v>0</v>
      </c>
      <c r="X14" s="6">
        <f t="shared" si="0"/>
        <v>55153</v>
      </c>
      <c r="Y14" s="1">
        <f t="shared" si="4"/>
        <v>996</v>
      </c>
      <c r="Z14" s="1">
        <f>IF(COUNTIF($Y$6:Y14,Y14)=1,Y14,Y14+COUNTIF($Y$5:Y13,Y14))</f>
        <v>1004</v>
      </c>
      <c r="AD14" s="1" t="str">
        <f t="shared" si="5"/>
        <v/>
      </c>
      <c r="BA14" s="1">
        <f>IF(W14&lt;=Leltar_iv!$Y$1,I14,0)</f>
        <v>0</v>
      </c>
    </row>
    <row r="15" spans="1:53" s="1" customFormat="1" hidden="1" x14ac:dyDescent="0.25">
      <c r="A15" s="18">
        <f>IF(COUNTIF($Y$6:Y15,Y15)=1,Y15,Y15+COUNTIF($Y$5:Y14,Y15))</f>
        <v>1005</v>
      </c>
      <c r="B15" s="1">
        <f>IF(AND(Kisero_iv!$N$2=C15,Kisero_iv!$K$5=$B$2,SUM(I15:L19)&lt;&gt;0,$B$4=YEAR(W15)),B14+1,0)</f>
        <v>0</v>
      </c>
      <c r="C15" s="1">
        <f>IF(YEAR(W14)&lt;&gt;YEAR(W15),1,IF(Bevetel!T15&lt;&gt;0,C14+1,C14))</f>
        <v>10</v>
      </c>
      <c r="D15" s="102" t="str">
        <f>Bevetel!D15</f>
        <v/>
      </c>
      <c r="E15" s="42">
        <f>Bevetel!E15</f>
        <v>0</v>
      </c>
      <c r="F15" s="38" t="str">
        <f>IF(Bevetel!F15&lt;&gt;0,Bevetel!F15,"")</f>
        <v/>
      </c>
      <c r="G15" s="38" t="str">
        <f>IF(Bevetel!G15&lt;&gt;0,Bevetel!G15,"")</f>
        <v/>
      </c>
      <c r="H15" s="38" t="str">
        <f>IF(Bevetel!H15&lt;&gt;0,Bevetel!H15,"")</f>
        <v/>
      </c>
      <c r="I15" s="38">
        <f>Bevetel!I15</f>
        <v>0</v>
      </c>
      <c r="J15" s="105" t="str">
        <f>Bevetel!J15</f>
        <v/>
      </c>
      <c r="K15" s="106" t="str">
        <f>Bevetel!K15</f>
        <v/>
      </c>
      <c r="L15" s="106" t="str">
        <f>Bevetel!L15</f>
        <v/>
      </c>
      <c r="M15" s="107"/>
      <c r="Q15" s="1">
        <f>VLOOKUP(G15,Keszlet!$C$5:$E$205,3,FALSE)</f>
        <v>0</v>
      </c>
      <c r="T15" s="1" t="str">
        <f t="shared" si="1"/>
        <v>0</v>
      </c>
      <c r="U15" s="1">
        <f t="shared" si="2"/>
        <v>0</v>
      </c>
      <c r="W15" s="6">
        <f t="shared" si="3"/>
        <v>0</v>
      </c>
      <c r="X15" s="6">
        <f t="shared" si="0"/>
        <v>55153</v>
      </c>
      <c r="Y15" s="1">
        <f t="shared" si="4"/>
        <v>996</v>
      </c>
      <c r="Z15" s="1">
        <f>IF(COUNTIF($Y$6:Y15,Y15)=1,Y15,Y15+COUNTIF($Y$5:Y14,Y15))</f>
        <v>1005</v>
      </c>
      <c r="AD15" s="1" t="str">
        <f t="shared" si="5"/>
        <v/>
      </c>
      <c r="BA15" s="1">
        <f>IF(W15&lt;=Leltar_iv!$Y$1,I15,0)</f>
        <v>0</v>
      </c>
    </row>
    <row r="16" spans="1:53" s="1" customFormat="1" hidden="1" x14ac:dyDescent="0.25">
      <c r="A16" s="18">
        <f>IF(COUNTIF($Y$6:Y16,Y16)=1,Y16,Y16+COUNTIF($Y$5:Y15,Y16))</f>
        <v>1006</v>
      </c>
      <c r="B16" s="1">
        <f>IF(AND(Kisero_iv!$N$2=C16,Kisero_iv!$K$5=$B$2,SUM(I16:L20)&lt;&gt;0,$B$4=YEAR(W16)),B15+1,0)</f>
        <v>0</v>
      </c>
      <c r="C16" s="1">
        <f>IF(YEAR(W15)&lt;&gt;YEAR(W16),1,IF(Bevetel!T16&lt;&gt;0,C15+1,C15))</f>
        <v>11</v>
      </c>
      <c r="D16" s="102" t="str">
        <f>Bevetel!D16</f>
        <v/>
      </c>
      <c r="E16" s="42">
        <f>Bevetel!E16</f>
        <v>0</v>
      </c>
      <c r="F16" s="38" t="str">
        <f>IF(Bevetel!F16&lt;&gt;0,Bevetel!F16,"")</f>
        <v/>
      </c>
      <c r="G16" s="38" t="str">
        <f>IF(Bevetel!G16&lt;&gt;0,Bevetel!G16,"")</f>
        <v/>
      </c>
      <c r="H16" s="38" t="str">
        <f>IF(Bevetel!H16&lt;&gt;0,Bevetel!H16,"")</f>
        <v/>
      </c>
      <c r="I16" s="38">
        <f>Bevetel!I16</f>
        <v>0</v>
      </c>
      <c r="J16" s="105" t="str">
        <f>Bevetel!J16</f>
        <v/>
      </c>
      <c r="K16" s="106" t="str">
        <f>Bevetel!K16</f>
        <v/>
      </c>
      <c r="L16" s="106" t="str">
        <f>Bevetel!L16</f>
        <v/>
      </c>
      <c r="M16" s="107"/>
      <c r="Q16" s="1">
        <f>VLOOKUP(G16,Keszlet!$C$5:$E$205,3,FALSE)</f>
        <v>0</v>
      </c>
      <c r="T16" s="1" t="str">
        <f t="shared" si="1"/>
        <v>0</v>
      </c>
      <c r="U16" s="1">
        <f t="shared" si="2"/>
        <v>0</v>
      </c>
      <c r="W16" s="6">
        <f t="shared" si="3"/>
        <v>0</v>
      </c>
      <c r="X16" s="6">
        <f t="shared" si="0"/>
        <v>55153</v>
      </c>
      <c r="Y16" s="1">
        <f t="shared" si="4"/>
        <v>996</v>
      </c>
      <c r="Z16" s="1">
        <f>IF(COUNTIF($Y$6:Y16,Y16)=1,Y16,Y16+COUNTIF($Y$5:Y15,Y16))</f>
        <v>1006</v>
      </c>
      <c r="AD16" s="1" t="str">
        <f t="shared" si="5"/>
        <v/>
      </c>
      <c r="BA16" s="1">
        <f>IF(W16&lt;=Leltar_iv!$Y$1,I16,0)</f>
        <v>0</v>
      </c>
    </row>
    <row r="17" spans="1:53" s="1" customFormat="1" hidden="1" x14ac:dyDescent="0.25">
      <c r="A17" s="18">
        <f>IF(COUNTIF($Y$6:Y17,Y17)=1,Y17,Y17+COUNTIF($Y$5:Y16,Y17))</f>
        <v>1007</v>
      </c>
      <c r="B17" s="1">
        <f>IF(AND(Kisero_iv!$N$2=C17,Kisero_iv!$K$5=$B$2,SUM(I17:L21)&lt;&gt;0,$B$4=YEAR(W17)),B16+1,0)</f>
        <v>0</v>
      </c>
      <c r="C17" s="1">
        <f>IF(YEAR(W16)&lt;&gt;YEAR(W17),1,IF(Bevetel!T17&lt;&gt;0,C16+1,C16))</f>
        <v>12</v>
      </c>
      <c r="D17" s="102" t="str">
        <f>Bevetel!D17</f>
        <v/>
      </c>
      <c r="E17" s="42">
        <f>Bevetel!E17</f>
        <v>0</v>
      </c>
      <c r="F17" s="38" t="str">
        <f>IF(Bevetel!F17&lt;&gt;0,Bevetel!F17,"")</f>
        <v/>
      </c>
      <c r="G17" s="38" t="str">
        <f>IF(Bevetel!G17&lt;&gt;0,Bevetel!G17,"")</f>
        <v/>
      </c>
      <c r="H17" s="38" t="str">
        <f>IF(Bevetel!H17&lt;&gt;0,Bevetel!H17,"")</f>
        <v/>
      </c>
      <c r="I17" s="38">
        <f>Bevetel!I17</f>
        <v>0</v>
      </c>
      <c r="J17" s="105" t="str">
        <f>Bevetel!J17</f>
        <v/>
      </c>
      <c r="K17" s="106" t="str">
        <f>Bevetel!K17</f>
        <v/>
      </c>
      <c r="L17" s="106" t="str">
        <f>Bevetel!L17</f>
        <v/>
      </c>
      <c r="M17" s="107"/>
      <c r="Q17" s="1">
        <f>VLOOKUP(G17,Keszlet!$C$5:$E$205,3,FALSE)</f>
        <v>0</v>
      </c>
      <c r="T17" s="1" t="str">
        <f t="shared" si="1"/>
        <v>0</v>
      </c>
      <c r="U17" s="1">
        <f t="shared" si="2"/>
        <v>0</v>
      </c>
      <c r="W17" s="6">
        <f t="shared" si="3"/>
        <v>0</v>
      </c>
      <c r="X17" s="6">
        <f t="shared" si="0"/>
        <v>55153</v>
      </c>
      <c r="Y17" s="1">
        <f t="shared" si="4"/>
        <v>996</v>
      </c>
      <c r="Z17" s="1">
        <f>IF(COUNTIF($Y$6:Y17,Y17)=1,Y17,Y17+COUNTIF($Y$5:Y16,Y17))</f>
        <v>1007</v>
      </c>
      <c r="AD17" s="1" t="str">
        <f t="shared" si="5"/>
        <v/>
      </c>
      <c r="BA17" s="1">
        <f>IF(W17&lt;=Leltar_iv!$Y$1,I17,0)</f>
        <v>0</v>
      </c>
    </row>
    <row r="18" spans="1:53" s="1" customFormat="1" hidden="1" x14ac:dyDescent="0.25">
      <c r="A18" s="18">
        <f>IF(COUNTIF($Y$6:Y18,Y18)=1,Y18,Y18+COUNTIF($Y$5:Y17,Y18))</f>
        <v>1008</v>
      </c>
      <c r="B18" s="1">
        <f>IF(AND(Kisero_iv!$N$2=C18,Kisero_iv!$K$5=$B$2,SUM(I18:L22)&lt;&gt;0,$B$4=YEAR(W18)),B17+1,0)</f>
        <v>0</v>
      </c>
      <c r="C18" s="1">
        <f>IF(YEAR(W17)&lt;&gt;YEAR(W18),1,IF(Bevetel!T18&lt;&gt;0,C17+1,C17))</f>
        <v>13</v>
      </c>
      <c r="D18" s="102" t="str">
        <f>Bevetel!D18</f>
        <v/>
      </c>
      <c r="E18" s="42">
        <f>Bevetel!E18</f>
        <v>0</v>
      </c>
      <c r="F18" s="38" t="str">
        <f>IF(Bevetel!F18&lt;&gt;0,Bevetel!F18,"")</f>
        <v/>
      </c>
      <c r="G18" s="38" t="str">
        <f>IF(Bevetel!G18&lt;&gt;0,Bevetel!G18,"")</f>
        <v/>
      </c>
      <c r="H18" s="38" t="str">
        <f>IF(Bevetel!H18&lt;&gt;0,Bevetel!H18,"")</f>
        <v/>
      </c>
      <c r="I18" s="38">
        <f>Bevetel!I18</f>
        <v>0</v>
      </c>
      <c r="J18" s="105" t="str">
        <f>Bevetel!J18</f>
        <v/>
      </c>
      <c r="K18" s="106" t="str">
        <f>Bevetel!K18</f>
        <v/>
      </c>
      <c r="L18" s="106" t="str">
        <f>Bevetel!L18</f>
        <v/>
      </c>
      <c r="M18" s="107"/>
      <c r="Q18" s="1">
        <f>VLOOKUP(G18,Keszlet!$C$5:$E$205,3,FALSE)</f>
        <v>0</v>
      </c>
      <c r="T18" s="1" t="str">
        <f t="shared" si="1"/>
        <v>0</v>
      </c>
      <c r="U18" s="1">
        <f t="shared" si="2"/>
        <v>0</v>
      </c>
      <c r="W18" s="6">
        <f t="shared" si="3"/>
        <v>0</v>
      </c>
      <c r="X18" s="6">
        <f t="shared" si="0"/>
        <v>55153</v>
      </c>
      <c r="Y18" s="1">
        <f t="shared" si="4"/>
        <v>996</v>
      </c>
      <c r="Z18" s="1">
        <f>IF(COUNTIF($Y$6:Y18,Y18)=1,Y18,Y18+COUNTIF($Y$5:Y17,Y18))</f>
        <v>1008</v>
      </c>
      <c r="AD18" s="1" t="str">
        <f t="shared" si="5"/>
        <v/>
      </c>
      <c r="BA18" s="1">
        <f>IF(W18&lt;=Leltar_iv!$Y$1,I18,0)</f>
        <v>0</v>
      </c>
    </row>
    <row r="19" spans="1:53" s="1" customFormat="1" hidden="1" x14ac:dyDescent="0.25">
      <c r="A19" s="18">
        <f>IF(COUNTIF($Y$6:Y19,Y19)=1,Y19,Y19+COUNTIF($Y$5:Y18,Y19))</f>
        <v>1009</v>
      </c>
      <c r="B19" s="1">
        <f>IF(AND(Kisero_iv!$N$2=C19,Kisero_iv!$K$5=$B$2,SUM(I19:L23)&lt;&gt;0,$B$4=YEAR(W19)),B18+1,0)</f>
        <v>0</v>
      </c>
      <c r="C19" s="1">
        <f>IF(YEAR(W18)&lt;&gt;YEAR(W19),1,IF(Bevetel!T19&lt;&gt;0,C18+1,C18))</f>
        <v>14</v>
      </c>
      <c r="D19" s="102" t="str">
        <f>Bevetel!D19</f>
        <v/>
      </c>
      <c r="E19" s="42">
        <f>Bevetel!E19</f>
        <v>0</v>
      </c>
      <c r="F19" s="38" t="str">
        <f>IF(Bevetel!F19&lt;&gt;0,Bevetel!F19,"")</f>
        <v/>
      </c>
      <c r="G19" s="38" t="str">
        <f>IF(Bevetel!G19&lt;&gt;0,Bevetel!G19,"")</f>
        <v/>
      </c>
      <c r="H19" s="38" t="str">
        <f>IF(Bevetel!H19&lt;&gt;0,Bevetel!H19,"")</f>
        <v/>
      </c>
      <c r="I19" s="38">
        <f>Bevetel!I19</f>
        <v>0</v>
      </c>
      <c r="J19" s="105" t="str">
        <f>Bevetel!J19</f>
        <v/>
      </c>
      <c r="K19" s="106" t="str">
        <f>Bevetel!K19</f>
        <v/>
      </c>
      <c r="L19" s="106" t="str">
        <f>Bevetel!L19</f>
        <v/>
      </c>
      <c r="M19" s="107"/>
      <c r="Q19" s="1">
        <f>VLOOKUP(G19,Keszlet!$C$5:$E$205,3,FALSE)</f>
        <v>0</v>
      </c>
      <c r="T19" s="1" t="str">
        <f t="shared" si="1"/>
        <v>0</v>
      </c>
      <c r="U19" s="1">
        <f t="shared" si="2"/>
        <v>0</v>
      </c>
      <c r="W19" s="6">
        <f t="shared" si="3"/>
        <v>0</v>
      </c>
      <c r="X19" s="6">
        <f t="shared" si="0"/>
        <v>55153</v>
      </c>
      <c r="Y19" s="1">
        <f t="shared" si="4"/>
        <v>996</v>
      </c>
      <c r="Z19" s="1">
        <f>IF(COUNTIF($Y$6:Y19,Y19)=1,Y19,Y19+COUNTIF($Y$5:Y18,Y19))</f>
        <v>1009</v>
      </c>
      <c r="AD19" s="1" t="str">
        <f t="shared" si="5"/>
        <v/>
      </c>
      <c r="BA19" s="1">
        <f>IF(W19&lt;=Leltar_iv!$Y$1,I19,0)</f>
        <v>0</v>
      </c>
    </row>
    <row r="20" spans="1:53" s="1" customFormat="1" hidden="1" x14ac:dyDescent="0.25">
      <c r="A20" s="18">
        <f>IF(COUNTIF($Y$6:Y20,Y20)=1,Y20,Y20+COUNTIF($Y$5:Y19,Y20))</f>
        <v>1010</v>
      </c>
      <c r="B20" s="1">
        <f>IF(AND(Kisero_iv!$N$2=C20,Kisero_iv!$K$5=$B$2,SUM(I20:L24)&lt;&gt;0,$B$4=YEAR(W20)),B19+1,0)</f>
        <v>0</v>
      </c>
      <c r="C20" s="1">
        <f>IF(YEAR(W19)&lt;&gt;YEAR(W20),1,IF(Bevetel!T20&lt;&gt;0,C19+1,C19))</f>
        <v>15</v>
      </c>
      <c r="D20" s="102" t="str">
        <f>Bevetel!D20</f>
        <v/>
      </c>
      <c r="E20" s="42">
        <f>Bevetel!E20</f>
        <v>0</v>
      </c>
      <c r="F20" s="38" t="str">
        <f>IF(Bevetel!F20&lt;&gt;0,Bevetel!F20,"")</f>
        <v/>
      </c>
      <c r="G20" s="38" t="str">
        <f>IF(Bevetel!G20&lt;&gt;0,Bevetel!G20,"")</f>
        <v/>
      </c>
      <c r="H20" s="38" t="str">
        <f>IF(Bevetel!H20&lt;&gt;0,Bevetel!H20,"")</f>
        <v/>
      </c>
      <c r="I20" s="38">
        <f>Bevetel!I20</f>
        <v>0</v>
      </c>
      <c r="J20" s="105" t="str">
        <f>Bevetel!J20</f>
        <v/>
      </c>
      <c r="K20" s="106" t="str">
        <f>Bevetel!K20</f>
        <v/>
      </c>
      <c r="L20" s="106" t="str">
        <f>Bevetel!L20</f>
        <v/>
      </c>
      <c r="M20" s="107"/>
      <c r="Q20" s="1">
        <f>VLOOKUP(G20,Keszlet!$C$5:$E$205,3,FALSE)</f>
        <v>0</v>
      </c>
      <c r="T20" s="1" t="str">
        <f t="shared" si="1"/>
        <v>0</v>
      </c>
      <c r="U20" s="1">
        <f t="shared" si="2"/>
        <v>0</v>
      </c>
      <c r="W20" s="6">
        <f t="shared" si="3"/>
        <v>0</v>
      </c>
      <c r="X20" s="6">
        <f t="shared" si="0"/>
        <v>55153</v>
      </c>
      <c r="Y20" s="1">
        <f t="shared" si="4"/>
        <v>996</v>
      </c>
      <c r="Z20" s="1">
        <f>IF(COUNTIF($Y$6:Y20,Y20)=1,Y20,Y20+COUNTIF($Y$5:Y19,Y20))</f>
        <v>1010</v>
      </c>
      <c r="AD20" s="1" t="str">
        <f t="shared" si="5"/>
        <v/>
      </c>
      <c r="BA20" s="1">
        <f>IF(W20&lt;=Leltar_iv!$Y$1,I20,0)</f>
        <v>0</v>
      </c>
    </row>
    <row r="21" spans="1:53" s="1" customFormat="1" hidden="1" x14ac:dyDescent="0.25">
      <c r="A21" s="18">
        <f>IF(COUNTIF($Y$6:Y21,Y21)=1,Y21,Y21+COUNTIF($Y$5:Y20,Y21))</f>
        <v>1011</v>
      </c>
      <c r="B21" s="1">
        <f>IF(AND(Kisero_iv!$N$2=C21,Kisero_iv!$K$5=$B$2,SUM(I21:L25)&lt;&gt;0,$B$4=YEAR(W21)),B20+1,0)</f>
        <v>0</v>
      </c>
      <c r="C21" s="1">
        <f>IF(YEAR(W20)&lt;&gt;YEAR(W21),1,IF(Bevetel!T21&lt;&gt;0,C20+1,C20))</f>
        <v>16</v>
      </c>
      <c r="D21" s="102" t="str">
        <f>Bevetel!D21</f>
        <v/>
      </c>
      <c r="E21" s="42">
        <f>Bevetel!E21</f>
        <v>0</v>
      </c>
      <c r="F21" s="38" t="str">
        <f>IF(Bevetel!F21&lt;&gt;0,Bevetel!F21,"")</f>
        <v/>
      </c>
      <c r="G21" s="38" t="str">
        <f>IF(Bevetel!G21&lt;&gt;0,Bevetel!G21,"")</f>
        <v/>
      </c>
      <c r="H21" s="38" t="str">
        <f>IF(Bevetel!H21&lt;&gt;0,Bevetel!H21,"")</f>
        <v/>
      </c>
      <c r="I21" s="38">
        <f>Bevetel!I21</f>
        <v>0</v>
      </c>
      <c r="J21" s="105" t="str">
        <f>Bevetel!J21</f>
        <v/>
      </c>
      <c r="K21" s="106" t="str">
        <f>Bevetel!K21</f>
        <v/>
      </c>
      <c r="L21" s="106" t="str">
        <f>Bevetel!L21</f>
        <v/>
      </c>
      <c r="M21" s="107"/>
      <c r="Q21" s="1">
        <f>VLOOKUP(G21,Keszlet!$C$5:$E$205,3,FALSE)</f>
        <v>0</v>
      </c>
      <c r="T21" s="1" t="str">
        <f t="shared" si="1"/>
        <v>0</v>
      </c>
      <c r="U21" s="1">
        <f t="shared" si="2"/>
        <v>0</v>
      </c>
      <c r="W21" s="6">
        <f t="shared" si="3"/>
        <v>0</v>
      </c>
      <c r="X21" s="6">
        <f t="shared" si="0"/>
        <v>55153</v>
      </c>
      <c r="Y21" s="1">
        <f t="shared" si="4"/>
        <v>996</v>
      </c>
      <c r="Z21" s="1">
        <f>IF(COUNTIF($Y$6:Y21,Y21)=1,Y21,Y21+COUNTIF($Y$5:Y20,Y21))</f>
        <v>1011</v>
      </c>
      <c r="AD21" s="1" t="str">
        <f t="shared" si="5"/>
        <v/>
      </c>
      <c r="BA21" s="1">
        <f>IF(W21&lt;=Leltar_iv!$Y$1,I21,0)</f>
        <v>0</v>
      </c>
    </row>
    <row r="22" spans="1:53" s="1" customFormat="1" hidden="1" x14ac:dyDescent="0.25">
      <c r="A22" s="18">
        <f>IF(COUNTIF($Y$6:Y22,Y22)=1,Y22,Y22+COUNTIF($Y$5:Y21,Y22))</f>
        <v>1012</v>
      </c>
      <c r="B22" s="1">
        <f>IF(AND(Kisero_iv!$N$2=C22,Kisero_iv!$K$5=$B$2,SUM(I22:L26)&lt;&gt;0,$B$4=YEAR(W22)),B21+1,0)</f>
        <v>0</v>
      </c>
      <c r="C22" s="1">
        <f>IF(YEAR(W21)&lt;&gt;YEAR(W22),1,IF(Bevetel!T22&lt;&gt;0,C21+1,C21))</f>
        <v>17</v>
      </c>
      <c r="D22" s="102" t="str">
        <f>Bevetel!D22</f>
        <v/>
      </c>
      <c r="E22" s="42">
        <f>Bevetel!E22</f>
        <v>0</v>
      </c>
      <c r="F22" s="38" t="str">
        <f>IF(Bevetel!F22&lt;&gt;0,Bevetel!F22,"")</f>
        <v/>
      </c>
      <c r="G22" s="38" t="str">
        <f>IF(Bevetel!G22&lt;&gt;0,Bevetel!G22,"")</f>
        <v/>
      </c>
      <c r="H22" s="38" t="str">
        <f>IF(Bevetel!H22&lt;&gt;0,Bevetel!H22,"")</f>
        <v/>
      </c>
      <c r="I22" s="38">
        <f>Bevetel!I22</f>
        <v>0</v>
      </c>
      <c r="J22" s="105" t="str">
        <f>Bevetel!J22</f>
        <v/>
      </c>
      <c r="K22" s="106" t="str">
        <f>Bevetel!K22</f>
        <v/>
      </c>
      <c r="L22" s="106" t="str">
        <f>Bevetel!L22</f>
        <v/>
      </c>
      <c r="M22" s="107"/>
      <c r="Q22" s="1">
        <f>VLOOKUP(G22,Keszlet!$C$5:$E$205,3,FALSE)</f>
        <v>0</v>
      </c>
      <c r="T22" s="1" t="str">
        <f t="shared" si="1"/>
        <v>0</v>
      </c>
      <c r="U22" s="1">
        <f t="shared" si="2"/>
        <v>0</v>
      </c>
      <c r="W22" s="6">
        <f t="shared" si="3"/>
        <v>0</v>
      </c>
      <c r="X22" s="6">
        <f t="shared" si="0"/>
        <v>55153</v>
      </c>
      <c r="Y22" s="1">
        <f t="shared" si="4"/>
        <v>996</v>
      </c>
      <c r="Z22" s="1">
        <f>IF(COUNTIF($Y$6:Y22,Y22)=1,Y22,Y22+COUNTIF($Y$5:Y21,Y22))</f>
        <v>1012</v>
      </c>
      <c r="AD22" s="1" t="str">
        <f t="shared" si="5"/>
        <v/>
      </c>
      <c r="BA22" s="1">
        <f>IF(W22&lt;=Leltar_iv!$Y$1,I22,0)</f>
        <v>0</v>
      </c>
    </row>
    <row r="23" spans="1:53" s="1" customFormat="1" hidden="1" x14ac:dyDescent="0.25">
      <c r="A23" s="18">
        <f>IF(COUNTIF($Y$6:Y23,Y23)=1,Y23,Y23+COUNTIF($Y$5:Y22,Y23))</f>
        <v>1013</v>
      </c>
      <c r="B23" s="1">
        <f>IF(AND(Kisero_iv!$N$2=C23,Kisero_iv!$K$5=$B$2,SUM(I23:L27)&lt;&gt;0,$B$4=YEAR(W23)),B22+1,0)</f>
        <v>0</v>
      </c>
      <c r="C23" s="1">
        <f>IF(YEAR(W22)&lt;&gt;YEAR(W23),1,IF(Bevetel!T23&lt;&gt;0,C22+1,C22))</f>
        <v>18</v>
      </c>
      <c r="D23" s="102" t="str">
        <f>Bevetel!D23</f>
        <v/>
      </c>
      <c r="E23" s="42">
        <f>Bevetel!E23</f>
        <v>0</v>
      </c>
      <c r="F23" s="38" t="str">
        <f>IF(Bevetel!F23&lt;&gt;0,Bevetel!F23,"")</f>
        <v/>
      </c>
      <c r="G23" s="38" t="str">
        <f>IF(Bevetel!G23&lt;&gt;0,Bevetel!G23,"")</f>
        <v/>
      </c>
      <c r="H23" s="38" t="str">
        <f>IF(Bevetel!H23&lt;&gt;0,Bevetel!H23,"")</f>
        <v/>
      </c>
      <c r="I23" s="38">
        <f>Bevetel!I23</f>
        <v>0</v>
      </c>
      <c r="J23" s="105" t="str">
        <f>Bevetel!J23</f>
        <v/>
      </c>
      <c r="K23" s="106" t="str">
        <f>Bevetel!K23</f>
        <v/>
      </c>
      <c r="L23" s="106" t="str">
        <f>Bevetel!L23</f>
        <v/>
      </c>
      <c r="M23" s="107"/>
      <c r="Q23" s="1">
        <f>VLOOKUP(G23,Keszlet!$C$5:$E$205,3,FALSE)</f>
        <v>0</v>
      </c>
      <c r="T23" s="1" t="str">
        <f t="shared" si="1"/>
        <v>0</v>
      </c>
      <c r="U23" s="1">
        <f t="shared" si="2"/>
        <v>0</v>
      </c>
      <c r="W23" s="6">
        <f t="shared" si="3"/>
        <v>0</v>
      </c>
      <c r="X23" s="6">
        <f t="shared" si="0"/>
        <v>55153</v>
      </c>
      <c r="Y23" s="1">
        <f t="shared" si="4"/>
        <v>996</v>
      </c>
      <c r="Z23" s="1">
        <f>IF(COUNTIF($Y$6:Y23,Y23)=1,Y23,Y23+COUNTIF($Y$5:Y22,Y23))</f>
        <v>1013</v>
      </c>
      <c r="AD23" s="1" t="str">
        <f t="shared" si="5"/>
        <v/>
      </c>
      <c r="BA23" s="1">
        <f>IF(W23&lt;=Leltar_iv!$Y$1,I23,0)</f>
        <v>0</v>
      </c>
    </row>
    <row r="24" spans="1:53" s="1" customFormat="1" hidden="1" x14ac:dyDescent="0.25">
      <c r="A24" s="18">
        <f>IF(COUNTIF($Y$6:Y24,Y24)=1,Y24,Y24+COUNTIF($Y$5:Y23,Y24))</f>
        <v>1014</v>
      </c>
      <c r="B24" s="1">
        <f>IF(AND(Kisero_iv!$N$2=C24,Kisero_iv!$K$5=$B$2,SUM(I24:L28)&lt;&gt;0,$B$4=YEAR(W24)),B23+1,0)</f>
        <v>0</v>
      </c>
      <c r="C24" s="1">
        <f>IF(YEAR(W23)&lt;&gt;YEAR(W24),1,IF(Bevetel!T24&lt;&gt;0,C23+1,C23))</f>
        <v>19</v>
      </c>
      <c r="D24" s="102" t="str">
        <f>Bevetel!D24</f>
        <v/>
      </c>
      <c r="E24" s="42">
        <f>Bevetel!E24</f>
        <v>0</v>
      </c>
      <c r="F24" s="38" t="str">
        <f>IF(Bevetel!F24&lt;&gt;0,Bevetel!F24,"")</f>
        <v/>
      </c>
      <c r="G24" s="38" t="str">
        <f>IF(Bevetel!G24&lt;&gt;0,Bevetel!G24,"")</f>
        <v/>
      </c>
      <c r="H24" s="38" t="str">
        <f>IF(Bevetel!H24&lt;&gt;0,Bevetel!H24,"")</f>
        <v/>
      </c>
      <c r="I24" s="38">
        <f>Bevetel!I24</f>
        <v>0</v>
      </c>
      <c r="J24" s="105" t="str">
        <f>Bevetel!J24</f>
        <v/>
      </c>
      <c r="K24" s="106" t="str">
        <f>Bevetel!K24</f>
        <v/>
      </c>
      <c r="L24" s="106" t="str">
        <f>Bevetel!L24</f>
        <v/>
      </c>
      <c r="M24" s="107"/>
      <c r="Q24" s="1">
        <f>VLOOKUP(G24,Keszlet!$C$5:$E$205,3,FALSE)</f>
        <v>0</v>
      </c>
      <c r="T24" s="1" t="str">
        <f t="shared" si="1"/>
        <v>0</v>
      </c>
      <c r="U24" s="1">
        <f t="shared" si="2"/>
        <v>0</v>
      </c>
      <c r="W24" s="6">
        <f t="shared" si="3"/>
        <v>0</v>
      </c>
      <c r="X24" s="6">
        <f t="shared" si="0"/>
        <v>55153</v>
      </c>
      <c r="Y24" s="1">
        <f t="shared" si="4"/>
        <v>996</v>
      </c>
      <c r="Z24" s="1">
        <f>IF(COUNTIF($Y$6:Y24,Y24)=1,Y24,Y24+COUNTIF($Y$5:Y23,Y24))</f>
        <v>1014</v>
      </c>
      <c r="AD24" s="1" t="str">
        <f>IF(AND(C23&lt;&gt;C24,SUM(L24:L44)&lt;&gt;0,$B$4=YEAR(W24)),C24,"")</f>
        <v/>
      </c>
      <c r="BA24" s="1">
        <f>IF(W24&lt;=Leltar_iv!$Y$1,I24,0)</f>
        <v>0</v>
      </c>
    </row>
    <row r="25" spans="1:53" s="1" customFormat="1" hidden="1" x14ac:dyDescent="0.25">
      <c r="A25" s="18">
        <f>IF(COUNTIF($Y$6:Y25,Y25)=1,Y25,Y25+COUNTIF($Y$5:Y24,Y25))</f>
        <v>1015</v>
      </c>
      <c r="B25" s="1">
        <f>IF(AND(Kisero_iv!$N$2=C25,Kisero_iv!$K$5=$B$2,SUM(I25:L29)&lt;&gt;0,$B$4=YEAR(W25)),B24+1,0)</f>
        <v>0</v>
      </c>
      <c r="C25" s="1">
        <f>IF(YEAR(W24)&lt;&gt;YEAR(W25),1,IF(Bevetel!T25&lt;&gt;0,C24+1,C24))</f>
        <v>20</v>
      </c>
      <c r="D25" s="102" t="str">
        <f>Bevetel!D25</f>
        <v/>
      </c>
      <c r="E25" s="42">
        <f>Bevetel!E25</f>
        <v>0</v>
      </c>
      <c r="F25" s="38" t="str">
        <f>IF(Bevetel!F25&lt;&gt;0,Bevetel!F25,"")</f>
        <v/>
      </c>
      <c r="G25" s="38" t="str">
        <f>IF(Bevetel!G25&lt;&gt;0,Bevetel!G25,"")</f>
        <v/>
      </c>
      <c r="H25" s="38" t="str">
        <f>IF(Bevetel!H25&lt;&gt;0,Bevetel!H25,"")</f>
        <v/>
      </c>
      <c r="I25" s="38">
        <f>Bevetel!I25</f>
        <v>0</v>
      </c>
      <c r="J25" s="105" t="str">
        <f>Bevetel!J25</f>
        <v/>
      </c>
      <c r="K25" s="106" t="str">
        <f>Bevetel!K25</f>
        <v/>
      </c>
      <c r="L25" s="106" t="str">
        <f>Bevetel!L25</f>
        <v/>
      </c>
      <c r="M25" s="107"/>
      <c r="Q25" s="1">
        <f>VLOOKUP(G25,Keszlet!$C$5:$E$205,3,FALSE)</f>
        <v>0</v>
      </c>
      <c r="T25" s="1" t="str">
        <f t="shared" si="1"/>
        <v>0</v>
      </c>
      <c r="U25" s="1">
        <f t="shared" si="2"/>
        <v>0</v>
      </c>
      <c r="W25" s="6">
        <f t="shared" si="3"/>
        <v>0</v>
      </c>
      <c r="X25" s="6">
        <f t="shared" si="0"/>
        <v>55153</v>
      </c>
      <c r="Y25" s="1">
        <f t="shared" si="4"/>
        <v>996</v>
      </c>
      <c r="Z25" s="1">
        <f>IF(COUNTIF($Y$6:Y25,Y25)=1,Y25,Y25+COUNTIF($Y$5:Y24,Y25))</f>
        <v>1015</v>
      </c>
      <c r="AD25" s="1" t="str">
        <f t="shared" si="5"/>
        <v/>
      </c>
      <c r="BA25" s="1">
        <f>IF(W25&lt;=Leltar_iv!$Y$1,I25,0)</f>
        <v>0</v>
      </c>
    </row>
    <row r="26" spans="1:53" s="1" customFormat="1" hidden="1" x14ac:dyDescent="0.25">
      <c r="A26" s="18">
        <f>IF(COUNTIF($Y$6:Y26,Y26)=1,Y26,Y26+COUNTIF($Y$5:Y25,Y26))</f>
        <v>1016</v>
      </c>
      <c r="B26" s="1">
        <f>IF(AND(Kisero_iv!$N$2=C26,Kisero_iv!$K$5=$B$2,SUM(I26:L30)&lt;&gt;0,$B$4=YEAR(W26)),B25+1,0)</f>
        <v>0</v>
      </c>
      <c r="C26" s="1">
        <f>IF(YEAR(W25)&lt;&gt;YEAR(W26),1,IF(Bevetel!T26&lt;&gt;0,C25+1,C25))</f>
        <v>21</v>
      </c>
      <c r="D26" s="102" t="str">
        <f>Bevetel!D26</f>
        <v/>
      </c>
      <c r="E26" s="42">
        <f>Bevetel!E26</f>
        <v>0</v>
      </c>
      <c r="F26" s="38" t="str">
        <f>IF(Bevetel!F26&lt;&gt;0,Bevetel!F26,"")</f>
        <v/>
      </c>
      <c r="G26" s="38" t="str">
        <f>IF(Bevetel!G26&lt;&gt;0,Bevetel!G26,"")</f>
        <v/>
      </c>
      <c r="H26" s="38" t="str">
        <f>IF(Bevetel!H26&lt;&gt;0,Bevetel!H26,"")</f>
        <v/>
      </c>
      <c r="I26" s="38">
        <f>Bevetel!I26</f>
        <v>0</v>
      </c>
      <c r="J26" s="105" t="str">
        <f>Bevetel!J26</f>
        <v/>
      </c>
      <c r="K26" s="106" t="str">
        <f>Bevetel!K26</f>
        <v/>
      </c>
      <c r="L26" s="106" t="str">
        <f>Bevetel!L26</f>
        <v/>
      </c>
      <c r="M26" s="107"/>
      <c r="Q26" s="1">
        <f>VLOOKUP(G26,Keszlet!$C$5:$E$205,3,FALSE)</f>
        <v>0</v>
      </c>
      <c r="T26" s="1" t="str">
        <f t="shared" si="1"/>
        <v>0</v>
      </c>
      <c r="U26" s="1">
        <f t="shared" si="2"/>
        <v>0</v>
      </c>
      <c r="W26" s="6">
        <f t="shared" si="3"/>
        <v>0</v>
      </c>
      <c r="X26" s="6">
        <f t="shared" si="0"/>
        <v>55153</v>
      </c>
      <c r="Y26" s="1">
        <f t="shared" si="4"/>
        <v>996</v>
      </c>
      <c r="Z26" s="1">
        <f>IF(COUNTIF($Y$6:Y26,Y26)=1,Y26,Y26+COUNTIF($Y$5:Y25,Y26))</f>
        <v>1016</v>
      </c>
      <c r="AD26" s="1" t="str">
        <f t="shared" si="5"/>
        <v/>
      </c>
      <c r="BA26" s="1">
        <f>IF(W26&lt;=Leltar_iv!$Y$1,I26,0)</f>
        <v>0</v>
      </c>
    </row>
    <row r="27" spans="1:53" s="1" customFormat="1" hidden="1" x14ac:dyDescent="0.25">
      <c r="A27" s="18">
        <f>IF(COUNTIF($Y$6:Y27,Y27)=1,Y27,Y27+COUNTIF($Y$5:Y26,Y27))</f>
        <v>1017</v>
      </c>
      <c r="B27" s="1">
        <f>IF(AND(Kisero_iv!$N$2=C27,Kisero_iv!$K$5=$B$2,SUM(I27:L31)&lt;&gt;0,$B$4=YEAR(W27)),B26+1,0)</f>
        <v>0</v>
      </c>
      <c r="C27" s="1">
        <f>IF(YEAR(W26)&lt;&gt;YEAR(W27),1,IF(Bevetel!T27&lt;&gt;0,C26+1,C26))</f>
        <v>22</v>
      </c>
      <c r="D27" s="102" t="str">
        <f>Bevetel!D27</f>
        <v/>
      </c>
      <c r="E27" s="42">
        <f>Bevetel!E27</f>
        <v>0</v>
      </c>
      <c r="F27" s="38" t="str">
        <f>IF(Bevetel!F27&lt;&gt;0,Bevetel!F27,"")</f>
        <v/>
      </c>
      <c r="G27" s="38" t="str">
        <f>IF(Bevetel!G27&lt;&gt;0,Bevetel!G27,"")</f>
        <v/>
      </c>
      <c r="H27" s="38" t="str">
        <f>IF(Bevetel!H27&lt;&gt;0,Bevetel!H27,"")</f>
        <v/>
      </c>
      <c r="I27" s="38">
        <f>Bevetel!I27</f>
        <v>0</v>
      </c>
      <c r="J27" s="105" t="str">
        <f>Bevetel!J27</f>
        <v/>
      </c>
      <c r="K27" s="106" t="str">
        <f>Bevetel!K27</f>
        <v/>
      </c>
      <c r="L27" s="106" t="str">
        <f>Bevetel!L27</f>
        <v/>
      </c>
      <c r="M27" s="107"/>
      <c r="Q27" s="1">
        <f>VLOOKUP(G27,Keszlet!$C$5:$E$205,3,FALSE)</f>
        <v>0</v>
      </c>
      <c r="T27" s="1" t="str">
        <f t="shared" si="1"/>
        <v>0</v>
      </c>
      <c r="U27" s="1">
        <f t="shared" si="2"/>
        <v>0</v>
      </c>
      <c r="W27" s="6">
        <f t="shared" si="3"/>
        <v>0</v>
      </c>
      <c r="X27" s="6">
        <f t="shared" si="0"/>
        <v>55153</v>
      </c>
      <c r="Y27" s="1">
        <f t="shared" si="4"/>
        <v>996</v>
      </c>
      <c r="Z27" s="1">
        <f>IF(COUNTIF($Y$6:Y27,Y27)=1,Y27,Y27+COUNTIF($Y$5:Y26,Y27))</f>
        <v>1017</v>
      </c>
      <c r="AD27" s="1" t="str">
        <f t="shared" si="5"/>
        <v/>
      </c>
      <c r="BA27" s="1">
        <f>IF(W27&lt;=Leltar_iv!$Y$1,I27,0)</f>
        <v>0</v>
      </c>
    </row>
    <row r="28" spans="1:53" s="1" customFormat="1" hidden="1" x14ac:dyDescent="0.25">
      <c r="A28" s="18">
        <f>IF(COUNTIF($Y$6:Y28,Y28)=1,Y28,Y28+COUNTIF($Y$5:Y27,Y28))</f>
        <v>1018</v>
      </c>
      <c r="B28" s="1">
        <f>IF(AND(Kisero_iv!$N$2=C28,Kisero_iv!$K$5=$B$2,SUM(I28:L32)&lt;&gt;0,$B$4=YEAR(W28)),B27+1,0)</f>
        <v>0</v>
      </c>
      <c r="C28" s="1">
        <f>IF(YEAR(W27)&lt;&gt;YEAR(W28),1,IF(Bevetel!T28&lt;&gt;0,C27+1,C27))</f>
        <v>23</v>
      </c>
      <c r="D28" s="102" t="str">
        <f>Bevetel!D28</f>
        <v/>
      </c>
      <c r="E28" s="42">
        <f>Bevetel!E28</f>
        <v>0</v>
      </c>
      <c r="F28" s="38" t="str">
        <f>IF(Bevetel!F28&lt;&gt;0,Bevetel!F28,"")</f>
        <v/>
      </c>
      <c r="G28" s="38" t="str">
        <f>IF(Bevetel!G28&lt;&gt;0,Bevetel!G28,"")</f>
        <v/>
      </c>
      <c r="H28" s="38" t="str">
        <f>IF(Bevetel!H28&lt;&gt;0,Bevetel!H28,"")</f>
        <v/>
      </c>
      <c r="I28" s="38">
        <f>Bevetel!I28</f>
        <v>0</v>
      </c>
      <c r="J28" s="105" t="str">
        <f>Bevetel!J28</f>
        <v/>
      </c>
      <c r="K28" s="106" t="str">
        <f>Bevetel!K28</f>
        <v/>
      </c>
      <c r="L28" s="106" t="str">
        <f>Bevetel!L28</f>
        <v/>
      </c>
      <c r="M28" s="107"/>
      <c r="Q28" s="1">
        <f>VLOOKUP(G28,Keszlet!$C$5:$E$205,3,FALSE)</f>
        <v>0</v>
      </c>
      <c r="T28" s="1" t="str">
        <f t="shared" si="1"/>
        <v>0</v>
      </c>
      <c r="U28" s="1">
        <f t="shared" si="2"/>
        <v>0</v>
      </c>
      <c r="W28" s="6">
        <f t="shared" si="3"/>
        <v>0</v>
      </c>
      <c r="X28" s="6">
        <f t="shared" si="0"/>
        <v>55153</v>
      </c>
      <c r="Y28" s="1">
        <f t="shared" si="4"/>
        <v>996</v>
      </c>
      <c r="Z28" s="1">
        <f>IF(COUNTIF($Y$6:Y28,Y28)=1,Y28,Y28+COUNTIF($Y$5:Y27,Y28))</f>
        <v>1018</v>
      </c>
      <c r="AD28" s="1" t="str">
        <f t="shared" si="5"/>
        <v/>
      </c>
      <c r="BA28" s="1">
        <f>IF(W28&lt;=Leltar_iv!$Y$1,I28,0)</f>
        <v>0</v>
      </c>
    </row>
    <row r="29" spans="1:53" s="1" customFormat="1" hidden="1" x14ac:dyDescent="0.25">
      <c r="A29" s="18">
        <f>IF(COUNTIF($Y$6:Y29,Y29)=1,Y29,Y29+COUNTIF($Y$5:Y28,Y29))</f>
        <v>1019</v>
      </c>
      <c r="B29" s="1">
        <f>IF(AND(Kisero_iv!$N$2=C29,Kisero_iv!$K$5=$B$2,SUM(I29:L33)&lt;&gt;0,$B$4=YEAR(W29)),B28+1,0)</f>
        <v>0</v>
      </c>
      <c r="C29" s="1">
        <f>IF(YEAR(W28)&lt;&gt;YEAR(W29),1,IF(Bevetel!T29&lt;&gt;0,C28+1,C28))</f>
        <v>24</v>
      </c>
      <c r="D29" s="102" t="str">
        <f>Bevetel!D29</f>
        <v/>
      </c>
      <c r="E29" s="42">
        <f>Bevetel!E29</f>
        <v>0</v>
      </c>
      <c r="F29" s="38" t="str">
        <f>IF(Bevetel!F29&lt;&gt;0,Bevetel!F29,"")</f>
        <v/>
      </c>
      <c r="G29" s="38" t="str">
        <f>IF(Bevetel!G29&lt;&gt;0,Bevetel!G29,"")</f>
        <v/>
      </c>
      <c r="H29" s="38" t="str">
        <f>IF(Bevetel!H29&lt;&gt;0,Bevetel!H29,"")</f>
        <v/>
      </c>
      <c r="I29" s="38">
        <f>Bevetel!I29</f>
        <v>0</v>
      </c>
      <c r="J29" s="105" t="str">
        <f>Bevetel!J29</f>
        <v/>
      </c>
      <c r="K29" s="106" t="str">
        <f>Bevetel!K29</f>
        <v/>
      </c>
      <c r="L29" s="106" t="str">
        <f>Bevetel!L29</f>
        <v/>
      </c>
      <c r="M29" s="107"/>
      <c r="Q29" s="1">
        <f>VLOOKUP(G29,Keszlet!$C$5:$E$205,3,FALSE)</f>
        <v>0</v>
      </c>
      <c r="T29" s="1" t="str">
        <f t="shared" si="1"/>
        <v>0</v>
      </c>
      <c r="U29" s="1">
        <f t="shared" si="2"/>
        <v>0</v>
      </c>
      <c r="W29" s="6">
        <f t="shared" si="3"/>
        <v>0</v>
      </c>
      <c r="X29" s="6">
        <f t="shared" si="0"/>
        <v>55153</v>
      </c>
      <c r="Y29" s="1">
        <f t="shared" si="4"/>
        <v>996</v>
      </c>
      <c r="Z29" s="1">
        <f>IF(COUNTIF($Y$6:Y29,Y29)=1,Y29,Y29+COUNTIF($Y$5:Y28,Y29))</f>
        <v>1019</v>
      </c>
      <c r="AD29" s="1" t="str">
        <f t="shared" si="5"/>
        <v/>
      </c>
      <c r="BA29" s="1">
        <f>IF(W29&lt;=Leltar_iv!$Y$1,I29,0)</f>
        <v>0</v>
      </c>
    </row>
    <row r="30" spans="1:53" s="1" customFormat="1" hidden="1" x14ac:dyDescent="0.25">
      <c r="A30" s="18">
        <f>IF(COUNTIF($Y$6:Y30,Y30)=1,Y30,Y30+COUNTIF($Y$5:Y29,Y30))</f>
        <v>1020</v>
      </c>
      <c r="B30" s="1">
        <f>IF(AND(Kisero_iv!$N$2=C30,Kisero_iv!$K$5=$B$2,SUM(I30:L34)&lt;&gt;0,$B$4=YEAR(W30)),B29+1,0)</f>
        <v>0</v>
      </c>
      <c r="C30" s="1">
        <f>IF(YEAR(W29)&lt;&gt;YEAR(W30),1,IF(Bevetel!T30&lt;&gt;0,C29+1,C29))</f>
        <v>25</v>
      </c>
      <c r="D30" s="102" t="str">
        <f>Bevetel!D30</f>
        <v/>
      </c>
      <c r="E30" s="42">
        <f>Bevetel!E30</f>
        <v>0</v>
      </c>
      <c r="F30" s="38" t="str">
        <f>IF(Bevetel!F30&lt;&gt;0,Bevetel!F30,"")</f>
        <v/>
      </c>
      <c r="G30" s="38" t="str">
        <f>IF(Bevetel!G30&lt;&gt;0,Bevetel!G30,"")</f>
        <v/>
      </c>
      <c r="H30" s="38" t="str">
        <f>IF(Bevetel!H30&lt;&gt;0,Bevetel!H30,"")</f>
        <v/>
      </c>
      <c r="I30" s="38">
        <f>Bevetel!I30</f>
        <v>0</v>
      </c>
      <c r="J30" s="105" t="str">
        <f>Bevetel!J30</f>
        <v/>
      </c>
      <c r="K30" s="106" t="str">
        <f>Bevetel!K30</f>
        <v/>
      </c>
      <c r="L30" s="106" t="str">
        <f>Bevetel!L30</f>
        <v/>
      </c>
      <c r="M30" s="107"/>
      <c r="Q30" s="1">
        <f>VLOOKUP(G30,Keszlet!$C$5:$E$205,3,FALSE)</f>
        <v>0</v>
      </c>
      <c r="T30" s="1" t="str">
        <f t="shared" si="1"/>
        <v>0</v>
      </c>
      <c r="U30" s="1">
        <f t="shared" si="2"/>
        <v>0</v>
      </c>
      <c r="W30" s="6">
        <f t="shared" si="3"/>
        <v>0</v>
      </c>
      <c r="X30" s="6">
        <f t="shared" si="0"/>
        <v>55153</v>
      </c>
      <c r="Y30" s="1">
        <f t="shared" si="4"/>
        <v>996</v>
      </c>
      <c r="Z30" s="1">
        <f>IF(COUNTIF($Y$6:Y30,Y30)=1,Y30,Y30+COUNTIF($Y$5:Y29,Y30))</f>
        <v>1020</v>
      </c>
      <c r="AD30" s="1" t="str">
        <f t="shared" si="5"/>
        <v/>
      </c>
      <c r="BA30" s="1">
        <f>IF(W30&lt;=Leltar_iv!$Y$1,I30,0)</f>
        <v>0</v>
      </c>
    </row>
    <row r="31" spans="1:53" s="1" customFormat="1" hidden="1" x14ac:dyDescent="0.25">
      <c r="A31" s="18">
        <f>IF(COUNTIF($Y$6:Y31,Y31)=1,Y31,Y31+COUNTIF($Y$5:Y30,Y31))</f>
        <v>1021</v>
      </c>
      <c r="B31" s="1">
        <f>IF(AND(Kisero_iv!$N$2=C31,Kisero_iv!$K$5=$B$2,SUM(I31:L35)&lt;&gt;0,$B$4=YEAR(W31)),B30+1,0)</f>
        <v>0</v>
      </c>
      <c r="C31" s="1">
        <f>IF(YEAR(W30)&lt;&gt;YEAR(W31),1,IF(Bevetel!T31&lt;&gt;0,C30+1,C30))</f>
        <v>26</v>
      </c>
      <c r="D31" s="102" t="str">
        <f>Bevetel!D31</f>
        <v/>
      </c>
      <c r="E31" s="42">
        <f>Bevetel!E31</f>
        <v>0</v>
      </c>
      <c r="F31" s="38" t="str">
        <f>IF(Bevetel!F31&lt;&gt;0,Bevetel!F31,"")</f>
        <v/>
      </c>
      <c r="G31" s="38" t="str">
        <f>IF(Bevetel!G31&lt;&gt;0,Bevetel!G31,"")</f>
        <v/>
      </c>
      <c r="H31" s="38" t="str">
        <f>IF(Bevetel!H31&lt;&gt;0,Bevetel!H31,"")</f>
        <v/>
      </c>
      <c r="I31" s="38">
        <f>Bevetel!I31</f>
        <v>0</v>
      </c>
      <c r="J31" s="105" t="str">
        <f>Bevetel!J31</f>
        <v/>
      </c>
      <c r="K31" s="106" t="str">
        <f>Bevetel!K31</f>
        <v/>
      </c>
      <c r="L31" s="106" t="str">
        <f>Bevetel!L31</f>
        <v/>
      </c>
      <c r="M31" s="107"/>
      <c r="Q31" s="1">
        <f>VLOOKUP(G31,Keszlet!$C$5:$E$205,3,FALSE)</f>
        <v>0</v>
      </c>
      <c r="T31" s="1" t="str">
        <f t="shared" si="1"/>
        <v>0</v>
      </c>
      <c r="U31" s="1">
        <f t="shared" si="2"/>
        <v>0</v>
      </c>
      <c r="W31" s="6">
        <f t="shared" si="3"/>
        <v>0</v>
      </c>
      <c r="X31" s="6">
        <f t="shared" si="0"/>
        <v>55153</v>
      </c>
      <c r="Y31" s="1">
        <f t="shared" si="4"/>
        <v>996</v>
      </c>
      <c r="Z31" s="1">
        <f>IF(COUNTIF($Y$6:Y31,Y31)=1,Y31,Y31+COUNTIF($Y$5:Y30,Y31))</f>
        <v>1021</v>
      </c>
      <c r="AD31" s="1" t="str">
        <f t="shared" si="5"/>
        <v/>
      </c>
      <c r="BA31" s="1">
        <f>IF(W31&lt;=Leltar_iv!$Y$1,I31,0)</f>
        <v>0</v>
      </c>
    </row>
    <row r="32" spans="1:53" s="1" customFormat="1" hidden="1" x14ac:dyDescent="0.25">
      <c r="A32" s="18">
        <f>IF(COUNTIF($Y$6:Y32,Y32)=1,Y32,Y32+COUNTIF($Y$5:Y31,Y32))</f>
        <v>1022</v>
      </c>
      <c r="B32" s="1">
        <f>IF(AND(Kisero_iv!$N$2=C32,Kisero_iv!$K$5=$B$2,SUM(I32:L36)&lt;&gt;0,$B$4=YEAR(W32)),B31+1,0)</f>
        <v>0</v>
      </c>
      <c r="C32" s="1">
        <f>IF(YEAR(W31)&lt;&gt;YEAR(W32),1,IF(Bevetel!T32&lt;&gt;0,C31+1,C31))</f>
        <v>27</v>
      </c>
      <c r="D32" s="102" t="str">
        <f>Bevetel!D32</f>
        <v/>
      </c>
      <c r="E32" s="42">
        <f>Bevetel!E32</f>
        <v>0</v>
      </c>
      <c r="F32" s="38" t="str">
        <f>IF(Bevetel!F32&lt;&gt;0,Bevetel!F32,"")</f>
        <v/>
      </c>
      <c r="G32" s="38" t="str">
        <f>IF(Bevetel!G32&lt;&gt;0,Bevetel!G32,"")</f>
        <v/>
      </c>
      <c r="H32" s="38" t="str">
        <f>IF(Bevetel!H32&lt;&gt;0,Bevetel!H32,"")</f>
        <v/>
      </c>
      <c r="I32" s="38">
        <f>Bevetel!I32</f>
        <v>0</v>
      </c>
      <c r="J32" s="105" t="str">
        <f>Bevetel!J32</f>
        <v/>
      </c>
      <c r="K32" s="106" t="str">
        <f>Bevetel!K32</f>
        <v/>
      </c>
      <c r="L32" s="106" t="str">
        <f>Bevetel!L32</f>
        <v/>
      </c>
      <c r="M32" s="107"/>
      <c r="Q32" s="1">
        <f>VLOOKUP(G32,Keszlet!$C$5:$E$205,3,FALSE)</f>
        <v>0</v>
      </c>
      <c r="T32" s="1" t="str">
        <f t="shared" si="1"/>
        <v>0</v>
      </c>
      <c r="U32" s="1">
        <f t="shared" si="2"/>
        <v>0</v>
      </c>
      <c r="W32" s="6">
        <f t="shared" si="3"/>
        <v>0</v>
      </c>
      <c r="X32" s="6">
        <f t="shared" si="0"/>
        <v>55153</v>
      </c>
      <c r="Y32" s="1">
        <f t="shared" si="4"/>
        <v>996</v>
      </c>
      <c r="Z32" s="1">
        <f>IF(COUNTIF($Y$6:Y32,Y32)=1,Y32,Y32+COUNTIF($Y$5:Y31,Y32))</f>
        <v>1022</v>
      </c>
      <c r="AD32" s="1" t="str">
        <f t="shared" si="5"/>
        <v/>
      </c>
      <c r="BA32" s="1">
        <f>IF(W32&lt;=Leltar_iv!$Y$1,I32,0)</f>
        <v>0</v>
      </c>
    </row>
    <row r="33" spans="1:53" s="1" customFormat="1" hidden="1" x14ac:dyDescent="0.25">
      <c r="A33" s="18">
        <f>IF(COUNTIF($Y$6:Y33,Y33)=1,Y33,Y33+COUNTIF($Y$5:Y32,Y33))</f>
        <v>1023</v>
      </c>
      <c r="B33" s="1">
        <f>IF(AND(Kisero_iv!$N$2=C33,Kisero_iv!$K$5=$B$2,SUM(I33:L37)&lt;&gt;0,$B$4=YEAR(W33)),B32+1,0)</f>
        <v>0</v>
      </c>
      <c r="C33" s="1">
        <f>IF(YEAR(W32)&lt;&gt;YEAR(W33),1,IF(Bevetel!T33&lt;&gt;0,C32+1,C32))</f>
        <v>28</v>
      </c>
      <c r="D33" s="102" t="str">
        <f>Bevetel!D33</f>
        <v/>
      </c>
      <c r="E33" s="42">
        <f>Bevetel!E33</f>
        <v>0</v>
      </c>
      <c r="F33" s="38" t="str">
        <f>IF(Bevetel!F33&lt;&gt;0,Bevetel!F33,"")</f>
        <v/>
      </c>
      <c r="G33" s="38" t="str">
        <f>IF(Bevetel!G33&lt;&gt;0,Bevetel!G33,"")</f>
        <v/>
      </c>
      <c r="H33" s="38" t="str">
        <f>IF(Bevetel!H33&lt;&gt;0,Bevetel!H33,"")</f>
        <v/>
      </c>
      <c r="I33" s="38">
        <f>Bevetel!I33</f>
        <v>0</v>
      </c>
      <c r="J33" s="105" t="str">
        <f>Bevetel!J33</f>
        <v/>
      </c>
      <c r="K33" s="106" t="str">
        <f>Bevetel!K33</f>
        <v/>
      </c>
      <c r="L33" s="106" t="str">
        <f>Bevetel!L33</f>
        <v/>
      </c>
      <c r="M33" s="107"/>
      <c r="Q33" s="1">
        <f>VLOOKUP(G33,Keszlet!$C$5:$E$205,3,FALSE)</f>
        <v>0</v>
      </c>
      <c r="T33" s="1" t="str">
        <f t="shared" si="1"/>
        <v>0</v>
      </c>
      <c r="U33" s="1">
        <f t="shared" si="2"/>
        <v>0</v>
      </c>
      <c r="W33" s="6">
        <f t="shared" si="3"/>
        <v>0</v>
      </c>
      <c r="X33" s="6">
        <f t="shared" si="0"/>
        <v>55153</v>
      </c>
      <c r="Y33" s="1">
        <f t="shared" si="4"/>
        <v>996</v>
      </c>
      <c r="Z33" s="1">
        <f>IF(COUNTIF($Y$6:Y33,Y33)=1,Y33,Y33+COUNTIF($Y$5:Y32,Y33))</f>
        <v>1023</v>
      </c>
      <c r="AD33" s="1" t="str">
        <f t="shared" si="5"/>
        <v/>
      </c>
      <c r="BA33" s="1">
        <f>IF(W33&lt;=Leltar_iv!$Y$1,I33,0)</f>
        <v>0</v>
      </c>
    </row>
    <row r="34" spans="1:53" s="1" customFormat="1" hidden="1" x14ac:dyDescent="0.25">
      <c r="A34" s="18">
        <f>IF(COUNTIF($Y$6:Y34,Y34)=1,Y34,Y34+COUNTIF($Y$5:Y33,Y34))</f>
        <v>1024</v>
      </c>
      <c r="B34" s="1">
        <f>IF(AND(Kisero_iv!$N$2=C34,Kisero_iv!$K$5=$B$2,SUM(I34:L38)&lt;&gt;0,$B$4=YEAR(W34)),B33+1,0)</f>
        <v>0</v>
      </c>
      <c r="C34" s="1">
        <f>IF(YEAR(W33)&lt;&gt;YEAR(W34),1,IF(Bevetel!T34&lt;&gt;0,C33+1,C33))</f>
        <v>29</v>
      </c>
      <c r="D34" s="102" t="str">
        <f>Bevetel!D34</f>
        <v/>
      </c>
      <c r="E34" s="42">
        <f>Bevetel!E34</f>
        <v>0</v>
      </c>
      <c r="F34" s="38" t="str">
        <f>IF(Bevetel!F34&lt;&gt;0,Bevetel!F34,"")</f>
        <v/>
      </c>
      <c r="G34" s="38" t="str">
        <f>IF(Bevetel!G34&lt;&gt;0,Bevetel!G34,"")</f>
        <v/>
      </c>
      <c r="H34" s="38" t="str">
        <f>IF(Bevetel!H34&lt;&gt;0,Bevetel!H34,"")</f>
        <v/>
      </c>
      <c r="I34" s="38">
        <f>Bevetel!I34</f>
        <v>0</v>
      </c>
      <c r="J34" s="105" t="str">
        <f>Bevetel!J34</f>
        <v/>
      </c>
      <c r="K34" s="106" t="str">
        <f>Bevetel!K34</f>
        <v/>
      </c>
      <c r="L34" s="106" t="str">
        <f>Bevetel!L34</f>
        <v/>
      </c>
      <c r="M34" s="107"/>
      <c r="Q34" s="1">
        <f>VLOOKUP(G34,Keszlet!$C$5:$E$205,3,FALSE)</f>
        <v>0</v>
      </c>
      <c r="T34" s="1" t="str">
        <f t="shared" si="1"/>
        <v>0</v>
      </c>
      <c r="U34" s="1">
        <f t="shared" si="2"/>
        <v>0</v>
      </c>
      <c r="W34" s="6">
        <f t="shared" si="3"/>
        <v>0</v>
      </c>
      <c r="X34" s="6">
        <f t="shared" si="0"/>
        <v>55153</v>
      </c>
      <c r="Y34" s="1">
        <f t="shared" si="4"/>
        <v>996</v>
      </c>
      <c r="Z34" s="1">
        <f>IF(COUNTIF($Y$6:Y34,Y34)=1,Y34,Y34+COUNTIF($Y$5:Y33,Y34))</f>
        <v>1024</v>
      </c>
      <c r="AD34" s="1" t="str">
        <f t="shared" si="5"/>
        <v/>
      </c>
      <c r="BA34" s="1">
        <f>IF(W34&lt;=Leltar_iv!$Y$1,I34,0)</f>
        <v>0</v>
      </c>
    </row>
    <row r="35" spans="1:53" s="1" customFormat="1" hidden="1" x14ac:dyDescent="0.25">
      <c r="A35" s="18">
        <f>IF(COUNTIF($Y$6:Y35,Y35)=1,Y35,Y35+COUNTIF($Y$5:Y34,Y35))</f>
        <v>1025</v>
      </c>
      <c r="B35" s="1">
        <f>IF(AND(Kisero_iv!$N$2=C35,Kisero_iv!$K$5=$B$2,SUM(I35:L39)&lt;&gt;0,$B$4=YEAR(W35)),B34+1,0)</f>
        <v>0</v>
      </c>
      <c r="C35" s="1">
        <f>IF(YEAR(W34)&lt;&gt;YEAR(W35),1,IF(Bevetel!T35&lt;&gt;0,C34+1,C34))</f>
        <v>30</v>
      </c>
      <c r="D35" s="102" t="str">
        <f>Bevetel!D35</f>
        <v/>
      </c>
      <c r="E35" s="42">
        <f>Bevetel!E35</f>
        <v>0</v>
      </c>
      <c r="F35" s="38" t="str">
        <f>IF(Bevetel!F35&lt;&gt;0,Bevetel!F35,"")</f>
        <v/>
      </c>
      <c r="G35" s="38" t="str">
        <f>IF(Bevetel!G35&lt;&gt;0,Bevetel!G35,"")</f>
        <v/>
      </c>
      <c r="H35" s="38" t="str">
        <f>IF(Bevetel!H35&lt;&gt;0,Bevetel!H35,"")</f>
        <v/>
      </c>
      <c r="I35" s="38">
        <f>Bevetel!I35</f>
        <v>0</v>
      </c>
      <c r="J35" s="105" t="str">
        <f>Bevetel!J35</f>
        <v/>
      </c>
      <c r="K35" s="106" t="str">
        <f>Bevetel!K35</f>
        <v/>
      </c>
      <c r="L35" s="106" t="str">
        <f>Bevetel!L35</f>
        <v/>
      </c>
      <c r="M35" s="107"/>
      <c r="Q35" s="1">
        <f>VLOOKUP(G35,Keszlet!$C$5:$E$205,3,FALSE)</f>
        <v>0</v>
      </c>
      <c r="T35" s="1" t="str">
        <f t="shared" si="1"/>
        <v>0</v>
      </c>
      <c r="U35" s="1">
        <f t="shared" si="2"/>
        <v>0</v>
      </c>
      <c r="W35" s="6">
        <f t="shared" si="3"/>
        <v>0</v>
      </c>
      <c r="X35" s="6">
        <f t="shared" si="0"/>
        <v>55153</v>
      </c>
      <c r="Y35" s="1">
        <f t="shared" si="4"/>
        <v>996</v>
      </c>
      <c r="Z35" s="1">
        <f>IF(COUNTIF($Y$6:Y35,Y35)=1,Y35,Y35+COUNTIF($Y$5:Y34,Y35))</f>
        <v>1025</v>
      </c>
      <c r="AD35" s="1" t="str">
        <f t="shared" si="5"/>
        <v/>
      </c>
      <c r="BA35" s="1">
        <f>IF(W35&lt;=Leltar_iv!$Y$1,I35,0)</f>
        <v>0</v>
      </c>
    </row>
    <row r="36" spans="1:53" s="1" customFormat="1" hidden="1" x14ac:dyDescent="0.25">
      <c r="A36" s="18">
        <f>IF(COUNTIF($Y$6:Y36,Y36)=1,Y36,Y36+COUNTIF($Y$5:Y35,Y36))</f>
        <v>1026</v>
      </c>
      <c r="B36" s="1">
        <f>IF(AND(Kisero_iv!$N$2=C36,Kisero_iv!$K$5=$B$2,SUM(I36:L40)&lt;&gt;0,$B$4=YEAR(W36)),B35+1,0)</f>
        <v>0</v>
      </c>
      <c r="C36" s="1">
        <f>IF(YEAR(W35)&lt;&gt;YEAR(W36),1,IF(Bevetel!T36&lt;&gt;0,C35+1,C35))</f>
        <v>31</v>
      </c>
      <c r="D36" s="102" t="str">
        <f>Bevetel!D36</f>
        <v/>
      </c>
      <c r="E36" s="42">
        <f>Bevetel!E36</f>
        <v>0</v>
      </c>
      <c r="F36" s="38" t="str">
        <f>IF(Bevetel!F36&lt;&gt;0,Bevetel!F36,"")</f>
        <v/>
      </c>
      <c r="G36" s="38" t="str">
        <f>IF(Bevetel!G36&lt;&gt;0,Bevetel!G36,"")</f>
        <v/>
      </c>
      <c r="H36" s="38" t="str">
        <f>IF(Bevetel!H36&lt;&gt;0,Bevetel!H36,"")</f>
        <v/>
      </c>
      <c r="I36" s="38">
        <f>Bevetel!I36</f>
        <v>0</v>
      </c>
      <c r="J36" s="105" t="str">
        <f>Bevetel!J36</f>
        <v/>
      </c>
      <c r="K36" s="106" t="str">
        <f>Bevetel!K36</f>
        <v/>
      </c>
      <c r="L36" s="106" t="str">
        <f>Bevetel!L36</f>
        <v/>
      </c>
      <c r="M36" s="107"/>
      <c r="Q36" s="1">
        <f>VLOOKUP(G36,Keszlet!$C$5:$E$205,3,FALSE)</f>
        <v>0</v>
      </c>
      <c r="T36" s="1" t="str">
        <f t="shared" si="1"/>
        <v>0</v>
      </c>
      <c r="U36" s="1">
        <f t="shared" si="2"/>
        <v>0</v>
      </c>
      <c r="W36" s="6">
        <f t="shared" si="3"/>
        <v>0</v>
      </c>
      <c r="X36" s="6">
        <f t="shared" si="0"/>
        <v>55153</v>
      </c>
      <c r="Y36" s="1">
        <f t="shared" si="4"/>
        <v>996</v>
      </c>
      <c r="Z36" s="1">
        <f>IF(COUNTIF($Y$6:Y36,Y36)=1,Y36,Y36+COUNTIF($Y$5:Y35,Y36))</f>
        <v>1026</v>
      </c>
      <c r="AD36" s="1" t="str">
        <f t="shared" si="5"/>
        <v/>
      </c>
      <c r="BA36" s="1">
        <f>IF(W36&lt;=Leltar_iv!$Y$1,I36,0)</f>
        <v>0</v>
      </c>
    </row>
    <row r="37" spans="1:53" s="1" customFormat="1" hidden="1" x14ac:dyDescent="0.25">
      <c r="A37" s="18">
        <f>IF(COUNTIF($Y$6:Y37,Y37)=1,Y37,Y37+COUNTIF($Y$5:Y36,Y37))</f>
        <v>1027</v>
      </c>
      <c r="B37" s="1">
        <f>IF(AND(Kisero_iv!$N$2=C37,Kisero_iv!$K$5=$B$2,SUM(I37:L41)&lt;&gt;0,$B$4=YEAR(W37)),B36+1,0)</f>
        <v>0</v>
      </c>
      <c r="C37" s="1">
        <f>IF(YEAR(W36)&lt;&gt;YEAR(W37),1,IF(Bevetel!T37&lt;&gt;0,C36+1,C36))</f>
        <v>32</v>
      </c>
      <c r="D37" s="102" t="str">
        <f>Bevetel!D37</f>
        <v/>
      </c>
      <c r="E37" s="42">
        <f>Bevetel!E37</f>
        <v>0</v>
      </c>
      <c r="F37" s="38" t="str">
        <f>IF(Bevetel!F37&lt;&gt;0,Bevetel!F37,"")</f>
        <v/>
      </c>
      <c r="G37" s="38" t="str">
        <f>IF(Bevetel!G37&lt;&gt;0,Bevetel!G37,"")</f>
        <v/>
      </c>
      <c r="H37" s="38" t="str">
        <f>IF(Bevetel!H37&lt;&gt;0,Bevetel!H37,"")</f>
        <v/>
      </c>
      <c r="I37" s="38">
        <f>Bevetel!I37</f>
        <v>0</v>
      </c>
      <c r="J37" s="105" t="str">
        <f>Bevetel!J37</f>
        <v/>
      </c>
      <c r="K37" s="106" t="str">
        <f>Bevetel!K37</f>
        <v/>
      </c>
      <c r="L37" s="106" t="str">
        <f>Bevetel!L37</f>
        <v/>
      </c>
      <c r="M37" s="107"/>
      <c r="Q37" s="1">
        <f>VLOOKUP(G37,Keszlet!$C$5:$E$205,3,FALSE)</f>
        <v>0</v>
      </c>
      <c r="T37" s="1" t="str">
        <f t="shared" si="1"/>
        <v>0</v>
      </c>
      <c r="U37" s="1">
        <f t="shared" si="2"/>
        <v>0</v>
      </c>
      <c r="W37" s="6">
        <f t="shared" si="3"/>
        <v>0</v>
      </c>
      <c r="X37" s="6">
        <f t="shared" si="0"/>
        <v>55153</v>
      </c>
      <c r="Y37" s="1">
        <f t="shared" si="4"/>
        <v>996</v>
      </c>
      <c r="Z37" s="1">
        <f>IF(COUNTIF($Y$6:Y37,Y37)=1,Y37,Y37+COUNTIF($Y$5:Y36,Y37))</f>
        <v>1027</v>
      </c>
      <c r="AD37" s="1" t="str">
        <f t="shared" si="5"/>
        <v/>
      </c>
      <c r="BA37" s="1">
        <f>IF(W37&lt;=Leltar_iv!$Y$1,I37,0)</f>
        <v>0</v>
      </c>
    </row>
    <row r="38" spans="1:53" s="1" customFormat="1" hidden="1" x14ac:dyDescent="0.25">
      <c r="A38" s="18">
        <f>IF(COUNTIF($Y$6:Y38,Y38)=1,Y38,Y38+COUNTIF($Y$5:Y37,Y38))</f>
        <v>1028</v>
      </c>
      <c r="B38" s="1">
        <f>IF(AND(Kisero_iv!$N$2=C38,Kisero_iv!$K$5=$B$2,SUM(I38:L42)&lt;&gt;0,$B$4=YEAR(W38)),B37+1,0)</f>
        <v>0</v>
      </c>
      <c r="C38" s="1">
        <f>IF(YEAR(W37)&lt;&gt;YEAR(W38),1,IF(Bevetel!T38&lt;&gt;0,C37+1,C37))</f>
        <v>33</v>
      </c>
      <c r="D38" s="102" t="str">
        <f>Bevetel!D38</f>
        <v/>
      </c>
      <c r="E38" s="42">
        <f>Bevetel!E38</f>
        <v>0</v>
      </c>
      <c r="F38" s="38" t="str">
        <f>IF(Bevetel!F38&lt;&gt;0,Bevetel!F38,"")</f>
        <v/>
      </c>
      <c r="G38" s="38" t="str">
        <f>IF(Bevetel!G38&lt;&gt;0,Bevetel!G38,"")</f>
        <v/>
      </c>
      <c r="H38" s="38" t="str">
        <f>IF(Bevetel!H38&lt;&gt;0,Bevetel!H38,"")</f>
        <v/>
      </c>
      <c r="I38" s="38">
        <f>Bevetel!I38</f>
        <v>0</v>
      </c>
      <c r="J38" s="105" t="str">
        <f>Bevetel!J38</f>
        <v/>
      </c>
      <c r="K38" s="106" t="str">
        <f>Bevetel!K38</f>
        <v/>
      </c>
      <c r="L38" s="106" t="str">
        <f>Bevetel!L38</f>
        <v/>
      </c>
      <c r="M38" s="107"/>
      <c r="Q38" s="1">
        <f>VLOOKUP(G38,Keszlet!$C$5:$E$205,3,FALSE)</f>
        <v>0</v>
      </c>
      <c r="T38" s="1" t="str">
        <f t="shared" si="1"/>
        <v>0</v>
      </c>
      <c r="U38" s="1">
        <f t="shared" si="2"/>
        <v>0</v>
      </c>
      <c r="W38" s="6">
        <f t="shared" si="3"/>
        <v>0</v>
      </c>
      <c r="X38" s="6">
        <f t="shared" ref="X38:X69" si="6">IF(G38=q,W38,$X$1)</f>
        <v>55153</v>
      </c>
      <c r="Y38" s="1">
        <f t="shared" si="4"/>
        <v>996</v>
      </c>
      <c r="Z38" s="1">
        <f>IF(COUNTIF($Y$6:Y38,Y38)=1,Y38,Y38+COUNTIF($Y$5:Y37,Y38))</f>
        <v>1028</v>
      </c>
      <c r="AD38" s="1" t="str">
        <f t="shared" si="5"/>
        <v/>
      </c>
      <c r="BA38" s="1">
        <f>IF(W38&lt;=Leltar_iv!$Y$1,I38,0)</f>
        <v>0</v>
      </c>
    </row>
    <row r="39" spans="1:53" s="1" customFormat="1" hidden="1" x14ac:dyDescent="0.25">
      <c r="A39" s="18">
        <f>IF(COUNTIF($Y$6:Y39,Y39)=1,Y39,Y39+COUNTIF($Y$5:Y38,Y39))</f>
        <v>1029</v>
      </c>
      <c r="B39" s="1">
        <f>IF(AND(Kisero_iv!$N$2=C39,Kisero_iv!$K$5=$B$2,SUM(I39:L43)&lt;&gt;0,$B$4=YEAR(W39)),B38+1,0)</f>
        <v>0</v>
      </c>
      <c r="C39" s="1">
        <f>IF(YEAR(W38)&lt;&gt;YEAR(W39),1,IF(Bevetel!T39&lt;&gt;0,C38+1,C38))</f>
        <v>34</v>
      </c>
      <c r="D39" s="102" t="str">
        <f>Bevetel!D39</f>
        <v/>
      </c>
      <c r="E39" s="42">
        <f>Bevetel!E39</f>
        <v>0</v>
      </c>
      <c r="F39" s="38" t="str">
        <f>IF(Bevetel!F39&lt;&gt;0,Bevetel!F39,"")</f>
        <v/>
      </c>
      <c r="G39" s="38" t="str">
        <f>IF(Bevetel!G39&lt;&gt;0,Bevetel!G39,"")</f>
        <v/>
      </c>
      <c r="H39" s="38" t="str">
        <f>IF(Bevetel!H39&lt;&gt;0,Bevetel!H39,"")</f>
        <v/>
      </c>
      <c r="I39" s="38">
        <f>Bevetel!I39</f>
        <v>0</v>
      </c>
      <c r="J39" s="105" t="str">
        <f>Bevetel!J39</f>
        <v/>
      </c>
      <c r="K39" s="106" t="str">
        <f>Bevetel!K39</f>
        <v/>
      </c>
      <c r="L39" s="106" t="str">
        <f>Bevetel!L39</f>
        <v/>
      </c>
      <c r="M39" s="107"/>
      <c r="Q39" s="1">
        <f>VLOOKUP(G39,Keszlet!$C$5:$E$205,3,FALSE)</f>
        <v>0</v>
      </c>
      <c r="T39" s="1" t="str">
        <f t="shared" si="1"/>
        <v>0</v>
      </c>
      <c r="U39" s="1">
        <f t="shared" si="2"/>
        <v>0</v>
      </c>
      <c r="W39" s="6">
        <f t="shared" si="3"/>
        <v>0</v>
      </c>
      <c r="X39" s="6">
        <f t="shared" si="6"/>
        <v>55153</v>
      </c>
      <c r="Y39" s="1">
        <f t="shared" si="4"/>
        <v>996</v>
      </c>
      <c r="Z39" s="1">
        <f>IF(COUNTIF($Y$6:Y39,Y39)=1,Y39,Y39+COUNTIF($Y$5:Y38,Y39))</f>
        <v>1029</v>
      </c>
      <c r="AD39" s="1" t="str">
        <f t="shared" si="5"/>
        <v/>
      </c>
      <c r="BA39" s="1">
        <f>IF(W39&lt;=Leltar_iv!$Y$1,I39,0)</f>
        <v>0</v>
      </c>
    </row>
    <row r="40" spans="1:53" s="1" customFormat="1" hidden="1" x14ac:dyDescent="0.25">
      <c r="A40" s="18">
        <f>IF(COUNTIF($Y$6:Y40,Y40)=1,Y40,Y40+COUNTIF($Y$5:Y39,Y40))</f>
        <v>1030</v>
      </c>
      <c r="B40" s="1">
        <f>IF(AND(Kisero_iv!$N$2=C40,Kisero_iv!$K$5=$B$2,SUM(I40:L44)&lt;&gt;0,$B$4=YEAR(W40)),B39+1,0)</f>
        <v>0</v>
      </c>
      <c r="C40" s="1">
        <f>IF(YEAR(W39)&lt;&gt;YEAR(W40),1,IF(Bevetel!T40&lt;&gt;0,C39+1,C39))</f>
        <v>35</v>
      </c>
      <c r="D40" s="102" t="str">
        <f>Bevetel!D40</f>
        <v/>
      </c>
      <c r="E40" s="42">
        <f>Bevetel!E40</f>
        <v>0</v>
      </c>
      <c r="F40" s="38" t="str">
        <f>IF(Bevetel!F40&lt;&gt;0,Bevetel!F40,"")</f>
        <v/>
      </c>
      <c r="G40" s="38" t="str">
        <f>IF(Bevetel!G40&lt;&gt;0,Bevetel!G40,"")</f>
        <v/>
      </c>
      <c r="H40" s="38" t="str">
        <f>IF(Bevetel!H40&lt;&gt;0,Bevetel!H40,"")</f>
        <v/>
      </c>
      <c r="I40" s="38">
        <f>Bevetel!I40</f>
        <v>0</v>
      </c>
      <c r="J40" s="105" t="str">
        <f>Bevetel!J40</f>
        <v/>
      </c>
      <c r="K40" s="106" t="str">
        <f>Bevetel!K40</f>
        <v/>
      </c>
      <c r="L40" s="106" t="str">
        <f>Bevetel!L40</f>
        <v/>
      </c>
      <c r="M40" s="107"/>
      <c r="Q40" s="1">
        <f>VLOOKUP(G40,Keszlet!$C$5:$E$205,3,FALSE)</f>
        <v>0</v>
      </c>
      <c r="T40" s="1" t="str">
        <f t="shared" si="1"/>
        <v>0</v>
      </c>
      <c r="U40" s="1">
        <f t="shared" si="2"/>
        <v>0</v>
      </c>
      <c r="W40" s="6">
        <f t="shared" si="3"/>
        <v>0</v>
      </c>
      <c r="X40" s="6">
        <f t="shared" si="6"/>
        <v>55153</v>
      </c>
      <c r="Y40" s="1">
        <f t="shared" si="4"/>
        <v>996</v>
      </c>
      <c r="Z40" s="1">
        <f>IF(COUNTIF($Y$6:Y40,Y40)=1,Y40,Y40+COUNTIF($Y$5:Y39,Y40))</f>
        <v>1030</v>
      </c>
      <c r="AD40" s="1" t="str">
        <f t="shared" si="5"/>
        <v/>
      </c>
      <c r="BA40" s="1">
        <f>IF(W40&lt;=Leltar_iv!$Y$1,I40,0)</f>
        <v>0</v>
      </c>
    </row>
    <row r="41" spans="1:53" s="1" customFormat="1" hidden="1" x14ac:dyDescent="0.25">
      <c r="A41" s="18">
        <f>IF(COUNTIF($Y$6:Y41,Y41)=1,Y41,Y41+COUNTIF($Y$5:Y40,Y41))</f>
        <v>1031</v>
      </c>
      <c r="B41" s="1">
        <f>IF(AND(Kisero_iv!$N$2=C41,Kisero_iv!$K$5=$B$2,SUM(I41:L45)&lt;&gt;0,$B$4=YEAR(W41)),B40+1,0)</f>
        <v>0</v>
      </c>
      <c r="C41" s="1">
        <f>IF(YEAR(W40)&lt;&gt;YEAR(W41),1,IF(Bevetel!T41&lt;&gt;0,C40+1,C40))</f>
        <v>36</v>
      </c>
      <c r="D41" s="102" t="str">
        <f>Bevetel!D41</f>
        <v/>
      </c>
      <c r="E41" s="42">
        <f>Bevetel!E41</f>
        <v>0</v>
      </c>
      <c r="F41" s="38" t="str">
        <f>IF(Bevetel!F41&lt;&gt;0,Bevetel!F41,"")</f>
        <v/>
      </c>
      <c r="G41" s="38" t="str">
        <f>IF(Bevetel!G41&lt;&gt;0,Bevetel!G41,"")</f>
        <v/>
      </c>
      <c r="H41" s="38" t="str">
        <f>IF(Bevetel!H41&lt;&gt;0,Bevetel!H41,"")</f>
        <v/>
      </c>
      <c r="I41" s="38">
        <f>Bevetel!I41</f>
        <v>0</v>
      </c>
      <c r="J41" s="105" t="str">
        <f>Bevetel!J41</f>
        <v/>
      </c>
      <c r="K41" s="106" t="str">
        <f>Bevetel!K41</f>
        <v/>
      </c>
      <c r="L41" s="106" t="str">
        <f>Bevetel!L41</f>
        <v/>
      </c>
      <c r="M41" s="107"/>
      <c r="Q41" s="1">
        <f>VLOOKUP(G41,Keszlet!$C$5:$E$205,3,FALSE)</f>
        <v>0</v>
      </c>
      <c r="T41" s="1" t="str">
        <f t="shared" si="1"/>
        <v>0</v>
      </c>
      <c r="U41" s="1">
        <f t="shared" si="2"/>
        <v>0</v>
      </c>
      <c r="W41" s="6">
        <f t="shared" si="3"/>
        <v>0</v>
      </c>
      <c r="X41" s="6">
        <f t="shared" si="6"/>
        <v>55153</v>
      </c>
      <c r="Y41" s="1">
        <f t="shared" si="4"/>
        <v>996</v>
      </c>
      <c r="Z41" s="1">
        <f>IF(COUNTIF($Y$6:Y41,Y41)=1,Y41,Y41+COUNTIF($Y$5:Y40,Y41))</f>
        <v>1031</v>
      </c>
      <c r="AD41" s="1" t="str">
        <f t="shared" si="5"/>
        <v/>
      </c>
      <c r="BA41" s="1">
        <f>IF(W41&lt;=Leltar_iv!$Y$1,I41,0)</f>
        <v>0</v>
      </c>
    </row>
    <row r="42" spans="1:53" s="1" customFormat="1" hidden="1" x14ac:dyDescent="0.25">
      <c r="A42" s="18">
        <f>IF(COUNTIF($Y$6:Y42,Y42)=1,Y42,Y42+COUNTIF($Y$5:Y41,Y42))</f>
        <v>1032</v>
      </c>
      <c r="B42" s="1">
        <f>IF(AND(Kisero_iv!$N$2=C42,Kisero_iv!$K$5=$B$2,SUM(I42:L46)&lt;&gt;0,$B$4=YEAR(W42)),B41+1,0)</f>
        <v>0</v>
      </c>
      <c r="C42" s="1">
        <f>IF(YEAR(W41)&lt;&gt;YEAR(W42),1,IF(Bevetel!T42&lt;&gt;0,C41+1,C41))</f>
        <v>37</v>
      </c>
      <c r="D42" s="102" t="str">
        <f>Bevetel!D42</f>
        <v/>
      </c>
      <c r="E42" s="42">
        <f>Bevetel!E42</f>
        <v>0</v>
      </c>
      <c r="F42" s="38" t="str">
        <f>IF(Bevetel!F42&lt;&gt;0,Bevetel!F42,"")</f>
        <v/>
      </c>
      <c r="G42" s="38" t="str">
        <f>IF(Bevetel!G42&lt;&gt;0,Bevetel!G42,"")</f>
        <v/>
      </c>
      <c r="H42" s="38" t="str">
        <f>IF(Bevetel!H42&lt;&gt;0,Bevetel!H42,"")</f>
        <v/>
      </c>
      <c r="I42" s="38">
        <f>Bevetel!I42</f>
        <v>0</v>
      </c>
      <c r="J42" s="105" t="str">
        <f>Bevetel!J42</f>
        <v/>
      </c>
      <c r="K42" s="106" t="str">
        <f>Bevetel!K42</f>
        <v/>
      </c>
      <c r="L42" s="106" t="str">
        <f>Bevetel!L42</f>
        <v/>
      </c>
      <c r="M42" s="107"/>
      <c r="Q42" s="1">
        <f>VLOOKUP(G42,Keszlet!$C$5:$E$205,3,FALSE)</f>
        <v>0</v>
      </c>
      <c r="T42" s="1" t="str">
        <f t="shared" si="1"/>
        <v>0</v>
      </c>
      <c r="U42" s="1">
        <f t="shared" si="2"/>
        <v>0</v>
      </c>
      <c r="W42" s="6">
        <f t="shared" si="3"/>
        <v>0</v>
      </c>
      <c r="X42" s="6">
        <f t="shared" si="6"/>
        <v>55153</v>
      </c>
      <c r="Y42" s="1">
        <f t="shared" si="4"/>
        <v>996</v>
      </c>
      <c r="Z42" s="1">
        <f>IF(COUNTIF($Y$6:Y42,Y42)=1,Y42,Y42+COUNTIF($Y$5:Y41,Y42))</f>
        <v>1032</v>
      </c>
      <c r="AD42" s="1" t="str">
        <f t="shared" si="5"/>
        <v/>
      </c>
      <c r="BA42" s="1">
        <f>IF(W42&lt;=Leltar_iv!$Y$1,I42,0)</f>
        <v>0</v>
      </c>
    </row>
    <row r="43" spans="1:53" s="1" customFormat="1" hidden="1" x14ac:dyDescent="0.25">
      <c r="A43" s="18">
        <f>IF(COUNTIF($Y$6:Y43,Y43)=1,Y43,Y43+COUNTIF($Y$5:Y42,Y43))</f>
        <v>1033</v>
      </c>
      <c r="B43" s="1">
        <f>IF(AND(Kisero_iv!$N$2=C43,Kisero_iv!$K$5=$B$2,SUM(I43:L47)&lt;&gt;0,$B$4=YEAR(W43)),B42+1,0)</f>
        <v>0</v>
      </c>
      <c r="C43" s="1">
        <f>IF(YEAR(W42)&lt;&gt;YEAR(W43),1,IF(Bevetel!T43&lt;&gt;0,C42+1,C42))</f>
        <v>38</v>
      </c>
      <c r="D43" s="102" t="str">
        <f>Bevetel!D43</f>
        <v/>
      </c>
      <c r="E43" s="42">
        <f>Bevetel!E43</f>
        <v>0</v>
      </c>
      <c r="F43" s="38" t="str">
        <f>IF(Bevetel!F43&lt;&gt;0,Bevetel!F43,"")</f>
        <v/>
      </c>
      <c r="G43" s="38" t="str">
        <f>IF(Bevetel!G43&lt;&gt;0,Bevetel!G43,"")</f>
        <v/>
      </c>
      <c r="H43" s="38" t="str">
        <f>IF(Bevetel!H43&lt;&gt;0,Bevetel!H43,"")</f>
        <v/>
      </c>
      <c r="I43" s="38">
        <f>Bevetel!I43</f>
        <v>0</v>
      </c>
      <c r="J43" s="105" t="str">
        <f>Bevetel!J43</f>
        <v/>
      </c>
      <c r="K43" s="106" t="str">
        <f>Bevetel!K43</f>
        <v/>
      </c>
      <c r="L43" s="106" t="str">
        <f>Bevetel!L43</f>
        <v/>
      </c>
      <c r="M43" s="107"/>
      <c r="Q43" s="1">
        <f>VLOOKUP(G43,Keszlet!$C$5:$E$205,3,FALSE)</f>
        <v>0</v>
      </c>
      <c r="T43" s="1" t="str">
        <f t="shared" si="1"/>
        <v>0</v>
      </c>
      <c r="U43" s="1">
        <f t="shared" si="2"/>
        <v>0</v>
      </c>
      <c r="W43" s="6">
        <f t="shared" si="3"/>
        <v>0</v>
      </c>
      <c r="X43" s="6">
        <f t="shared" si="6"/>
        <v>55153</v>
      </c>
      <c r="Y43" s="1">
        <f t="shared" si="4"/>
        <v>996</v>
      </c>
      <c r="Z43" s="1">
        <f>IF(COUNTIF($Y$6:Y43,Y43)=1,Y43,Y43+COUNTIF($Y$5:Y42,Y43))</f>
        <v>1033</v>
      </c>
      <c r="AD43" s="1" t="str">
        <f t="shared" si="5"/>
        <v/>
      </c>
      <c r="BA43" s="1">
        <f>IF(W43&lt;=Leltar_iv!$Y$1,I43,0)</f>
        <v>0</v>
      </c>
    </row>
    <row r="44" spans="1:53" s="1" customFormat="1" hidden="1" x14ac:dyDescent="0.25">
      <c r="A44" s="18">
        <f>IF(COUNTIF($Y$6:Y44,Y44)=1,Y44,Y44+COUNTIF($Y$5:Y43,Y44))</f>
        <v>1034</v>
      </c>
      <c r="B44" s="1">
        <f>IF(AND(Kisero_iv!$N$2=C44,Kisero_iv!$K$5=$B$2,SUM(I44:L48)&lt;&gt;0,$B$4=YEAR(W44)),B43+1,0)</f>
        <v>0</v>
      </c>
      <c r="C44" s="1">
        <f>IF(YEAR(W43)&lt;&gt;YEAR(W44),1,IF(Bevetel!T44&lt;&gt;0,C43+1,C43))</f>
        <v>39</v>
      </c>
      <c r="D44" s="102" t="str">
        <f>Bevetel!D44</f>
        <v/>
      </c>
      <c r="E44" s="42">
        <f>Bevetel!E44</f>
        <v>0</v>
      </c>
      <c r="F44" s="38" t="str">
        <f>IF(Bevetel!F44&lt;&gt;0,Bevetel!F44,"")</f>
        <v/>
      </c>
      <c r="G44" s="38" t="str">
        <f>IF(Bevetel!G44&lt;&gt;0,Bevetel!G44,"")</f>
        <v/>
      </c>
      <c r="H44" s="38" t="str">
        <f>IF(Bevetel!H44&lt;&gt;0,Bevetel!H44,"")</f>
        <v/>
      </c>
      <c r="I44" s="38">
        <f>Bevetel!I44</f>
        <v>0</v>
      </c>
      <c r="J44" s="105" t="str">
        <f>Bevetel!J44</f>
        <v/>
      </c>
      <c r="K44" s="106" t="str">
        <f>Bevetel!K44</f>
        <v/>
      </c>
      <c r="L44" s="106" t="str">
        <f>Bevetel!L44</f>
        <v/>
      </c>
      <c r="M44" s="107"/>
      <c r="Q44" s="1">
        <f>VLOOKUP(G44,Keszlet!$C$5:$E$205,3,FALSE)</f>
        <v>0</v>
      </c>
      <c r="T44" s="1" t="str">
        <f t="shared" si="1"/>
        <v>0</v>
      </c>
      <c r="U44" s="1">
        <f t="shared" si="2"/>
        <v>0</v>
      </c>
      <c r="W44" s="6">
        <f t="shared" si="3"/>
        <v>0</v>
      </c>
      <c r="X44" s="6">
        <f t="shared" si="6"/>
        <v>55153</v>
      </c>
      <c r="Y44" s="1">
        <f t="shared" si="4"/>
        <v>996</v>
      </c>
      <c r="Z44" s="1">
        <f>IF(COUNTIF($Y$6:Y44,Y44)=1,Y44,Y44+COUNTIF($Y$5:Y43,Y44))</f>
        <v>1034</v>
      </c>
      <c r="AD44" s="1" t="str">
        <f t="shared" si="5"/>
        <v/>
      </c>
      <c r="BA44" s="1">
        <f>IF(W44&lt;=Leltar_iv!$Y$1,I44,0)</f>
        <v>0</v>
      </c>
    </row>
    <row r="45" spans="1:53" s="1" customFormat="1" hidden="1" x14ac:dyDescent="0.25">
      <c r="A45" s="18">
        <f>IF(COUNTIF($Y$6:Y45,Y45)=1,Y45,Y45+COUNTIF($Y$5:Y44,Y45))</f>
        <v>1035</v>
      </c>
      <c r="B45" s="1">
        <f>IF(AND(Kisero_iv!$N$2=C45,Kisero_iv!$K$5=$B$2,SUM(I45:L49)&lt;&gt;0,$B$4=YEAR(W45)),B44+1,0)</f>
        <v>0</v>
      </c>
      <c r="C45" s="1">
        <f>IF(YEAR(W44)&lt;&gt;YEAR(W45),1,IF(Bevetel!T45&lt;&gt;0,C44+1,C44))</f>
        <v>40</v>
      </c>
      <c r="D45" s="102" t="str">
        <f>Bevetel!D45</f>
        <v/>
      </c>
      <c r="E45" s="42">
        <f>Bevetel!E45</f>
        <v>0</v>
      </c>
      <c r="F45" s="38" t="str">
        <f>IF(Bevetel!F45&lt;&gt;0,Bevetel!F45,"")</f>
        <v/>
      </c>
      <c r="G45" s="38" t="str">
        <f>IF(Bevetel!G45&lt;&gt;0,Bevetel!G45,"")</f>
        <v/>
      </c>
      <c r="H45" s="38" t="str">
        <f>IF(Bevetel!H45&lt;&gt;0,Bevetel!H45,"")</f>
        <v/>
      </c>
      <c r="I45" s="38">
        <f>Bevetel!I45</f>
        <v>0</v>
      </c>
      <c r="J45" s="105" t="str">
        <f>Bevetel!J45</f>
        <v/>
      </c>
      <c r="K45" s="106" t="str">
        <f>Bevetel!K45</f>
        <v/>
      </c>
      <c r="L45" s="106" t="str">
        <f>Bevetel!L45</f>
        <v/>
      </c>
      <c r="M45" s="107"/>
      <c r="Q45" s="1">
        <f>VLOOKUP(G45,Keszlet!$C$5:$E$205,3,FALSE)</f>
        <v>0</v>
      </c>
      <c r="T45" s="1" t="str">
        <f t="shared" si="1"/>
        <v>0</v>
      </c>
      <c r="U45" s="1">
        <f t="shared" si="2"/>
        <v>0</v>
      </c>
      <c r="W45" s="6">
        <f t="shared" si="3"/>
        <v>0</v>
      </c>
      <c r="X45" s="6">
        <f t="shared" si="6"/>
        <v>55153</v>
      </c>
      <c r="Y45" s="1">
        <f t="shared" si="4"/>
        <v>996</v>
      </c>
      <c r="Z45" s="1">
        <f>IF(COUNTIF($Y$6:Y45,Y45)=1,Y45,Y45+COUNTIF($Y$5:Y44,Y45))</f>
        <v>1035</v>
      </c>
      <c r="AD45" s="1" t="str">
        <f t="shared" si="5"/>
        <v/>
      </c>
      <c r="BA45" s="1">
        <f>IF(W45&lt;=Leltar_iv!$Y$1,I45,0)</f>
        <v>0</v>
      </c>
    </row>
    <row r="46" spans="1:53" s="1" customFormat="1" hidden="1" x14ac:dyDescent="0.25">
      <c r="A46" s="18">
        <f>IF(COUNTIF($Y$6:Y46,Y46)=1,Y46,Y46+COUNTIF($Y$5:Y45,Y46))</f>
        <v>1036</v>
      </c>
      <c r="B46" s="1">
        <f>IF(AND(Kisero_iv!$N$2=C46,Kisero_iv!$K$5=$B$2,SUM(I46:L50)&lt;&gt;0,$B$4=YEAR(W46)),B45+1,0)</f>
        <v>0</v>
      </c>
      <c r="C46" s="1">
        <f>IF(YEAR(W45)&lt;&gt;YEAR(W46),1,IF(Bevetel!T46&lt;&gt;0,C45+1,C45))</f>
        <v>41</v>
      </c>
      <c r="D46" s="102" t="str">
        <f>Bevetel!D46</f>
        <v/>
      </c>
      <c r="E46" s="42">
        <f>Bevetel!E46</f>
        <v>0</v>
      </c>
      <c r="F46" s="38" t="str">
        <f>IF(Bevetel!F46&lt;&gt;0,Bevetel!F46,"")</f>
        <v/>
      </c>
      <c r="G46" s="38" t="str">
        <f>IF(Bevetel!G46&lt;&gt;0,Bevetel!G46,"")</f>
        <v/>
      </c>
      <c r="H46" s="38" t="str">
        <f>IF(Bevetel!H46&lt;&gt;0,Bevetel!H46,"")</f>
        <v/>
      </c>
      <c r="I46" s="38">
        <f>Bevetel!I46</f>
        <v>0</v>
      </c>
      <c r="J46" s="105" t="str">
        <f>Bevetel!J46</f>
        <v/>
      </c>
      <c r="K46" s="106" t="str">
        <f>Bevetel!K46</f>
        <v/>
      </c>
      <c r="L46" s="106" t="str">
        <f>Bevetel!L46</f>
        <v/>
      </c>
      <c r="M46" s="107"/>
      <c r="Q46" s="1">
        <f>VLOOKUP(G46,Keszlet!$C$5:$E$205,3,FALSE)</f>
        <v>0</v>
      </c>
      <c r="T46" s="1" t="str">
        <f t="shared" si="1"/>
        <v>0</v>
      </c>
      <c r="U46" s="1">
        <f t="shared" si="2"/>
        <v>0</v>
      </c>
      <c r="W46" s="6">
        <f t="shared" si="3"/>
        <v>0</v>
      </c>
      <c r="X46" s="6">
        <f t="shared" si="6"/>
        <v>55153</v>
      </c>
      <c r="Y46" s="1">
        <f t="shared" si="4"/>
        <v>996</v>
      </c>
      <c r="Z46" s="1">
        <f>IF(COUNTIF($Y$6:Y46,Y46)=1,Y46,Y46+COUNTIF($Y$5:Y45,Y46))</f>
        <v>1036</v>
      </c>
      <c r="AD46" s="1" t="str">
        <f t="shared" si="5"/>
        <v/>
      </c>
      <c r="BA46" s="1">
        <f>IF(W46&lt;=Leltar_iv!$Y$1,I46,0)</f>
        <v>0</v>
      </c>
    </row>
    <row r="47" spans="1:53" s="1" customFormat="1" hidden="1" x14ac:dyDescent="0.25">
      <c r="A47" s="18">
        <f>IF(COUNTIF($Y$6:Y47,Y47)=1,Y47,Y47+COUNTIF($Y$5:Y46,Y47))</f>
        <v>1037</v>
      </c>
      <c r="B47" s="1">
        <f>IF(AND(Kisero_iv!$N$2=C47,Kisero_iv!$K$5=$B$2,SUM(I47:L51)&lt;&gt;0,$B$4=YEAR(W47)),B46+1,0)</f>
        <v>0</v>
      </c>
      <c r="C47" s="1">
        <f>IF(YEAR(W46)&lt;&gt;YEAR(W47),1,IF(Bevetel!T47&lt;&gt;0,C46+1,C46))</f>
        <v>42</v>
      </c>
      <c r="D47" s="102" t="str">
        <f>Bevetel!D47</f>
        <v/>
      </c>
      <c r="E47" s="42">
        <f>Bevetel!E47</f>
        <v>0</v>
      </c>
      <c r="F47" s="38" t="str">
        <f>IF(Bevetel!F47&lt;&gt;0,Bevetel!F47,"")</f>
        <v/>
      </c>
      <c r="G47" s="38" t="str">
        <f>IF(Bevetel!G47&lt;&gt;0,Bevetel!G47,"")</f>
        <v/>
      </c>
      <c r="H47" s="38" t="str">
        <f>IF(Bevetel!H47&lt;&gt;0,Bevetel!H47,"")</f>
        <v/>
      </c>
      <c r="I47" s="38">
        <f>Bevetel!I47</f>
        <v>0</v>
      </c>
      <c r="J47" s="105" t="str">
        <f>Bevetel!J47</f>
        <v/>
      </c>
      <c r="K47" s="106" t="str">
        <f>Bevetel!K47</f>
        <v/>
      </c>
      <c r="L47" s="106" t="str">
        <f>Bevetel!L47</f>
        <v/>
      </c>
      <c r="M47" s="107"/>
      <c r="Q47" s="1">
        <f>VLOOKUP(G47,Keszlet!$C$5:$E$205,3,FALSE)</f>
        <v>0</v>
      </c>
      <c r="T47" s="1" t="str">
        <f t="shared" si="1"/>
        <v>0</v>
      </c>
      <c r="U47" s="1">
        <f t="shared" si="2"/>
        <v>0</v>
      </c>
      <c r="W47" s="6">
        <f t="shared" si="3"/>
        <v>0</v>
      </c>
      <c r="X47" s="6">
        <f t="shared" si="6"/>
        <v>55153</v>
      </c>
      <c r="Y47" s="1">
        <f t="shared" si="4"/>
        <v>996</v>
      </c>
      <c r="Z47" s="1">
        <f>IF(COUNTIF($Y$6:Y47,Y47)=1,Y47,Y47+COUNTIF($Y$5:Y46,Y47))</f>
        <v>1037</v>
      </c>
      <c r="AD47" s="1" t="str">
        <f t="shared" si="5"/>
        <v/>
      </c>
      <c r="BA47" s="1">
        <f>IF(W47&lt;=Leltar_iv!$Y$1,I47,0)</f>
        <v>0</v>
      </c>
    </row>
    <row r="48" spans="1:53" s="1" customFormat="1" hidden="1" x14ac:dyDescent="0.25">
      <c r="A48" s="18">
        <f>IF(COUNTIF($Y$6:Y48,Y48)=1,Y48,Y48+COUNTIF($Y$5:Y47,Y48))</f>
        <v>1038</v>
      </c>
      <c r="B48" s="1">
        <f>IF(AND(Kisero_iv!$N$2=C48,Kisero_iv!$K$5=$B$2,SUM(I48:L52)&lt;&gt;0,$B$4=YEAR(W48)),B47+1,0)</f>
        <v>0</v>
      </c>
      <c r="C48" s="1">
        <f>IF(YEAR(W47)&lt;&gt;YEAR(W48),1,IF(Bevetel!T48&lt;&gt;0,C47+1,C47))</f>
        <v>43</v>
      </c>
      <c r="D48" s="102" t="str">
        <f>Bevetel!D48</f>
        <v/>
      </c>
      <c r="E48" s="42">
        <f>Bevetel!E48</f>
        <v>0</v>
      </c>
      <c r="F48" s="38" t="str">
        <f>IF(Bevetel!F48&lt;&gt;0,Bevetel!F48,"")</f>
        <v/>
      </c>
      <c r="G48" s="38" t="str">
        <f>IF(Bevetel!G48&lt;&gt;0,Bevetel!G48,"")</f>
        <v/>
      </c>
      <c r="H48" s="38" t="str">
        <f>IF(Bevetel!H48&lt;&gt;0,Bevetel!H48,"")</f>
        <v/>
      </c>
      <c r="I48" s="38">
        <f>Bevetel!I48</f>
        <v>0</v>
      </c>
      <c r="J48" s="105" t="str">
        <f>Bevetel!J48</f>
        <v/>
      </c>
      <c r="K48" s="106" t="str">
        <f>Bevetel!K48</f>
        <v/>
      </c>
      <c r="L48" s="106" t="str">
        <f>Bevetel!L48</f>
        <v/>
      </c>
      <c r="M48" s="107"/>
      <c r="Q48" s="1">
        <f>VLOOKUP(G48,Keszlet!$C$5:$E$205,3,FALSE)</f>
        <v>0</v>
      </c>
      <c r="T48" s="1" t="str">
        <f t="shared" si="1"/>
        <v>0</v>
      </c>
      <c r="U48" s="1">
        <f t="shared" si="2"/>
        <v>0</v>
      </c>
      <c r="W48" s="6">
        <f t="shared" si="3"/>
        <v>0</v>
      </c>
      <c r="X48" s="6">
        <f t="shared" si="6"/>
        <v>55153</v>
      </c>
      <c r="Y48" s="1">
        <f t="shared" si="4"/>
        <v>996</v>
      </c>
      <c r="Z48" s="1">
        <f>IF(COUNTIF($Y$6:Y48,Y48)=1,Y48,Y48+COUNTIF($Y$5:Y47,Y48))</f>
        <v>1038</v>
      </c>
      <c r="AD48" s="1" t="str">
        <f t="shared" si="5"/>
        <v/>
      </c>
      <c r="BA48" s="1">
        <f>IF(W48&lt;=Leltar_iv!$Y$1,I48,0)</f>
        <v>0</v>
      </c>
    </row>
    <row r="49" spans="1:53" s="1" customFormat="1" hidden="1" x14ac:dyDescent="0.25">
      <c r="A49" s="18">
        <f>IF(COUNTIF($Y$6:Y49,Y49)=1,Y49,Y49+COUNTIF($Y$5:Y48,Y49))</f>
        <v>1039</v>
      </c>
      <c r="B49" s="1">
        <f>IF(AND(Kisero_iv!$N$2=C49,Kisero_iv!$K$5=$B$2,SUM(I49:L53)&lt;&gt;0,$B$4=YEAR(W49)),B48+1,0)</f>
        <v>0</v>
      </c>
      <c r="C49" s="1">
        <f>IF(YEAR(W48)&lt;&gt;YEAR(W49),1,IF(Bevetel!T49&lt;&gt;0,C48+1,C48))</f>
        <v>44</v>
      </c>
      <c r="D49" s="102" t="str">
        <f>Bevetel!D49</f>
        <v/>
      </c>
      <c r="E49" s="42">
        <f>Bevetel!E49</f>
        <v>0</v>
      </c>
      <c r="F49" s="38" t="str">
        <f>IF(Bevetel!F49&lt;&gt;0,Bevetel!F49,"")</f>
        <v/>
      </c>
      <c r="G49" s="38" t="str">
        <f>IF(Bevetel!G49&lt;&gt;0,Bevetel!G49,"")</f>
        <v/>
      </c>
      <c r="H49" s="38" t="str">
        <f>IF(Bevetel!H49&lt;&gt;0,Bevetel!H49,"")</f>
        <v/>
      </c>
      <c r="I49" s="38">
        <f>Bevetel!I49</f>
        <v>0</v>
      </c>
      <c r="J49" s="105" t="str">
        <f>Bevetel!J49</f>
        <v/>
      </c>
      <c r="K49" s="106" t="str">
        <f>Bevetel!K49</f>
        <v/>
      </c>
      <c r="L49" s="106" t="str">
        <f>Bevetel!L49</f>
        <v/>
      </c>
      <c r="M49" s="107"/>
      <c r="Q49" s="1">
        <f>VLOOKUP(G49,Keszlet!$C$5:$E$205,3,FALSE)</f>
        <v>0</v>
      </c>
      <c r="T49" s="1" t="str">
        <f t="shared" si="1"/>
        <v>0</v>
      </c>
      <c r="U49" s="1">
        <f t="shared" si="2"/>
        <v>0</v>
      </c>
      <c r="W49" s="6">
        <f t="shared" si="3"/>
        <v>0</v>
      </c>
      <c r="X49" s="6">
        <f t="shared" si="6"/>
        <v>55153</v>
      </c>
      <c r="Y49" s="1">
        <f t="shared" si="4"/>
        <v>996</v>
      </c>
      <c r="Z49" s="1">
        <f>IF(COUNTIF($Y$6:Y49,Y49)=1,Y49,Y49+COUNTIF($Y$5:Y48,Y49))</f>
        <v>1039</v>
      </c>
      <c r="AD49" s="1" t="str">
        <f t="shared" si="5"/>
        <v/>
      </c>
      <c r="BA49" s="1">
        <f>IF(W49&lt;=Leltar_iv!$Y$1,I49,0)</f>
        <v>0</v>
      </c>
    </row>
    <row r="50" spans="1:53" s="1" customFormat="1" hidden="1" x14ac:dyDescent="0.25">
      <c r="A50" s="18">
        <f>IF(COUNTIF($Y$6:Y50,Y50)=1,Y50,Y50+COUNTIF($Y$5:Y49,Y50))</f>
        <v>1040</v>
      </c>
      <c r="B50" s="1">
        <f>IF(AND(Kisero_iv!$N$2=C50,Kisero_iv!$K$5=$B$2,SUM(I50:L54)&lt;&gt;0,$B$4=YEAR(W50)),B49+1,0)</f>
        <v>0</v>
      </c>
      <c r="C50" s="1">
        <f>IF(YEAR(W49)&lt;&gt;YEAR(W50),1,IF(Bevetel!T50&lt;&gt;0,C49+1,C49))</f>
        <v>45</v>
      </c>
      <c r="D50" s="102" t="str">
        <f>Bevetel!D50</f>
        <v/>
      </c>
      <c r="E50" s="42">
        <f>Bevetel!E50</f>
        <v>0</v>
      </c>
      <c r="F50" s="38" t="str">
        <f>IF(Bevetel!F50&lt;&gt;0,Bevetel!F50,"")</f>
        <v/>
      </c>
      <c r="G50" s="38" t="str">
        <f>IF(Bevetel!G50&lt;&gt;0,Bevetel!G50,"")</f>
        <v/>
      </c>
      <c r="H50" s="38" t="str">
        <f>IF(Bevetel!H50&lt;&gt;0,Bevetel!H50,"")</f>
        <v/>
      </c>
      <c r="I50" s="38">
        <f>Bevetel!I50</f>
        <v>0</v>
      </c>
      <c r="J50" s="105" t="str">
        <f>Bevetel!J50</f>
        <v/>
      </c>
      <c r="K50" s="106" t="str">
        <f>Bevetel!K50</f>
        <v/>
      </c>
      <c r="L50" s="106" t="str">
        <f>Bevetel!L50</f>
        <v/>
      </c>
      <c r="M50" s="107"/>
      <c r="Q50" s="1">
        <f>VLOOKUP(G50,Keszlet!$C$5:$E$205,3,FALSE)</f>
        <v>0</v>
      </c>
      <c r="T50" s="1" t="str">
        <f t="shared" si="1"/>
        <v>0</v>
      </c>
      <c r="U50" s="1">
        <f t="shared" si="2"/>
        <v>0</v>
      </c>
      <c r="W50" s="6">
        <f t="shared" si="3"/>
        <v>0</v>
      </c>
      <c r="X50" s="6">
        <f t="shared" si="6"/>
        <v>55153</v>
      </c>
      <c r="Y50" s="1">
        <f t="shared" si="4"/>
        <v>996</v>
      </c>
      <c r="Z50" s="1">
        <f>IF(COUNTIF($Y$6:Y50,Y50)=1,Y50,Y50+COUNTIF($Y$5:Y49,Y50))</f>
        <v>1040</v>
      </c>
      <c r="AD50" s="1" t="str">
        <f t="shared" si="5"/>
        <v/>
      </c>
      <c r="BA50" s="1">
        <f>IF(W50&lt;=Leltar_iv!$Y$1,I50,0)</f>
        <v>0</v>
      </c>
    </row>
    <row r="51" spans="1:53" s="1" customFormat="1" hidden="1" x14ac:dyDescent="0.25">
      <c r="A51" s="18">
        <f>IF(COUNTIF($Y$6:Y51,Y51)=1,Y51,Y51+COUNTIF($Y$5:Y50,Y51))</f>
        <v>1041</v>
      </c>
      <c r="B51" s="1">
        <f>IF(AND(Kisero_iv!$N$2=C51,Kisero_iv!$K$5=$B$2,SUM(I51:L55)&lt;&gt;0,$B$4=YEAR(W51)),B50+1,0)</f>
        <v>0</v>
      </c>
      <c r="C51" s="1">
        <f>IF(YEAR(W50)&lt;&gt;YEAR(W51),1,IF(Bevetel!T51&lt;&gt;0,C50+1,C50))</f>
        <v>46</v>
      </c>
      <c r="D51" s="102" t="str">
        <f>Bevetel!D51</f>
        <v/>
      </c>
      <c r="E51" s="42">
        <f>Bevetel!E51</f>
        <v>0</v>
      </c>
      <c r="F51" s="38" t="str">
        <f>IF(Bevetel!F51&lt;&gt;0,Bevetel!F51,"")</f>
        <v/>
      </c>
      <c r="G51" s="38" t="str">
        <f>IF(Bevetel!G51&lt;&gt;0,Bevetel!G51,"")</f>
        <v/>
      </c>
      <c r="H51" s="38" t="str">
        <f>IF(Bevetel!H51&lt;&gt;0,Bevetel!H51,"")</f>
        <v/>
      </c>
      <c r="I51" s="38">
        <f>Bevetel!I51</f>
        <v>0</v>
      </c>
      <c r="J51" s="105" t="str">
        <f>Bevetel!J51</f>
        <v/>
      </c>
      <c r="K51" s="106" t="str">
        <f>Bevetel!K51</f>
        <v/>
      </c>
      <c r="L51" s="106" t="str">
        <f>Bevetel!L51</f>
        <v/>
      </c>
      <c r="M51" s="107"/>
      <c r="Q51" s="1">
        <f>VLOOKUP(G51,Keszlet!$C$5:$E$205,3,FALSE)</f>
        <v>0</v>
      </c>
      <c r="T51" s="1" t="str">
        <f t="shared" si="1"/>
        <v>0</v>
      </c>
      <c r="U51" s="1">
        <f t="shared" si="2"/>
        <v>0</v>
      </c>
      <c r="W51" s="6">
        <f t="shared" si="3"/>
        <v>0</v>
      </c>
      <c r="X51" s="6">
        <f t="shared" si="6"/>
        <v>55153</v>
      </c>
      <c r="Y51" s="1">
        <f t="shared" si="4"/>
        <v>996</v>
      </c>
      <c r="Z51" s="1">
        <f>IF(COUNTIF($Y$6:Y51,Y51)=1,Y51,Y51+COUNTIF($Y$5:Y50,Y51))</f>
        <v>1041</v>
      </c>
      <c r="AD51" s="1" t="str">
        <f t="shared" si="5"/>
        <v/>
      </c>
      <c r="BA51" s="1">
        <f>IF(W51&lt;=Leltar_iv!$Y$1,I51,0)</f>
        <v>0</v>
      </c>
    </row>
    <row r="52" spans="1:53" s="1" customFormat="1" hidden="1" x14ac:dyDescent="0.25">
      <c r="A52" s="18">
        <f>IF(COUNTIF($Y$6:Y52,Y52)=1,Y52,Y52+COUNTIF($Y$5:Y51,Y52))</f>
        <v>1042</v>
      </c>
      <c r="B52" s="1">
        <f>IF(AND(Kisero_iv!$N$2=C52,Kisero_iv!$K$5=$B$2,SUM(I52:L56)&lt;&gt;0,$B$4=YEAR(W52)),B51+1,0)</f>
        <v>0</v>
      </c>
      <c r="C52" s="1">
        <f>IF(YEAR(W51)&lt;&gt;YEAR(W52),1,IF(Bevetel!T52&lt;&gt;0,C51+1,C51))</f>
        <v>47</v>
      </c>
      <c r="D52" s="102" t="str">
        <f>Bevetel!D52</f>
        <v/>
      </c>
      <c r="E52" s="42">
        <f>Bevetel!E52</f>
        <v>0</v>
      </c>
      <c r="F52" s="38" t="str">
        <f>IF(Bevetel!F52&lt;&gt;0,Bevetel!F52,"")</f>
        <v/>
      </c>
      <c r="G52" s="38" t="str">
        <f>IF(Bevetel!G52&lt;&gt;0,Bevetel!G52,"")</f>
        <v/>
      </c>
      <c r="H52" s="38" t="str">
        <f>IF(Bevetel!H52&lt;&gt;0,Bevetel!H52,"")</f>
        <v/>
      </c>
      <c r="I52" s="38">
        <f>Bevetel!I52</f>
        <v>0</v>
      </c>
      <c r="J52" s="105" t="str">
        <f>Bevetel!J52</f>
        <v/>
      </c>
      <c r="K52" s="106" t="str">
        <f>Bevetel!K52</f>
        <v/>
      </c>
      <c r="L52" s="106" t="str">
        <f>Bevetel!L52</f>
        <v/>
      </c>
      <c r="M52" s="107"/>
      <c r="Q52" s="1">
        <f>VLOOKUP(G52,Keszlet!$C$5:$E$205,3,FALSE)</f>
        <v>0</v>
      </c>
      <c r="T52" s="1" t="str">
        <f t="shared" si="1"/>
        <v>0</v>
      </c>
      <c r="U52" s="1">
        <f t="shared" si="2"/>
        <v>0</v>
      </c>
      <c r="W52" s="6">
        <f t="shared" si="3"/>
        <v>0</v>
      </c>
      <c r="X52" s="6">
        <f t="shared" si="6"/>
        <v>55153</v>
      </c>
      <c r="Y52" s="1">
        <f t="shared" si="4"/>
        <v>996</v>
      </c>
      <c r="Z52" s="1">
        <f>IF(COUNTIF($Y$6:Y52,Y52)=1,Y52,Y52+COUNTIF($Y$5:Y51,Y52))</f>
        <v>1042</v>
      </c>
      <c r="AD52" s="1" t="str">
        <f t="shared" si="5"/>
        <v/>
      </c>
      <c r="BA52" s="1">
        <f>IF(W52&lt;=Leltar_iv!$Y$1,I52,0)</f>
        <v>0</v>
      </c>
    </row>
    <row r="53" spans="1:53" s="1" customFormat="1" hidden="1" x14ac:dyDescent="0.25">
      <c r="A53" s="18">
        <f>IF(COUNTIF($Y$6:Y53,Y53)=1,Y53,Y53+COUNTIF($Y$5:Y52,Y53))</f>
        <v>1043</v>
      </c>
      <c r="B53" s="1">
        <f>IF(AND(Kisero_iv!$N$2=C53,Kisero_iv!$K$5=$B$2,SUM(I53:L57)&lt;&gt;0,$B$4=YEAR(W53)),B52+1,0)</f>
        <v>0</v>
      </c>
      <c r="C53" s="1">
        <f>IF(YEAR(W52)&lt;&gt;YEAR(W53),1,IF(Bevetel!T53&lt;&gt;0,C52+1,C52))</f>
        <v>48</v>
      </c>
      <c r="D53" s="102" t="str">
        <f>Bevetel!D53</f>
        <v/>
      </c>
      <c r="E53" s="42">
        <f>Bevetel!E53</f>
        <v>0</v>
      </c>
      <c r="F53" s="38" t="str">
        <f>IF(Bevetel!F53&lt;&gt;0,Bevetel!F53,"")</f>
        <v/>
      </c>
      <c r="G53" s="38" t="str">
        <f>IF(Bevetel!G53&lt;&gt;0,Bevetel!G53,"")</f>
        <v/>
      </c>
      <c r="H53" s="38" t="str">
        <f>IF(Bevetel!H53&lt;&gt;0,Bevetel!H53,"")</f>
        <v/>
      </c>
      <c r="I53" s="38">
        <f>Bevetel!I53</f>
        <v>0</v>
      </c>
      <c r="J53" s="105" t="str">
        <f>Bevetel!J53</f>
        <v/>
      </c>
      <c r="K53" s="106" t="str">
        <f>Bevetel!K53</f>
        <v/>
      </c>
      <c r="L53" s="106" t="str">
        <f>Bevetel!L53</f>
        <v/>
      </c>
      <c r="M53" s="107"/>
      <c r="Q53" s="1">
        <f>VLOOKUP(G53,Keszlet!$C$5:$E$205,3,FALSE)</f>
        <v>0</v>
      </c>
      <c r="T53" s="1" t="str">
        <f t="shared" si="1"/>
        <v>0</v>
      </c>
      <c r="U53" s="1">
        <f t="shared" si="2"/>
        <v>0</v>
      </c>
      <c r="W53" s="6">
        <f t="shared" si="3"/>
        <v>0</v>
      </c>
      <c r="X53" s="6">
        <f t="shared" si="6"/>
        <v>55153</v>
      </c>
      <c r="Y53" s="1">
        <f t="shared" si="4"/>
        <v>996</v>
      </c>
      <c r="Z53" s="1">
        <f>IF(COUNTIF($Y$6:Y53,Y53)=1,Y53,Y53+COUNTIF($Y$5:Y52,Y53))</f>
        <v>1043</v>
      </c>
      <c r="AD53" s="1" t="str">
        <f t="shared" si="5"/>
        <v/>
      </c>
      <c r="BA53" s="1">
        <f>IF(W53&lt;=Leltar_iv!$Y$1,I53,0)</f>
        <v>0</v>
      </c>
    </row>
    <row r="54" spans="1:53" s="1" customFormat="1" hidden="1" x14ac:dyDescent="0.25">
      <c r="A54" s="18">
        <f>IF(COUNTIF($Y$6:Y54,Y54)=1,Y54,Y54+COUNTIF($Y$5:Y53,Y54))</f>
        <v>1044</v>
      </c>
      <c r="B54" s="1">
        <f>IF(AND(Kisero_iv!$N$2=C54,Kisero_iv!$K$5=$B$2,SUM(I54:L58)&lt;&gt;0,$B$4=YEAR(W54)),B53+1,0)</f>
        <v>0</v>
      </c>
      <c r="C54" s="1">
        <f>IF(YEAR(W53)&lt;&gt;YEAR(W54),1,IF(Bevetel!T54&lt;&gt;0,C53+1,C53))</f>
        <v>49</v>
      </c>
      <c r="D54" s="102" t="str">
        <f>Bevetel!D54</f>
        <v/>
      </c>
      <c r="E54" s="42">
        <f>Bevetel!E54</f>
        <v>0</v>
      </c>
      <c r="F54" s="38" t="str">
        <f>IF(Bevetel!F54&lt;&gt;0,Bevetel!F54,"")</f>
        <v/>
      </c>
      <c r="G54" s="38" t="str">
        <f>IF(Bevetel!G54&lt;&gt;0,Bevetel!G54,"")</f>
        <v/>
      </c>
      <c r="H54" s="38" t="str">
        <f>IF(Bevetel!H54&lt;&gt;0,Bevetel!H54,"")</f>
        <v/>
      </c>
      <c r="I54" s="38">
        <f>Bevetel!I54</f>
        <v>0</v>
      </c>
      <c r="J54" s="105" t="str">
        <f>Bevetel!J54</f>
        <v/>
      </c>
      <c r="K54" s="106" t="str">
        <f>Bevetel!K54</f>
        <v/>
      </c>
      <c r="L54" s="106" t="str">
        <f>Bevetel!L54</f>
        <v/>
      </c>
      <c r="M54" s="107"/>
      <c r="Q54" s="1">
        <f>VLOOKUP(G54,Keszlet!$C$5:$E$205,3,FALSE)</f>
        <v>0</v>
      </c>
      <c r="T54" s="1" t="str">
        <f t="shared" si="1"/>
        <v>0</v>
      </c>
      <c r="U54" s="1">
        <f t="shared" si="2"/>
        <v>0</v>
      </c>
      <c r="W54" s="6">
        <f t="shared" si="3"/>
        <v>0</v>
      </c>
      <c r="X54" s="6">
        <f t="shared" si="6"/>
        <v>55153</v>
      </c>
      <c r="Y54" s="1">
        <f t="shared" si="4"/>
        <v>996</v>
      </c>
      <c r="Z54" s="1">
        <f>IF(COUNTIF($Y$6:Y54,Y54)=1,Y54,Y54+COUNTIF($Y$5:Y53,Y54))</f>
        <v>1044</v>
      </c>
      <c r="AD54" s="1" t="str">
        <f t="shared" si="5"/>
        <v/>
      </c>
      <c r="BA54" s="1">
        <f>IF(W54&lt;=Leltar_iv!$Y$1,I54,0)</f>
        <v>0</v>
      </c>
    </row>
    <row r="55" spans="1:53" s="1" customFormat="1" hidden="1" x14ac:dyDescent="0.25">
      <c r="A55" s="18">
        <f>IF(COUNTIF($Y$6:Y55,Y55)=1,Y55,Y55+COUNTIF($Y$5:Y54,Y55))</f>
        <v>1045</v>
      </c>
      <c r="B55" s="1">
        <f>IF(AND(Kisero_iv!$N$2=C55,Kisero_iv!$K$5=$B$2,SUM(I55:L59)&lt;&gt;0,$B$4=YEAR(W55)),B54+1,0)</f>
        <v>0</v>
      </c>
      <c r="C55" s="1">
        <f>IF(YEAR(W54)&lt;&gt;YEAR(W55),1,IF(Bevetel!T55&lt;&gt;0,C54+1,C54))</f>
        <v>50</v>
      </c>
      <c r="D55" s="102" t="str">
        <f>Bevetel!D55</f>
        <v/>
      </c>
      <c r="E55" s="42">
        <f>Bevetel!E55</f>
        <v>0</v>
      </c>
      <c r="F55" s="38" t="str">
        <f>IF(Bevetel!F55&lt;&gt;0,Bevetel!F55,"")</f>
        <v/>
      </c>
      <c r="G55" s="38" t="str">
        <f>IF(Bevetel!G55&lt;&gt;0,Bevetel!G55,"")</f>
        <v/>
      </c>
      <c r="H55" s="38" t="str">
        <f>IF(Bevetel!H55&lt;&gt;0,Bevetel!H55,"")</f>
        <v/>
      </c>
      <c r="I55" s="38">
        <f>Bevetel!I55</f>
        <v>0</v>
      </c>
      <c r="J55" s="105" t="str">
        <f>Bevetel!J55</f>
        <v/>
      </c>
      <c r="K55" s="106" t="str">
        <f>Bevetel!K55</f>
        <v/>
      </c>
      <c r="L55" s="106" t="str">
        <f>Bevetel!L55</f>
        <v/>
      </c>
      <c r="M55" s="107"/>
      <c r="Q55" s="1">
        <f>VLOOKUP(G55,Keszlet!$C$5:$E$205,3,FALSE)</f>
        <v>0</v>
      </c>
      <c r="T55" s="1" t="str">
        <f t="shared" si="1"/>
        <v>0</v>
      </c>
      <c r="U55" s="1">
        <f t="shared" si="2"/>
        <v>0</v>
      </c>
      <c r="W55" s="6">
        <f t="shared" si="3"/>
        <v>0</v>
      </c>
      <c r="X55" s="6">
        <f t="shared" si="6"/>
        <v>55153</v>
      </c>
      <c r="Y55" s="1">
        <f t="shared" si="4"/>
        <v>996</v>
      </c>
      <c r="Z55" s="1">
        <f>IF(COUNTIF($Y$6:Y55,Y55)=1,Y55,Y55+COUNTIF($Y$5:Y54,Y55))</f>
        <v>1045</v>
      </c>
      <c r="AD55" s="1" t="str">
        <f t="shared" si="5"/>
        <v/>
      </c>
      <c r="BA55" s="1">
        <f>IF(W55&lt;=Leltar_iv!$Y$1,I55,0)</f>
        <v>0</v>
      </c>
    </row>
    <row r="56" spans="1:53" s="1" customFormat="1" hidden="1" x14ac:dyDescent="0.25">
      <c r="A56" s="18">
        <f>IF(COUNTIF($Y$6:Y56,Y56)=1,Y56,Y56+COUNTIF($Y$5:Y55,Y56))</f>
        <v>1046</v>
      </c>
      <c r="B56" s="1">
        <f>IF(AND(Kisero_iv!$N$2=C56,Kisero_iv!$K$5=$B$2,SUM(I56:L60)&lt;&gt;0,$B$4=YEAR(W56)),B55+1,0)</f>
        <v>0</v>
      </c>
      <c r="C56" s="1">
        <f>IF(YEAR(W55)&lt;&gt;YEAR(W56),1,IF(Bevetel!T56&lt;&gt;0,C55+1,C55))</f>
        <v>51</v>
      </c>
      <c r="D56" s="102" t="str">
        <f>Bevetel!D56</f>
        <v/>
      </c>
      <c r="E56" s="42">
        <f>Bevetel!E56</f>
        <v>0</v>
      </c>
      <c r="F56" s="38" t="str">
        <f>IF(Bevetel!F56&lt;&gt;0,Bevetel!F56,"")</f>
        <v/>
      </c>
      <c r="G56" s="38" t="str">
        <f>IF(Bevetel!G56&lt;&gt;0,Bevetel!G56,"")</f>
        <v/>
      </c>
      <c r="H56" s="38" t="str">
        <f>IF(Bevetel!H56&lt;&gt;0,Bevetel!H56,"")</f>
        <v/>
      </c>
      <c r="I56" s="38">
        <f>Bevetel!I56</f>
        <v>0</v>
      </c>
      <c r="J56" s="105" t="str">
        <f>Bevetel!J56</f>
        <v/>
      </c>
      <c r="K56" s="106" t="str">
        <f>Bevetel!K56</f>
        <v/>
      </c>
      <c r="L56" s="106" t="str">
        <f>Bevetel!L56</f>
        <v/>
      </c>
      <c r="M56" s="107"/>
      <c r="Q56" s="1">
        <f>VLOOKUP(G56,Keszlet!$C$5:$E$205,3,FALSE)</f>
        <v>0</v>
      </c>
      <c r="T56" s="1" t="str">
        <f t="shared" si="1"/>
        <v>0</v>
      </c>
      <c r="U56" s="1">
        <f t="shared" si="2"/>
        <v>0</v>
      </c>
      <c r="W56" s="6">
        <f t="shared" si="3"/>
        <v>0</v>
      </c>
      <c r="X56" s="6">
        <f t="shared" si="6"/>
        <v>55153</v>
      </c>
      <c r="Y56" s="1">
        <f t="shared" si="4"/>
        <v>996</v>
      </c>
      <c r="Z56" s="1">
        <f>IF(COUNTIF($Y$6:Y56,Y56)=1,Y56,Y56+COUNTIF($Y$5:Y55,Y56))</f>
        <v>1046</v>
      </c>
      <c r="AD56" s="1" t="str">
        <f t="shared" si="5"/>
        <v/>
      </c>
      <c r="BA56" s="1">
        <f>IF(W56&lt;=Leltar_iv!$Y$1,I56,0)</f>
        <v>0</v>
      </c>
    </row>
    <row r="57" spans="1:53" s="1" customFormat="1" hidden="1" x14ac:dyDescent="0.25">
      <c r="A57" s="18">
        <f>IF(COUNTIF($Y$6:Y57,Y57)=1,Y57,Y57+COUNTIF($Y$5:Y56,Y57))</f>
        <v>1047</v>
      </c>
      <c r="B57" s="1">
        <f>IF(AND(Kisero_iv!$N$2=C57,Kisero_iv!$K$5=$B$2,SUM(I57:L61)&lt;&gt;0,$B$4=YEAR(W57)),B56+1,0)</f>
        <v>0</v>
      </c>
      <c r="C57" s="1">
        <f>IF(YEAR(W56)&lt;&gt;YEAR(W57),1,IF(Bevetel!T57&lt;&gt;0,C56+1,C56))</f>
        <v>52</v>
      </c>
      <c r="D57" s="102" t="str">
        <f>Bevetel!D57</f>
        <v/>
      </c>
      <c r="E57" s="42">
        <f>Bevetel!E57</f>
        <v>0</v>
      </c>
      <c r="F57" s="38" t="str">
        <f>IF(Bevetel!F57&lt;&gt;0,Bevetel!F57,"")</f>
        <v/>
      </c>
      <c r="G57" s="38" t="str">
        <f>IF(Bevetel!G57&lt;&gt;0,Bevetel!G57,"")</f>
        <v/>
      </c>
      <c r="H57" s="38" t="str">
        <f>IF(Bevetel!H57&lt;&gt;0,Bevetel!H57,"")</f>
        <v/>
      </c>
      <c r="I57" s="38">
        <f>Bevetel!I57</f>
        <v>0</v>
      </c>
      <c r="J57" s="105" t="str">
        <f>Bevetel!J57</f>
        <v/>
      </c>
      <c r="K57" s="106" t="str">
        <f>Bevetel!K57</f>
        <v/>
      </c>
      <c r="L57" s="106" t="str">
        <f>Bevetel!L57</f>
        <v/>
      </c>
      <c r="M57" s="107"/>
      <c r="Q57" s="1">
        <f>VLOOKUP(G57,Keszlet!$C$5:$E$205,3,FALSE)</f>
        <v>0</v>
      </c>
      <c r="T57" s="1" t="str">
        <f t="shared" si="1"/>
        <v>0</v>
      </c>
      <c r="U57" s="1">
        <f t="shared" si="2"/>
        <v>0</v>
      </c>
      <c r="W57" s="6">
        <f t="shared" si="3"/>
        <v>0</v>
      </c>
      <c r="X57" s="6">
        <f t="shared" si="6"/>
        <v>55153</v>
      </c>
      <c r="Y57" s="1">
        <f t="shared" si="4"/>
        <v>996</v>
      </c>
      <c r="Z57" s="1">
        <f>IF(COUNTIF($Y$6:Y57,Y57)=1,Y57,Y57+COUNTIF($Y$5:Y56,Y57))</f>
        <v>1047</v>
      </c>
      <c r="AD57" s="1" t="str">
        <f t="shared" si="5"/>
        <v/>
      </c>
      <c r="BA57" s="1">
        <f>IF(W57&lt;=Leltar_iv!$Y$1,I57,0)</f>
        <v>0</v>
      </c>
    </row>
    <row r="58" spans="1:53" s="1" customFormat="1" hidden="1" x14ac:dyDescent="0.25">
      <c r="A58" s="18">
        <f>IF(COUNTIF($Y$6:Y58,Y58)=1,Y58,Y58+COUNTIF($Y$5:Y57,Y58))</f>
        <v>1048</v>
      </c>
      <c r="B58" s="1">
        <f>IF(AND(Kisero_iv!$N$2=C58,Kisero_iv!$K$5=$B$2,SUM(I58:L62)&lt;&gt;0,$B$4=YEAR(W58)),B57+1,0)</f>
        <v>0</v>
      </c>
      <c r="C58" s="1">
        <f>IF(YEAR(W57)&lt;&gt;YEAR(W58),1,IF(Bevetel!T58&lt;&gt;0,C57+1,C57))</f>
        <v>53</v>
      </c>
      <c r="D58" s="102" t="str">
        <f>Bevetel!D58</f>
        <v/>
      </c>
      <c r="E58" s="42">
        <f>Bevetel!E58</f>
        <v>0</v>
      </c>
      <c r="F58" s="38" t="str">
        <f>IF(Bevetel!F58&lt;&gt;0,Bevetel!F58,"")</f>
        <v/>
      </c>
      <c r="G58" s="38" t="str">
        <f>IF(Bevetel!G58&lt;&gt;0,Bevetel!G58,"")</f>
        <v/>
      </c>
      <c r="H58" s="38" t="str">
        <f>IF(Bevetel!H58&lt;&gt;0,Bevetel!H58,"")</f>
        <v/>
      </c>
      <c r="I58" s="38">
        <f>Bevetel!I58</f>
        <v>0</v>
      </c>
      <c r="J58" s="105" t="str">
        <f>Bevetel!J58</f>
        <v/>
      </c>
      <c r="K58" s="106" t="str">
        <f>Bevetel!K58</f>
        <v/>
      </c>
      <c r="L58" s="106" t="str">
        <f>Bevetel!L58</f>
        <v/>
      </c>
      <c r="M58" s="107"/>
      <c r="Q58" s="1">
        <f>VLOOKUP(G58,Keszlet!$C$5:$E$205,3,FALSE)</f>
        <v>0</v>
      </c>
      <c r="T58" s="1" t="str">
        <f t="shared" si="1"/>
        <v>0</v>
      </c>
      <c r="U58" s="1">
        <f t="shared" si="2"/>
        <v>0</v>
      </c>
      <c r="W58" s="6">
        <f t="shared" si="3"/>
        <v>0</v>
      </c>
      <c r="X58" s="6">
        <f t="shared" si="6"/>
        <v>55153</v>
      </c>
      <c r="Y58" s="1">
        <f t="shared" si="4"/>
        <v>996</v>
      </c>
      <c r="Z58" s="1">
        <f>IF(COUNTIF($Y$6:Y58,Y58)=1,Y58,Y58+COUNTIF($Y$5:Y57,Y58))</f>
        <v>1048</v>
      </c>
      <c r="AD58" s="1" t="str">
        <f t="shared" si="5"/>
        <v/>
      </c>
      <c r="BA58" s="1">
        <f>IF(W58&lt;=Leltar_iv!$Y$1,I58,0)</f>
        <v>0</v>
      </c>
    </row>
    <row r="59" spans="1:53" s="1" customFormat="1" hidden="1" x14ac:dyDescent="0.25">
      <c r="A59" s="18">
        <f>IF(COUNTIF($Y$6:Y59,Y59)=1,Y59,Y59+COUNTIF($Y$5:Y58,Y59))</f>
        <v>1049</v>
      </c>
      <c r="B59" s="1">
        <f>IF(AND(Kisero_iv!$N$2=C59,Kisero_iv!$K$5=$B$2,SUM(I59:L63)&lt;&gt;0,$B$4=YEAR(W59)),B58+1,0)</f>
        <v>0</v>
      </c>
      <c r="C59" s="1">
        <f>IF(YEAR(W58)&lt;&gt;YEAR(W59),1,IF(Bevetel!T59&lt;&gt;0,C58+1,C58))</f>
        <v>54</v>
      </c>
      <c r="D59" s="102" t="str">
        <f>Bevetel!D59</f>
        <v/>
      </c>
      <c r="E59" s="42">
        <f>Bevetel!E59</f>
        <v>0</v>
      </c>
      <c r="F59" s="38" t="str">
        <f>IF(Bevetel!F59&lt;&gt;0,Bevetel!F59,"")</f>
        <v/>
      </c>
      <c r="G59" s="38" t="str">
        <f>IF(Bevetel!G59&lt;&gt;0,Bevetel!G59,"")</f>
        <v/>
      </c>
      <c r="H59" s="38" t="str">
        <f>IF(Bevetel!H59&lt;&gt;0,Bevetel!H59,"")</f>
        <v/>
      </c>
      <c r="I59" s="38">
        <f>Bevetel!I59</f>
        <v>0</v>
      </c>
      <c r="J59" s="105" t="str">
        <f>Bevetel!J59</f>
        <v/>
      </c>
      <c r="K59" s="106" t="str">
        <f>Bevetel!K59</f>
        <v/>
      </c>
      <c r="L59" s="106" t="str">
        <f>Bevetel!L59</f>
        <v/>
      </c>
      <c r="M59" s="107"/>
      <c r="Q59" s="1">
        <f>VLOOKUP(G59,Keszlet!$C$5:$E$205,3,FALSE)</f>
        <v>0</v>
      </c>
      <c r="T59" s="1" t="str">
        <f t="shared" si="1"/>
        <v>0</v>
      </c>
      <c r="U59" s="1">
        <f t="shared" si="2"/>
        <v>0</v>
      </c>
      <c r="W59" s="6">
        <f t="shared" si="3"/>
        <v>0</v>
      </c>
      <c r="X59" s="6">
        <f t="shared" si="6"/>
        <v>55153</v>
      </c>
      <c r="Y59" s="1">
        <f t="shared" si="4"/>
        <v>996</v>
      </c>
      <c r="Z59" s="1">
        <f>IF(COUNTIF($Y$6:Y59,Y59)=1,Y59,Y59+COUNTIF($Y$5:Y58,Y59))</f>
        <v>1049</v>
      </c>
      <c r="AD59" s="1" t="str">
        <f t="shared" si="5"/>
        <v/>
      </c>
      <c r="BA59" s="1">
        <f>IF(W59&lt;=Leltar_iv!$Y$1,I59,0)</f>
        <v>0</v>
      </c>
    </row>
    <row r="60" spans="1:53" s="1" customFormat="1" hidden="1" x14ac:dyDescent="0.25">
      <c r="A60" s="18">
        <f>IF(COUNTIF($Y$6:Y60,Y60)=1,Y60,Y60+COUNTIF($Y$5:Y59,Y60))</f>
        <v>1050</v>
      </c>
      <c r="B60" s="1">
        <f>IF(AND(Kisero_iv!$N$2=C60,Kisero_iv!$K$5=$B$2,SUM(I60:L64)&lt;&gt;0,$B$4=YEAR(W60)),B59+1,0)</f>
        <v>0</v>
      </c>
      <c r="C60" s="1">
        <f>IF(YEAR(W59)&lt;&gt;YEAR(W60),1,IF(Bevetel!T60&lt;&gt;0,C59+1,C59))</f>
        <v>55</v>
      </c>
      <c r="D60" s="102" t="str">
        <f>Bevetel!D60</f>
        <v/>
      </c>
      <c r="E60" s="42">
        <f>Bevetel!E60</f>
        <v>0</v>
      </c>
      <c r="F60" s="38" t="str">
        <f>IF(Bevetel!F60&lt;&gt;0,Bevetel!F60,"")</f>
        <v/>
      </c>
      <c r="G60" s="38" t="str">
        <f>IF(Bevetel!G60&lt;&gt;0,Bevetel!G60,"")</f>
        <v/>
      </c>
      <c r="H60" s="38" t="str">
        <f>IF(Bevetel!H60&lt;&gt;0,Bevetel!H60,"")</f>
        <v/>
      </c>
      <c r="I60" s="38">
        <f>Bevetel!I60</f>
        <v>0</v>
      </c>
      <c r="J60" s="105" t="str">
        <f>Bevetel!J60</f>
        <v/>
      </c>
      <c r="K60" s="106" t="str">
        <f>Bevetel!K60</f>
        <v/>
      </c>
      <c r="L60" s="106" t="str">
        <f>Bevetel!L60</f>
        <v/>
      </c>
      <c r="M60" s="107"/>
      <c r="Q60" s="1">
        <f>VLOOKUP(G60,Keszlet!$C$5:$E$205,3,FALSE)</f>
        <v>0</v>
      </c>
      <c r="T60" s="1" t="str">
        <f t="shared" si="1"/>
        <v>0</v>
      </c>
      <c r="U60" s="1">
        <f t="shared" si="2"/>
        <v>0</v>
      </c>
      <c r="W60" s="6">
        <f t="shared" si="3"/>
        <v>0</v>
      </c>
      <c r="X60" s="6">
        <f t="shared" si="6"/>
        <v>55153</v>
      </c>
      <c r="Y60" s="1">
        <f t="shared" si="4"/>
        <v>996</v>
      </c>
      <c r="Z60" s="1">
        <f>IF(COUNTIF($Y$6:Y60,Y60)=1,Y60,Y60+COUNTIF($Y$5:Y59,Y60))</f>
        <v>1050</v>
      </c>
      <c r="AD60" s="1" t="str">
        <f t="shared" si="5"/>
        <v/>
      </c>
      <c r="BA60" s="1">
        <f>IF(W60&lt;=Leltar_iv!$Y$1,I60,0)</f>
        <v>0</v>
      </c>
    </row>
    <row r="61" spans="1:53" s="1" customFormat="1" hidden="1" x14ac:dyDescent="0.25">
      <c r="A61" s="18">
        <f>IF(COUNTIF($Y$6:Y61,Y61)=1,Y61,Y61+COUNTIF($Y$5:Y60,Y61))</f>
        <v>1051</v>
      </c>
      <c r="B61" s="1">
        <f>IF(AND(Kisero_iv!$N$2=C61,Kisero_iv!$K$5=$B$2,SUM(I61:L65)&lt;&gt;0,$B$4=YEAR(W61)),B60+1,0)</f>
        <v>0</v>
      </c>
      <c r="C61" s="1">
        <f>IF(YEAR(W60)&lt;&gt;YEAR(W61),1,IF(Bevetel!T61&lt;&gt;0,C60+1,C60))</f>
        <v>56</v>
      </c>
      <c r="D61" s="102" t="str">
        <f>Bevetel!D61</f>
        <v/>
      </c>
      <c r="E61" s="42">
        <f>Bevetel!E61</f>
        <v>0</v>
      </c>
      <c r="F61" s="38" t="str">
        <f>IF(Bevetel!F61&lt;&gt;0,Bevetel!F61,"")</f>
        <v/>
      </c>
      <c r="G61" s="38" t="str">
        <f>IF(Bevetel!G61&lt;&gt;0,Bevetel!G61,"")</f>
        <v/>
      </c>
      <c r="H61" s="38" t="str">
        <f>IF(Bevetel!H61&lt;&gt;0,Bevetel!H61,"")</f>
        <v/>
      </c>
      <c r="I61" s="38">
        <f>Bevetel!I61</f>
        <v>0</v>
      </c>
      <c r="J61" s="105" t="str">
        <f>Bevetel!J61</f>
        <v/>
      </c>
      <c r="K61" s="106" t="str">
        <f>Bevetel!K61</f>
        <v/>
      </c>
      <c r="L61" s="106" t="str">
        <f>Bevetel!L61</f>
        <v/>
      </c>
      <c r="M61" s="107"/>
      <c r="Q61" s="1">
        <f>VLOOKUP(G61,Keszlet!$C$5:$E$205,3,FALSE)</f>
        <v>0</v>
      </c>
      <c r="T61" s="1" t="str">
        <f t="shared" si="1"/>
        <v>0</v>
      </c>
      <c r="U61" s="1">
        <f t="shared" si="2"/>
        <v>0</v>
      </c>
      <c r="W61" s="6">
        <f t="shared" si="3"/>
        <v>0</v>
      </c>
      <c r="X61" s="6">
        <f t="shared" si="6"/>
        <v>55153</v>
      </c>
      <c r="Y61" s="1">
        <f t="shared" si="4"/>
        <v>996</v>
      </c>
      <c r="Z61" s="1">
        <f>IF(COUNTIF($Y$6:Y61,Y61)=1,Y61,Y61+COUNTIF($Y$5:Y60,Y61))</f>
        <v>1051</v>
      </c>
      <c r="AD61" s="1" t="str">
        <f t="shared" si="5"/>
        <v/>
      </c>
      <c r="BA61" s="1">
        <f>IF(W61&lt;=Leltar_iv!$Y$1,I61,0)</f>
        <v>0</v>
      </c>
    </row>
    <row r="62" spans="1:53" s="1" customFormat="1" hidden="1" x14ac:dyDescent="0.25">
      <c r="A62" s="18">
        <f>IF(COUNTIF($Y$6:Y62,Y62)=1,Y62,Y62+COUNTIF($Y$5:Y61,Y62))</f>
        <v>1052</v>
      </c>
      <c r="B62" s="1">
        <f>IF(AND(Kisero_iv!$N$2=C62,Kisero_iv!$K$5=$B$2,SUM(I62:L66)&lt;&gt;0,$B$4=YEAR(W62)),B61+1,0)</f>
        <v>0</v>
      </c>
      <c r="C62" s="1">
        <f>IF(YEAR(W61)&lt;&gt;YEAR(W62),1,IF(Bevetel!T62&lt;&gt;0,C61+1,C61))</f>
        <v>57</v>
      </c>
      <c r="D62" s="102" t="str">
        <f>Bevetel!D62</f>
        <v/>
      </c>
      <c r="E62" s="42">
        <f>Bevetel!E62</f>
        <v>0</v>
      </c>
      <c r="F62" s="38" t="str">
        <f>IF(Bevetel!F62&lt;&gt;0,Bevetel!F62,"")</f>
        <v/>
      </c>
      <c r="G62" s="38" t="str">
        <f>IF(Bevetel!G62&lt;&gt;0,Bevetel!G62,"")</f>
        <v/>
      </c>
      <c r="H62" s="38" t="str">
        <f>IF(Bevetel!H62&lt;&gt;0,Bevetel!H62,"")</f>
        <v/>
      </c>
      <c r="I62" s="38">
        <f>Bevetel!I62</f>
        <v>0</v>
      </c>
      <c r="J62" s="105" t="str">
        <f>Bevetel!J62</f>
        <v/>
      </c>
      <c r="K62" s="106" t="str">
        <f>Bevetel!K62</f>
        <v/>
      </c>
      <c r="L62" s="106" t="str">
        <f>Bevetel!L62</f>
        <v/>
      </c>
      <c r="M62" s="107"/>
      <c r="Q62" s="1">
        <f>VLOOKUP(G62,Keszlet!$C$5:$E$205,3,FALSE)</f>
        <v>0</v>
      </c>
      <c r="T62" s="1" t="str">
        <f t="shared" si="1"/>
        <v>0</v>
      </c>
      <c r="U62" s="1">
        <f t="shared" si="2"/>
        <v>0</v>
      </c>
      <c r="W62" s="6">
        <f t="shared" si="3"/>
        <v>0</v>
      </c>
      <c r="X62" s="6">
        <f t="shared" si="6"/>
        <v>55153</v>
      </c>
      <c r="Y62" s="1">
        <f t="shared" si="4"/>
        <v>996</v>
      </c>
      <c r="Z62" s="1">
        <f>IF(COUNTIF($Y$6:Y62,Y62)=1,Y62,Y62+COUNTIF($Y$5:Y61,Y62))</f>
        <v>1052</v>
      </c>
      <c r="AD62" s="1" t="str">
        <f t="shared" si="5"/>
        <v/>
      </c>
      <c r="BA62" s="1">
        <f>IF(W62&lt;=Leltar_iv!$Y$1,I62,0)</f>
        <v>0</v>
      </c>
    </row>
    <row r="63" spans="1:53" s="1" customFormat="1" hidden="1" x14ac:dyDescent="0.25">
      <c r="A63" s="18">
        <f>IF(COUNTIF($Y$6:Y63,Y63)=1,Y63,Y63+COUNTIF($Y$5:Y62,Y63))</f>
        <v>1053</v>
      </c>
      <c r="B63" s="1">
        <f>IF(AND(Kisero_iv!$N$2=C63,Kisero_iv!$K$5=$B$2,SUM(I63:L67)&lt;&gt;0,$B$4=YEAR(W63)),B62+1,0)</f>
        <v>0</v>
      </c>
      <c r="C63" s="1">
        <f>IF(YEAR(W62)&lt;&gt;YEAR(W63),1,IF(Bevetel!T63&lt;&gt;0,C62+1,C62))</f>
        <v>58</v>
      </c>
      <c r="D63" s="102" t="str">
        <f>Bevetel!D63</f>
        <v/>
      </c>
      <c r="E63" s="42">
        <f>Bevetel!E63</f>
        <v>0</v>
      </c>
      <c r="F63" s="38" t="str">
        <f>IF(Bevetel!F63&lt;&gt;0,Bevetel!F63,"")</f>
        <v/>
      </c>
      <c r="G63" s="38" t="str">
        <f>IF(Bevetel!G63&lt;&gt;0,Bevetel!G63,"")</f>
        <v/>
      </c>
      <c r="H63" s="38" t="str">
        <f>IF(Bevetel!H63&lt;&gt;0,Bevetel!H63,"")</f>
        <v/>
      </c>
      <c r="I63" s="38">
        <f>Bevetel!I63</f>
        <v>0</v>
      </c>
      <c r="J63" s="105" t="str">
        <f>Bevetel!J63</f>
        <v/>
      </c>
      <c r="K63" s="106" t="str">
        <f>Bevetel!K63</f>
        <v/>
      </c>
      <c r="L63" s="106" t="str">
        <f>Bevetel!L63</f>
        <v/>
      </c>
      <c r="M63" s="107"/>
      <c r="Q63" s="1">
        <f>VLOOKUP(G63,Keszlet!$C$5:$E$205,3,FALSE)</f>
        <v>0</v>
      </c>
      <c r="T63" s="1" t="str">
        <f t="shared" si="1"/>
        <v>0</v>
      </c>
      <c r="U63" s="1">
        <f t="shared" si="2"/>
        <v>0</v>
      </c>
      <c r="W63" s="6">
        <f t="shared" si="3"/>
        <v>0</v>
      </c>
      <c r="X63" s="6">
        <f t="shared" si="6"/>
        <v>55153</v>
      </c>
      <c r="Y63" s="1">
        <f t="shared" si="4"/>
        <v>996</v>
      </c>
      <c r="Z63" s="1">
        <f>IF(COUNTIF($Y$6:Y63,Y63)=1,Y63,Y63+COUNTIF($Y$5:Y62,Y63))</f>
        <v>1053</v>
      </c>
      <c r="AD63" s="1" t="str">
        <f t="shared" si="5"/>
        <v/>
      </c>
      <c r="BA63" s="1">
        <f>IF(W63&lt;=Leltar_iv!$Y$1,I63,0)</f>
        <v>0</v>
      </c>
    </row>
    <row r="64" spans="1:53" s="1" customFormat="1" hidden="1" x14ac:dyDescent="0.25">
      <c r="A64" s="18">
        <f>IF(COUNTIF($Y$6:Y64,Y64)=1,Y64,Y64+COUNTIF($Y$5:Y63,Y64))</f>
        <v>1054</v>
      </c>
      <c r="B64" s="1">
        <f>IF(AND(Kisero_iv!$N$2=C64,Kisero_iv!$K$5=$B$2,SUM(I64:L68)&lt;&gt;0,$B$4=YEAR(W64)),B63+1,0)</f>
        <v>0</v>
      </c>
      <c r="C64" s="1">
        <f>IF(YEAR(W63)&lt;&gt;YEAR(W64),1,IF(Bevetel!T64&lt;&gt;0,C63+1,C63))</f>
        <v>59</v>
      </c>
      <c r="D64" s="102" t="str">
        <f>Bevetel!D64</f>
        <v/>
      </c>
      <c r="E64" s="42">
        <f>Bevetel!E64</f>
        <v>0</v>
      </c>
      <c r="F64" s="38" t="str">
        <f>IF(Bevetel!F64&lt;&gt;0,Bevetel!F64,"")</f>
        <v/>
      </c>
      <c r="G64" s="38" t="str">
        <f>IF(Bevetel!G64&lt;&gt;0,Bevetel!G64,"")</f>
        <v/>
      </c>
      <c r="H64" s="38" t="str">
        <f>IF(Bevetel!H64&lt;&gt;0,Bevetel!H64,"")</f>
        <v/>
      </c>
      <c r="I64" s="38">
        <f>Bevetel!I64</f>
        <v>0</v>
      </c>
      <c r="J64" s="105" t="str">
        <f>Bevetel!J64</f>
        <v/>
      </c>
      <c r="K64" s="106" t="str">
        <f>Bevetel!K64</f>
        <v/>
      </c>
      <c r="L64" s="106" t="str">
        <f>Bevetel!L64</f>
        <v/>
      </c>
      <c r="M64" s="107"/>
      <c r="Q64" s="1">
        <f>VLOOKUP(G64,Keszlet!$C$5:$E$205,3,FALSE)</f>
        <v>0</v>
      </c>
      <c r="T64" s="1" t="str">
        <f t="shared" si="1"/>
        <v>0</v>
      </c>
      <c r="U64" s="1">
        <f t="shared" si="2"/>
        <v>0</v>
      </c>
      <c r="W64" s="6">
        <f t="shared" si="3"/>
        <v>0</v>
      </c>
      <c r="X64" s="6">
        <f t="shared" si="6"/>
        <v>55153</v>
      </c>
      <c r="Y64" s="1">
        <f t="shared" si="4"/>
        <v>996</v>
      </c>
      <c r="Z64" s="1">
        <f>IF(COUNTIF($Y$6:Y64,Y64)=1,Y64,Y64+COUNTIF($Y$5:Y63,Y64))</f>
        <v>1054</v>
      </c>
      <c r="AD64" s="1" t="str">
        <f t="shared" si="5"/>
        <v/>
      </c>
      <c r="BA64" s="1">
        <f>IF(W64&lt;=Leltar_iv!$Y$1,I64,0)</f>
        <v>0</v>
      </c>
    </row>
    <row r="65" spans="1:53" s="1" customFormat="1" hidden="1" x14ac:dyDescent="0.25">
      <c r="A65" s="18">
        <f>IF(COUNTIF($Y$6:Y65,Y65)=1,Y65,Y65+COUNTIF($Y$5:Y64,Y65))</f>
        <v>1055</v>
      </c>
      <c r="B65" s="1">
        <f>IF(AND(Kisero_iv!$N$2=C65,Kisero_iv!$K$5=$B$2,SUM(I65:L69)&lt;&gt;0,$B$4=YEAR(W65)),B64+1,0)</f>
        <v>0</v>
      </c>
      <c r="C65" s="1">
        <f>IF(YEAR(W64)&lt;&gt;YEAR(W65),1,IF(Bevetel!T65&lt;&gt;0,C64+1,C64))</f>
        <v>60</v>
      </c>
      <c r="D65" s="102" t="str">
        <f>Bevetel!D65</f>
        <v/>
      </c>
      <c r="E65" s="42">
        <f>Bevetel!E65</f>
        <v>0</v>
      </c>
      <c r="F65" s="38" t="str">
        <f>IF(Bevetel!F65&lt;&gt;0,Bevetel!F65,"")</f>
        <v/>
      </c>
      <c r="G65" s="38" t="str">
        <f>IF(Bevetel!G65&lt;&gt;0,Bevetel!G65,"")</f>
        <v/>
      </c>
      <c r="H65" s="38" t="str">
        <f>IF(Bevetel!H65&lt;&gt;0,Bevetel!H65,"")</f>
        <v/>
      </c>
      <c r="I65" s="38">
        <f>Bevetel!I65</f>
        <v>0</v>
      </c>
      <c r="J65" s="105" t="str">
        <f>Bevetel!J65</f>
        <v/>
      </c>
      <c r="K65" s="106" t="str">
        <f>Bevetel!K65</f>
        <v/>
      </c>
      <c r="L65" s="106" t="str">
        <f>Bevetel!L65</f>
        <v/>
      </c>
      <c r="M65" s="107"/>
      <c r="Q65" s="1">
        <f>VLOOKUP(G65,Keszlet!$C$5:$E$205,3,FALSE)</f>
        <v>0</v>
      </c>
      <c r="T65" s="1" t="str">
        <f t="shared" si="1"/>
        <v>0</v>
      </c>
      <c r="U65" s="1">
        <f t="shared" si="2"/>
        <v>0</v>
      </c>
      <c r="W65" s="6">
        <f t="shared" si="3"/>
        <v>0</v>
      </c>
      <c r="X65" s="6">
        <f t="shared" si="6"/>
        <v>55153</v>
      </c>
      <c r="Y65" s="1">
        <f t="shared" si="4"/>
        <v>996</v>
      </c>
      <c r="Z65" s="1">
        <f>IF(COUNTIF($Y$6:Y65,Y65)=1,Y65,Y65+COUNTIF($Y$5:Y64,Y65))</f>
        <v>1055</v>
      </c>
      <c r="AD65" s="1" t="str">
        <f t="shared" si="5"/>
        <v/>
      </c>
      <c r="BA65" s="1">
        <f>IF(W65&lt;=Leltar_iv!$Y$1,I65,0)</f>
        <v>0</v>
      </c>
    </row>
    <row r="66" spans="1:53" s="1" customFormat="1" hidden="1" x14ac:dyDescent="0.25">
      <c r="A66" s="18">
        <f>IF(COUNTIF($Y$6:Y66,Y66)=1,Y66,Y66+COUNTIF($Y$5:Y65,Y66))</f>
        <v>1056</v>
      </c>
      <c r="B66" s="1">
        <f>IF(AND(Kisero_iv!$N$2=C66,Kisero_iv!$K$5=$B$2,SUM(I66:L70)&lt;&gt;0,$B$4=YEAR(W66)),B65+1,0)</f>
        <v>0</v>
      </c>
      <c r="C66" s="1">
        <f>IF(YEAR(W65)&lt;&gt;YEAR(W66),1,IF(Bevetel!T66&lt;&gt;0,C65+1,C65))</f>
        <v>61</v>
      </c>
      <c r="D66" s="102" t="str">
        <f>Bevetel!D66</f>
        <v/>
      </c>
      <c r="E66" s="42">
        <f>Bevetel!E66</f>
        <v>0</v>
      </c>
      <c r="F66" s="38" t="str">
        <f>IF(Bevetel!F66&lt;&gt;0,Bevetel!F66,"")</f>
        <v/>
      </c>
      <c r="G66" s="38" t="str">
        <f>IF(Bevetel!G66&lt;&gt;0,Bevetel!G66,"")</f>
        <v/>
      </c>
      <c r="H66" s="38" t="str">
        <f>IF(Bevetel!H66&lt;&gt;0,Bevetel!H66,"")</f>
        <v/>
      </c>
      <c r="I66" s="38">
        <f>Bevetel!I66</f>
        <v>0</v>
      </c>
      <c r="J66" s="105" t="str">
        <f>Bevetel!J66</f>
        <v/>
      </c>
      <c r="K66" s="106" t="str">
        <f>Bevetel!K66</f>
        <v/>
      </c>
      <c r="L66" s="106" t="str">
        <f>Bevetel!L66</f>
        <v/>
      </c>
      <c r="M66" s="107"/>
      <c r="Q66" s="1">
        <f>VLOOKUP(G66,Keszlet!$C$5:$E$205,3,FALSE)</f>
        <v>0</v>
      </c>
      <c r="T66" s="1" t="str">
        <f t="shared" si="1"/>
        <v>0</v>
      </c>
      <c r="U66" s="1">
        <f t="shared" si="2"/>
        <v>0</v>
      </c>
      <c r="W66" s="6">
        <f t="shared" si="3"/>
        <v>0</v>
      </c>
      <c r="X66" s="6">
        <f t="shared" si="6"/>
        <v>55153</v>
      </c>
      <c r="Y66" s="1">
        <f t="shared" si="4"/>
        <v>996</v>
      </c>
      <c r="Z66" s="1">
        <f>IF(COUNTIF($Y$6:Y66,Y66)=1,Y66,Y66+COUNTIF($Y$5:Y65,Y66))</f>
        <v>1056</v>
      </c>
      <c r="AD66" s="1" t="str">
        <f t="shared" si="5"/>
        <v/>
      </c>
      <c r="BA66" s="1">
        <f>IF(W66&lt;=Leltar_iv!$Y$1,I66,0)</f>
        <v>0</v>
      </c>
    </row>
    <row r="67" spans="1:53" s="1" customFormat="1" hidden="1" x14ac:dyDescent="0.25">
      <c r="A67" s="18">
        <f>IF(COUNTIF($Y$6:Y67,Y67)=1,Y67,Y67+COUNTIF($Y$5:Y66,Y67))</f>
        <v>1057</v>
      </c>
      <c r="B67" s="1">
        <f>IF(AND(Kisero_iv!$N$2=C67,Kisero_iv!$K$5=$B$2,SUM(I67:L71)&lt;&gt;0,$B$4=YEAR(W67)),B66+1,0)</f>
        <v>0</v>
      </c>
      <c r="C67" s="1">
        <f>IF(YEAR(W66)&lt;&gt;YEAR(W67),1,IF(Bevetel!T67&lt;&gt;0,C66+1,C66))</f>
        <v>62</v>
      </c>
      <c r="D67" s="102" t="str">
        <f>Bevetel!D67</f>
        <v/>
      </c>
      <c r="E67" s="42">
        <f>Bevetel!E67</f>
        <v>0</v>
      </c>
      <c r="F67" s="38" t="str">
        <f>IF(Bevetel!F67&lt;&gt;0,Bevetel!F67,"")</f>
        <v/>
      </c>
      <c r="G67" s="38" t="str">
        <f>IF(Bevetel!G67&lt;&gt;0,Bevetel!G67,"")</f>
        <v/>
      </c>
      <c r="H67" s="38" t="str">
        <f>IF(Bevetel!H67&lt;&gt;0,Bevetel!H67,"")</f>
        <v/>
      </c>
      <c r="I67" s="38">
        <f>Bevetel!I67</f>
        <v>0</v>
      </c>
      <c r="J67" s="105" t="str">
        <f>Bevetel!J67</f>
        <v/>
      </c>
      <c r="K67" s="106" t="str">
        <f>Bevetel!K67</f>
        <v/>
      </c>
      <c r="L67" s="106" t="str">
        <f>Bevetel!L67</f>
        <v/>
      </c>
      <c r="M67" s="107"/>
      <c r="Q67" s="1">
        <f>VLOOKUP(G67,Keszlet!$C$5:$E$205,3,FALSE)</f>
        <v>0</v>
      </c>
      <c r="T67" s="1" t="str">
        <f t="shared" si="1"/>
        <v>0</v>
      </c>
      <c r="U67" s="1">
        <f t="shared" si="2"/>
        <v>0</v>
      </c>
      <c r="W67" s="6">
        <f t="shared" si="3"/>
        <v>0</v>
      </c>
      <c r="X67" s="6">
        <f t="shared" si="6"/>
        <v>55153</v>
      </c>
      <c r="Y67" s="1">
        <f t="shared" si="4"/>
        <v>996</v>
      </c>
      <c r="Z67" s="1">
        <f>IF(COUNTIF($Y$6:Y67,Y67)=1,Y67,Y67+COUNTIF($Y$5:Y66,Y67))</f>
        <v>1057</v>
      </c>
      <c r="AD67" s="1" t="str">
        <f t="shared" si="5"/>
        <v/>
      </c>
      <c r="BA67" s="1">
        <f>IF(W67&lt;=Leltar_iv!$Y$1,I67,0)</f>
        <v>0</v>
      </c>
    </row>
    <row r="68" spans="1:53" s="1" customFormat="1" hidden="1" x14ac:dyDescent="0.25">
      <c r="A68" s="18">
        <f>IF(COUNTIF($Y$6:Y68,Y68)=1,Y68,Y68+COUNTIF($Y$5:Y67,Y68))</f>
        <v>1058</v>
      </c>
      <c r="B68" s="1">
        <f>IF(AND(Kisero_iv!$N$2=C68,Kisero_iv!$K$5=$B$2,SUM(I68:L72)&lt;&gt;0,$B$4=YEAR(W68)),B67+1,0)</f>
        <v>0</v>
      </c>
      <c r="C68" s="1">
        <f>IF(YEAR(W67)&lt;&gt;YEAR(W68),1,IF(Bevetel!T68&lt;&gt;0,C67+1,C67))</f>
        <v>63</v>
      </c>
      <c r="D68" s="102" t="str">
        <f>Bevetel!D68</f>
        <v/>
      </c>
      <c r="E68" s="42">
        <f>Bevetel!E68</f>
        <v>0</v>
      </c>
      <c r="F68" s="38" t="str">
        <f>IF(Bevetel!F68&lt;&gt;0,Bevetel!F68,"")</f>
        <v/>
      </c>
      <c r="G68" s="38" t="str">
        <f>IF(Bevetel!G68&lt;&gt;0,Bevetel!G68,"")</f>
        <v/>
      </c>
      <c r="H68" s="38" t="str">
        <f>IF(Bevetel!H68&lt;&gt;0,Bevetel!H68,"")</f>
        <v/>
      </c>
      <c r="I68" s="38">
        <f>Bevetel!I68</f>
        <v>0</v>
      </c>
      <c r="J68" s="105" t="str">
        <f>Bevetel!J68</f>
        <v/>
      </c>
      <c r="K68" s="106" t="str">
        <f>Bevetel!K68</f>
        <v/>
      </c>
      <c r="L68" s="106" t="str">
        <f>Bevetel!L68</f>
        <v/>
      </c>
      <c r="M68" s="107"/>
      <c r="Q68" s="1">
        <f>VLOOKUP(G68,Keszlet!$C$5:$E$205,3,FALSE)</f>
        <v>0</v>
      </c>
      <c r="T68" s="1" t="str">
        <f t="shared" si="1"/>
        <v>0</v>
      </c>
      <c r="U68" s="1">
        <f t="shared" si="2"/>
        <v>0</v>
      </c>
      <c r="W68" s="6">
        <f t="shared" si="3"/>
        <v>0</v>
      </c>
      <c r="X68" s="6">
        <f t="shared" si="6"/>
        <v>55153</v>
      </c>
      <c r="Y68" s="1">
        <f t="shared" si="4"/>
        <v>996</v>
      </c>
      <c r="Z68" s="1">
        <f>IF(COUNTIF($Y$6:Y68,Y68)=1,Y68,Y68+COUNTIF($Y$5:Y67,Y68))</f>
        <v>1058</v>
      </c>
      <c r="AD68" s="1" t="str">
        <f t="shared" si="5"/>
        <v/>
      </c>
      <c r="BA68" s="1">
        <f>IF(W68&lt;=Leltar_iv!$Y$1,I68,0)</f>
        <v>0</v>
      </c>
    </row>
    <row r="69" spans="1:53" s="1" customFormat="1" hidden="1" x14ac:dyDescent="0.25">
      <c r="A69" s="18">
        <f>IF(COUNTIF($Y$6:Y69,Y69)=1,Y69,Y69+COUNTIF($Y$5:Y68,Y69))</f>
        <v>1059</v>
      </c>
      <c r="B69" s="1">
        <f>IF(AND(Kisero_iv!$N$2=C69,Kisero_iv!$K$5=$B$2,SUM(I69:L73)&lt;&gt;0,$B$4=YEAR(W69)),B68+1,0)</f>
        <v>0</v>
      </c>
      <c r="C69" s="1">
        <f>IF(YEAR(W68)&lt;&gt;YEAR(W69),1,IF(Bevetel!T69&lt;&gt;0,C68+1,C68))</f>
        <v>64</v>
      </c>
      <c r="D69" s="102" t="str">
        <f>Bevetel!D69</f>
        <v/>
      </c>
      <c r="E69" s="42">
        <f>Bevetel!E69</f>
        <v>0</v>
      </c>
      <c r="F69" s="38" t="str">
        <f>IF(Bevetel!F69&lt;&gt;0,Bevetel!F69,"")</f>
        <v/>
      </c>
      <c r="G69" s="38" t="str">
        <f>IF(Bevetel!G69&lt;&gt;0,Bevetel!G69,"")</f>
        <v/>
      </c>
      <c r="H69" s="38" t="str">
        <f>IF(Bevetel!H69&lt;&gt;0,Bevetel!H69,"")</f>
        <v/>
      </c>
      <c r="I69" s="38">
        <f>Bevetel!I69</f>
        <v>0</v>
      </c>
      <c r="J69" s="105" t="str">
        <f>Bevetel!J69</f>
        <v/>
      </c>
      <c r="K69" s="106" t="str">
        <f>Bevetel!K69</f>
        <v/>
      </c>
      <c r="L69" s="106" t="str">
        <f>Bevetel!L69</f>
        <v/>
      </c>
      <c r="M69" s="107"/>
      <c r="Q69" s="1">
        <f>VLOOKUP(G69,Keszlet!$C$5:$E$205,3,FALSE)</f>
        <v>0</v>
      </c>
      <c r="T69" s="1" t="str">
        <f t="shared" si="1"/>
        <v>0</v>
      </c>
      <c r="U69" s="1">
        <f t="shared" si="2"/>
        <v>0</v>
      </c>
      <c r="W69" s="6">
        <f t="shared" si="3"/>
        <v>0</v>
      </c>
      <c r="X69" s="6">
        <f t="shared" si="6"/>
        <v>55153</v>
      </c>
      <c r="Y69" s="1">
        <f t="shared" si="4"/>
        <v>996</v>
      </c>
      <c r="Z69" s="1">
        <f>IF(COUNTIF($Y$6:Y69,Y69)=1,Y69,Y69+COUNTIF($Y$5:Y68,Y69))</f>
        <v>1059</v>
      </c>
      <c r="AD69" s="1" t="str">
        <f t="shared" si="5"/>
        <v/>
      </c>
      <c r="BA69" s="1">
        <f>IF(W69&lt;=Leltar_iv!$Y$1,I69,0)</f>
        <v>0</v>
      </c>
    </row>
    <row r="70" spans="1:53" s="1" customFormat="1" hidden="1" x14ac:dyDescent="0.25">
      <c r="A70" s="18">
        <f>IF(COUNTIF($Y$6:Y70,Y70)=1,Y70,Y70+COUNTIF($Y$5:Y69,Y70))</f>
        <v>1060</v>
      </c>
      <c r="B70" s="1">
        <f>IF(AND(Kisero_iv!$N$2=C70,Kisero_iv!$K$5=$B$2,SUM(I70:L74)&lt;&gt;0,$B$4=YEAR(W70)),B69+1,0)</f>
        <v>0</v>
      </c>
      <c r="C70" s="1">
        <f>IF(YEAR(W69)&lt;&gt;YEAR(W70),1,IF(Bevetel!T70&lt;&gt;0,C69+1,C69))</f>
        <v>65</v>
      </c>
      <c r="D70" s="102" t="str">
        <f>Bevetel!D70</f>
        <v/>
      </c>
      <c r="E70" s="42">
        <f>Bevetel!E70</f>
        <v>0</v>
      </c>
      <c r="F70" s="38" t="str">
        <f>IF(Bevetel!F70&lt;&gt;0,Bevetel!F70,"")</f>
        <v/>
      </c>
      <c r="G70" s="38" t="str">
        <f>IF(Bevetel!G70&lt;&gt;0,Bevetel!G70,"")</f>
        <v/>
      </c>
      <c r="H70" s="38" t="str">
        <f>IF(Bevetel!H70&lt;&gt;0,Bevetel!H70,"")</f>
        <v/>
      </c>
      <c r="I70" s="38">
        <f>Bevetel!I70</f>
        <v>0</v>
      </c>
      <c r="J70" s="105" t="str">
        <f>Bevetel!J70</f>
        <v/>
      </c>
      <c r="K70" s="106" t="str">
        <f>Bevetel!K70</f>
        <v/>
      </c>
      <c r="L70" s="106" t="str">
        <f>Bevetel!L70</f>
        <v/>
      </c>
      <c r="M70" s="107"/>
      <c r="Q70" s="1">
        <f>VLOOKUP(G70,Keszlet!$C$5:$E$205,3,FALSE)</f>
        <v>0</v>
      </c>
      <c r="T70" s="1" t="str">
        <f t="shared" si="1"/>
        <v>0</v>
      </c>
      <c r="U70" s="1">
        <f t="shared" si="2"/>
        <v>0</v>
      </c>
      <c r="W70" s="6">
        <f t="shared" si="3"/>
        <v>0</v>
      </c>
      <c r="X70" s="6">
        <f t="shared" ref="X70:X101" si="7">IF(G70=q,W70,$X$1)</f>
        <v>55153</v>
      </c>
      <c r="Y70" s="1">
        <f t="shared" si="4"/>
        <v>996</v>
      </c>
      <c r="Z70" s="1">
        <f>IF(COUNTIF($Y$6:Y70,Y70)=1,Y70,Y70+COUNTIF($Y$5:Y69,Y70))</f>
        <v>1060</v>
      </c>
      <c r="AD70" s="1" t="str">
        <f t="shared" si="5"/>
        <v/>
      </c>
      <c r="BA70" s="1">
        <f>IF(W70&lt;=Leltar_iv!$Y$1,I70,0)</f>
        <v>0</v>
      </c>
    </row>
    <row r="71" spans="1:53" s="1" customFormat="1" hidden="1" x14ac:dyDescent="0.25">
      <c r="A71" s="18">
        <f>IF(COUNTIF($Y$6:Y71,Y71)=1,Y71,Y71+COUNTIF($Y$5:Y70,Y71))</f>
        <v>1061</v>
      </c>
      <c r="B71" s="1">
        <f>IF(AND(Kisero_iv!$N$2=C71,Kisero_iv!$K$5=$B$2,SUM(I71:L75)&lt;&gt;0,$B$4=YEAR(W71)),B70+1,0)</f>
        <v>0</v>
      </c>
      <c r="C71" s="1">
        <f>IF(YEAR(W70)&lt;&gt;YEAR(W71),1,IF(Bevetel!T71&lt;&gt;0,C70+1,C70))</f>
        <v>66</v>
      </c>
      <c r="D71" s="102" t="str">
        <f>Bevetel!D71</f>
        <v/>
      </c>
      <c r="E71" s="42">
        <f>Bevetel!E71</f>
        <v>0</v>
      </c>
      <c r="F71" s="38" t="str">
        <f>IF(Bevetel!F71&lt;&gt;0,Bevetel!F71,"")</f>
        <v/>
      </c>
      <c r="G71" s="38" t="str">
        <f>IF(Bevetel!G71&lt;&gt;0,Bevetel!G71,"")</f>
        <v/>
      </c>
      <c r="H71" s="38" t="str">
        <f>IF(Bevetel!H71&lt;&gt;0,Bevetel!H71,"")</f>
        <v/>
      </c>
      <c r="I71" s="38">
        <f>Bevetel!I71</f>
        <v>0</v>
      </c>
      <c r="J71" s="105" t="str">
        <f>Bevetel!J71</f>
        <v/>
      </c>
      <c r="K71" s="106" t="str">
        <f>Bevetel!K71</f>
        <v/>
      </c>
      <c r="L71" s="106" t="str">
        <f>Bevetel!L71</f>
        <v/>
      </c>
      <c r="M71" s="107"/>
      <c r="Q71" s="1">
        <f>VLOOKUP(G71,Keszlet!$C$5:$E$205,3,FALSE)</f>
        <v>0</v>
      </c>
      <c r="T71" s="1" t="str">
        <f t="shared" ref="T71:T134" si="8">IF(OR(E71&lt;&gt;0,COUNTIF(T66:T70,0)=5,F71&lt;&gt;"",SUM(L71:L91)=0),E71&amp;F71,0)</f>
        <v>0</v>
      </c>
      <c r="U71" s="1">
        <f t="shared" ref="U71:U134" si="9">IF(F71&lt;&gt;"",F71,U70)</f>
        <v>0</v>
      </c>
      <c r="W71" s="6">
        <f t="shared" ref="W71:W134" si="10">IF(E71&lt;&gt;0,E71,W70)</f>
        <v>0</v>
      </c>
      <c r="X71" s="6">
        <f t="shared" si="7"/>
        <v>55153</v>
      </c>
      <c r="Y71" s="1">
        <f t="shared" ref="Y71:Y134" si="11">RANK(X71,$X$6:$X$10000,1)</f>
        <v>996</v>
      </c>
      <c r="Z71" s="1">
        <f>IF(COUNTIF($Y$6:Y71,Y71)=1,Y71,Y71+COUNTIF($Y$5:Y70,Y71))</f>
        <v>1061</v>
      </c>
      <c r="AD71" s="1" t="str">
        <f t="shared" ref="AD71:AD134" si="12">IF(AND(C70&lt;&gt;C71,SUM(L71:L91)&lt;&gt;0,$B$4=YEAR(W71)),C71,"")</f>
        <v/>
      </c>
      <c r="BA71" s="1">
        <f>IF(W71&lt;=Leltar_iv!$Y$1,I71,0)</f>
        <v>0</v>
      </c>
    </row>
    <row r="72" spans="1:53" s="1" customFormat="1" hidden="1" x14ac:dyDescent="0.25">
      <c r="A72" s="18">
        <f>IF(COUNTIF($Y$6:Y72,Y72)=1,Y72,Y72+COUNTIF($Y$5:Y71,Y72))</f>
        <v>1062</v>
      </c>
      <c r="B72" s="1">
        <f>IF(AND(Kisero_iv!$N$2=C72,Kisero_iv!$K$5=$B$2,SUM(I72:L76)&lt;&gt;0,$B$4=YEAR(W72)),B71+1,0)</f>
        <v>0</v>
      </c>
      <c r="C72" s="1">
        <f>IF(YEAR(W71)&lt;&gt;YEAR(W72),1,IF(Bevetel!T72&lt;&gt;0,C71+1,C71))</f>
        <v>67</v>
      </c>
      <c r="D72" s="102" t="str">
        <f>Bevetel!D72</f>
        <v/>
      </c>
      <c r="E72" s="42">
        <f>Bevetel!E72</f>
        <v>0</v>
      </c>
      <c r="F72" s="38" t="str">
        <f>IF(Bevetel!F72&lt;&gt;0,Bevetel!F72,"")</f>
        <v/>
      </c>
      <c r="G72" s="38" t="str">
        <f>IF(Bevetel!G72&lt;&gt;0,Bevetel!G72,"")</f>
        <v/>
      </c>
      <c r="H72" s="38" t="str">
        <f>IF(Bevetel!H72&lt;&gt;0,Bevetel!H72,"")</f>
        <v/>
      </c>
      <c r="I72" s="38">
        <f>Bevetel!I72</f>
        <v>0</v>
      </c>
      <c r="J72" s="105" t="str">
        <f>Bevetel!J72</f>
        <v/>
      </c>
      <c r="K72" s="106" t="str">
        <f>Bevetel!K72</f>
        <v/>
      </c>
      <c r="L72" s="106" t="str">
        <f>Bevetel!L72</f>
        <v/>
      </c>
      <c r="M72" s="107"/>
      <c r="Q72" s="1">
        <f>VLOOKUP(G72,Keszlet!$C$5:$E$205,3,FALSE)</f>
        <v>0</v>
      </c>
      <c r="T72" s="1" t="str">
        <f t="shared" si="8"/>
        <v>0</v>
      </c>
      <c r="U72" s="1">
        <f t="shared" si="9"/>
        <v>0</v>
      </c>
      <c r="W72" s="6">
        <f t="shared" si="10"/>
        <v>0</v>
      </c>
      <c r="X72" s="6">
        <f t="shared" si="7"/>
        <v>55153</v>
      </c>
      <c r="Y72" s="1">
        <f t="shared" si="11"/>
        <v>996</v>
      </c>
      <c r="Z72" s="1">
        <f>IF(COUNTIF($Y$6:Y72,Y72)=1,Y72,Y72+COUNTIF($Y$5:Y71,Y72))</f>
        <v>1062</v>
      </c>
      <c r="AD72" s="1" t="str">
        <f t="shared" si="12"/>
        <v/>
      </c>
      <c r="BA72" s="1">
        <f>IF(W72&lt;=Leltar_iv!$Y$1,I72,0)</f>
        <v>0</v>
      </c>
    </row>
    <row r="73" spans="1:53" s="1" customFormat="1" hidden="1" x14ac:dyDescent="0.25">
      <c r="A73" s="18">
        <f>IF(COUNTIF($Y$6:Y73,Y73)=1,Y73,Y73+COUNTIF($Y$5:Y72,Y73))</f>
        <v>1063</v>
      </c>
      <c r="B73" s="1">
        <f>IF(AND(Kisero_iv!$N$2=C73,Kisero_iv!$K$5=$B$2,SUM(I73:L77)&lt;&gt;0,$B$4=YEAR(W73)),B72+1,0)</f>
        <v>0</v>
      </c>
      <c r="C73" s="1">
        <f>IF(YEAR(W72)&lt;&gt;YEAR(W73),1,IF(Bevetel!T73&lt;&gt;0,C72+1,C72))</f>
        <v>68</v>
      </c>
      <c r="D73" s="102" t="str">
        <f>Bevetel!D73</f>
        <v/>
      </c>
      <c r="E73" s="42">
        <f>Bevetel!E73</f>
        <v>0</v>
      </c>
      <c r="F73" s="38" t="str">
        <f>IF(Bevetel!F73&lt;&gt;0,Bevetel!F73,"")</f>
        <v/>
      </c>
      <c r="G73" s="38" t="str">
        <f>IF(Bevetel!G73&lt;&gt;0,Bevetel!G73,"")</f>
        <v/>
      </c>
      <c r="H73" s="38" t="str">
        <f>IF(Bevetel!H73&lt;&gt;0,Bevetel!H73,"")</f>
        <v/>
      </c>
      <c r="I73" s="38">
        <f>Bevetel!I73</f>
        <v>0</v>
      </c>
      <c r="J73" s="105" t="str">
        <f>Bevetel!J73</f>
        <v/>
      </c>
      <c r="K73" s="106" t="str">
        <f>Bevetel!K73</f>
        <v/>
      </c>
      <c r="L73" s="106" t="str">
        <f>Bevetel!L73</f>
        <v/>
      </c>
      <c r="M73" s="107"/>
      <c r="Q73" s="1">
        <f>VLOOKUP(G73,Keszlet!$C$5:$E$205,3,FALSE)</f>
        <v>0</v>
      </c>
      <c r="T73" s="1" t="str">
        <f t="shared" si="8"/>
        <v>0</v>
      </c>
      <c r="U73" s="1">
        <f t="shared" si="9"/>
        <v>0</v>
      </c>
      <c r="W73" s="6">
        <f t="shared" si="10"/>
        <v>0</v>
      </c>
      <c r="X73" s="6">
        <f t="shared" si="7"/>
        <v>55153</v>
      </c>
      <c r="Y73" s="1">
        <f t="shared" si="11"/>
        <v>996</v>
      </c>
      <c r="Z73" s="1">
        <f>IF(COUNTIF($Y$6:Y73,Y73)=1,Y73,Y73+COUNTIF($Y$5:Y72,Y73))</f>
        <v>1063</v>
      </c>
      <c r="AD73" s="1" t="str">
        <f t="shared" si="12"/>
        <v/>
      </c>
      <c r="BA73" s="1">
        <f>IF(W73&lt;=Leltar_iv!$Y$1,I73,0)</f>
        <v>0</v>
      </c>
    </row>
    <row r="74" spans="1:53" s="1" customFormat="1" hidden="1" x14ac:dyDescent="0.25">
      <c r="A74" s="18">
        <f>IF(COUNTIF($Y$6:Y74,Y74)=1,Y74,Y74+COUNTIF($Y$5:Y73,Y74))</f>
        <v>1064</v>
      </c>
      <c r="B74" s="1">
        <f>IF(AND(Kisero_iv!$N$2=C74,Kisero_iv!$K$5=$B$2,SUM(I74:L78)&lt;&gt;0,$B$4=YEAR(W74)),B73+1,0)</f>
        <v>0</v>
      </c>
      <c r="C74" s="1">
        <f>IF(YEAR(W73)&lt;&gt;YEAR(W74),1,IF(Bevetel!T74&lt;&gt;0,C73+1,C73))</f>
        <v>69</v>
      </c>
      <c r="D74" s="102" t="str">
        <f>Bevetel!D74</f>
        <v/>
      </c>
      <c r="E74" s="42">
        <f>Bevetel!E74</f>
        <v>0</v>
      </c>
      <c r="F74" s="38" t="str">
        <f>IF(Bevetel!F74&lt;&gt;0,Bevetel!F74,"")</f>
        <v/>
      </c>
      <c r="G74" s="38" t="str">
        <f>IF(Bevetel!G74&lt;&gt;0,Bevetel!G74,"")</f>
        <v/>
      </c>
      <c r="H74" s="38" t="str">
        <f>IF(Bevetel!H74&lt;&gt;0,Bevetel!H74,"")</f>
        <v/>
      </c>
      <c r="I74" s="38">
        <f>Bevetel!I74</f>
        <v>0</v>
      </c>
      <c r="J74" s="105" t="str">
        <f>Bevetel!J74</f>
        <v/>
      </c>
      <c r="K74" s="106" t="str">
        <f>Bevetel!K74</f>
        <v/>
      </c>
      <c r="L74" s="106" t="str">
        <f>Bevetel!L74</f>
        <v/>
      </c>
      <c r="M74" s="107"/>
      <c r="Q74" s="1">
        <f>VLOOKUP(G74,Keszlet!$C$5:$E$205,3,FALSE)</f>
        <v>0</v>
      </c>
      <c r="T74" s="1" t="str">
        <f t="shared" si="8"/>
        <v>0</v>
      </c>
      <c r="U74" s="1">
        <f t="shared" si="9"/>
        <v>0</v>
      </c>
      <c r="W74" s="6">
        <f t="shared" si="10"/>
        <v>0</v>
      </c>
      <c r="X74" s="6">
        <f t="shared" si="7"/>
        <v>55153</v>
      </c>
      <c r="Y74" s="1">
        <f t="shared" si="11"/>
        <v>996</v>
      </c>
      <c r="Z74" s="1">
        <f>IF(COUNTIF($Y$6:Y74,Y74)=1,Y74,Y74+COUNTIF($Y$5:Y73,Y74))</f>
        <v>1064</v>
      </c>
      <c r="AD74" s="1" t="str">
        <f t="shared" si="12"/>
        <v/>
      </c>
      <c r="BA74" s="1">
        <f>IF(W74&lt;=Leltar_iv!$Y$1,I74,0)</f>
        <v>0</v>
      </c>
    </row>
    <row r="75" spans="1:53" s="1" customFormat="1" hidden="1" x14ac:dyDescent="0.25">
      <c r="A75" s="18">
        <f>IF(COUNTIF($Y$6:Y75,Y75)=1,Y75,Y75+COUNTIF($Y$5:Y74,Y75))</f>
        <v>1065</v>
      </c>
      <c r="B75" s="1">
        <f>IF(AND(Kisero_iv!$N$2=C75,Kisero_iv!$K$5=$B$2,SUM(I75:L79)&lt;&gt;0,$B$4=YEAR(W75)),B74+1,0)</f>
        <v>0</v>
      </c>
      <c r="C75" s="1">
        <f>IF(YEAR(W74)&lt;&gt;YEAR(W75),1,IF(Bevetel!T75&lt;&gt;0,C74+1,C74))</f>
        <v>70</v>
      </c>
      <c r="D75" s="102" t="str">
        <f>Bevetel!D75</f>
        <v/>
      </c>
      <c r="E75" s="42">
        <f>Bevetel!E75</f>
        <v>0</v>
      </c>
      <c r="F75" s="38" t="str">
        <f>IF(Bevetel!F75&lt;&gt;0,Bevetel!F75,"")</f>
        <v/>
      </c>
      <c r="G75" s="38" t="str">
        <f>IF(Bevetel!G75&lt;&gt;0,Bevetel!G75,"")</f>
        <v/>
      </c>
      <c r="H75" s="38" t="str">
        <f>IF(Bevetel!H75&lt;&gt;0,Bevetel!H75,"")</f>
        <v/>
      </c>
      <c r="I75" s="38">
        <f>Bevetel!I75</f>
        <v>0</v>
      </c>
      <c r="J75" s="105" t="str">
        <f>Bevetel!J75</f>
        <v/>
      </c>
      <c r="K75" s="106" t="str">
        <f>Bevetel!K75</f>
        <v/>
      </c>
      <c r="L75" s="106" t="str">
        <f>Bevetel!L75</f>
        <v/>
      </c>
      <c r="M75" s="107"/>
      <c r="Q75" s="1">
        <f>VLOOKUP(G75,Keszlet!$C$5:$E$205,3,FALSE)</f>
        <v>0</v>
      </c>
      <c r="T75" s="1" t="str">
        <f t="shared" si="8"/>
        <v>0</v>
      </c>
      <c r="U75" s="1">
        <f t="shared" si="9"/>
        <v>0</v>
      </c>
      <c r="W75" s="6">
        <f t="shared" si="10"/>
        <v>0</v>
      </c>
      <c r="X75" s="6">
        <f t="shared" si="7"/>
        <v>55153</v>
      </c>
      <c r="Y75" s="1">
        <f t="shared" si="11"/>
        <v>996</v>
      </c>
      <c r="Z75" s="1">
        <f>IF(COUNTIF($Y$6:Y75,Y75)=1,Y75,Y75+COUNTIF($Y$5:Y74,Y75))</f>
        <v>1065</v>
      </c>
      <c r="AD75" s="1" t="str">
        <f t="shared" si="12"/>
        <v/>
      </c>
      <c r="BA75" s="1">
        <f>IF(W75&lt;=Leltar_iv!$Y$1,I75,0)</f>
        <v>0</v>
      </c>
    </row>
    <row r="76" spans="1:53" s="1" customFormat="1" hidden="1" x14ac:dyDescent="0.25">
      <c r="A76" s="18">
        <f>IF(COUNTIF($Y$6:Y76,Y76)=1,Y76,Y76+COUNTIF($Y$5:Y75,Y76))</f>
        <v>1066</v>
      </c>
      <c r="B76" s="1">
        <f>IF(AND(Kisero_iv!$N$2=C76,Kisero_iv!$K$5=$B$2,SUM(I76:L80)&lt;&gt;0,$B$4=YEAR(W76)),B75+1,0)</f>
        <v>0</v>
      </c>
      <c r="C76" s="1">
        <f>IF(YEAR(W75)&lt;&gt;YEAR(W76),1,IF(Bevetel!T76&lt;&gt;0,C75+1,C75))</f>
        <v>71</v>
      </c>
      <c r="D76" s="102" t="str">
        <f>Bevetel!D76</f>
        <v/>
      </c>
      <c r="E76" s="42">
        <f>Bevetel!E76</f>
        <v>0</v>
      </c>
      <c r="F76" s="38" t="str">
        <f>IF(Bevetel!F76&lt;&gt;0,Bevetel!F76,"")</f>
        <v/>
      </c>
      <c r="G76" s="38" t="str">
        <f>IF(Bevetel!G76&lt;&gt;0,Bevetel!G76,"")</f>
        <v/>
      </c>
      <c r="H76" s="38" t="str">
        <f>IF(Bevetel!H76&lt;&gt;0,Bevetel!H76,"")</f>
        <v/>
      </c>
      <c r="I76" s="38">
        <f>Bevetel!I76</f>
        <v>0</v>
      </c>
      <c r="J76" s="105" t="str">
        <f>Bevetel!J76</f>
        <v/>
      </c>
      <c r="K76" s="106" t="str">
        <f>Bevetel!K76</f>
        <v/>
      </c>
      <c r="L76" s="106" t="str">
        <f>Bevetel!L76</f>
        <v/>
      </c>
      <c r="M76" s="107"/>
      <c r="Q76" s="1">
        <f>VLOOKUP(G76,Keszlet!$C$5:$E$205,3,FALSE)</f>
        <v>0</v>
      </c>
      <c r="T76" s="1" t="str">
        <f t="shared" si="8"/>
        <v>0</v>
      </c>
      <c r="U76" s="1">
        <f t="shared" si="9"/>
        <v>0</v>
      </c>
      <c r="W76" s="6">
        <f t="shared" si="10"/>
        <v>0</v>
      </c>
      <c r="X76" s="6">
        <f t="shared" si="7"/>
        <v>55153</v>
      </c>
      <c r="Y76" s="1">
        <f t="shared" si="11"/>
        <v>996</v>
      </c>
      <c r="Z76" s="1">
        <f>IF(COUNTIF($Y$6:Y76,Y76)=1,Y76,Y76+COUNTIF($Y$5:Y75,Y76))</f>
        <v>1066</v>
      </c>
      <c r="AD76" s="1" t="str">
        <f t="shared" si="12"/>
        <v/>
      </c>
      <c r="BA76" s="1">
        <f>IF(W76&lt;=Leltar_iv!$Y$1,I76,0)</f>
        <v>0</v>
      </c>
    </row>
    <row r="77" spans="1:53" s="1" customFormat="1" hidden="1" x14ac:dyDescent="0.25">
      <c r="A77" s="18">
        <f>IF(COUNTIF($Y$6:Y77,Y77)=1,Y77,Y77+COUNTIF($Y$5:Y76,Y77))</f>
        <v>1067</v>
      </c>
      <c r="B77" s="1">
        <f>IF(AND(Kisero_iv!$N$2=C77,Kisero_iv!$K$5=$B$2,SUM(I77:L81)&lt;&gt;0,$B$4=YEAR(W77)),B76+1,0)</f>
        <v>0</v>
      </c>
      <c r="C77" s="1">
        <f>IF(YEAR(W76)&lt;&gt;YEAR(W77),1,IF(Bevetel!T77&lt;&gt;0,C76+1,C76))</f>
        <v>72</v>
      </c>
      <c r="D77" s="102" t="str">
        <f>Bevetel!D77</f>
        <v/>
      </c>
      <c r="E77" s="42">
        <f>Bevetel!E77</f>
        <v>0</v>
      </c>
      <c r="F77" s="38" t="str">
        <f>IF(Bevetel!F77&lt;&gt;0,Bevetel!F77,"")</f>
        <v/>
      </c>
      <c r="G77" s="38" t="str">
        <f>IF(Bevetel!G77&lt;&gt;0,Bevetel!G77,"")</f>
        <v/>
      </c>
      <c r="H77" s="38" t="str">
        <f>IF(Bevetel!H77&lt;&gt;0,Bevetel!H77,"")</f>
        <v/>
      </c>
      <c r="I77" s="38">
        <f>Bevetel!I77</f>
        <v>0</v>
      </c>
      <c r="J77" s="105" t="str">
        <f>Bevetel!J77</f>
        <v/>
      </c>
      <c r="K77" s="106" t="str">
        <f>Bevetel!K77</f>
        <v/>
      </c>
      <c r="L77" s="106" t="str">
        <f>Bevetel!L77</f>
        <v/>
      </c>
      <c r="M77" s="107"/>
      <c r="Q77" s="1">
        <f>VLOOKUP(G77,Keszlet!$C$5:$E$205,3,FALSE)</f>
        <v>0</v>
      </c>
      <c r="T77" s="1" t="str">
        <f t="shared" si="8"/>
        <v>0</v>
      </c>
      <c r="U77" s="1">
        <f t="shared" si="9"/>
        <v>0</v>
      </c>
      <c r="W77" s="6">
        <f t="shared" si="10"/>
        <v>0</v>
      </c>
      <c r="X77" s="6">
        <f t="shared" si="7"/>
        <v>55153</v>
      </c>
      <c r="Y77" s="1">
        <f t="shared" si="11"/>
        <v>996</v>
      </c>
      <c r="Z77" s="1">
        <f>IF(COUNTIF($Y$6:Y77,Y77)=1,Y77,Y77+COUNTIF($Y$5:Y76,Y77))</f>
        <v>1067</v>
      </c>
      <c r="AD77" s="1" t="str">
        <f t="shared" si="12"/>
        <v/>
      </c>
      <c r="BA77" s="1">
        <f>IF(W77&lt;=Leltar_iv!$Y$1,I77,0)</f>
        <v>0</v>
      </c>
    </row>
    <row r="78" spans="1:53" s="1" customFormat="1" hidden="1" x14ac:dyDescent="0.25">
      <c r="A78" s="18">
        <f>IF(COUNTIF($Y$6:Y78,Y78)=1,Y78,Y78+COUNTIF($Y$5:Y77,Y78))</f>
        <v>1068</v>
      </c>
      <c r="B78" s="1">
        <f>IF(AND(Kisero_iv!$N$2=C78,Kisero_iv!$K$5=$B$2,SUM(I78:L82)&lt;&gt;0,$B$4=YEAR(W78)),B77+1,0)</f>
        <v>0</v>
      </c>
      <c r="C78" s="1">
        <f>IF(YEAR(W77)&lt;&gt;YEAR(W78),1,IF(Bevetel!T78&lt;&gt;0,C77+1,C77))</f>
        <v>73</v>
      </c>
      <c r="D78" s="102" t="str">
        <f>Bevetel!D78</f>
        <v/>
      </c>
      <c r="E78" s="42">
        <f>Bevetel!E78</f>
        <v>0</v>
      </c>
      <c r="F78" s="38" t="str">
        <f>IF(Bevetel!F78&lt;&gt;0,Bevetel!F78,"")</f>
        <v/>
      </c>
      <c r="G78" s="38" t="str">
        <f>IF(Bevetel!G78&lt;&gt;0,Bevetel!G78,"")</f>
        <v/>
      </c>
      <c r="H78" s="38" t="str">
        <f>IF(Bevetel!H78&lt;&gt;0,Bevetel!H78,"")</f>
        <v/>
      </c>
      <c r="I78" s="38">
        <f>Bevetel!I78</f>
        <v>0</v>
      </c>
      <c r="J78" s="105" t="str">
        <f>Bevetel!J78</f>
        <v/>
      </c>
      <c r="K78" s="106" t="str">
        <f>Bevetel!K78</f>
        <v/>
      </c>
      <c r="L78" s="106" t="str">
        <f>Bevetel!L78</f>
        <v/>
      </c>
      <c r="M78" s="107"/>
      <c r="Q78" s="1">
        <f>VLOOKUP(G78,Keszlet!$C$5:$E$205,3,FALSE)</f>
        <v>0</v>
      </c>
      <c r="T78" s="1" t="str">
        <f t="shared" si="8"/>
        <v>0</v>
      </c>
      <c r="U78" s="1">
        <f t="shared" si="9"/>
        <v>0</v>
      </c>
      <c r="W78" s="6">
        <f t="shared" si="10"/>
        <v>0</v>
      </c>
      <c r="X78" s="6">
        <f t="shared" si="7"/>
        <v>55153</v>
      </c>
      <c r="Y78" s="1">
        <f t="shared" si="11"/>
        <v>996</v>
      </c>
      <c r="Z78" s="1">
        <f>IF(COUNTIF($Y$6:Y78,Y78)=1,Y78,Y78+COUNTIF($Y$5:Y77,Y78))</f>
        <v>1068</v>
      </c>
      <c r="AD78" s="1" t="str">
        <f t="shared" si="12"/>
        <v/>
      </c>
      <c r="BA78" s="1">
        <f>IF(W78&lt;=Leltar_iv!$Y$1,I78,0)</f>
        <v>0</v>
      </c>
    </row>
    <row r="79" spans="1:53" s="1" customFormat="1" hidden="1" x14ac:dyDescent="0.25">
      <c r="A79" s="18">
        <f>IF(COUNTIF($Y$6:Y79,Y79)=1,Y79,Y79+COUNTIF($Y$5:Y78,Y79))</f>
        <v>1069</v>
      </c>
      <c r="B79" s="1">
        <f>IF(AND(Kisero_iv!$N$2=C79,Kisero_iv!$K$5=$B$2,SUM(I79:L83)&lt;&gt;0,$B$4=YEAR(W79)),B78+1,0)</f>
        <v>0</v>
      </c>
      <c r="C79" s="1">
        <f>IF(YEAR(W78)&lt;&gt;YEAR(W79),1,IF(Bevetel!T79&lt;&gt;0,C78+1,C78))</f>
        <v>74</v>
      </c>
      <c r="D79" s="102" t="str">
        <f>Bevetel!D79</f>
        <v/>
      </c>
      <c r="E79" s="42">
        <f>Bevetel!E79</f>
        <v>0</v>
      </c>
      <c r="F79" s="38" t="str">
        <f>IF(Bevetel!F79&lt;&gt;0,Bevetel!F79,"")</f>
        <v/>
      </c>
      <c r="G79" s="38" t="str">
        <f>IF(Bevetel!G79&lt;&gt;0,Bevetel!G79,"")</f>
        <v/>
      </c>
      <c r="H79" s="38" t="str">
        <f>IF(Bevetel!H79&lt;&gt;0,Bevetel!H79,"")</f>
        <v/>
      </c>
      <c r="I79" s="38">
        <f>Bevetel!I79</f>
        <v>0</v>
      </c>
      <c r="J79" s="105" t="str">
        <f>Bevetel!J79</f>
        <v/>
      </c>
      <c r="K79" s="106" t="str">
        <f>Bevetel!K79</f>
        <v/>
      </c>
      <c r="L79" s="106" t="str">
        <f>Bevetel!L79</f>
        <v/>
      </c>
      <c r="M79" s="107"/>
      <c r="Q79" s="1">
        <f>VLOOKUP(G79,Keszlet!$C$5:$E$205,3,FALSE)</f>
        <v>0</v>
      </c>
      <c r="T79" s="1" t="str">
        <f t="shared" si="8"/>
        <v>0</v>
      </c>
      <c r="U79" s="1">
        <f t="shared" si="9"/>
        <v>0</v>
      </c>
      <c r="W79" s="6">
        <f t="shared" si="10"/>
        <v>0</v>
      </c>
      <c r="X79" s="6">
        <f t="shared" si="7"/>
        <v>55153</v>
      </c>
      <c r="Y79" s="1">
        <f t="shared" si="11"/>
        <v>996</v>
      </c>
      <c r="Z79" s="1">
        <f>IF(COUNTIF($Y$6:Y79,Y79)=1,Y79,Y79+COUNTIF($Y$5:Y78,Y79))</f>
        <v>1069</v>
      </c>
      <c r="AD79" s="1" t="str">
        <f t="shared" si="12"/>
        <v/>
      </c>
      <c r="BA79" s="1">
        <f>IF(W79&lt;=Leltar_iv!$Y$1,I79,0)</f>
        <v>0</v>
      </c>
    </row>
    <row r="80" spans="1:53" s="1" customFormat="1" hidden="1" x14ac:dyDescent="0.25">
      <c r="A80" s="18">
        <f>IF(COUNTIF($Y$6:Y80,Y80)=1,Y80,Y80+COUNTIF($Y$5:Y79,Y80))</f>
        <v>1070</v>
      </c>
      <c r="B80" s="1">
        <f>IF(AND(Kisero_iv!$N$2=C80,Kisero_iv!$K$5=$B$2,SUM(I80:L84)&lt;&gt;0,$B$4=YEAR(W80)),B79+1,0)</f>
        <v>0</v>
      </c>
      <c r="C80" s="1">
        <f>IF(YEAR(W79)&lt;&gt;YEAR(W80),1,IF(Bevetel!T80&lt;&gt;0,C79+1,C79))</f>
        <v>75</v>
      </c>
      <c r="D80" s="102" t="str">
        <f>Bevetel!D80</f>
        <v/>
      </c>
      <c r="E80" s="42">
        <f>Bevetel!E80</f>
        <v>0</v>
      </c>
      <c r="F80" s="38" t="str">
        <f>IF(Bevetel!F80&lt;&gt;0,Bevetel!F80,"")</f>
        <v/>
      </c>
      <c r="G80" s="38" t="str">
        <f>IF(Bevetel!G80&lt;&gt;0,Bevetel!G80,"")</f>
        <v/>
      </c>
      <c r="H80" s="38" t="str">
        <f>IF(Bevetel!H80&lt;&gt;0,Bevetel!H80,"")</f>
        <v/>
      </c>
      <c r="I80" s="38">
        <f>Bevetel!I80</f>
        <v>0</v>
      </c>
      <c r="J80" s="105" t="str">
        <f>Bevetel!J80</f>
        <v/>
      </c>
      <c r="K80" s="106" t="str">
        <f>Bevetel!K80</f>
        <v/>
      </c>
      <c r="L80" s="106" t="str">
        <f>Bevetel!L80</f>
        <v/>
      </c>
      <c r="M80" s="107"/>
      <c r="Q80" s="1">
        <f>VLOOKUP(G80,Keszlet!$C$5:$E$205,3,FALSE)</f>
        <v>0</v>
      </c>
      <c r="T80" s="1" t="str">
        <f t="shared" si="8"/>
        <v>0</v>
      </c>
      <c r="U80" s="1">
        <f t="shared" si="9"/>
        <v>0</v>
      </c>
      <c r="W80" s="6">
        <f t="shared" si="10"/>
        <v>0</v>
      </c>
      <c r="X80" s="6">
        <f t="shared" si="7"/>
        <v>55153</v>
      </c>
      <c r="Y80" s="1">
        <f t="shared" si="11"/>
        <v>996</v>
      </c>
      <c r="Z80" s="1">
        <f>IF(COUNTIF($Y$6:Y80,Y80)=1,Y80,Y80+COUNTIF($Y$5:Y79,Y80))</f>
        <v>1070</v>
      </c>
      <c r="AD80" s="1" t="str">
        <f t="shared" si="12"/>
        <v/>
      </c>
      <c r="BA80" s="1">
        <f>IF(W80&lt;=Leltar_iv!$Y$1,I80,0)</f>
        <v>0</v>
      </c>
    </row>
    <row r="81" spans="1:53" s="1" customFormat="1" hidden="1" x14ac:dyDescent="0.25">
      <c r="A81" s="18">
        <f>IF(COUNTIF($Y$6:Y81,Y81)=1,Y81,Y81+COUNTIF($Y$5:Y80,Y81))</f>
        <v>1071</v>
      </c>
      <c r="B81" s="1">
        <f>IF(AND(Kisero_iv!$N$2=C81,Kisero_iv!$K$5=$B$2,SUM(I81:L85)&lt;&gt;0,$B$4=YEAR(W81)),B80+1,0)</f>
        <v>0</v>
      </c>
      <c r="C81" s="1">
        <f>IF(YEAR(W80)&lt;&gt;YEAR(W81),1,IF(Bevetel!T81&lt;&gt;0,C80+1,C80))</f>
        <v>76</v>
      </c>
      <c r="D81" s="102" t="str">
        <f>Bevetel!D81</f>
        <v/>
      </c>
      <c r="E81" s="42">
        <f>Bevetel!E81</f>
        <v>0</v>
      </c>
      <c r="F81" s="38" t="str">
        <f>IF(Bevetel!F81&lt;&gt;0,Bevetel!F81,"")</f>
        <v/>
      </c>
      <c r="G81" s="38" t="str">
        <f>IF(Bevetel!G81&lt;&gt;0,Bevetel!G81,"")</f>
        <v/>
      </c>
      <c r="H81" s="38" t="str">
        <f>IF(Bevetel!H81&lt;&gt;0,Bevetel!H81,"")</f>
        <v/>
      </c>
      <c r="I81" s="38">
        <f>Bevetel!I81</f>
        <v>0</v>
      </c>
      <c r="J81" s="105" t="str">
        <f>Bevetel!J81</f>
        <v/>
      </c>
      <c r="K81" s="106" t="str">
        <f>Bevetel!K81</f>
        <v/>
      </c>
      <c r="L81" s="106" t="str">
        <f>Bevetel!L81</f>
        <v/>
      </c>
      <c r="M81" s="107"/>
      <c r="Q81" s="1">
        <f>VLOOKUP(G81,Keszlet!$C$5:$E$205,3,FALSE)</f>
        <v>0</v>
      </c>
      <c r="T81" s="1" t="str">
        <f t="shared" si="8"/>
        <v>0</v>
      </c>
      <c r="U81" s="1">
        <f t="shared" si="9"/>
        <v>0</v>
      </c>
      <c r="W81" s="6">
        <f t="shared" si="10"/>
        <v>0</v>
      </c>
      <c r="X81" s="6">
        <f t="shared" si="7"/>
        <v>55153</v>
      </c>
      <c r="Y81" s="1">
        <f t="shared" si="11"/>
        <v>996</v>
      </c>
      <c r="Z81" s="1">
        <f>IF(COUNTIF($Y$6:Y81,Y81)=1,Y81,Y81+COUNTIF($Y$5:Y80,Y81))</f>
        <v>1071</v>
      </c>
      <c r="AD81" s="1" t="str">
        <f t="shared" si="12"/>
        <v/>
      </c>
      <c r="BA81" s="1">
        <f>IF(W81&lt;=Leltar_iv!$Y$1,I81,0)</f>
        <v>0</v>
      </c>
    </row>
    <row r="82" spans="1:53" s="1" customFormat="1" hidden="1" x14ac:dyDescent="0.25">
      <c r="A82" s="18">
        <f>IF(COUNTIF($Y$6:Y82,Y82)=1,Y82,Y82+COUNTIF($Y$5:Y81,Y82))</f>
        <v>1072</v>
      </c>
      <c r="B82" s="1">
        <f>IF(AND(Kisero_iv!$N$2=C82,Kisero_iv!$K$5=$B$2,SUM(I82:L86)&lt;&gt;0,$B$4=YEAR(W82)),B81+1,0)</f>
        <v>0</v>
      </c>
      <c r="C82" s="1">
        <f>IF(YEAR(W81)&lt;&gt;YEAR(W82),1,IF(Bevetel!T82&lt;&gt;0,C81+1,C81))</f>
        <v>77</v>
      </c>
      <c r="D82" s="102" t="str">
        <f>Bevetel!D82</f>
        <v/>
      </c>
      <c r="E82" s="42">
        <f>Bevetel!E82</f>
        <v>0</v>
      </c>
      <c r="F82" s="38" t="str">
        <f>IF(Bevetel!F82&lt;&gt;0,Bevetel!F82,"")</f>
        <v/>
      </c>
      <c r="G82" s="38" t="str">
        <f>IF(Bevetel!G82&lt;&gt;0,Bevetel!G82,"")</f>
        <v/>
      </c>
      <c r="H82" s="38" t="str">
        <f>IF(Bevetel!H82&lt;&gt;0,Bevetel!H82,"")</f>
        <v/>
      </c>
      <c r="I82" s="38">
        <f>Bevetel!I82</f>
        <v>0</v>
      </c>
      <c r="J82" s="105" t="str">
        <f>Bevetel!J82</f>
        <v/>
      </c>
      <c r="K82" s="106" t="str">
        <f>Bevetel!K82</f>
        <v/>
      </c>
      <c r="L82" s="106" t="str">
        <f>Bevetel!L82</f>
        <v/>
      </c>
      <c r="M82" s="107"/>
      <c r="Q82" s="1">
        <f>VLOOKUP(G82,Keszlet!$C$5:$E$205,3,FALSE)</f>
        <v>0</v>
      </c>
      <c r="T82" s="1" t="str">
        <f t="shared" si="8"/>
        <v>0</v>
      </c>
      <c r="U82" s="1">
        <f t="shared" si="9"/>
        <v>0</v>
      </c>
      <c r="W82" s="6">
        <f t="shared" si="10"/>
        <v>0</v>
      </c>
      <c r="X82" s="6">
        <f t="shared" si="7"/>
        <v>55153</v>
      </c>
      <c r="Y82" s="1">
        <f t="shared" si="11"/>
        <v>996</v>
      </c>
      <c r="Z82" s="1">
        <f>IF(COUNTIF($Y$6:Y82,Y82)=1,Y82,Y82+COUNTIF($Y$5:Y81,Y82))</f>
        <v>1072</v>
      </c>
      <c r="AD82" s="1" t="str">
        <f t="shared" si="12"/>
        <v/>
      </c>
      <c r="BA82" s="1">
        <f>IF(W82&lt;=Leltar_iv!$Y$1,I82,0)</f>
        <v>0</v>
      </c>
    </row>
    <row r="83" spans="1:53" s="1" customFormat="1" hidden="1" x14ac:dyDescent="0.25">
      <c r="A83" s="18">
        <f>IF(COUNTIF($Y$6:Y83,Y83)=1,Y83,Y83+COUNTIF($Y$5:Y82,Y83))</f>
        <v>1073</v>
      </c>
      <c r="B83" s="1">
        <f>IF(AND(Kisero_iv!$N$2=C83,Kisero_iv!$K$5=$B$2,SUM(I83:L87)&lt;&gt;0,$B$4=YEAR(W83)),B82+1,0)</f>
        <v>0</v>
      </c>
      <c r="C83" s="1">
        <f>IF(YEAR(W82)&lt;&gt;YEAR(W83),1,IF(Bevetel!T83&lt;&gt;0,C82+1,C82))</f>
        <v>78</v>
      </c>
      <c r="D83" s="102" t="str">
        <f>Bevetel!D83</f>
        <v/>
      </c>
      <c r="E83" s="42">
        <f>Bevetel!E83</f>
        <v>0</v>
      </c>
      <c r="F83" s="38" t="str">
        <f>IF(Bevetel!F83&lt;&gt;0,Bevetel!F83,"")</f>
        <v/>
      </c>
      <c r="G83" s="38" t="str">
        <f>IF(Bevetel!G83&lt;&gt;0,Bevetel!G83,"")</f>
        <v/>
      </c>
      <c r="H83" s="38" t="str">
        <f>IF(Bevetel!H83&lt;&gt;0,Bevetel!H83,"")</f>
        <v/>
      </c>
      <c r="I83" s="38">
        <f>Bevetel!I83</f>
        <v>0</v>
      </c>
      <c r="J83" s="105" t="str">
        <f>Bevetel!J83</f>
        <v/>
      </c>
      <c r="K83" s="106" t="str">
        <f>Bevetel!K83</f>
        <v/>
      </c>
      <c r="L83" s="106" t="str">
        <f>Bevetel!L83</f>
        <v/>
      </c>
      <c r="M83" s="107"/>
      <c r="Q83" s="1">
        <f>VLOOKUP(G83,Keszlet!$C$5:$E$205,3,FALSE)</f>
        <v>0</v>
      </c>
      <c r="T83" s="1" t="str">
        <f t="shared" si="8"/>
        <v>0</v>
      </c>
      <c r="U83" s="1">
        <f t="shared" si="9"/>
        <v>0</v>
      </c>
      <c r="W83" s="6">
        <f t="shared" si="10"/>
        <v>0</v>
      </c>
      <c r="X83" s="6">
        <f t="shared" si="7"/>
        <v>55153</v>
      </c>
      <c r="Y83" s="1">
        <f t="shared" si="11"/>
        <v>996</v>
      </c>
      <c r="Z83" s="1">
        <f>IF(COUNTIF($Y$6:Y83,Y83)=1,Y83,Y83+COUNTIF($Y$5:Y82,Y83))</f>
        <v>1073</v>
      </c>
      <c r="AD83" s="1" t="str">
        <f t="shared" si="12"/>
        <v/>
      </c>
      <c r="BA83" s="1">
        <f>IF(W83&lt;=Leltar_iv!$Y$1,I83,0)</f>
        <v>0</v>
      </c>
    </row>
    <row r="84" spans="1:53" s="1" customFormat="1" hidden="1" x14ac:dyDescent="0.25">
      <c r="A84" s="18">
        <f>IF(COUNTIF($Y$6:Y84,Y84)=1,Y84,Y84+COUNTIF($Y$5:Y83,Y84))</f>
        <v>1074</v>
      </c>
      <c r="B84" s="1">
        <f>IF(AND(Kisero_iv!$N$2=C84,Kisero_iv!$K$5=$B$2,SUM(I84:L88)&lt;&gt;0,$B$4=YEAR(W84)),B83+1,0)</f>
        <v>0</v>
      </c>
      <c r="C84" s="1">
        <f>IF(YEAR(W83)&lt;&gt;YEAR(W84),1,IF(Bevetel!T84&lt;&gt;0,C83+1,C83))</f>
        <v>79</v>
      </c>
      <c r="D84" s="102" t="str">
        <f>Bevetel!D84</f>
        <v/>
      </c>
      <c r="E84" s="42">
        <f>Bevetel!E84</f>
        <v>0</v>
      </c>
      <c r="F84" s="38" t="str">
        <f>IF(Bevetel!F84&lt;&gt;0,Bevetel!F84,"")</f>
        <v/>
      </c>
      <c r="G84" s="38" t="str">
        <f>IF(Bevetel!G84&lt;&gt;0,Bevetel!G84,"")</f>
        <v/>
      </c>
      <c r="H84" s="38" t="str">
        <f>IF(Bevetel!H84&lt;&gt;0,Bevetel!H84,"")</f>
        <v/>
      </c>
      <c r="I84" s="38">
        <f>Bevetel!I84</f>
        <v>0</v>
      </c>
      <c r="J84" s="105" t="str">
        <f>Bevetel!J84</f>
        <v/>
      </c>
      <c r="K84" s="106" t="str">
        <f>Bevetel!K84</f>
        <v/>
      </c>
      <c r="L84" s="106" t="str">
        <f>Bevetel!L84</f>
        <v/>
      </c>
      <c r="M84" s="107"/>
      <c r="Q84" s="1">
        <f>VLOOKUP(G84,Keszlet!$C$5:$E$205,3,FALSE)</f>
        <v>0</v>
      </c>
      <c r="T84" s="1" t="str">
        <f t="shared" si="8"/>
        <v>0</v>
      </c>
      <c r="U84" s="1">
        <f t="shared" si="9"/>
        <v>0</v>
      </c>
      <c r="W84" s="6">
        <f t="shared" si="10"/>
        <v>0</v>
      </c>
      <c r="X84" s="6">
        <f t="shared" si="7"/>
        <v>55153</v>
      </c>
      <c r="Y84" s="1">
        <f t="shared" si="11"/>
        <v>996</v>
      </c>
      <c r="Z84" s="1">
        <f>IF(COUNTIF($Y$6:Y84,Y84)=1,Y84,Y84+COUNTIF($Y$5:Y83,Y84))</f>
        <v>1074</v>
      </c>
      <c r="AD84" s="1" t="str">
        <f t="shared" si="12"/>
        <v/>
      </c>
      <c r="BA84" s="1">
        <f>IF(W84&lt;=Leltar_iv!$Y$1,I84,0)</f>
        <v>0</v>
      </c>
    </row>
    <row r="85" spans="1:53" s="1" customFormat="1" hidden="1" x14ac:dyDescent="0.25">
      <c r="A85" s="18">
        <f>IF(COUNTIF($Y$6:Y85,Y85)=1,Y85,Y85+COUNTIF($Y$5:Y84,Y85))</f>
        <v>1075</v>
      </c>
      <c r="B85" s="1">
        <f>IF(AND(Kisero_iv!$N$2=C85,Kisero_iv!$K$5=$B$2,SUM(I85:L89)&lt;&gt;0,$B$4=YEAR(W85)),B84+1,0)</f>
        <v>0</v>
      </c>
      <c r="C85" s="1">
        <f>IF(YEAR(W84)&lt;&gt;YEAR(W85),1,IF(Bevetel!T85&lt;&gt;0,C84+1,C84))</f>
        <v>80</v>
      </c>
      <c r="D85" s="102" t="str">
        <f>Bevetel!D85</f>
        <v/>
      </c>
      <c r="E85" s="42">
        <f>Bevetel!E85</f>
        <v>0</v>
      </c>
      <c r="F85" s="38" t="str">
        <f>IF(Bevetel!F85&lt;&gt;0,Bevetel!F85,"")</f>
        <v/>
      </c>
      <c r="G85" s="38" t="str">
        <f>IF(Bevetel!G85&lt;&gt;0,Bevetel!G85,"")</f>
        <v/>
      </c>
      <c r="H85" s="38" t="str">
        <f>IF(Bevetel!H85&lt;&gt;0,Bevetel!H85,"")</f>
        <v/>
      </c>
      <c r="I85" s="38">
        <f>Bevetel!I85</f>
        <v>0</v>
      </c>
      <c r="J85" s="105" t="str">
        <f>Bevetel!J85</f>
        <v/>
      </c>
      <c r="K85" s="106" t="str">
        <f>Bevetel!K85</f>
        <v/>
      </c>
      <c r="L85" s="106" t="str">
        <f>Bevetel!L85</f>
        <v/>
      </c>
      <c r="M85" s="107"/>
      <c r="Q85" s="1">
        <f>VLOOKUP(G85,Keszlet!$C$5:$E$205,3,FALSE)</f>
        <v>0</v>
      </c>
      <c r="T85" s="1" t="str">
        <f t="shared" si="8"/>
        <v>0</v>
      </c>
      <c r="U85" s="1">
        <f t="shared" si="9"/>
        <v>0</v>
      </c>
      <c r="W85" s="6">
        <f t="shared" si="10"/>
        <v>0</v>
      </c>
      <c r="X85" s="6">
        <f t="shared" si="7"/>
        <v>55153</v>
      </c>
      <c r="Y85" s="1">
        <f t="shared" si="11"/>
        <v>996</v>
      </c>
      <c r="Z85" s="1">
        <f>IF(COUNTIF($Y$6:Y85,Y85)=1,Y85,Y85+COUNTIF($Y$5:Y84,Y85))</f>
        <v>1075</v>
      </c>
      <c r="AD85" s="1" t="str">
        <f t="shared" si="12"/>
        <v/>
      </c>
      <c r="BA85" s="1">
        <f>IF(W85&lt;=Leltar_iv!$Y$1,I85,0)</f>
        <v>0</v>
      </c>
    </row>
    <row r="86" spans="1:53" s="1" customFormat="1" hidden="1" x14ac:dyDescent="0.25">
      <c r="A86" s="18">
        <f>IF(COUNTIF($Y$6:Y86,Y86)=1,Y86,Y86+COUNTIF($Y$5:Y85,Y86))</f>
        <v>1076</v>
      </c>
      <c r="B86" s="1">
        <f>IF(AND(Kisero_iv!$N$2=C86,Kisero_iv!$K$5=$B$2,SUM(I86:L90)&lt;&gt;0,$B$4=YEAR(W86)),B85+1,0)</f>
        <v>0</v>
      </c>
      <c r="C86" s="1">
        <f>IF(YEAR(W85)&lt;&gt;YEAR(W86),1,IF(Bevetel!T86&lt;&gt;0,C85+1,C85))</f>
        <v>81</v>
      </c>
      <c r="D86" s="102" t="str">
        <f>Bevetel!D86</f>
        <v/>
      </c>
      <c r="E86" s="42">
        <f>Bevetel!E86</f>
        <v>0</v>
      </c>
      <c r="F86" s="38" t="str">
        <f>IF(Bevetel!F86&lt;&gt;0,Bevetel!F86,"")</f>
        <v/>
      </c>
      <c r="G86" s="38" t="str">
        <f>IF(Bevetel!G86&lt;&gt;0,Bevetel!G86,"")</f>
        <v/>
      </c>
      <c r="H86" s="38" t="str">
        <f>IF(Bevetel!H86&lt;&gt;0,Bevetel!H86,"")</f>
        <v/>
      </c>
      <c r="I86" s="38">
        <f>Bevetel!I86</f>
        <v>0</v>
      </c>
      <c r="J86" s="105" t="str">
        <f>Bevetel!J86</f>
        <v/>
      </c>
      <c r="K86" s="106" t="str">
        <f>Bevetel!K86</f>
        <v/>
      </c>
      <c r="L86" s="106" t="str">
        <f>Bevetel!L86</f>
        <v/>
      </c>
      <c r="M86" s="107"/>
      <c r="Q86" s="1">
        <f>VLOOKUP(G86,Keszlet!$C$5:$E$205,3,FALSE)</f>
        <v>0</v>
      </c>
      <c r="T86" s="1" t="str">
        <f t="shared" si="8"/>
        <v>0</v>
      </c>
      <c r="U86" s="1">
        <f t="shared" si="9"/>
        <v>0</v>
      </c>
      <c r="W86" s="6">
        <f t="shared" si="10"/>
        <v>0</v>
      </c>
      <c r="X86" s="6">
        <f t="shared" si="7"/>
        <v>55153</v>
      </c>
      <c r="Y86" s="1">
        <f t="shared" si="11"/>
        <v>996</v>
      </c>
      <c r="Z86" s="1">
        <f>IF(COUNTIF($Y$6:Y86,Y86)=1,Y86,Y86+COUNTIF($Y$5:Y85,Y86))</f>
        <v>1076</v>
      </c>
      <c r="AD86" s="1" t="str">
        <f t="shared" si="12"/>
        <v/>
      </c>
      <c r="BA86" s="1">
        <f>IF(W86&lt;=Leltar_iv!$Y$1,I86,0)</f>
        <v>0</v>
      </c>
    </row>
    <row r="87" spans="1:53" s="1" customFormat="1" hidden="1" x14ac:dyDescent="0.25">
      <c r="A87" s="18">
        <f>IF(COUNTIF($Y$6:Y87,Y87)=1,Y87,Y87+COUNTIF($Y$5:Y86,Y87))</f>
        <v>1077</v>
      </c>
      <c r="B87" s="1">
        <f>IF(AND(Kisero_iv!$N$2=C87,Kisero_iv!$K$5=$B$2,SUM(I87:L91)&lt;&gt;0,$B$4=YEAR(W87)),B86+1,0)</f>
        <v>0</v>
      </c>
      <c r="C87" s="1">
        <f>IF(YEAR(W86)&lt;&gt;YEAR(W87),1,IF(Bevetel!T87&lt;&gt;0,C86+1,C86))</f>
        <v>82</v>
      </c>
      <c r="D87" s="102" t="str">
        <f>Bevetel!D87</f>
        <v/>
      </c>
      <c r="E87" s="42">
        <f>Bevetel!E87</f>
        <v>0</v>
      </c>
      <c r="F87" s="38" t="str">
        <f>IF(Bevetel!F87&lt;&gt;0,Bevetel!F87,"")</f>
        <v/>
      </c>
      <c r="G87" s="38" t="str">
        <f>IF(Bevetel!G87&lt;&gt;0,Bevetel!G87,"")</f>
        <v/>
      </c>
      <c r="H87" s="38" t="str">
        <f>IF(Bevetel!H87&lt;&gt;0,Bevetel!H87,"")</f>
        <v/>
      </c>
      <c r="I87" s="38">
        <f>Bevetel!I87</f>
        <v>0</v>
      </c>
      <c r="J87" s="105" t="str">
        <f>Bevetel!J87</f>
        <v/>
      </c>
      <c r="K87" s="106" t="str">
        <f>Bevetel!K87</f>
        <v/>
      </c>
      <c r="L87" s="106" t="str">
        <f>Bevetel!L87</f>
        <v/>
      </c>
      <c r="M87" s="107"/>
      <c r="Q87" s="1">
        <f>VLOOKUP(G87,Keszlet!$C$5:$E$205,3,FALSE)</f>
        <v>0</v>
      </c>
      <c r="T87" s="1" t="str">
        <f t="shared" si="8"/>
        <v>0</v>
      </c>
      <c r="U87" s="1">
        <f t="shared" si="9"/>
        <v>0</v>
      </c>
      <c r="W87" s="6">
        <f t="shared" si="10"/>
        <v>0</v>
      </c>
      <c r="X87" s="6">
        <f t="shared" si="7"/>
        <v>55153</v>
      </c>
      <c r="Y87" s="1">
        <f t="shared" si="11"/>
        <v>996</v>
      </c>
      <c r="Z87" s="1">
        <f>IF(COUNTIF($Y$6:Y87,Y87)=1,Y87,Y87+COUNTIF($Y$5:Y86,Y87))</f>
        <v>1077</v>
      </c>
      <c r="AD87" s="1" t="str">
        <f t="shared" si="12"/>
        <v/>
      </c>
      <c r="BA87" s="1">
        <f>IF(W87&lt;=Leltar_iv!$Y$1,I87,0)</f>
        <v>0</v>
      </c>
    </row>
    <row r="88" spans="1:53" s="1" customFormat="1" hidden="1" x14ac:dyDescent="0.25">
      <c r="A88" s="18">
        <f>IF(COUNTIF($Y$6:Y88,Y88)=1,Y88,Y88+COUNTIF($Y$5:Y87,Y88))</f>
        <v>1078</v>
      </c>
      <c r="B88" s="1">
        <f>IF(AND(Kisero_iv!$N$2=C88,Kisero_iv!$K$5=$B$2,SUM(I88:L92)&lt;&gt;0,$B$4=YEAR(W88)),B87+1,0)</f>
        <v>0</v>
      </c>
      <c r="C88" s="1">
        <f>IF(YEAR(W87)&lt;&gt;YEAR(W88),1,IF(Bevetel!T88&lt;&gt;0,C87+1,C87))</f>
        <v>83</v>
      </c>
      <c r="D88" s="102" t="str">
        <f>Bevetel!D88</f>
        <v/>
      </c>
      <c r="E88" s="42">
        <f>Bevetel!E88</f>
        <v>0</v>
      </c>
      <c r="F88" s="38" t="str">
        <f>IF(Bevetel!F88&lt;&gt;0,Bevetel!F88,"")</f>
        <v/>
      </c>
      <c r="G88" s="38" t="str">
        <f>IF(Bevetel!G88&lt;&gt;0,Bevetel!G88,"")</f>
        <v/>
      </c>
      <c r="H88" s="38" t="str">
        <f>IF(Bevetel!H88&lt;&gt;0,Bevetel!H88,"")</f>
        <v/>
      </c>
      <c r="I88" s="38">
        <f>Bevetel!I88</f>
        <v>0</v>
      </c>
      <c r="J88" s="105" t="str">
        <f>Bevetel!J88</f>
        <v/>
      </c>
      <c r="K88" s="106" t="str">
        <f>Bevetel!K88</f>
        <v/>
      </c>
      <c r="L88" s="106" t="str">
        <f>Bevetel!L88</f>
        <v/>
      </c>
      <c r="M88" s="107"/>
      <c r="Q88" s="1">
        <f>VLOOKUP(G88,Keszlet!$C$5:$E$205,3,FALSE)</f>
        <v>0</v>
      </c>
      <c r="T88" s="1" t="str">
        <f t="shared" si="8"/>
        <v>0</v>
      </c>
      <c r="U88" s="1">
        <f t="shared" si="9"/>
        <v>0</v>
      </c>
      <c r="W88" s="6">
        <f t="shared" si="10"/>
        <v>0</v>
      </c>
      <c r="X88" s="6">
        <f t="shared" si="7"/>
        <v>55153</v>
      </c>
      <c r="Y88" s="1">
        <f t="shared" si="11"/>
        <v>996</v>
      </c>
      <c r="Z88" s="1">
        <f>IF(COUNTIF($Y$6:Y88,Y88)=1,Y88,Y88+COUNTIF($Y$5:Y87,Y88))</f>
        <v>1078</v>
      </c>
      <c r="AD88" s="1" t="str">
        <f t="shared" si="12"/>
        <v/>
      </c>
      <c r="BA88" s="1">
        <f>IF(W88&lt;=Leltar_iv!$Y$1,I88,0)</f>
        <v>0</v>
      </c>
    </row>
    <row r="89" spans="1:53" s="1" customFormat="1" hidden="1" x14ac:dyDescent="0.25">
      <c r="A89" s="18">
        <f>IF(COUNTIF($Y$6:Y89,Y89)=1,Y89,Y89+COUNTIF($Y$5:Y88,Y89))</f>
        <v>1079</v>
      </c>
      <c r="B89" s="1">
        <f>IF(AND(Kisero_iv!$N$2=C89,Kisero_iv!$K$5=$B$2,SUM(I89:L93)&lt;&gt;0,$B$4=YEAR(W89)),B88+1,0)</f>
        <v>0</v>
      </c>
      <c r="C89" s="1">
        <f>IF(YEAR(W88)&lt;&gt;YEAR(W89),1,IF(Bevetel!T89&lt;&gt;0,C88+1,C88))</f>
        <v>84</v>
      </c>
      <c r="D89" s="102" t="str">
        <f>Bevetel!D89</f>
        <v/>
      </c>
      <c r="E89" s="42">
        <f>Bevetel!E89</f>
        <v>0</v>
      </c>
      <c r="F89" s="38" t="str">
        <f>IF(Bevetel!F89&lt;&gt;0,Bevetel!F89,"")</f>
        <v/>
      </c>
      <c r="G89" s="38" t="str">
        <f>IF(Bevetel!G89&lt;&gt;0,Bevetel!G89,"")</f>
        <v/>
      </c>
      <c r="H89" s="38" t="str">
        <f>IF(Bevetel!H89&lt;&gt;0,Bevetel!H89,"")</f>
        <v/>
      </c>
      <c r="I89" s="38">
        <f>Bevetel!I89</f>
        <v>0</v>
      </c>
      <c r="J89" s="105" t="str">
        <f>Bevetel!J89</f>
        <v/>
      </c>
      <c r="K89" s="106" t="str">
        <f>Bevetel!K89</f>
        <v/>
      </c>
      <c r="L89" s="106" t="str">
        <f>Bevetel!L89</f>
        <v/>
      </c>
      <c r="M89" s="107"/>
      <c r="Q89" s="1">
        <f>VLOOKUP(G89,Keszlet!$C$5:$E$205,3,FALSE)</f>
        <v>0</v>
      </c>
      <c r="T89" s="1" t="str">
        <f t="shared" si="8"/>
        <v>0</v>
      </c>
      <c r="U89" s="1">
        <f t="shared" si="9"/>
        <v>0</v>
      </c>
      <c r="W89" s="6">
        <f t="shared" si="10"/>
        <v>0</v>
      </c>
      <c r="X89" s="6">
        <f t="shared" si="7"/>
        <v>55153</v>
      </c>
      <c r="Y89" s="1">
        <f t="shared" si="11"/>
        <v>996</v>
      </c>
      <c r="Z89" s="1">
        <f>IF(COUNTIF($Y$6:Y89,Y89)=1,Y89,Y89+COUNTIF($Y$5:Y88,Y89))</f>
        <v>1079</v>
      </c>
      <c r="AD89" s="1" t="str">
        <f t="shared" si="12"/>
        <v/>
      </c>
      <c r="BA89" s="1">
        <f>IF(W89&lt;=Leltar_iv!$Y$1,I89,0)</f>
        <v>0</v>
      </c>
    </row>
    <row r="90" spans="1:53" s="1" customFormat="1" hidden="1" x14ac:dyDescent="0.25">
      <c r="A90" s="18">
        <f>IF(COUNTIF($Y$6:Y90,Y90)=1,Y90,Y90+COUNTIF($Y$5:Y89,Y90))</f>
        <v>1080</v>
      </c>
      <c r="B90" s="1">
        <f>IF(AND(Kisero_iv!$N$2=C90,Kisero_iv!$K$5=$B$2,SUM(I90:L94)&lt;&gt;0,$B$4=YEAR(W90)),B89+1,0)</f>
        <v>0</v>
      </c>
      <c r="C90" s="1">
        <f>IF(YEAR(W89)&lt;&gt;YEAR(W90),1,IF(Bevetel!T90&lt;&gt;0,C89+1,C89))</f>
        <v>85</v>
      </c>
      <c r="D90" s="102" t="str">
        <f>Bevetel!D90</f>
        <v/>
      </c>
      <c r="E90" s="42">
        <f>Bevetel!E90</f>
        <v>0</v>
      </c>
      <c r="F90" s="38" t="str">
        <f>IF(Bevetel!F90&lt;&gt;0,Bevetel!F90,"")</f>
        <v/>
      </c>
      <c r="G90" s="38" t="str">
        <f>IF(Bevetel!G90&lt;&gt;0,Bevetel!G90,"")</f>
        <v/>
      </c>
      <c r="H90" s="38" t="str">
        <f>IF(Bevetel!H90&lt;&gt;0,Bevetel!H90,"")</f>
        <v/>
      </c>
      <c r="I90" s="38">
        <f>Bevetel!I90</f>
        <v>0</v>
      </c>
      <c r="J90" s="105" t="str">
        <f>Bevetel!J90</f>
        <v/>
      </c>
      <c r="K90" s="106" t="str">
        <f>Bevetel!K90</f>
        <v/>
      </c>
      <c r="L90" s="106" t="str">
        <f>Bevetel!L90</f>
        <v/>
      </c>
      <c r="M90" s="107"/>
      <c r="Q90" s="1">
        <f>VLOOKUP(G90,Keszlet!$C$5:$E$205,3,FALSE)</f>
        <v>0</v>
      </c>
      <c r="T90" s="1" t="str">
        <f t="shared" si="8"/>
        <v>0</v>
      </c>
      <c r="U90" s="1">
        <f t="shared" si="9"/>
        <v>0</v>
      </c>
      <c r="W90" s="6">
        <f t="shared" si="10"/>
        <v>0</v>
      </c>
      <c r="X90" s="6">
        <f t="shared" si="7"/>
        <v>55153</v>
      </c>
      <c r="Y90" s="1">
        <f t="shared" si="11"/>
        <v>996</v>
      </c>
      <c r="Z90" s="1">
        <f>IF(COUNTIF($Y$6:Y90,Y90)=1,Y90,Y90+COUNTIF($Y$5:Y89,Y90))</f>
        <v>1080</v>
      </c>
      <c r="AD90" s="1" t="str">
        <f t="shared" si="12"/>
        <v/>
      </c>
      <c r="BA90" s="1">
        <f>IF(W90&lt;=Leltar_iv!$Y$1,I90,0)</f>
        <v>0</v>
      </c>
    </row>
    <row r="91" spans="1:53" s="1" customFormat="1" hidden="1" x14ac:dyDescent="0.25">
      <c r="A91" s="18">
        <f>IF(COUNTIF($Y$6:Y91,Y91)=1,Y91,Y91+COUNTIF($Y$5:Y90,Y91))</f>
        <v>1081</v>
      </c>
      <c r="B91" s="1">
        <f>IF(AND(Kisero_iv!$N$2=C91,Kisero_iv!$K$5=$B$2,SUM(I91:L95)&lt;&gt;0,$B$4=YEAR(W91)),B90+1,0)</f>
        <v>0</v>
      </c>
      <c r="C91" s="1">
        <f>IF(YEAR(W90)&lt;&gt;YEAR(W91),1,IF(Bevetel!T91&lt;&gt;0,C90+1,C90))</f>
        <v>86</v>
      </c>
      <c r="D91" s="102" t="str">
        <f>Bevetel!D91</f>
        <v/>
      </c>
      <c r="E91" s="42">
        <f>Bevetel!E91</f>
        <v>0</v>
      </c>
      <c r="F91" s="38" t="str">
        <f>IF(Bevetel!F91&lt;&gt;0,Bevetel!F91,"")</f>
        <v/>
      </c>
      <c r="G91" s="38" t="str">
        <f>IF(Bevetel!G91&lt;&gt;0,Bevetel!G91,"")</f>
        <v/>
      </c>
      <c r="H91" s="38" t="str">
        <f>IF(Bevetel!H91&lt;&gt;0,Bevetel!H91,"")</f>
        <v/>
      </c>
      <c r="I91" s="38">
        <f>Bevetel!I91</f>
        <v>0</v>
      </c>
      <c r="J91" s="105" t="str">
        <f>Bevetel!J91</f>
        <v/>
      </c>
      <c r="K91" s="106" t="str">
        <f>Bevetel!K91</f>
        <v/>
      </c>
      <c r="L91" s="106" t="str">
        <f>Bevetel!L91</f>
        <v/>
      </c>
      <c r="M91" s="107"/>
      <c r="Q91" s="1">
        <f>VLOOKUP(G91,Keszlet!$C$5:$E$205,3,FALSE)</f>
        <v>0</v>
      </c>
      <c r="T91" s="1" t="str">
        <f t="shared" si="8"/>
        <v>0</v>
      </c>
      <c r="U91" s="1">
        <f t="shared" si="9"/>
        <v>0</v>
      </c>
      <c r="W91" s="6">
        <f t="shared" si="10"/>
        <v>0</v>
      </c>
      <c r="X91" s="6">
        <f t="shared" si="7"/>
        <v>55153</v>
      </c>
      <c r="Y91" s="1">
        <f t="shared" si="11"/>
        <v>996</v>
      </c>
      <c r="Z91" s="1">
        <f>IF(COUNTIF($Y$6:Y91,Y91)=1,Y91,Y91+COUNTIF($Y$5:Y90,Y91))</f>
        <v>1081</v>
      </c>
      <c r="AD91" s="1" t="str">
        <f t="shared" si="12"/>
        <v/>
      </c>
      <c r="BA91" s="1">
        <f>IF(W91&lt;=Leltar_iv!$Y$1,I91,0)</f>
        <v>0</v>
      </c>
    </row>
    <row r="92" spans="1:53" s="1" customFormat="1" hidden="1" x14ac:dyDescent="0.25">
      <c r="A92" s="18">
        <f>IF(COUNTIF($Y$6:Y92,Y92)=1,Y92,Y92+COUNTIF($Y$5:Y91,Y92))</f>
        <v>1082</v>
      </c>
      <c r="B92" s="1">
        <f>IF(AND(Kisero_iv!$N$2=C92,Kisero_iv!$K$5=$B$2,SUM(I92:L96)&lt;&gt;0,$B$4=YEAR(W92)),B91+1,0)</f>
        <v>0</v>
      </c>
      <c r="C92" s="1">
        <f>IF(YEAR(W91)&lt;&gt;YEAR(W92),1,IF(Bevetel!T92&lt;&gt;0,C91+1,C91))</f>
        <v>87</v>
      </c>
      <c r="D92" s="102" t="str">
        <f>Bevetel!D92</f>
        <v/>
      </c>
      <c r="E92" s="42">
        <f>Bevetel!E92</f>
        <v>0</v>
      </c>
      <c r="F92" s="38" t="str">
        <f>IF(Bevetel!F92&lt;&gt;0,Bevetel!F92,"")</f>
        <v/>
      </c>
      <c r="G92" s="38" t="str">
        <f>IF(Bevetel!G92&lt;&gt;0,Bevetel!G92,"")</f>
        <v/>
      </c>
      <c r="H92" s="38" t="str">
        <f>IF(Bevetel!H92&lt;&gt;0,Bevetel!H92,"")</f>
        <v/>
      </c>
      <c r="I92" s="38">
        <f>Bevetel!I92</f>
        <v>0</v>
      </c>
      <c r="J92" s="105" t="str">
        <f>Bevetel!J92</f>
        <v/>
      </c>
      <c r="K92" s="106" t="str">
        <f>Bevetel!K92</f>
        <v/>
      </c>
      <c r="L92" s="106" t="str">
        <f>Bevetel!L92</f>
        <v/>
      </c>
      <c r="M92" s="107"/>
      <c r="Q92" s="1">
        <f>VLOOKUP(G92,Keszlet!$C$5:$E$205,3,FALSE)</f>
        <v>0</v>
      </c>
      <c r="T92" s="1" t="str">
        <f t="shared" si="8"/>
        <v>0</v>
      </c>
      <c r="U92" s="1">
        <f t="shared" si="9"/>
        <v>0</v>
      </c>
      <c r="W92" s="6">
        <f t="shared" si="10"/>
        <v>0</v>
      </c>
      <c r="X92" s="6">
        <f t="shared" si="7"/>
        <v>55153</v>
      </c>
      <c r="Y92" s="1">
        <f t="shared" si="11"/>
        <v>996</v>
      </c>
      <c r="Z92" s="1">
        <f>IF(COUNTIF($Y$6:Y92,Y92)=1,Y92,Y92+COUNTIF($Y$5:Y91,Y92))</f>
        <v>1082</v>
      </c>
      <c r="AD92" s="1" t="str">
        <f t="shared" si="12"/>
        <v/>
      </c>
      <c r="BA92" s="1">
        <f>IF(W92&lt;=Leltar_iv!$Y$1,I92,0)</f>
        <v>0</v>
      </c>
    </row>
    <row r="93" spans="1:53" s="1" customFormat="1" hidden="1" x14ac:dyDescent="0.25">
      <c r="A93" s="18">
        <f>IF(COUNTIF($Y$6:Y93,Y93)=1,Y93,Y93+COUNTIF($Y$5:Y92,Y93))</f>
        <v>1083</v>
      </c>
      <c r="B93" s="1">
        <f>IF(AND(Kisero_iv!$N$2=C93,Kisero_iv!$K$5=$B$2,SUM(I93:L97)&lt;&gt;0,$B$4=YEAR(W93)),B92+1,0)</f>
        <v>0</v>
      </c>
      <c r="C93" s="1">
        <f>IF(YEAR(W92)&lt;&gt;YEAR(W93),1,IF(Bevetel!T93&lt;&gt;0,C92+1,C92))</f>
        <v>88</v>
      </c>
      <c r="D93" s="102" t="str">
        <f>Bevetel!D93</f>
        <v/>
      </c>
      <c r="E93" s="42">
        <f>Bevetel!E93</f>
        <v>0</v>
      </c>
      <c r="F93" s="38" t="str">
        <f>IF(Bevetel!F93&lt;&gt;0,Bevetel!F93,"")</f>
        <v/>
      </c>
      <c r="G93" s="38" t="str">
        <f>IF(Bevetel!G93&lt;&gt;0,Bevetel!G93,"")</f>
        <v/>
      </c>
      <c r="H93" s="38" t="str">
        <f>IF(Bevetel!H93&lt;&gt;0,Bevetel!H93,"")</f>
        <v/>
      </c>
      <c r="I93" s="38">
        <f>Bevetel!I93</f>
        <v>0</v>
      </c>
      <c r="J93" s="105" t="str">
        <f>Bevetel!J93</f>
        <v/>
      </c>
      <c r="K93" s="106" t="str">
        <f>Bevetel!K93</f>
        <v/>
      </c>
      <c r="L93" s="106" t="str">
        <f>Bevetel!L93</f>
        <v/>
      </c>
      <c r="M93" s="107"/>
      <c r="Q93" s="1">
        <f>VLOOKUP(G93,Keszlet!$C$5:$E$205,3,FALSE)</f>
        <v>0</v>
      </c>
      <c r="T93" s="1" t="str">
        <f t="shared" si="8"/>
        <v>0</v>
      </c>
      <c r="U93" s="1">
        <f t="shared" si="9"/>
        <v>0</v>
      </c>
      <c r="W93" s="6">
        <f t="shared" si="10"/>
        <v>0</v>
      </c>
      <c r="X93" s="6">
        <f t="shared" si="7"/>
        <v>55153</v>
      </c>
      <c r="Y93" s="1">
        <f t="shared" si="11"/>
        <v>996</v>
      </c>
      <c r="Z93" s="1">
        <f>IF(COUNTIF($Y$6:Y93,Y93)=1,Y93,Y93+COUNTIF($Y$5:Y92,Y93))</f>
        <v>1083</v>
      </c>
      <c r="AD93" s="1" t="str">
        <f t="shared" si="12"/>
        <v/>
      </c>
      <c r="BA93" s="1">
        <f>IF(W93&lt;=Leltar_iv!$Y$1,I93,0)</f>
        <v>0</v>
      </c>
    </row>
    <row r="94" spans="1:53" s="1" customFormat="1" hidden="1" x14ac:dyDescent="0.25">
      <c r="A94" s="18">
        <f>IF(COUNTIF($Y$6:Y94,Y94)=1,Y94,Y94+COUNTIF($Y$5:Y93,Y94))</f>
        <v>1084</v>
      </c>
      <c r="B94" s="1">
        <f>IF(AND(Kisero_iv!$N$2=C94,Kisero_iv!$K$5=$B$2,SUM(I94:L98)&lt;&gt;0,$B$4=YEAR(W94)),B93+1,0)</f>
        <v>0</v>
      </c>
      <c r="C94" s="1">
        <f>IF(YEAR(W93)&lt;&gt;YEAR(W94),1,IF(Bevetel!T94&lt;&gt;0,C93+1,C93))</f>
        <v>89</v>
      </c>
      <c r="D94" s="102" t="str">
        <f>Bevetel!D94</f>
        <v/>
      </c>
      <c r="E94" s="42">
        <f>Bevetel!E94</f>
        <v>0</v>
      </c>
      <c r="F94" s="38" t="str">
        <f>IF(Bevetel!F94&lt;&gt;0,Bevetel!F94,"")</f>
        <v/>
      </c>
      <c r="G94" s="38" t="str">
        <f>IF(Bevetel!G94&lt;&gt;0,Bevetel!G94,"")</f>
        <v/>
      </c>
      <c r="H94" s="38" t="str">
        <f>IF(Bevetel!H94&lt;&gt;0,Bevetel!H94,"")</f>
        <v/>
      </c>
      <c r="I94" s="38">
        <f>Bevetel!I94</f>
        <v>0</v>
      </c>
      <c r="J94" s="105" t="str">
        <f>Bevetel!J94</f>
        <v/>
      </c>
      <c r="K94" s="106" t="str">
        <f>Bevetel!K94</f>
        <v/>
      </c>
      <c r="L94" s="106" t="str">
        <f>Bevetel!L94</f>
        <v/>
      </c>
      <c r="M94" s="107"/>
      <c r="Q94" s="1">
        <f>VLOOKUP(G94,Keszlet!$C$5:$E$205,3,FALSE)</f>
        <v>0</v>
      </c>
      <c r="T94" s="1" t="str">
        <f t="shared" si="8"/>
        <v>0</v>
      </c>
      <c r="U94" s="1">
        <f t="shared" si="9"/>
        <v>0</v>
      </c>
      <c r="W94" s="6">
        <f t="shared" si="10"/>
        <v>0</v>
      </c>
      <c r="X94" s="6">
        <f t="shared" si="7"/>
        <v>55153</v>
      </c>
      <c r="Y94" s="1">
        <f t="shared" si="11"/>
        <v>996</v>
      </c>
      <c r="Z94" s="1">
        <f>IF(COUNTIF($Y$6:Y94,Y94)=1,Y94,Y94+COUNTIF($Y$5:Y93,Y94))</f>
        <v>1084</v>
      </c>
      <c r="AD94" s="1" t="str">
        <f t="shared" si="12"/>
        <v/>
      </c>
      <c r="BA94" s="1">
        <f>IF(W94&lt;=Leltar_iv!$Y$1,I94,0)</f>
        <v>0</v>
      </c>
    </row>
    <row r="95" spans="1:53" s="1" customFormat="1" hidden="1" x14ac:dyDescent="0.25">
      <c r="A95" s="18">
        <f>IF(COUNTIF($Y$6:Y95,Y95)=1,Y95,Y95+COUNTIF($Y$5:Y94,Y95))</f>
        <v>1085</v>
      </c>
      <c r="B95" s="1">
        <f>IF(AND(Kisero_iv!$N$2=C95,Kisero_iv!$K$5=$B$2,SUM(I95:L99)&lt;&gt;0,$B$4=YEAR(W95)),B94+1,0)</f>
        <v>0</v>
      </c>
      <c r="C95" s="1">
        <f>IF(YEAR(W94)&lt;&gt;YEAR(W95),1,IF(Bevetel!T95&lt;&gt;0,C94+1,C94))</f>
        <v>90</v>
      </c>
      <c r="D95" s="102" t="str">
        <f>Bevetel!D95</f>
        <v/>
      </c>
      <c r="E95" s="42">
        <f>Bevetel!E95</f>
        <v>0</v>
      </c>
      <c r="F95" s="38" t="str">
        <f>IF(Bevetel!F95&lt;&gt;0,Bevetel!F95,"")</f>
        <v/>
      </c>
      <c r="G95" s="38" t="str">
        <f>IF(Bevetel!G95&lt;&gt;0,Bevetel!G95,"")</f>
        <v/>
      </c>
      <c r="H95" s="38" t="str">
        <f>IF(Bevetel!H95&lt;&gt;0,Bevetel!H95,"")</f>
        <v/>
      </c>
      <c r="I95" s="38">
        <f>Bevetel!I95</f>
        <v>0</v>
      </c>
      <c r="J95" s="105" t="str">
        <f>Bevetel!J95</f>
        <v/>
      </c>
      <c r="K95" s="106" t="str">
        <f>Bevetel!K95</f>
        <v/>
      </c>
      <c r="L95" s="106" t="str">
        <f>Bevetel!L95</f>
        <v/>
      </c>
      <c r="M95" s="107"/>
      <c r="Q95" s="1">
        <f>VLOOKUP(G95,Keszlet!$C$5:$E$205,3,FALSE)</f>
        <v>0</v>
      </c>
      <c r="T95" s="1" t="str">
        <f t="shared" si="8"/>
        <v>0</v>
      </c>
      <c r="U95" s="1">
        <f t="shared" si="9"/>
        <v>0</v>
      </c>
      <c r="W95" s="6">
        <f t="shared" si="10"/>
        <v>0</v>
      </c>
      <c r="X95" s="6">
        <f t="shared" si="7"/>
        <v>55153</v>
      </c>
      <c r="Y95" s="1">
        <f t="shared" si="11"/>
        <v>996</v>
      </c>
      <c r="Z95" s="1">
        <f>IF(COUNTIF($Y$6:Y95,Y95)=1,Y95,Y95+COUNTIF($Y$5:Y94,Y95))</f>
        <v>1085</v>
      </c>
      <c r="AD95" s="1" t="str">
        <f t="shared" si="12"/>
        <v/>
      </c>
      <c r="BA95" s="1">
        <f>IF(W95&lt;=Leltar_iv!$Y$1,I95,0)</f>
        <v>0</v>
      </c>
    </row>
    <row r="96" spans="1:53" s="1" customFormat="1" hidden="1" x14ac:dyDescent="0.25">
      <c r="A96" s="18">
        <f>IF(COUNTIF($Y$6:Y96,Y96)=1,Y96,Y96+COUNTIF($Y$5:Y95,Y96))</f>
        <v>1086</v>
      </c>
      <c r="B96" s="1">
        <f>IF(AND(Kisero_iv!$N$2=C96,Kisero_iv!$K$5=$B$2,SUM(I96:L100)&lt;&gt;0,$B$4=YEAR(W96)),B95+1,0)</f>
        <v>0</v>
      </c>
      <c r="C96" s="1">
        <f>IF(YEAR(W95)&lt;&gt;YEAR(W96),1,IF(Bevetel!T96&lt;&gt;0,C95+1,C95))</f>
        <v>91</v>
      </c>
      <c r="D96" s="102" t="str">
        <f>Bevetel!D96</f>
        <v/>
      </c>
      <c r="E96" s="42">
        <f>Bevetel!E96</f>
        <v>0</v>
      </c>
      <c r="F96" s="38" t="str">
        <f>IF(Bevetel!F96&lt;&gt;0,Bevetel!F96,"")</f>
        <v/>
      </c>
      <c r="G96" s="38" t="str">
        <f>IF(Bevetel!G96&lt;&gt;0,Bevetel!G96,"")</f>
        <v/>
      </c>
      <c r="H96" s="38" t="str">
        <f>IF(Bevetel!H96&lt;&gt;0,Bevetel!H96,"")</f>
        <v/>
      </c>
      <c r="I96" s="38">
        <f>Bevetel!I96</f>
        <v>0</v>
      </c>
      <c r="J96" s="105" t="str">
        <f>Bevetel!J96</f>
        <v/>
      </c>
      <c r="K96" s="106" t="str">
        <f>Bevetel!K96</f>
        <v/>
      </c>
      <c r="L96" s="106" t="str">
        <f>Bevetel!L96</f>
        <v/>
      </c>
      <c r="M96" s="107"/>
      <c r="Q96" s="1">
        <f>VLOOKUP(G96,Keszlet!$C$5:$E$205,3,FALSE)</f>
        <v>0</v>
      </c>
      <c r="T96" s="1" t="str">
        <f t="shared" si="8"/>
        <v>0</v>
      </c>
      <c r="U96" s="1">
        <f t="shared" si="9"/>
        <v>0</v>
      </c>
      <c r="W96" s="6">
        <f t="shared" si="10"/>
        <v>0</v>
      </c>
      <c r="X96" s="6">
        <f t="shared" si="7"/>
        <v>55153</v>
      </c>
      <c r="Y96" s="1">
        <f t="shared" si="11"/>
        <v>996</v>
      </c>
      <c r="Z96" s="1">
        <f>IF(COUNTIF($Y$6:Y96,Y96)=1,Y96,Y96+COUNTIF($Y$5:Y95,Y96))</f>
        <v>1086</v>
      </c>
      <c r="AD96" s="1" t="str">
        <f t="shared" si="12"/>
        <v/>
      </c>
      <c r="BA96" s="1">
        <f>IF(W96&lt;=Leltar_iv!$Y$1,I96,0)</f>
        <v>0</v>
      </c>
    </row>
    <row r="97" spans="1:53" s="1" customFormat="1" hidden="1" x14ac:dyDescent="0.25">
      <c r="A97" s="18">
        <f>IF(COUNTIF($Y$6:Y97,Y97)=1,Y97,Y97+COUNTIF($Y$5:Y96,Y97))</f>
        <v>1087</v>
      </c>
      <c r="B97" s="1">
        <f>IF(AND(Kisero_iv!$N$2=C97,Kisero_iv!$K$5=$B$2,SUM(I97:L101)&lt;&gt;0,$B$4=YEAR(W97)),B96+1,0)</f>
        <v>0</v>
      </c>
      <c r="C97" s="1">
        <f>IF(YEAR(W96)&lt;&gt;YEAR(W97),1,IF(Bevetel!T97&lt;&gt;0,C96+1,C96))</f>
        <v>92</v>
      </c>
      <c r="D97" s="102" t="str">
        <f>Bevetel!D97</f>
        <v/>
      </c>
      <c r="E97" s="42">
        <f>Bevetel!E97</f>
        <v>0</v>
      </c>
      <c r="F97" s="38" t="str">
        <f>IF(Bevetel!F97&lt;&gt;0,Bevetel!F97,"")</f>
        <v/>
      </c>
      <c r="G97" s="38" t="str">
        <f>IF(Bevetel!G97&lt;&gt;0,Bevetel!G97,"")</f>
        <v/>
      </c>
      <c r="H97" s="38" t="str">
        <f>IF(Bevetel!H97&lt;&gt;0,Bevetel!H97,"")</f>
        <v/>
      </c>
      <c r="I97" s="38">
        <f>Bevetel!I97</f>
        <v>0</v>
      </c>
      <c r="J97" s="105" t="str">
        <f>Bevetel!J97</f>
        <v/>
      </c>
      <c r="K97" s="106" t="str">
        <f>Bevetel!K97</f>
        <v/>
      </c>
      <c r="L97" s="106" t="str">
        <f>Bevetel!L97</f>
        <v/>
      </c>
      <c r="M97" s="107"/>
      <c r="Q97" s="1">
        <f>VLOOKUP(G97,Keszlet!$C$5:$E$205,3,FALSE)</f>
        <v>0</v>
      </c>
      <c r="T97" s="1" t="str">
        <f t="shared" si="8"/>
        <v>0</v>
      </c>
      <c r="U97" s="1">
        <f t="shared" si="9"/>
        <v>0</v>
      </c>
      <c r="W97" s="6">
        <f t="shared" si="10"/>
        <v>0</v>
      </c>
      <c r="X97" s="6">
        <f t="shared" si="7"/>
        <v>55153</v>
      </c>
      <c r="Y97" s="1">
        <f t="shared" si="11"/>
        <v>996</v>
      </c>
      <c r="Z97" s="1">
        <f>IF(COUNTIF($Y$6:Y97,Y97)=1,Y97,Y97+COUNTIF($Y$5:Y96,Y97))</f>
        <v>1087</v>
      </c>
      <c r="AD97" s="1" t="str">
        <f t="shared" si="12"/>
        <v/>
      </c>
      <c r="BA97" s="1">
        <f>IF(W97&lt;=Leltar_iv!$Y$1,I97,0)</f>
        <v>0</v>
      </c>
    </row>
    <row r="98" spans="1:53" s="1" customFormat="1" hidden="1" x14ac:dyDescent="0.25">
      <c r="A98" s="18">
        <f>IF(COUNTIF($Y$6:Y98,Y98)=1,Y98,Y98+COUNTIF($Y$5:Y97,Y98))</f>
        <v>1088</v>
      </c>
      <c r="B98" s="1">
        <f>IF(AND(Kisero_iv!$N$2=C98,Kisero_iv!$K$5=$B$2,SUM(I98:L102)&lt;&gt;0,$B$4=YEAR(W98)),B97+1,0)</f>
        <v>0</v>
      </c>
      <c r="C98" s="1">
        <f>IF(YEAR(W97)&lt;&gt;YEAR(W98),1,IF(Bevetel!T98&lt;&gt;0,C97+1,C97))</f>
        <v>93</v>
      </c>
      <c r="D98" s="102" t="str">
        <f>Bevetel!D98</f>
        <v/>
      </c>
      <c r="E98" s="42">
        <f>Bevetel!E98</f>
        <v>0</v>
      </c>
      <c r="F98" s="38" t="str">
        <f>IF(Bevetel!F98&lt;&gt;0,Bevetel!F98,"")</f>
        <v/>
      </c>
      <c r="G98" s="38" t="str">
        <f>IF(Bevetel!G98&lt;&gt;0,Bevetel!G98,"")</f>
        <v/>
      </c>
      <c r="H98" s="38" t="str">
        <f>IF(Bevetel!H98&lt;&gt;0,Bevetel!H98,"")</f>
        <v/>
      </c>
      <c r="I98" s="38">
        <f>Bevetel!I98</f>
        <v>0</v>
      </c>
      <c r="J98" s="105" t="str">
        <f>Bevetel!J98</f>
        <v/>
      </c>
      <c r="K98" s="106" t="str">
        <f>Bevetel!K98</f>
        <v/>
      </c>
      <c r="L98" s="106" t="str">
        <f>Bevetel!L98</f>
        <v/>
      </c>
      <c r="M98" s="107"/>
      <c r="Q98" s="1">
        <f>VLOOKUP(G98,Keszlet!$C$5:$E$205,3,FALSE)</f>
        <v>0</v>
      </c>
      <c r="T98" s="1" t="str">
        <f t="shared" si="8"/>
        <v>0</v>
      </c>
      <c r="U98" s="1">
        <f t="shared" si="9"/>
        <v>0</v>
      </c>
      <c r="W98" s="6">
        <f t="shared" si="10"/>
        <v>0</v>
      </c>
      <c r="X98" s="6">
        <f t="shared" si="7"/>
        <v>55153</v>
      </c>
      <c r="Y98" s="1">
        <f t="shared" si="11"/>
        <v>996</v>
      </c>
      <c r="Z98" s="1">
        <f>IF(COUNTIF($Y$6:Y98,Y98)=1,Y98,Y98+COUNTIF($Y$5:Y97,Y98))</f>
        <v>1088</v>
      </c>
      <c r="AD98" s="1" t="str">
        <f t="shared" si="12"/>
        <v/>
      </c>
      <c r="BA98" s="1">
        <f>IF(W98&lt;=Leltar_iv!$Y$1,I98,0)</f>
        <v>0</v>
      </c>
    </row>
    <row r="99" spans="1:53" s="1" customFormat="1" hidden="1" x14ac:dyDescent="0.25">
      <c r="A99" s="18">
        <f>IF(COUNTIF($Y$6:Y99,Y99)=1,Y99,Y99+COUNTIF($Y$5:Y98,Y99))</f>
        <v>1089</v>
      </c>
      <c r="B99" s="1">
        <f>IF(AND(Kisero_iv!$N$2=C99,Kisero_iv!$K$5=$B$2,SUM(I99:L103)&lt;&gt;0,$B$4=YEAR(W99)),B98+1,0)</f>
        <v>0</v>
      </c>
      <c r="C99" s="1">
        <f>IF(YEAR(W98)&lt;&gt;YEAR(W99),1,IF(Bevetel!T99&lt;&gt;0,C98+1,C98))</f>
        <v>94</v>
      </c>
      <c r="D99" s="102" t="str">
        <f>Bevetel!D99</f>
        <v/>
      </c>
      <c r="E99" s="42">
        <f>Bevetel!E99</f>
        <v>0</v>
      </c>
      <c r="F99" s="38" t="str">
        <f>IF(Bevetel!F99&lt;&gt;0,Bevetel!F99,"")</f>
        <v/>
      </c>
      <c r="G99" s="38" t="str">
        <f>IF(Bevetel!G99&lt;&gt;0,Bevetel!G99,"")</f>
        <v/>
      </c>
      <c r="H99" s="38" t="str">
        <f>IF(Bevetel!H99&lt;&gt;0,Bevetel!H99,"")</f>
        <v/>
      </c>
      <c r="I99" s="38">
        <f>Bevetel!I99</f>
        <v>0</v>
      </c>
      <c r="J99" s="105" t="str">
        <f>Bevetel!J99</f>
        <v/>
      </c>
      <c r="K99" s="106" t="str">
        <f>Bevetel!K99</f>
        <v/>
      </c>
      <c r="L99" s="106" t="str">
        <f>Bevetel!L99</f>
        <v/>
      </c>
      <c r="M99" s="107"/>
      <c r="Q99" s="1">
        <f>VLOOKUP(G99,Keszlet!$C$5:$E$205,3,FALSE)</f>
        <v>0</v>
      </c>
      <c r="T99" s="1" t="str">
        <f t="shared" si="8"/>
        <v>0</v>
      </c>
      <c r="U99" s="1">
        <f t="shared" si="9"/>
        <v>0</v>
      </c>
      <c r="W99" s="6">
        <f t="shared" si="10"/>
        <v>0</v>
      </c>
      <c r="X99" s="6">
        <f t="shared" si="7"/>
        <v>55153</v>
      </c>
      <c r="Y99" s="1">
        <f t="shared" si="11"/>
        <v>996</v>
      </c>
      <c r="Z99" s="1">
        <f>IF(COUNTIF($Y$6:Y99,Y99)=1,Y99,Y99+COUNTIF($Y$5:Y98,Y99))</f>
        <v>1089</v>
      </c>
      <c r="AD99" s="1" t="str">
        <f t="shared" si="12"/>
        <v/>
      </c>
      <c r="BA99" s="1">
        <f>IF(W99&lt;=Leltar_iv!$Y$1,I99,0)</f>
        <v>0</v>
      </c>
    </row>
    <row r="100" spans="1:53" s="1" customFormat="1" hidden="1" x14ac:dyDescent="0.25">
      <c r="A100" s="18">
        <f>IF(COUNTIF($Y$6:Y100,Y100)=1,Y100,Y100+COUNTIF($Y$5:Y99,Y100))</f>
        <v>1090</v>
      </c>
      <c r="B100" s="1">
        <f>IF(AND(Kisero_iv!$N$2=C100,Kisero_iv!$K$5=$B$2,SUM(I100:L104)&lt;&gt;0,$B$4=YEAR(W100)),B99+1,0)</f>
        <v>0</v>
      </c>
      <c r="C100" s="1">
        <f>IF(YEAR(W99)&lt;&gt;YEAR(W100),1,IF(Bevetel!T100&lt;&gt;0,C99+1,C99))</f>
        <v>95</v>
      </c>
      <c r="D100" s="102" t="str">
        <f>Bevetel!D100</f>
        <v/>
      </c>
      <c r="E100" s="42">
        <f>Bevetel!E100</f>
        <v>0</v>
      </c>
      <c r="F100" s="38" t="str">
        <f>IF(Bevetel!F100&lt;&gt;0,Bevetel!F100,"")</f>
        <v/>
      </c>
      <c r="G100" s="38" t="str">
        <f>IF(Bevetel!G100&lt;&gt;0,Bevetel!G100,"")</f>
        <v/>
      </c>
      <c r="H100" s="38" t="str">
        <f>IF(Bevetel!H100&lt;&gt;0,Bevetel!H100,"")</f>
        <v/>
      </c>
      <c r="I100" s="38">
        <f>Bevetel!I100</f>
        <v>0</v>
      </c>
      <c r="J100" s="105" t="str">
        <f>Bevetel!J100</f>
        <v/>
      </c>
      <c r="K100" s="106" t="str">
        <f>Bevetel!K100</f>
        <v/>
      </c>
      <c r="L100" s="106" t="str">
        <f>Bevetel!L100</f>
        <v/>
      </c>
      <c r="M100" s="107"/>
      <c r="Q100" s="1">
        <f>VLOOKUP(G100,Keszlet!$C$5:$E$205,3,FALSE)</f>
        <v>0</v>
      </c>
      <c r="T100" s="1" t="str">
        <f t="shared" si="8"/>
        <v>0</v>
      </c>
      <c r="U100" s="1">
        <f t="shared" si="9"/>
        <v>0</v>
      </c>
      <c r="W100" s="6">
        <f t="shared" si="10"/>
        <v>0</v>
      </c>
      <c r="X100" s="6">
        <f t="shared" si="7"/>
        <v>55153</v>
      </c>
      <c r="Y100" s="1">
        <f t="shared" si="11"/>
        <v>996</v>
      </c>
      <c r="Z100" s="1">
        <f>IF(COUNTIF($Y$6:Y100,Y100)=1,Y100,Y100+COUNTIF($Y$5:Y99,Y100))</f>
        <v>1090</v>
      </c>
      <c r="AD100" s="1" t="str">
        <f t="shared" si="12"/>
        <v/>
      </c>
      <c r="BA100" s="1">
        <f>IF(W100&lt;=Leltar_iv!$Y$1,I100,0)</f>
        <v>0</v>
      </c>
    </row>
    <row r="101" spans="1:53" s="1" customFormat="1" hidden="1" x14ac:dyDescent="0.25">
      <c r="A101" s="18">
        <f>IF(COUNTIF($Y$6:Y101,Y101)=1,Y101,Y101+COUNTIF($Y$5:Y100,Y101))</f>
        <v>1091</v>
      </c>
      <c r="B101" s="1">
        <f>IF(AND(Kisero_iv!$N$2=C101,Kisero_iv!$K$5=$B$2,SUM(I101:L105)&lt;&gt;0,$B$4=YEAR(W101)),B100+1,0)</f>
        <v>0</v>
      </c>
      <c r="C101" s="1">
        <f>IF(YEAR(W100)&lt;&gt;YEAR(W101),1,IF(Bevetel!T101&lt;&gt;0,C100+1,C100))</f>
        <v>96</v>
      </c>
      <c r="D101" s="102" t="str">
        <f>Bevetel!D101</f>
        <v/>
      </c>
      <c r="E101" s="42">
        <f>Bevetel!E101</f>
        <v>0</v>
      </c>
      <c r="F101" s="38" t="str">
        <f>IF(Bevetel!F101&lt;&gt;0,Bevetel!F101,"")</f>
        <v/>
      </c>
      <c r="G101" s="38" t="str">
        <f>IF(Bevetel!G101&lt;&gt;0,Bevetel!G101,"")</f>
        <v/>
      </c>
      <c r="H101" s="38" t="str">
        <f>IF(Bevetel!H101&lt;&gt;0,Bevetel!H101,"")</f>
        <v/>
      </c>
      <c r="I101" s="38">
        <f>Bevetel!I101</f>
        <v>0</v>
      </c>
      <c r="J101" s="105" t="str">
        <f>Bevetel!J101</f>
        <v/>
      </c>
      <c r="K101" s="106" t="str">
        <f>Bevetel!K101</f>
        <v/>
      </c>
      <c r="L101" s="106" t="str">
        <f>Bevetel!L101</f>
        <v/>
      </c>
      <c r="M101" s="107"/>
      <c r="Q101" s="1">
        <f>VLOOKUP(G101,Keszlet!$C$5:$E$205,3,FALSE)</f>
        <v>0</v>
      </c>
      <c r="T101" s="1" t="str">
        <f t="shared" si="8"/>
        <v>0</v>
      </c>
      <c r="U101" s="1">
        <f t="shared" si="9"/>
        <v>0</v>
      </c>
      <c r="W101" s="6">
        <f t="shared" si="10"/>
        <v>0</v>
      </c>
      <c r="X101" s="6">
        <f t="shared" si="7"/>
        <v>55153</v>
      </c>
      <c r="Y101" s="1">
        <f t="shared" si="11"/>
        <v>996</v>
      </c>
      <c r="Z101" s="1">
        <f>IF(COUNTIF($Y$6:Y101,Y101)=1,Y101,Y101+COUNTIF($Y$5:Y100,Y101))</f>
        <v>1091</v>
      </c>
      <c r="AD101" s="1" t="str">
        <f t="shared" si="12"/>
        <v/>
      </c>
      <c r="BA101" s="1">
        <f>IF(W101&lt;=Leltar_iv!$Y$1,I101,0)</f>
        <v>0</v>
      </c>
    </row>
    <row r="102" spans="1:53" s="1" customFormat="1" hidden="1" x14ac:dyDescent="0.25">
      <c r="A102" s="18">
        <f>IF(COUNTIF($Y$6:Y102,Y102)=1,Y102,Y102+COUNTIF($Y$5:Y101,Y102))</f>
        <v>1092</v>
      </c>
      <c r="B102" s="1">
        <f>IF(AND(Kisero_iv!$N$2=C102,Kisero_iv!$K$5=$B$2,SUM(I102:L106)&lt;&gt;0,$B$4=YEAR(W102)),B101+1,0)</f>
        <v>0</v>
      </c>
      <c r="C102" s="1">
        <f>IF(YEAR(W101)&lt;&gt;YEAR(W102),1,IF(Bevetel!T102&lt;&gt;0,C101+1,C101))</f>
        <v>97</v>
      </c>
      <c r="D102" s="102" t="str">
        <f>Bevetel!D102</f>
        <v/>
      </c>
      <c r="E102" s="42">
        <f>Bevetel!E102</f>
        <v>0</v>
      </c>
      <c r="F102" s="38" t="str">
        <f>IF(Bevetel!F102&lt;&gt;0,Bevetel!F102,"")</f>
        <v/>
      </c>
      <c r="G102" s="38" t="str">
        <f>IF(Bevetel!G102&lt;&gt;0,Bevetel!G102,"")</f>
        <v/>
      </c>
      <c r="H102" s="38" t="str">
        <f>IF(Bevetel!H102&lt;&gt;0,Bevetel!H102,"")</f>
        <v/>
      </c>
      <c r="I102" s="38">
        <f>Bevetel!I102</f>
        <v>0</v>
      </c>
      <c r="J102" s="105" t="str">
        <f>Bevetel!J102</f>
        <v/>
      </c>
      <c r="K102" s="106" t="str">
        <f>Bevetel!K102</f>
        <v/>
      </c>
      <c r="L102" s="106" t="str">
        <f>Bevetel!L102</f>
        <v/>
      </c>
      <c r="M102" s="107"/>
      <c r="Q102" s="1">
        <f>VLOOKUP(G102,Keszlet!$C$5:$E$205,3,FALSE)</f>
        <v>0</v>
      </c>
      <c r="T102" s="1" t="str">
        <f t="shared" si="8"/>
        <v>0</v>
      </c>
      <c r="U102" s="1">
        <f t="shared" si="9"/>
        <v>0</v>
      </c>
      <c r="W102" s="6">
        <f t="shared" si="10"/>
        <v>0</v>
      </c>
      <c r="X102" s="6">
        <f t="shared" ref="X102:X133" si="13">IF(G102=q,W102,$X$1)</f>
        <v>55153</v>
      </c>
      <c r="Y102" s="1">
        <f t="shared" si="11"/>
        <v>996</v>
      </c>
      <c r="Z102" s="1">
        <f>IF(COUNTIF($Y$6:Y102,Y102)=1,Y102,Y102+COUNTIF($Y$5:Y101,Y102))</f>
        <v>1092</v>
      </c>
      <c r="AD102" s="1" t="str">
        <f t="shared" si="12"/>
        <v/>
      </c>
      <c r="BA102" s="1">
        <f>IF(W102&lt;=Leltar_iv!$Y$1,I102,0)</f>
        <v>0</v>
      </c>
    </row>
    <row r="103" spans="1:53" s="1" customFormat="1" hidden="1" x14ac:dyDescent="0.25">
      <c r="A103" s="18">
        <f>IF(COUNTIF($Y$6:Y103,Y103)=1,Y103,Y103+COUNTIF($Y$5:Y102,Y103))</f>
        <v>1093</v>
      </c>
      <c r="B103" s="1">
        <f>IF(AND(Kisero_iv!$N$2=C103,Kisero_iv!$K$5=$B$2,SUM(I103:L107)&lt;&gt;0,$B$4=YEAR(W103)),B102+1,0)</f>
        <v>0</v>
      </c>
      <c r="C103" s="1">
        <f>IF(YEAR(W102)&lt;&gt;YEAR(W103),1,IF(Bevetel!T103&lt;&gt;0,C102+1,C102))</f>
        <v>98</v>
      </c>
      <c r="D103" s="102" t="str">
        <f>Bevetel!D103</f>
        <v/>
      </c>
      <c r="E103" s="42">
        <f>Bevetel!E103</f>
        <v>0</v>
      </c>
      <c r="F103" s="38" t="str">
        <f>IF(Bevetel!F103&lt;&gt;0,Bevetel!F103,"")</f>
        <v/>
      </c>
      <c r="G103" s="38" t="str">
        <f>IF(Bevetel!G103&lt;&gt;0,Bevetel!G103,"")</f>
        <v/>
      </c>
      <c r="H103" s="38" t="str">
        <f>IF(Bevetel!H103&lt;&gt;0,Bevetel!H103,"")</f>
        <v/>
      </c>
      <c r="I103" s="38">
        <f>Bevetel!I103</f>
        <v>0</v>
      </c>
      <c r="J103" s="105" t="str">
        <f>Bevetel!J103</f>
        <v/>
      </c>
      <c r="K103" s="106" t="str">
        <f>Bevetel!K103</f>
        <v/>
      </c>
      <c r="L103" s="106" t="str">
        <f>Bevetel!L103</f>
        <v/>
      </c>
      <c r="M103" s="107"/>
      <c r="Q103" s="1">
        <f>VLOOKUP(G103,Keszlet!$C$5:$E$205,3,FALSE)</f>
        <v>0</v>
      </c>
      <c r="T103" s="1" t="str">
        <f t="shared" si="8"/>
        <v>0</v>
      </c>
      <c r="U103" s="1">
        <f t="shared" si="9"/>
        <v>0</v>
      </c>
      <c r="W103" s="6">
        <f t="shared" si="10"/>
        <v>0</v>
      </c>
      <c r="X103" s="6">
        <f t="shared" si="13"/>
        <v>55153</v>
      </c>
      <c r="Y103" s="1">
        <f t="shared" si="11"/>
        <v>996</v>
      </c>
      <c r="Z103" s="1">
        <f>IF(COUNTIF($Y$6:Y103,Y103)=1,Y103,Y103+COUNTIF($Y$5:Y102,Y103))</f>
        <v>1093</v>
      </c>
      <c r="AD103" s="1" t="str">
        <f t="shared" si="12"/>
        <v/>
      </c>
      <c r="BA103" s="1">
        <f>IF(W103&lt;=Leltar_iv!$Y$1,I103,0)</f>
        <v>0</v>
      </c>
    </row>
    <row r="104" spans="1:53" s="1" customFormat="1" hidden="1" x14ac:dyDescent="0.25">
      <c r="A104" s="18">
        <f>IF(COUNTIF($Y$6:Y104,Y104)=1,Y104,Y104+COUNTIF($Y$5:Y103,Y104))</f>
        <v>1094</v>
      </c>
      <c r="B104" s="1">
        <f>IF(AND(Kisero_iv!$N$2=C104,Kisero_iv!$K$5=$B$2,SUM(I104:L108)&lt;&gt;0,$B$4=YEAR(W104)),B103+1,0)</f>
        <v>0</v>
      </c>
      <c r="C104" s="1">
        <f>IF(YEAR(W103)&lt;&gt;YEAR(W104),1,IF(Bevetel!T104&lt;&gt;0,C103+1,C103))</f>
        <v>99</v>
      </c>
      <c r="D104" s="102" t="str">
        <f>Bevetel!D104</f>
        <v/>
      </c>
      <c r="E104" s="42">
        <f>Bevetel!E104</f>
        <v>0</v>
      </c>
      <c r="F104" s="38" t="str">
        <f>IF(Bevetel!F104&lt;&gt;0,Bevetel!F104,"")</f>
        <v/>
      </c>
      <c r="G104" s="38" t="str">
        <f>IF(Bevetel!G104&lt;&gt;0,Bevetel!G104,"")</f>
        <v/>
      </c>
      <c r="H104" s="38" t="str">
        <f>IF(Bevetel!H104&lt;&gt;0,Bevetel!H104,"")</f>
        <v/>
      </c>
      <c r="I104" s="38">
        <f>Bevetel!I104</f>
        <v>0</v>
      </c>
      <c r="J104" s="105" t="str">
        <f>Bevetel!J104</f>
        <v/>
      </c>
      <c r="K104" s="106" t="str">
        <f>Bevetel!K104</f>
        <v/>
      </c>
      <c r="L104" s="106" t="str">
        <f>Bevetel!L104</f>
        <v/>
      </c>
      <c r="M104" s="107"/>
      <c r="Q104" s="1">
        <f>VLOOKUP(G104,Keszlet!$C$5:$E$205,3,FALSE)</f>
        <v>0</v>
      </c>
      <c r="T104" s="1" t="str">
        <f t="shared" si="8"/>
        <v>0</v>
      </c>
      <c r="U104" s="1">
        <f t="shared" si="9"/>
        <v>0</v>
      </c>
      <c r="W104" s="6">
        <f t="shared" si="10"/>
        <v>0</v>
      </c>
      <c r="X104" s="6">
        <f t="shared" si="13"/>
        <v>55153</v>
      </c>
      <c r="Y104" s="1">
        <f t="shared" si="11"/>
        <v>996</v>
      </c>
      <c r="Z104" s="1">
        <f>IF(COUNTIF($Y$6:Y104,Y104)=1,Y104,Y104+COUNTIF($Y$5:Y103,Y104))</f>
        <v>1094</v>
      </c>
      <c r="AD104" s="1" t="str">
        <f t="shared" si="12"/>
        <v/>
      </c>
      <c r="BA104" s="1">
        <f>IF(W104&lt;=Leltar_iv!$Y$1,I104,0)</f>
        <v>0</v>
      </c>
    </row>
    <row r="105" spans="1:53" s="1" customFormat="1" hidden="1" x14ac:dyDescent="0.25">
      <c r="A105" s="18">
        <f>IF(COUNTIF($Y$6:Y105,Y105)=1,Y105,Y105+COUNTIF($Y$5:Y104,Y105))</f>
        <v>1095</v>
      </c>
      <c r="B105" s="1">
        <f>IF(AND(Kisero_iv!$N$2=C105,Kisero_iv!$K$5=$B$2,SUM(I105:L109)&lt;&gt;0,$B$4=YEAR(W105)),B104+1,0)</f>
        <v>0</v>
      </c>
      <c r="C105" s="1">
        <f>IF(YEAR(W104)&lt;&gt;YEAR(W105),1,IF(Bevetel!T105&lt;&gt;0,C104+1,C104))</f>
        <v>100</v>
      </c>
      <c r="D105" s="102" t="str">
        <f>Bevetel!D105</f>
        <v/>
      </c>
      <c r="E105" s="42">
        <f>Bevetel!E105</f>
        <v>0</v>
      </c>
      <c r="F105" s="38" t="str">
        <f>IF(Bevetel!F105&lt;&gt;0,Bevetel!F105,"")</f>
        <v/>
      </c>
      <c r="G105" s="38" t="str">
        <f>IF(Bevetel!G105&lt;&gt;0,Bevetel!G105,"")</f>
        <v/>
      </c>
      <c r="H105" s="38" t="str">
        <f>IF(Bevetel!H105&lt;&gt;0,Bevetel!H105,"")</f>
        <v/>
      </c>
      <c r="I105" s="38">
        <f>Bevetel!I105</f>
        <v>0</v>
      </c>
      <c r="J105" s="105" t="str">
        <f>Bevetel!J105</f>
        <v/>
      </c>
      <c r="K105" s="106" t="str">
        <f>Bevetel!K105</f>
        <v/>
      </c>
      <c r="L105" s="106" t="str">
        <f>Bevetel!L105</f>
        <v/>
      </c>
      <c r="M105" s="107"/>
      <c r="Q105" s="1">
        <f>VLOOKUP(G105,Keszlet!$C$5:$E$205,3,FALSE)</f>
        <v>0</v>
      </c>
      <c r="T105" s="1" t="str">
        <f t="shared" si="8"/>
        <v>0</v>
      </c>
      <c r="U105" s="1">
        <f t="shared" si="9"/>
        <v>0</v>
      </c>
      <c r="W105" s="6">
        <f t="shared" si="10"/>
        <v>0</v>
      </c>
      <c r="X105" s="6">
        <f t="shared" si="13"/>
        <v>55153</v>
      </c>
      <c r="Y105" s="1">
        <f t="shared" si="11"/>
        <v>996</v>
      </c>
      <c r="Z105" s="1">
        <f>IF(COUNTIF($Y$6:Y105,Y105)=1,Y105,Y105+COUNTIF($Y$5:Y104,Y105))</f>
        <v>1095</v>
      </c>
      <c r="AD105" s="1" t="str">
        <f t="shared" si="12"/>
        <v/>
      </c>
      <c r="BA105" s="1">
        <f>IF(W105&lt;=Leltar_iv!$Y$1,I105,0)</f>
        <v>0</v>
      </c>
    </row>
    <row r="106" spans="1:53" s="1" customFormat="1" hidden="1" x14ac:dyDescent="0.25">
      <c r="A106" s="18">
        <f>IF(COUNTIF($Y$6:Y106,Y106)=1,Y106,Y106+COUNTIF($Y$5:Y105,Y106))</f>
        <v>1096</v>
      </c>
      <c r="B106" s="1">
        <f>IF(AND(Kisero_iv!$N$2=C106,Kisero_iv!$K$5=$B$2,SUM(I106:L110)&lt;&gt;0,$B$4=YEAR(W106)),B105+1,0)</f>
        <v>0</v>
      </c>
      <c r="C106" s="1">
        <f>IF(YEAR(W105)&lt;&gt;YEAR(W106),1,IF(Bevetel!T106&lt;&gt;0,C105+1,C105))</f>
        <v>101</v>
      </c>
      <c r="D106" s="102" t="str">
        <f>Bevetel!D106</f>
        <v/>
      </c>
      <c r="E106" s="42">
        <f>Bevetel!E106</f>
        <v>0</v>
      </c>
      <c r="F106" s="38" t="str">
        <f>IF(Bevetel!F106&lt;&gt;0,Bevetel!F106,"")</f>
        <v/>
      </c>
      <c r="G106" s="38" t="str">
        <f>IF(Bevetel!G106&lt;&gt;0,Bevetel!G106,"")</f>
        <v/>
      </c>
      <c r="H106" s="38" t="str">
        <f>IF(Bevetel!H106&lt;&gt;0,Bevetel!H106,"")</f>
        <v/>
      </c>
      <c r="I106" s="38">
        <f>Bevetel!I106</f>
        <v>0</v>
      </c>
      <c r="J106" s="105" t="str">
        <f>Bevetel!J106</f>
        <v/>
      </c>
      <c r="K106" s="106" t="str">
        <f>Bevetel!K106</f>
        <v/>
      </c>
      <c r="L106" s="106" t="str">
        <f>Bevetel!L106</f>
        <v/>
      </c>
      <c r="M106" s="107"/>
      <c r="Q106" s="1">
        <f>VLOOKUP(G106,Keszlet!$C$5:$E$205,3,FALSE)</f>
        <v>0</v>
      </c>
      <c r="T106" s="1" t="str">
        <f t="shared" si="8"/>
        <v>0</v>
      </c>
      <c r="U106" s="1">
        <f t="shared" si="9"/>
        <v>0</v>
      </c>
      <c r="W106" s="6">
        <f t="shared" si="10"/>
        <v>0</v>
      </c>
      <c r="X106" s="6">
        <f t="shared" si="13"/>
        <v>55153</v>
      </c>
      <c r="Y106" s="1">
        <f t="shared" si="11"/>
        <v>996</v>
      </c>
      <c r="Z106" s="1">
        <f>IF(COUNTIF($Y$6:Y106,Y106)=1,Y106,Y106+COUNTIF($Y$5:Y105,Y106))</f>
        <v>1096</v>
      </c>
      <c r="AD106" s="1" t="str">
        <f t="shared" si="12"/>
        <v/>
      </c>
      <c r="BA106" s="1">
        <f>IF(W106&lt;=Leltar_iv!$Y$1,I106,0)</f>
        <v>0</v>
      </c>
    </row>
    <row r="107" spans="1:53" s="1" customFormat="1" hidden="1" x14ac:dyDescent="0.25">
      <c r="A107" s="18">
        <f>IF(COUNTIF($Y$6:Y107,Y107)=1,Y107,Y107+COUNTIF($Y$5:Y106,Y107))</f>
        <v>1097</v>
      </c>
      <c r="B107" s="1">
        <f>IF(AND(Kisero_iv!$N$2=C107,Kisero_iv!$K$5=$B$2,SUM(I107:L111)&lt;&gt;0,$B$4=YEAR(W107)),B106+1,0)</f>
        <v>0</v>
      </c>
      <c r="C107" s="1">
        <f>IF(YEAR(W106)&lt;&gt;YEAR(W107),1,IF(Bevetel!T107&lt;&gt;0,C106+1,C106))</f>
        <v>102</v>
      </c>
      <c r="D107" s="102" t="str">
        <f>Bevetel!D107</f>
        <v/>
      </c>
      <c r="E107" s="42">
        <f>Bevetel!E107</f>
        <v>0</v>
      </c>
      <c r="F107" s="38" t="str">
        <f>IF(Bevetel!F107&lt;&gt;0,Bevetel!F107,"")</f>
        <v/>
      </c>
      <c r="G107" s="38" t="str">
        <f>IF(Bevetel!G107&lt;&gt;0,Bevetel!G107,"")</f>
        <v/>
      </c>
      <c r="H107" s="38" t="str">
        <f>IF(Bevetel!H107&lt;&gt;0,Bevetel!H107,"")</f>
        <v/>
      </c>
      <c r="I107" s="38">
        <f>Bevetel!I107</f>
        <v>0</v>
      </c>
      <c r="J107" s="105" t="str">
        <f>Bevetel!J107</f>
        <v/>
      </c>
      <c r="K107" s="106" t="str">
        <f>Bevetel!K107</f>
        <v/>
      </c>
      <c r="L107" s="106" t="str">
        <f>Bevetel!L107</f>
        <v/>
      </c>
      <c r="M107" s="107"/>
      <c r="Q107" s="1">
        <f>VLOOKUP(G107,Keszlet!$C$5:$E$205,3,FALSE)</f>
        <v>0</v>
      </c>
      <c r="T107" s="1" t="str">
        <f t="shared" si="8"/>
        <v>0</v>
      </c>
      <c r="U107" s="1">
        <f t="shared" si="9"/>
        <v>0</v>
      </c>
      <c r="W107" s="6">
        <f t="shared" si="10"/>
        <v>0</v>
      </c>
      <c r="X107" s="6">
        <f t="shared" si="13"/>
        <v>55153</v>
      </c>
      <c r="Y107" s="1">
        <f t="shared" si="11"/>
        <v>996</v>
      </c>
      <c r="Z107" s="1">
        <f>IF(COUNTIF($Y$6:Y107,Y107)=1,Y107,Y107+COUNTIF($Y$5:Y106,Y107))</f>
        <v>1097</v>
      </c>
      <c r="AD107" s="1" t="str">
        <f t="shared" si="12"/>
        <v/>
      </c>
      <c r="BA107" s="1">
        <f>IF(W107&lt;=Leltar_iv!$Y$1,I107,0)</f>
        <v>0</v>
      </c>
    </row>
    <row r="108" spans="1:53" s="1" customFormat="1" hidden="1" x14ac:dyDescent="0.25">
      <c r="A108" s="18">
        <f>IF(COUNTIF($Y$6:Y108,Y108)=1,Y108,Y108+COUNTIF($Y$5:Y107,Y108))</f>
        <v>1098</v>
      </c>
      <c r="B108" s="1">
        <f>IF(AND(Kisero_iv!$N$2=C108,Kisero_iv!$K$5=$B$2,SUM(I108:L112)&lt;&gt;0,$B$4=YEAR(W108)),B107+1,0)</f>
        <v>0</v>
      </c>
      <c r="C108" s="1">
        <f>IF(YEAR(W107)&lt;&gt;YEAR(W108),1,IF(Bevetel!T108&lt;&gt;0,C107+1,C107))</f>
        <v>103</v>
      </c>
      <c r="D108" s="102" t="str">
        <f>Bevetel!D108</f>
        <v/>
      </c>
      <c r="E108" s="42">
        <f>Bevetel!E108</f>
        <v>0</v>
      </c>
      <c r="F108" s="38" t="str">
        <f>IF(Bevetel!F108&lt;&gt;0,Bevetel!F108,"")</f>
        <v/>
      </c>
      <c r="G108" s="38" t="str">
        <f>IF(Bevetel!G108&lt;&gt;0,Bevetel!G108,"")</f>
        <v/>
      </c>
      <c r="H108" s="38" t="str">
        <f>IF(Bevetel!H108&lt;&gt;0,Bevetel!H108,"")</f>
        <v/>
      </c>
      <c r="I108" s="38">
        <f>Bevetel!I108</f>
        <v>0</v>
      </c>
      <c r="J108" s="105" t="str">
        <f>Bevetel!J108</f>
        <v/>
      </c>
      <c r="K108" s="106" t="str">
        <f>Bevetel!K108</f>
        <v/>
      </c>
      <c r="L108" s="106" t="str">
        <f>Bevetel!L108</f>
        <v/>
      </c>
      <c r="M108" s="107"/>
      <c r="Q108" s="1">
        <f>VLOOKUP(G108,Keszlet!$C$5:$E$205,3,FALSE)</f>
        <v>0</v>
      </c>
      <c r="T108" s="1" t="str">
        <f t="shared" si="8"/>
        <v>0</v>
      </c>
      <c r="U108" s="1">
        <f t="shared" si="9"/>
        <v>0</v>
      </c>
      <c r="W108" s="6">
        <f t="shared" si="10"/>
        <v>0</v>
      </c>
      <c r="X108" s="6">
        <f t="shared" si="13"/>
        <v>55153</v>
      </c>
      <c r="Y108" s="1">
        <f t="shared" si="11"/>
        <v>996</v>
      </c>
      <c r="Z108" s="1">
        <f>IF(COUNTIF($Y$6:Y108,Y108)=1,Y108,Y108+COUNTIF($Y$5:Y107,Y108))</f>
        <v>1098</v>
      </c>
      <c r="AD108" s="1" t="str">
        <f t="shared" si="12"/>
        <v/>
      </c>
      <c r="BA108" s="1">
        <f>IF(W108&lt;=Leltar_iv!$Y$1,I108,0)</f>
        <v>0</v>
      </c>
    </row>
    <row r="109" spans="1:53" s="1" customFormat="1" hidden="1" x14ac:dyDescent="0.25">
      <c r="A109" s="18">
        <f>IF(COUNTIF($Y$6:Y109,Y109)=1,Y109,Y109+COUNTIF($Y$5:Y108,Y109))</f>
        <v>1099</v>
      </c>
      <c r="B109" s="1">
        <f>IF(AND(Kisero_iv!$N$2=C109,Kisero_iv!$K$5=$B$2,SUM(I109:L113)&lt;&gt;0,$B$4=YEAR(W109)),B108+1,0)</f>
        <v>0</v>
      </c>
      <c r="C109" s="1">
        <f>IF(YEAR(W108)&lt;&gt;YEAR(W109),1,IF(Bevetel!T109&lt;&gt;0,C108+1,C108))</f>
        <v>104</v>
      </c>
      <c r="D109" s="102" t="str">
        <f>Bevetel!D109</f>
        <v/>
      </c>
      <c r="E109" s="42">
        <f>Bevetel!E109</f>
        <v>0</v>
      </c>
      <c r="F109" s="38" t="str">
        <f>IF(Bevetel!F109&lt;&gt;0,Bevetel!F109,"")</f>
        <v/>
      </c>
      <c r="G109" s="38" t="str">
        <f>IF(Bevetel!G109&lt;&gt;0,Bevetel!G109,"")</f>
        <v/>
      </c>
      <c r="H109" s="38" t="str">
        <f>IF(Bevetel!H109&lt;&gt;0,Bevetel!H109,"")</f>
        <v/>
      </c>
      <c r="I109" s="38">
        <f>Bevetel!I109</f>
        <v>0</v>
      </c>
      <c r="J109" s="105" t="str">
        <f>Bevetel!J109</f>
        <v/>
      </c>
      <c r="K109" s="106" t="str">
        <f>Bevetel!K109</f>
        <v/>
      </c>
      <c r="L109" s="106" t="str">
        <f>Bevetel!L109</f>
        <v/>
      </c>
      <c r="M109" s="107"/>
      <c r="Q109" s="1">
        <f>VLOOKUP(G109,Keszlet!$C$5:$E$205,3,FALSE)</f>
        <v>0</v>
      </c>
      <c r="T109" s="1" t="str">
        <f t="shared" si="8"/>
        <v>0</v>
      </c>
      <c r="U109" s="1">
        <f t="shared" si="9"/>
        <v>0</v>
      </c>
      <c r="W109" s="6">
        <f t="shared" si="10"/>
        <v>0</v>
      </c>
      <c r="X109" s="6">
        <f t="shared" si="13"/>
        <v>55153</v>
      </c>
      <c r="Y109" s="1">
        <f t="shared" si="11"/>
        <v>996</v>
      </c>
      <c r="Z109" s="1">
        <f>IF(COUNTIF($Y$6:Y109,Y109)=1,Y109,Y109+COUNTIF($Y$5:Y108,Y109))</f>
        <v>1099</v>
      </c>
      <c r="AD109" s="1" t="str">
        <f t="shared" si="12"/>
        <v/>
      </c>
      <c r="BA109" s="1">
        <f>IF(W109&lt;=Leltar_iv!$Y$1,I109,0)</f>
        <v>0</v>
      </c>
    </row>
    <row r="110" spans="1:53" s="1" customFormat="1" hidden="1" x14ac:dyDescent="0.25">
      <c r="A110" s="18">
        <f>IF(COUNTIF($Y$6:Y110,Y110)=1,Y110,Y110+COUNTIF($Y$5:Y109,Y110))</f>
        <v>1100</v>
      </c>
      <c r="B110" s="1">
        <f>IF(AND(Kisero_iv!$N$2=C110,Kisero_iv!$K$5=$B$2,SUM(I110:L114)&lt;&gt;0,$B$4=YEAR(W110)),B109+1,0)</f>
        <v>0</v>
      </c>
      <c r="C110" s="1">
        <f>IF(YEAR(W109)&lt;&gt;YEAR(W110),1,IF(Bevetel!T110&lt;&gt;0,C109+1,C109))</f>
        <v>105</v>
      </c>
      <c r="D110" s="102" t="str">
        <f>Bevetel!D110</f>
        <v/>
      </c>
      <c r="E110" s="42">
        <f>Bevetel!E110</f>
        <v>0</v>
      </c>
      <c r="F110" s="38" t="str">
        <f>IF(Bevetel!F110&lt;&gt;0,Bevetel!F110,"")</f>
        <v/>
      </c>
      <c r="G110" s="38" t="str">
        <f>IF(Bevetel!G110&lt;&gt;0,Bevetel!G110,"")</f>
        <v/>
      </c>
      <c r="H110" s="38" t="str">
        <f>IF(Bevetel!H110&lt;&gt;0,Bevetel!H110,"")</f>
        <v/>
      </c>
      <c r="I110" s="38">
        <f>Bevetel!I110</f>
        <v>0</v>
      </c>
      <c r="J110" s="105" t="str">
        <f>Bevetel!J110</f>
        <v/>
      </c>
      <c r="K110" s="106" t="str">
        <f>Bevetel!K110</f>
        <v/>
      </c>
      <c r="L110" s="106" t="str">
        <f>Bevetel!L110</f>
        <v/>
      </c>
      <c r="M110" s="107"/>
      <c r="Q110" s="1">
        <f>VLOOKUP(G110,Keszlet!$C$5:$E$205,3,FALSE)</f>
        <v>0</v>
      </c>
      <c r="T110" s="1" t="str">
        <f t="shared" si="8"/>
        <v>0</v>
      </c>
      <c r="U110" s="1">
        <f t="shared" si="9"/>
        <v>0</v>
      </c>
      <c r="W110" s="6">
        <f t="shared" si="10"/>
        <v>0</v>
      </c>
      <c r="X110" s="6">
        <f t="shared" si="13"/>
        <v>55153</v>
      </c>
      <c r="Y110" s="1">
        <f t="shared" si="11"/>
        <v>996</v>
      </c>
      <c r="Z110" s="1">
        <f>IF(COUNTIF($Y$6:Y110,Y110)=1,Y110,Y110+COUNTIF($Y$5:Y109,Y110))</f>
        <v>1100</v>
      </c>
      <c r="AD110" s="1" t="str">
        <f t="shared" si="12"/>
        <v/>
      </c>
      <c r="BA110" s="1">
        <f>IF(W110&lt;=Leltar_iv!$Y$1,I110,0)</f>
        <v>0</v>
      </c>
    </row>
    <row r="111" spans="1:53" s="1" customFormat="1" hidden="1" x14ac:dyDescent="0.25">
      <c r="A111" s="18">
        <f>IF(COUNTIF($Y$6:Y111,Y111)=1,Y111,Y111+COUNTIF($Y$5:Y110,Y111))</f>
        <v>1101</v>
      </c>
      <c r="B111" s="1">
        <f>IF(AND(Kisero_iv!$N$2=C111,Kisero_iv!$K$5=$B$2,SUM(I111:L115)&lt;&gt;0,$B$4=YEAR(W111)),B110+1,0)</f>
        <v>0</v>
      </c>
      <c r="C111" s="1">
        <f>IF(YEAR(W110)&lt;&gt;YEAR(W111),1,IF(Bevetel!T111&lt;&gt;0,C110+1,C110))</f>
        <v>106</v>
      </c>
      <c r="D111" s="102" t="str">
        <f>Bevetel!D111</f>
        <v/>
      </c>
      <c r="E111" s="42">
        <f>Bevetel!E111</f>
        <v>0</v>
      </c>
      <c r="F111" s="38" t="str">
        <f>IF(Bevetel!F111&lt;&gt;0,Bevetel!F111,"")</f>
        <v/>
      </c>
      <c r="G111" s="38" t="str">
        <f>IF(Bevetel!G111&lt;&gt;0,Bevetel!G111,"")</f>
        <v/>
      </c>
      <c r="H111" s="38" t="str">
        <f>IF(Bevetel!H111&lt;&gt;0,Bevetel!H111,"")</f>
        <v/>
      </c>
      <c r="I111" s="38">
        <f>Bevetel!I111</f>
        <v>0</v>
      </c>
      <c r="J111" s="105" t="str">
        <f>Bevetel!J111</f>
        <v/>
      </c>
      <c r="K111" s="106" t="str">
        <f>Bevetel!K111</f>
        <v/>
      </c>
      <c r="L111" s="106" t="str">
        <f>Bevetel!L111</f>
        <v/>
      </c>
      <c r="M111" s="107"/>
      <c r="Q111" s="1">
        <f>VLOOKUP(G111,Keszlet!$C$5:$E$205,3,FALSE)</f>
        <v>0</v>
      </c>
      <c r="T111" s="1" t="str">
        <f t="shared" si="8"/>
        <v>0</v>
      </c>
      <c r="U111" s="1">
        <f t="shared" si="9"/>
        <v>0</v>
      </c>
      <c r="W111" s="6">
        <f t="shared" si="10"/>
        <v>0</v>
      </c>
      <c r="X111" s="6">
        <f t="shared" si="13"/>
        <v>55153</v>
      </c>
      <c r="Y111" s="1">
        <f t="shared" si="11"/>
        <v>996</v>
      </c>
      <c r="Z111" s="1">
        <f>IF(COUNTIF($Y$6:Y111,Y111)=1,Y111,Y111+COUNTIF($Y$5:Y110,Y111))</f>
        <v>1101</v>
      </c>
      <c r="AD111" s="1" t="str">
        <f t="shared" si="12"/>
        <v/>
      </c>
      <c r="BA111" s="1">
        <f>IF(W111&lt;=Leltar_iv!$Y$1,I111,0)</f>
        <v>0</v>
      </c>
    </row>
    <row r="112" spans="1:53" s="1" customFormat="1" hidden="1" x14ac:dyDescent="0.25">
      <c r="A112" s="18">
        <f>IF(COUNTIF($Y$6:Y112,Y112)=1,Y112,Y112+COUNTIF($Y$5:Y111,Y112))</f>
        <v>1102</v>
      </c>
      <c r="B112" s="1">
        <f>IF(AND(Kisero_iv!$N$2=C112,Kisero_iv!$K$5=$B$2,SUM(I112:L116)&lt;&gt;0,$B$4=YEAR(W112)),B111+1,0)</f>
        <v>0</v>
      </c>
      <c r="C112" s="1">
        <f>IF(YEAR(W111)&lt;&gt;YEAR(W112),1,IF(Bevetel!T112&lt;&gt;0,C111+1,C111))</f>
        <v>107</v>
      </c>
      <c r="D112" s="102" t="str">
        <f>Bevetel!D112</f>
        <v/>
      </c>
      <c r="E112" s="42">
        <f>Bevetel!E112</f>
        <v>0</v>
      </c>
      <c r="F112" s="38" t="str">
        <f>IF(Bevetel!F112&lt;&gt;0,Bevetel!F112,"")</f>
        <v/>
      </c>
      <c r="G112" s="38" t="str">
        <f>IF(Bevetel!G112&lt;&gt;0,Bevetel!G112,"")</f>
        <v/>
      </c>
      <c r="H112" s="38" t="str">
        <f>IF(Bevetel!H112&lt;&gt;0,Bevetel!H112,"")</f>
        <v/>
      </c>
      <c r="I112" s="38">
        <f>Bevetel!I112</f>
        <v>0</v>
      </c>
      <c r="J112" s="105" t="str">
        <f>Bevetel!J112</f>
        <v/>
      </c>
      <c r="K112" s="106" t="str">
        <f>Bevetel!K112</f>
        <v/>
      </c>
      <c r="L112" s="106" t="str">
        <f>Bevetel!L112</f>
        <v/>
      </c>
      <c r="M112" s="107"/>
      <c r="Q112" s="1">
        <f>VLOOKUP(G112,Keszlet!$C$5:$E$205,3,FALSE)</f>
        <v>0</v>
      </c>
      <c r="T112" s="1" t="str">
        <f t="shared" si="8"/>
        <v>0</v>
      </c>
      <c r="U112" s="1">
        <f t="shared" si="9"/>
        <v>0</v>
      </c>
      <c r="W112" s="6">
        <f t="shared" si="10"/>
        <v>0</v>
      </c>
      <c r="X112" s="6">
        <f t="shared" si="13"/>
        <v>55153</v>
      </c>
      <c r="Y112" s="1">
        <f t="shared" si="11"/>
        <v>996</v>
      </c>
      <c r="Z112" s="1">
        <f>IF(COUNTIF($Y$6:Y112,Y112)=1,Y112,Y112+COUNTIF($Y$5:Y111,Y112))</f>
        <v>1102</v>
      </c>
      <c r="AD112" s="1" t="str">
        <f t="shared" si="12"/>
        <v/>
      </c>
      <c r="BA112" s="1">
        <f>IF(W112&lt;=Leltar_iv!$Y$1,I112,0)</f>
        <v>0</v>
      </c>
    </row>
    <row r="113" spans="1:53" s="1" customFormat="1" hidden="1" x14ac:dyDescent="0.25">
      <c r="A113" s="18">
        <f>IF(COUNTIF($Y$6:Y113,Y113)=1,Y113,Y113+COUNTIF($Y$5:Y112,Y113))</f>
        <v>1103</v>
      </c>
      <c r="B113" s="1">
        <f>IF(AND(Kisero_iv!$N$2=C113,Kisero_iv!$K$5=$B$2,SUM(I113:L117)&lt;&gt;0,$B$4=YEAR(W113)),B112+1,0)</f>
        <v>0</v>
      </c>
      <c r="C113" s="1">
        <f>IF(YEAR(W112)&lt;&gt;YEAR(W113),1,IF(Bevetel!T113&lt;&gt;0,C112+1,C112))</f>
        <v>108</v>
      </c>
      <c r="D113" s="102" t="str">
        <f>Bevetel!D113</f>
        <v/>
      </c>
      <c r="E113" s="42">
        <f>Bevetel!E113</f>
        <v>0</v>
      </c>
      <c r="F113" s="38" t="str">
        <f>IF(Bevetel!F113&lt;&gt;0,Bevetel!F113,"")</f>
        <v/>
      </c>
      <c r="G113" s="38" t="str">
        <f>IF(Bevetel!G113&lt;&gt;0,Bevetel!G113,"")</f>
        <v/>
      </c>
      <c r="H113" s="38" t="str">
        <f>IF(Bevetel!H113&lt;&gt;0,Bevetel!H113,"")</f>
        <v/>
      </c>
      <c r="I113" s="38">
        <f>Bevetel!I113</f>
        <v>0</v>
      </c>
      <c r="J113" s="105" t="str">
        <f>Bevetel!J113</f>
        <v/>
      </c>
      <c r="K113" s="106" t="str">
        <f>Bevetel!K113</f>
        <v/>
      </c>
      <c r="L113" s="106" t="str">
        <f>Bevetel!L113</f>
        <v/>
      </c>
      <c r="M113" s="107"/>
      <c r="Q113" s="1">
        <f>VLOOKUP(G113,Keszlet!$C$5:$E$205,3,FALSE)</f>
        <v>0</v>
      </c>
      <c r="T113" s="1" t="str">
        <f t="shared" si="8"/>
        <v>0</v>
      </c>
      <c r="U113" s="1">
        <f t="shared" si="9"/>
        <v>0</v>
      </c>
      <c r="W113" s="6">
        <f t="shared" si="10"/>
        <v>0</v>
      </c>
      <c r="X113" s="6">
        <f t="shared" si="13"/>
        <v>55153</v>
      </c>
      <c r="Y113" s="1">
        <f t="shared" si="11"/>
        <v>996</v>
      </c>
      <c r="Z113" s="1">
        <f>IF(COUNTIF($Y$6:Y113,Y113)=1,Y113,Y113+COUNTIF($Y$5:Y112,Y113))</f>
        <v>1103</v>
      </c>
      <c r="AD113" s="1" t="str">
        <f t="shared" si="12"/>
        <v/>
      </c>
      <c r="BA113" s="1">
        <f>IF(W113&lt;=Leltar_iv!$Y$1,I113,0)</f>
        <v>0</v>
      </c>
    </row>
    <row r="114" spans="1:53" s="1" customFormat="1" hidden="1" x14ac:dyDescent="0.25">
      <c r="A114" s="18">
        <f>IF(COUNTIF($Y$6:Y114,Y114)=1,Y114,Y114+COUNTIF($Y$5:Y113,Y114))</f>
        <v>1104</v>
      </c>
      <c r="B114" s="1">
        <f>IF(AND(Kisero_iv!$N$2=C114,Kisero_iv!$K$5=$B$2,SUM(I114:L118)&lt;&gt;0,$B$4=YEAR(W114)),B113+1,0)</f>
        <v>0</v>
      </c>
      <c r="C114" s="1">
        <f>IF(YEAR(W113)&lt;&gt;YEAR(W114),1,IF(Bevetel!T114&lt;&gt;0,C113+1,C113))</f>
        <v>109</v>
      </c>
      <c r="D114" s="102" t="str">
        <f>Bevetel!D114</f>
        <v/>
      </c>
      <c r="E114" s="42">
        <f>Bevetel!E114</f>
        <v>0</v>
      </c>
      <c r="F114" s="38" t="str">
        <f>IF(Bevetel!F114&lt;&gt;0,Bevetel!F114,"")</f>
        <v/>
      </c>
      <c r="G114" s="38" t="str">
        <f>IF(Bevetel!G114&lt;&gt;0,Bevetel!G114,"")</f>
        <v/>
      </c>
      <c r="H114" s="38" t="str">
        <f>IF(Bevetel!H114&lt;&gt;0,Bevetel!H114,"")</f>
        <v/>
      </c>
      <c r="I114" s="38">
        <f>Bevetel!I114</f>
        <v>0</v>
      </c>
      <c r="J114" s="105" t="str">
        <f>Bevetel!J114</f>
        <v/>
      </c>
      <c r="K114" s="106" t="str">
        <f>Bevetel!K114</f>
        <v/>
      </c>
      <c r="L114" s="106" t="str">
        <f>Bevetel!L114</f>
        <v/>
      </c>
      <c r="M114" s="107"/>
      <c r="Q114" s="1">
        <f>VLOOKUP(G114,Keszlet!$C$5:$E$205,3,FALSE)</f>
        <v>0</v>
      </c>
      <c r="T114" s="1" t="str">
        <f t="shared" si="8"/>
        <v>0</v>
      </c>
      <c r="U114" s="1">
        <f t="shared" si="9"/>
        <v>0</v>
      </c>
      <c r="W114" s="6">
        <f t="shared" si="10"/>
        <v>0</v>
      </c>
      <c r="X114" s="6">
        <f t="shared" si="13"/>
        <v>55153</v>
      </c>
      <c r="Y114" s="1">
        <f t="shared" si="11"/>
        <v>996</v>
      </c>
      <c r="Z114" s="1">
        <f>IF(COUNTIF($Y$6:Y114,Y114)=1,Y114,Y114+COUNTIF($Y$5:Y113,Y114))</f>
        <v>1104</v>
      </c>
      <c r="AD114" s="1" t="str">
        <f t="shared" si="12"/>
        <v/>
      </c>
      <c r="BA114" s="1">
        <f>IF(W114&lt;=Leltar_iv!$Y$1,I114,0)</f>
        <v>0</v>
      </c>
    </row>
    <row r="115" spans="1:53" s="1" customFormat="1" hidden="1" x14ac:dyDescent="0.25">
      <c r="A115" s="18">
        <f>IF(COUNTIF($Y$6:Y115,Y115)=1,Y115,Y115+COUNTIF($Y$5:Y114,Y115))</f>
        <v>1105</v>
      </c>
      <c r="B115" s="1">
        <f>IF(AND(Kisero_iv!$N$2=C115,Kisero_iv!$K$5=$B$2,SUM(I115:L119)&lt;&gt;0,$B$4=YEAR(W115)),B114+1,0)</f>
        <v>0</v>
      </c>
      <c r="C115" s="1">
        <f>IF(YEAR(W114)&lt;&gt;YEAR(W115),1,IF(Bevetel!T115&lt;&gt;0,C114+1,C114))</f>
        <v>110</v>
      </c>
      <c r="D115" s="102" t="str">
        <f>Bevetel!D115</f>
        <v/>
      </c>
      <c r="E115" s="42">
        <f>Bevetel!E115</f>
        <v>0</v>
      </c>
      <c r="F115" s="38" t="str">
        <f>IF(Bevetel!F115&lt;&gt;0,Bevetel!F115,"")</f>
        <v/>
      </c>
      <c r="G115" s="38" t="str">
        <f>IF(Bevetel!G115&lt;&gt;0,Bevetel!G115,"")</f>
        <v/>
      </c>
      <c r="H115" s="38" t="str">
        <f>IF(Bevetel!H115&lt;&gt;0,Bevetel!H115,"")</f>
        <v/>
      </c>
      <c r="I115" s="38">
        <f>Bevetel!I115</f>
        <v>0</v>
      </c>
      <c r="J115" s="105" t="str">
        <f>Bevetel!J115</f>
        <v/>
      </c>
      <c r="K115" s="106" t="str">
        <f>Bevetel!K115</f>
        <v/>
      </c>
      <c r="L115" s="106" t="str">
        <f>Bevetel!L115</f>
        <v/>
      </c>
      <c r="M115" s="107"/>
      <c r="Q115" s="1">
        <f>VLOOKUP(G115,Keszlet!$C$5:$E$205,3,FALSE)</f>
        <v>0</v>
      </c>
      <c r="T115" s="1" t="str">
        <f t="shared" si="8"/>
        <v>0</v>
      </c>
      <c r="U115" s="1">
        <f t="shared" si="9"/>
        <v>0</v>
      </c>
      <c r="W115" s="6">
        <f t="shared" si="10"/>
        <v>0</v>
      </c>
      <c r="X115" s="6">
        <f t="shared" si="13"/>
        <v>55153</v>
      </c>
      <c r="Y115" s="1">
        <f t="shared" si="11"/>
        <v>996</v>
      </c>
      <c r="Z115" s="1">
        <f>IF(COUNTIF($Y$6:Y115,Y115)=1,Y115,Y115+COUNTIF($Y$5:Y114,Y115))</f>
        <v>1105</v>
      </c>
      <c r="AD115" s="1" t="str">
        <f t="shared" si="12"/>
        <v/>
      </c>
      <c r="BA115" s="1">
        <f>IF(W115&lt;=Leltar_iv!$Y$1,I115,0)</f>
        <v>0</v>
      </c>
    </row>
    <row r="116" spans="1:53" s="1" customFormat="1" hidden="1" x14ac:dyDescent="0.25">
      <c r="A116" s="18">
        <f>IF(COUNTIF($Y$6:Y116,Y116)=1,Y116,Y116+COUNTIF($Y$5:Y115,Y116))</f>
        <v>1106</v>
      </c>
      <c r="B116" s="1">
        <f>IF(AND(Kisero_iv!$N$2=C116,Kisero_iv!$K$5=$B$2,SUM(I116:L120)&lt;&gt;0,$B$4=YEAR(W116)),B115+1,0)</f>
        <v>0</v>
      </c>
      <c r="C116" s="1">
        <f>IF(YEAR(W115)&lt;&gt;YEAR(W116),1,IF(Bevetel!T116&lt;&gt;0,C115+1,C115))</f>
        <v>111</v>
      </c>
      <c r="D116" s="102" t="str">
        <f>Bevetel!D116</f>
        <v/>
      </c>
      <c r="E116" s="42">
        <f>Bevetel!E116</f>
        <v>0</v>
      </c>
      <c r="F116" s="38" t="str">
        <f>IF(Bevetel!F116&lt;&gt;0,Bevetel!F116,"")</f>
        <v/>
      </c>
      <c r="G116" s="38" t="str">
        <f>IF(Bevetel!G116&lt;&gt;0,Bevetel!G116,"")</f>
        <v/>
      </c>
      <c r="H116" s="38" t="str">
        <f>IF(Bevetel!H116&lt;&gt;0,Bevetel!H116,"")</f>
        <v/>
      </c>
      <c r="I116" s="38">
        <f>Bevetel!I116</f>
        <v>0</v>
      </c>
      <c r="J116" s="105" t="str">
        <f>Bevetel!J116</f>
        <v/>
      </c>
      <c r="K116" s="106" t="str">
        <f>Bevetel!K116</f>
        <v/>
      </c>
      <c r="L116" s="106" t="str">
        <f>Bevetel!L116</f>
        <v/>
      </c>
      <c r="M116" s="107"/>
      <c r="Q116" s="1">
        <f>VLOOKUP(G116,Keszlet!$C$5:$E$205,3,FALSE)</f>
        <v>0</v>
      </c>
      <c r="T116" s="1" t="str">
        <f t="shared" si="8"/>
        <v>0</v>
      </c>
      <c r="U116" s="1">
        <f t="shared" si="9"/>
        <v>0</v>
      </c>
      <c r="W116" s="6">
        <f t="shared" si="10"/>
        <v>0</v>
      </c>
      <c r="X116" s="6">
        <f t="shared" si="13"/>
        <v>55153</v>
      </c>
      <c r="Y116" s="1">
        <f t="shared" si="11"/>
        <v>996</v>
      </c>
      <c r="Z116" s="1">
        <f>IF(COUNTIF($Y$6:Y116,Y116)=1,Y116,Y116+COUNTIF($Y$5:Y115,Y116))</f>
        <v>1106</v>
      </c>
      <c r="AD116" s="1" t="str">
        <f t="shared" si="12"/>
        <v/>
      </c>
      <c r="BA116" s="1">
        <f>IF(W116&lt;=Leltar_iv!$Y$1,I116,0)</f>
        <v>0</v>
      </c>
    </row>
    <row r="117" spans="1:53" s="1" customFormat="1" hidden="1" x14ac:dyDescent="0.25">
      <c r="A117" s="18">
        <f>IF(COUNTIF($Y$6:Y117,Y117)=1,Y117,Y117+COUNTIF($Y$5:Y116,Y117))</f>
        <v>1107</v>
      </c>
      <c r="B117" s="1">
        <f>IF(AND(Kisero_iv!$N$2=C117,Kisero_iv!$K$5=$B$2,SUM(I117:L121)&lt;&gt;0,$B$4=YEAR(W117)),B116+1,0)</f>
        <v>0</v>
      </c>
      <c r="C117" s="1">
        <f>IF(YEAR(W116)&lt;&gt;YEAR(W117),1,IF(Bevetel!T117&lt;&gt;0,C116+1,C116))</f>
        <v>112</v>
      </c>
      <c r="D117" s="102" t="str">
        <f>Bevetel!D117</f>
        <v/>
      </c>
      <c r="E117" s="42">
        <f>Bevetel!E117</f>
        <v>0</v>
      </c>
      <c r="F117" s="38" t="str">
        <f>IF(Bevetel!F117&lt;&gt;0,Bevetel!F117,"")</f>
        <v/>
      </c>
      <c r="G117" s="38" t="str">
        <f>IF(Bevetel!G117&lt;&gt;0,Bevetel!G117,"")</f>
        <v/>
      </c>
      <c r="H117" s="38" t="str">
        <f>IF(Bevetel!H117&lt;&gt;0,Bevetel!H117,"")</f>
        <v/>
      </c>
      <c r="I117" s="38">
        <f>Bevetel!I117</f>
        <v>0</v>
      </c>
      <c r="J117" s="105" t="str">
        <f>Bevetel!J117</f>
        <v/>
      </c>
      <c r="K117" s="106" t="str">
        <f>Bevetel!K117</f>
        <v/>
      </c>
      <c r="L117" s="106" t="str">
        <f>Bevetel!L117</f>
        <v/>
      </c>
      <c r="M117" s="107"/>
      <c r="Q117" s="1">
        <f>VLOOKUP(G117,Keszlet!$C$5:$E$205,3,FALSE)</f>
        <v>0</v>
      </c>
      <c r="T117" s="1" t="str">
        <f t="shared" si="8"/>
        <v>0</v>
      </c>
      <c r="U117" s="1">
        <f t="shared" si="9"/>
        <v>0</v>
      </c>
      <c r="W117" s="6">
        <f t="shared" si="10"/>
        <v>0</v>
      </c>
      <c r="X117" s="6">
        <f t="shared" si="13"/>
        <v>55153</v>
      </c>
      <c r="Y117" s="1">
        <f t="shared" si="11"/>
        <v>996</v>
      </c>
      <c r="Z117" s="1">
        <f>IF(COUNTIF($Y$6:Y117,Y117)=1,Y117,Y117+COUNTIF($Y$5:Y116,Y117))</f>
        <v>1107</v>
      </c>
      <c r="AD117" s="1" t="str">
        <f t="shared" si="12"/>
        <v/>
      </c>
      <c r="BA117" s="1">
        <f>IF(W117&lt;=Leltar_iv!$Y$1,I117,0)</f>
        <v>0</v>
      </c>
    </row>
    <row r="118" spans="1:53" s="1" customFormat="1" hidden="1" x14ac:dyDescent="0.25">
      <c r="A118" s="18">
        <f>IF(COUNTIF($Y$6:Y118,Y118)=1,Y118,Y118+COUNTIF($Y$5:Y117,Y118))</f>
        <v>1108</v>
      </c>
      <c r="B118" s="1">
        <f>IF(AND(Kisero_iv!$N$2=C118,Kisero_iv!$K$5=$B$2,SUM(I118:L122)&lt;&gt;0,$B$4=YEAR(W118)),B117+1,0)</f>
        <v>0</v>
      </c>
      <c r="C118" s="1">
        <f>IF(YEAR(W117)&lt;&gt;YEAR(W118),1,IF(Bevetel!T118&lt;&gt;0,C117+1,C117))</f>
        <v>113</v>
      </c>
      <c r="D118" s="102" t="str">
        <f>Bevetel!D118</f>
        <v/>
      </c>
      <c r="E118" s="42">
        <f>Bevetel!E118</f>
        <v>0</v>
      </c>
      <c r="F118" s="38" t="str">
        <f>IF(Bevetel!F118&lt;&gt;0,Bevetel!F118,"")</f>
        <v/>
      </c>
      <c r="G118" s="38" t="str">
        <f>IF(Bevetel!G118&lt;&gt;0,Bevetel!G118,"")</f>
        <v/>
      </c>
      <c r="H118" s="38" t="str">
        <f>IF(Bevetel!H118&lt;&gt;0,Bevetel!H118,"")</f>
        <v/>
      </c>
      <c r="I118" s="38">
        <f>Bevetel!I118</f>
        <v>0</v>
      </c>
      <c r="J118" s="105" t="str">
        <f>Bevetel!J118</f>
        <v/>
      </c>
      <c r="K118" s="106" t="str">
        <f>Bevetel!K118</f>
        <v/>
      </c>
      <c r="L118" s="106" t="str">
        <f>Bevetel!L118</f>
        <v/>
      </c>
      <c r="M118" s="107"/>
      <c r="Q118" s="1">
        <f>VLOOKUP(G118,Keszlet!$C$5:$E$205,3,FALSE)</f>
        <v>0</v>
      </c>
      <c r="T118" s="1" t="str">
        <f t="shared" si="8"/>
        <v>0</v>
      </c>
      <c r="U118" s="1">
        <f t="shared" si="9"/>
        <v>0</v>
      </c>
      <c r="W118" s="6">
        <f t="shared" si="10"/>
        <v>0</v>
      </c>
      <c r="X118" s="6">
        <f t="shared" si="13"/>
        <v>55153</v>
      </c>
      <c r="Y118" s="1">
        <f t="shared" si="11"/>
        <v>996</v>
      </c>
      <c r="Z118" s="1">
        <f>IF(COUNTIF($Y$6:Y118,Y118)=1,Y118,Y118+COUNTIF($Y$5:Y117,Y118))</f>
        <v>1108</v>
      </c>
      <c r="AD118" s="1" t="str">
        <f t="shared" si="12"/>
        <v/>
      </c>
      <c r="BA118" s="1">
        <f>IF(W118&lt;=Leltar_iv!$Y$1,I118,0)</f>
        <v>0</v>
      </c>
    </row>
    <row r="119" spans="1:53" s="1" customFormat="1" hidden="1" x14ac:dyDescent="0.25">
      <c r="A119" s="18">
        <f>IF(COUNTIF($Y$6:Y119,Y119)=1,Y119,Y119+COUNTIF($Y$5:Y118,Y119))</f>
        <v>1109</v>
      </c>
      <c r="B119" s="1">
        <f>IF(AND(Kisero_iv!$N$2=C119,Kisero_iv!$K$5=$B$2,SUM(I119:L123)&lt;&gt;0,$B$4=YEAR(W119)),B118+1,0)</f>
        <v>0</v>
      </c>
      <c r="C119" s="1">
        <f>IF(YEAR(W118)&lt;&gt;YEAR(W119),1,IF(Bevetel!T119&lt;&gt;0,C118+1,C118))</f>
        <v>114</v>
      </c>
      <c r="D119" s="102" t="str">
        <f>Bevetel!D119</f>
        <v/>
      </c>
      <c r="E119" s="42">
        <f>Bevetel!E119</f>
        <v>0</v>
      </c>
      <c r="F119" s="38" t="str">
        <f>IF(Bevetel!F119&lt;&gt;0,Bevetel!F119,"")</f>
        <v/>
      </c>
      <c r="G119" s="38" t="str">
        <f>IF(Bevetel!G119&lt;&gt;0,Bevetel!G119,"")</f>
        <v/>
      </c>
      <c r="H119" s="38" t="str">
        <f>IF(Bevetel!H119&lt;&gt;0,Bevetel!H119,"")</f>
        <v/>
      </c>
      <c r="I119" s="38">
        <f>Bevetel!I119</f>
        <v>0</v>
      </c>
      <c r="J119" s="105" t="str">
        <f>Bevetel!J119</f>
        <v/>
      </c>
      <c r="K119" s="106" t="str">
        <f>Bevetel!K119</f>
        <v/>
      </c>
      <c r="L119" s="106" t="str">
        <f>Bevetel!L119</f>
        <v/>
      </c>
      <c r="M119" s="107"/>
      <c r="Q119" s="1">
        <f>VLOOKUP(G119,Keszlet!$C$5:$E$205,3,FALSE)</f>
        <v>0</v>
      </c>
      <c r="T119" s="1" t="str">
        <f t="shared" si="8"/>
        <v>0</v>
      </c>
      <c r="U119" s="1">
        <f t="shared" si="9"/>
        <v>0</v>
      </c>
      <c r="W119" s="6">
        <f t="shared" si="10"/>
        <v>0</v>
      </c>
      <c r="X119" s="6">
        <f t="shared" si="13"/>
        <v>55153</v>
      </c>
      <c r="Y119" s="1">
        <f t="shared" si="11"/>
        <v>996</v>
      </c>
      <c r="Z119" s="1">
        <f>IF(COUNTIF($Y$6:Y119,Y119)=1,Y119,Y119+COUNTIF($Y$5:Y118,Y119))</f>
        <v>1109</v>
      </c>
      <c r="AD119" s="1" t="str">
        <f t="shared" si="12"/>
        <v/>
      </c>
      <c r="BA119" s="1">
        <f>IF(W119&lt;=Leltar_iv!$Y$1,I119,0)</f>
        <v>0</v>
      </c>
    </row>
    <row r="120" spans="1:53" s="1" customFormat="1" hidden="1" x14ac:dyDescent="0.25">
      <c r="A120" s="18">
        <f>IF(COUNTIF($Y$6:Y120,Y120)=1,Y120,Y120+COUNTIF($Y$5:Y119,Y120))</f>
        <v>1110</v>
      </c>
      <c r="B120" s="1">
        <f>IF(AND(Kisero_iv!$N$2=C120,Kisero_iv!$K$5=$B$2,SUM(I120:L124)&lt;&gt;0,$B$4=YEAR(W120)),B119+1,0)</f>
        <v>0</v>
      </c>
      <c r="C120" s="1">
        <f>IF(YEAR(W119)&lt;&gt;YEAR(W120),1,IF(Bevetel!T120&lt;&gt;0,C119+1,C119))</f>
        <v>115</v>
      </c>
      <c r="D120" s="102" t="str">
        <f>Bevetel!D120</f>
        <v/>
      </c>
      <c r="E120" s="42">
        <f>Bevetel!E120</f>
        <v>0</v>
      </c>
      <c r="F120" s="38" t="str">
        <f>IF(Bevetel!F120&lt;&gt;0,Bevetel!F120,"")</f>
        <v/>
      </c>
      <c r="G120" s="38" t="str">
        <f>IF(Bevetel!G120&lt;&gt;0,Bevetel!G120,"")</f>
        <v/>
      </c>
      <c r="H120" s="38" t="str">
        <f>IF(Bevetel!H120&lt;&gt;0,Bevetel!H120,"")</f>
        <v/>
      </c>
      <c r="I120" s="38">
        <f>Bevetel!I120</f>
        <v>0</v>
      </c>
      <c r="J120" s="105" t="str">
        <f>Bevetel!J120</f>
        <v/>
      </c>
      <c r="K120" s="106" t="str">
        <f>Bevetel!K120</f>
        <v/>
      </c>
      <c r="L120" s="106" t="str">
        <f>Bevetel!L120</f>
        <v/>
      </c>
      <c r="M120" s="107"/>
      <c r="Q120" s="1">
        <f>VLOOKUP(G120,Keszlet!$C$5:$E$205,3,FALSE)</f>
        <v>0</v>
      </c>
      <c r="T120" s="1" t="str">
        <f t="shared" si="8"/>
        <v>0</v>
      </c>
      <c r="U120" s="1">
        <f t="shared" si="9"/>
        <v>0</v>
      </c>
      <c r="W120" s="6">
        <f t="shared" si="10"/>
        <v>0</v>
      </c>
      <c r="X120" s="6">
        <f t="shared" si="13"/>
        <v>55153</v>
      </c>
      <c r="Y120" s="1">
        <f t="shared" si="11"/>
        <v>996</v>
      </c>
      <c r="Z120" s="1">
        <f>IF(COUNTIF($Y$6:Y120,Y120)=1,Y120,Y120+COUNTIF($Y$5:Y119,Y120))</f>
        <v>1110</v>
      </c>
      <c r="AD120" s="1" t="str">
        <f t="shared" si="12"/>
        <v/>
      </c>
      <c r="BA120" s="1">
        <f>IF(W120&lt;=Leltar_iv!$Y$1,I120,0)</f>
        <v>0</v>
      </c>
    </row>
    <row r="121" spans="1:53" s="1" customFormat="1" hidden="1" x14ac:dyDescent="0.25">
      <c r="A121" s="18">
        <f>IF(COUNTIF($Y$6:Y121,Y121)=1,Y121,Y121+COUNTIF($Y$5:Y120,Y121))</f>
        <v>1111</v>
      </c>
      <c r="B121" s="1">
        <f>IF(AND(Kisero_iv!$N$2=C121,Kisero_iv!$K$5=$B$2,SUM(I121:L125)&lt;&gt;0,$B$4=YEAR(W121)),B120+1,0)</f>
        <v>0</v>
      </c>
      <c r="C121" s="1">
        <f>IF(YEAR(W120)&lt;&gt;YEAR(W121),1,IF(Bevetel!T121&lt;&gt;0,C120+1,C120))</f>
        <v>116</v>
      </c>
      <c r="D121" s="102" t="str">
        <f>Bevetel!D121</f>
        <v/>
      </c>
      <c r="E121" s="42">
        <f>Bevetel!E121</f>
        <v>0</v>
      </c>
      <c r="F121" s="38" t="str">
        <f>IF(Bevetel!F121&lt;&gt;0,Bevetel!F121,"")</f>
        <v/>
      </c>
      <c r="G121" s="38" t="str">
        <f>IF(Bevetel!G121&lt;&gt;0,Bevetel!G121,"")</f>
        <v/>
      </c>
      <c r="H121" s="38" t="str">
        <f>IF(Bevetel!H121&lt;&gt;0,Bevetel!H121,"")</f>
        <v/>
      </c>
      <c r="I121" s="38">
        <f>Bevetel!I121</f>
        <v>0</v>
      </c>
      <c r="J121" s="105" t="str">
        <f>Bevetel!J121</f>
        <v/>
      </c>
      <c r="K121" s="106" t="str">
        <f>Bevetel!K121</f>
        <v/>
      </c>
      <c r="L121" s="106" t="str">
        <f>Bevetel!L121</f>
        <v/>
      </c>
      <c r="M121" s="107"/>
      <c r="Q121" s="1">
        <f>VLOOKUP(G121,Keszlet!$C$5:$E$205,3,FALSE)</f>
        <v>0</v>
      </c>
      <c r="T121" s="1" t="str">
        <f t="shared" si="8"/>
        <v>0</v>
      </c>
      <c r="U121" s="1">
        <f t="shared" si="9"/>
        <v>0</v>
      </c>
      <c r="W121" s="6">
        <f t="shared" si="10"/>
        <v>0</v>
      </c>
      <c r="X121" s="6">
        <f t="shared" si="13"/>
        <v>55153</v>
      </c>
      <c r="Y121" s="1">
        <f t="shared" si="11"/>
        <v>996</v>
      </c>
      <c r="Z121" s="1">
        <f>IF(COUNTIF($Y$6:Y121,Y121)=1,Y121,Y121+COUNTIF($Y$5:Y120,Y121))</f>
        <v>1111</v>
      </c>
      <c r="AD121" s="1" t="str">
        <f t="shared" si="12"/>
        <v/>
      </c>
      <c r="BA121" s="1">
        <f>IF(W121&lt;=Leltar_iv!$Y$1,I121,0)</f>
        <v>0</v>
      </c>
    </row>
    <row r="122" spans="1:53" s="1" customFormat="1" hidden="1" x14ac:dyDescent="0.25">
      <c r="A122" s="18">
        <f>IF(COUNTIF($Y$6:Y122,Y122)=1,Y122,Y122+COUNTIF($Y$5:Y121,Y122))</f>
        <v>1112</v>
      </c>
      <c r="B122" s="1">
        <f>IF(AND(Kisero_iv!$N$2=C122,Kisero_iv!$K$5=$B$2,SUM(I122:L126)&lt;&gt;0,$B$4=YEAR(W122)),B121+1,0)</f>
        <v>0</v>
      </c>
      <c r="C122" s="1">
        <f>IF(YEAR(W121)&lt;&gt;YEAR(W122),1,IF(Bevetel!T122&lt;&gt;0,C121+1,C121))</f>
        <v>117</v>
      </c>
      <c r="D122" s="102" t="str">
        <f>Bevetel!D122</f>
        <v/>
      </c>
      <c r="E122" s="42">
        <f>Bevetel!E122</f>
        <v>0</v>
      </c>
      <c r="F122" s="38" t="str">
        <f>IF(Bevetel!F122&lt;&gt;0,Bevetel!F122,"")</f>
        <v/>
      </c>
      <c r="G122" s="38" t="str">
        <f>IF(Bevetel!G122&lt;&gt;0,Bevetel!G122,"")</f>
        <v/>
      </c>
      <c r="H122" s="38" t="str">
        <f>IF(Bevetel!H122&lt;&gt;0,Bevetel!H122,"")</f>
        <v/>
      </c>
      <c r="I122" s="38">
        <f>Bevetel!I122</f>
        <v>0</v>
      </c>
      <c r="J122" s="105" t="str">
        <f>Bevetel!J122</f>
        <v/>
      </c>
      <c r="K122" s="106" t="str">
        <f>Bevetel!K122</f>
        <v/>
      </c>
      <c r="L122" s="106" t="str">
        <f>Bevetel!L122</f>
        <v/>
      </c>
      <c r="M122" s="107"/>
      <c r="Q122" s="1">
        <f>VLOOKUP(G122,Keszlet!$C$5:$E$205,3,FALSE)</f>
        <v>0</v>
      </c>
      <c r="T122" s="1" t="str">
        <f t="shared" si="8"/>
        <v>0</v>
      </c>
      <c r="U122" s="1">
        <f t="shared" si="9"/>
        <v>0</v>
      </c>
      <c r="W122" s="6">
        <f t="shared" si="10"/>
        <v>0</v>
      </c>
      <c r="X122" s="6">
        <f t="shared" si="13"/>
        <v>55153</v>
      </c>
      <c r="Y122" s="1">
        <f t="shared" si="11"/>
        <v>996</v>
      </c>
      <c r="Z122" s="1">
        <f>IF(COUNTIF($Y$6:Y122,Y122)=1,Y122,Y122+COUNTIF($Y$5:Y121,Y122))</f>
        <v>1112</v>
      </c>
      <c r="AD122" s="1" t="str">
        <f t="shared" si="12"/>
        <v/>
      </c>
      <c r="BA122" s="1">
        <f>IF(W122&lt;=Leltar_iv!$Y$1,I122,0)</f>
        <v>0</v>
      </c>
    </row>
    <row r="123" spans="1:53" s="1" customFormat="1" hidden="1" x14ac:dyDescent="0.25">
      <c r="A123" s="18">
        <f>IF(COUNTIF($Y$6:Y123,Y123)=1,Y123,Y123+COUNTIF($Y$5:Y122,Y123))</f>
        <v>1113</v>
      </c>
      <c r="B123" s="1">
        <f>IF(AND(Kisero_iv!$N$2=C123,Kisero_iv!$K$5=$B$2,SUM(I123:L127)&lt;&gt;0,$B$4=YEAR(W123)),B122+1,0)</f>
        <v>0</v>
      </c>
      <c r="C123" s="1">
        <f>IF(YEAR(W122)&lt;&gt;YEAR(W123),1,IF(Bevetel!T123&lt;&gt;0,C122+1,C122))</f>
        <v>118</v>
      </c>
      <c r="D123" s="102" t="str">
        <f>Bevetel!D123</f>
        <v/>
      </c>
      <c r="E123" s="42">
        <f>Bevetel!E123</f>
        <v>0</v>
      </c>
      <c r="F123" s="38" t="str">
        <f>IF(Bevetel!F123&lt;&gt;0,Bevetel!F123,"")</f>
        <v/>
      </c>
      <c r="G123" s="38" t="str">
        <f>IF(Bevetel!G123&lt;&gt;0,Bevetel!G123,"")</f>
        <v/>
      </c>
      <c r="H123" s="38" t="str">
        <f>IF(Bevetel!H123&lt;&gt;0,Bevetel!H123,"")</f>
        <v/>
      </c>
      <c r="I123" s="38">
        <f>Bevetel!I123</f>
        <v>0</v>
      </c>
      <c r="J123" s="105" t="str">
        <f>Bevetel!J123</f>
        <v/>
      </c>
      <c r="K123" s="106" t="str">
        <f>Bevetel!K123</f>
        <v/>
      </c>
      <c r="L123" s="106" t="str">
        <f>Bevetel!L123</f>
        <v/>
      </c>
      <c r="M123" s="107"/>
      <c r="Q123" s="1">
        <f>VLOOKUP(G123,Keszlet!$C$5:$E$205,3,FALSE)</f>
        <v>0</v>
      </c>
      <c r="T123" s="1" t="str">
        <f t="shared" si="8"/>
        <v>0</v>
      </c>
      <c r="U123" s="1">
        <f t="shared" si="9"/>
        <v>0</v>
      </c>
      <c r="W123" s="6">
        <f t="shared" si="10"/>
        <v>0</v>
      </c>
      <c r="X123" s="6">
        <f t="shared" si="13"/>
        <v>55153</v>
      </c>
      <c r="Y123" s="1">
        <f t="shared" si="11"/>
        <v>996</v>
      </c>
      <c r="Z123" s="1">
        <f>IF(COUNTIF($Y$6:Y123,Y123)=1,Y123,Y123+COUNTIF($Y$5:Y122,Y123))</f>
        <v>1113</v>
      </c>
      <c r="AD123" s="1" t="str">
        <f t="shared" si="12"/>
        <v/>
      </c>
      <c r="BA123" s="1">
        <f>IF(W123&lt;=Leltar_iv!$Y$1,I123,0)</f>
        <v>0</v>
      </c>
    </row>
    <row r="124" spans="1:53" s="1" customFormat="1" hidden="1" x14ac:dyDescent="0.25">
      <c r="A124" s="18">
        <f>IF(COUNTIF($Y$6:Y124,Y124)=1,Y124,Y124+COUNTIF($Y$5:Y123,Y124))</f>
        <v>1114</v>
      </c>
      <c r="B124" s="1">
        <f>IF(AND(Kisero_iv!$N$2=C124,Kisero_iv!$K$5=$B$2,SUM(I124:L128)&lt;&gt;0,$B$4=YEAR(W124)),B123+1,0)</f>
        <v>0</v>
      </c>
      <c r="C124" s="1">
        <f>IF(YEAR(W123)&lt;&gt;YEAR(W124),1,IF(Bevetel!T124&lt;&gt;0,C123+1,C123))</f>
        <v>119</v>
      </c>
      <c r="D124" s="102" t="str">
        <f>Bevetel!D124</f>
        <v/>
      </c>
      <c r="E124" s="42">
        <f>Bevetel!E124</f>
        <v>0</v>
      </c>
      <c r="F124" s="38" t="str">
        <f>IF(Bevetel!F124&lt;&gt;0,Bevetel!F124,"")</f>
        <v/>
      </c>
      <c r="G124" s="38" t="str">
        <f>IF(Bevetel!G124&lt;&gt;0,Bevetel!G124,"")</f>
        <v/>
      </c>
      <c r="H124" s="38" t="str">
        <f>IF(Bevetel!H124&lt;&gt;0,Bevetel!H124,"")</f>
        <v/>
      </c>
      <c r="I124" s="38">
        <f>Bevetel!I124</f>
        <v>0</v>
      </c>
      <c r="J124" s="105" t="str">
        <f>Bevetel!J124</f>
        <v/>
      </c>
      <c r="K124" s="106" t="str">
        <f>Bevetel!K124</f>
        <v/>
      </c>
      <c r="L124" s="106" t="str">
        <f>Bevetel!L124</f>
        <v/>
      </c>
      <c r="M124" s="107"/>
      <c r="Q124" s="1">
        <f>VLOOKUP(G124,Keszlet!$C$5:$E$205,3,FALSE)</f>
        <v>0</v>
      </c>
      <c r="T124" s="1" t="str">
        <f t="shared" si="8"/>
        <v>0</v>
      </c>
      <c r="U124" s="1">
        <f t="shared" si="9"/>
        <v>0</v>
      </c>
      <c r="W124" s="6">
        <f t="shared" si="10"/>
        <v>0</v>
      </c>
      <c r="X124" s="6">
        <f t="shared" si="13"/>
        <v>55153</v>
      </c>
      <c r="Y124" s="1">
        <f t="shared" si="11"/>
        <v>996</v>
      </c>
      <c r="Z124" s="1">
        <f>IF(COUNTIF($Y$6:Y124,Y124)=1,Y124,Y124+COUNTIF($Y$5:Y123,Y124))</f>
        <v>1114</v>
      </c>
      <c r="AD124" s="1" t="str">
        <f t="shared" si="12"/>
        <v/>
      </c>
      <c r="BA124" s="1">
        <f>IF(W124&lt;=Leltar_iv!$Y$1,I124,0)</f>
        <v>0</v>
      </c>
    </row>
    <row r="125" spans="1:53" s="1" customFormat="1" hidden="1" x14ac:dyDescent="0.25">
      <c r="A125" s="18">
        <f>IF(COUNTIF($Y$6:Y125,Y125)=1,Y125,Y125+COUNTIF($Y$5:Y124,Y125))</f>
        <v>1115</v>
      </c>
      <c r="B125" s="1">
        <f>IF(AND(Kisero_iv!$N$2=C125,Kisero_iv!$K$5=$B$2,SUM(I125:L129)&lt;&gt;0,$B$4=YEAR(W125)),B124+1,0)</f>
        <v>0</v>
      </c>
      <c r="C125" s="1">
        <f>IF(YEAR(W124)&lt;&gt;YEAR(W125),1,IF(Bevetel!T125&lt;&gt;0,C124+1,C124))</f>
        <v>120</v>
      </c>
      <c r="D125" s="102" t="str">
        <f>Bevetel!D125</f>
        <v/>
      </c>
      <c r="E125" s="42">
        <f>Bevetel!E125</f>
        <v>0</v>
      </c>
      <c r="F125" s="38" t="str">
        <f>IF(Bevetel!F125&lt;&gt;0,Bevetel!F125,"")</f>
        <v/>
      </c>
      <c r="G125" s="38" t="str">
        <f>IF(Bevetel!G125&lt;&gt;0,Bevetel!G125,"")</f>
        <v/>
      </c>
      <c r="H125" s="38" t="str">
        <f>IF(Bevetel!H125&lt;&gt;0,Bevetel!H125,"")</f>
        <v/>
      </c>
      <c r="I125" s="38">
        <f>Bevetel!I125</f>
        <v>0</v>
      </c>
      <c r="J125" s="105" t="str">
        <f>Bevetel!J125</f>
        <v/>
      </c>
      <c r="K125" s="106" t="str">
        <f>Bevetel!K125</f>
        <v/>
      </c>
      <c r="L125" s="106" t="str">
        <f>Bevetel!L125</f>
        <v/>
      </c>
      <c r="M125" s="107"/>
      <c r="Q125" s="1">
        <f>VLOOKUP(G125,Keszlet!$C$5:$E$205,3,FALSE)</f>
        <v>0</v>
      </c>
      <c r="T125" s="1" t="str">
        <f t="shared" si="8"/>
        <v>0</v>
      </c>
      <c r="U125" s="1">
        <f t="shared" si="9"/>
        <v>0</v>
      </c>
      <c r="W125" s="6">
        <f t="shared" si="10"/>
        <v>0</v>
      </c>
      <c r="X125" s="6">
        <f t="shared" si="13"/>
        <v>55153</v>
      </c>
      <c r="Y125" s="1">
        <f t="shared" si="11"/>
        <v>996</v>
      </c>
      <c r="Z125" s="1">
        <f>IF(COUNTIF($Y$6:Y125,Y125)=1,Y125,Y125+COUNTIF($Y$5:Y124,Y125))</f>
        <v>1115</v>
      </c>
      <c r="AD125" s="1" t="str">
        <f t="shared" si="12"/>
        <v/>
      </c>
      <c r="BA125" s="1">
        <f>IF(W125&lt;=Leltar_iv!$Y$1,I125,0)</f>
        <v>0</v>
      </c>
    </row>
    <row r="126" spans="1:53" s="1" customFormat="1" hidden="1" x14ac:dyDescent="0.25">
      <c r="A126" s="18">
        <f>IF(COUNTIF($Y$6:Y126,Y126)=1,Y126,Y126+COUNTIF($Y$5:Y125,Y126))</f>
        <v>1116</v>
      </c>
      <c r="B126" s="1">
        <f>IF(AND(Kisero_iv!$N$2=C126,Kisero_iv!$K$5=$B$2,SUM(I126:L130)&lt;&gt;0,$B$4=YEAR(W126)),B125+1,0)</f>
        <v>0</v>
      </c>
      <c r="C126" s="1">
        <f>IF(YEAR(W125)&lt;&gt;YEAR(W126),1,IF(Bevetel!T126&lt;&gt;0,C125+1,C125))</f>
        <v>121</v>
      </c>
      <c r="D126" s="102" t="str">
        <f>Bevetel!D126</f>
        <v/>
      </c>
      <c r="E126" s="42">
        <f>Bevetel!E126</f>
        <v>0</v>
      </c>
      <c r="F126" s="38" t="str">
        <f>IF(Bevetel!F126&lt;&gt;0,Bevetel!F126,"")</f>
        <v/>
      </c>
      <c r="G126" s="38" t="str">
        <f>IF(Bevetel!G126&lt;&gt;0,Bevetel!G126,"")</f>
        <v/>
      </c>
      <c r="H126" s="38" t="str">
        <f>IF(Bevetel!H126&lt;&gt;0,Bevetel!H126,"")</f>
        <v/>
      </c>
      <c r="I126" s="38">
        <f>Bevetel!I126</f>
        <v>0</v>
      </c>
      <c r="J126" s="105" t="str">
        <f>Bevetel!J126</f>
        <v/>
      </c>
      <c r="K126" s="106" t="str">
        <f>Bevetel!K126</f>
        <v/>
      </c>
      <c r="L126" s="106" t="str">
        <f>Bevetel!L126</f>
        <v/>
      </c>
      <c r="M126" s="107"/>
      <c r="Q126" s="1">
        <f>VLOOKUP(G126,Keszlet!$C$5:$E$205,3,FALSE)</f>
        <v>0</v>
      </c>
      <c r="T126" s="1" t="str">
        <f t="shared" si="8"/>
        <v>0</v>
      </c>
      <c r="U126" s="1">
        <f t="shared" si="9"/>
        <v>0</v>
      </c>
      <c r="W126" s="6">
        <f t="shared" si="10"/>
        <v>0</v>
      </c>
      <c r="X126" s="6">
        <f t="shared" si="13"/>
        <v>55153</v>
      </c>
      <c r="Y126" s="1">
        <f t="shared" si="11"/>
        <v>996</v>
      </c>
      <c r="Z126" s="1">
        <f>IF(COUNTIF($Y$6:Y126,Y126)=1,Y126,Y126+COUNTIF($Y$5:Y125,Y126))</f>
        <v>1116</v>
      </c>
      <c r="AD126" s="1" t="str">
        <f t="shared" si="12"/>
        <v/>
      </c>
      <c r="BA126" s="1">
        <f>IF(W126&lt;=Leltar_iv!$Y$1,I126,0)</f>
        <v>0</v>
      </c>
    </row>
    <row r="127" spans="1:53" s="1" customFormat="1" hidden="1" x14ac:dyDescent="0.25">
      <c r="A127" s="18">
        <f>IF(COUNTIF($Y$6:Y127,Y127)=1,Y127,Y127+COUNTIF($Y$5:Y126,Y127))</f>
        <v>1117</v>
      </c>
      <c r="B127" s="1">
        <f>IF(AND(Kisero_iv!$N$2=C127,Kisero_iv!$K$5=$B$2,SUM(I127:L131)&lt;&gt;0,$B$4=YEAR(W127)),B126+1,0)</f>
        <v>0</v>
      </c>
      <c r="C127" s="1">
        <f>IF(YEAR(W126)&lt;&gt;YEAR(W127),1,IF(Bevetel!T127&lt;&gt;0,C126+1,C126))</f>
        <v>122</v>
      </c>
      <c r="D127" s="102" t="str">
        <f>Bevetel!D127</f>
        <v/>
      </c>
      <c r="E127" s="42">
        <f>Bevetel!E127</f>
        <v>0</v>
      </c>
      <c r="F127" s="38" t="str">
        <f>IF(Bevetel!F127&lt;&gt;0,Bevetel!F127,"")</f>
        <v/>
      </c>
      <c r="G127" s="38" t="str">
        <f>IF(Bevetel!G127&lt;&gt;0,Bevetel!G127,"")</f>
        <v/>
      </c>
      <c r="H127" s="38" t="str">
        <f>IF(Bevetel!H127&lt;&gt;0,Bevetel!H127,"")</f>
        <v/>
      </c>
      <c r="I127" s="38">
        <f>Bevetel!I127</f>
        <v>0</v>
      </c>
      <c r="J127" s="105" t="str">
        <f>Bevetel!J127</f>
        <v/>
      </c>
      <c r="K127" s="106" t="str">
        <f>Bevetel!K127</f>
        <v/>
      </c>
      <c r="L127" s="106" t="str">
        <f>Bevetel!L127</f>
        <v/>
      </c>
      <c r="M127" s="107"/>
      <c r="Q127" s="1">
        <f>VLOOKUP(G127,Keszlet!$C$5:$E$205,3,FALSE)</f>
        <v>0</v>
      </c>
      <c r="T127" s="1" t="str">
        <f t="shared" si="8"/>
        <v>0</v>
      </c>
      <c r="U127" s="1">
        <f t="shared" si="9"/>
        <v>0</v>
      </c>
      <c r="W127" s="6">
        <f t="shared" si="10"/>
        <v>0</v>
      </c>
      <c r="X127" s="6">
        <f t="shared" si="13"/>
        <v>55153</v>
      </c>
      <c r="Y127" s="1">
        <f t="shared" si="11"/>
        <v>996</v>
      </c>
      <c r="Z127" s="1">
        <f>IF(COUNTIF($Y$6:Y127,Y127)=1,Y127,Y127+COUNTIF($Y$5:Y126,Y127))</f>
        <v>1117</v>
      </c>
      <c r="AD127" s="1" t="str">
        <f t="shared" si="12"/>
        <v/>
      </c>
      <c r="BA127" s="1">
        <f>IF(W127&lt;=Leltar_iv!$Y$1,I127,0)</f>
        <v>0</v>
      </c>
    </row>
    <row r="128" spans="1:53" s="1" customFormat="1" hidden="1" x14ac:dyDescent="0.25">
      <c r="A128" s="18">
        <f>IF(COUNTIF($Y$6:Y128,Y128)=1,Y128,Y128+COUNTIF($Y$5:Y127,Y128))</f>
        <v>1118</v>
      </c>
      <c r="B128" s="1">
        <f>IF(AND(Kisero_iv!$N$2=C128,Kisero_iv!$K$5=$B$2,SUM(I128:L132)&lt;&gt;0,$B$4=YEAR(W128)),B127+1,0)</f>
        <v>0</v>
      </c>
      <c r="C128" s="1">
        <f>IF(YEAR(W127)&lt;&gt;YEAR(W128),1,IF(Bevetel!T128&lt;&gt;0,C127+1,C127))</f>
        <v>123</v>
      </c>
      <c r="D128" s="102" t="str">
        <f>Bevetel!D128</f>
        <v/>
      </c>
      <c r="E128" s="42">
        <f>Bevetel!E128</f>
        <v>0</v>
      </c>
      <c r="F128" s="38" t="str">
        <f>IF(Bevetel!F128&lt;&gt;0,Bevetel!F128,"")</f>
        <v/>
      </c>
      <c r="G128" s="38" t="str">
        <f>IF(Bevetel!G128&lt;&gt;0,Bevetel!G128,"")</f>
        <v/>
      </c>
      <c r="H128" s="38" t="str">
        <f>IF(Bevetel!H128&lt;&gt;0,Bevetel!H128,"")</f>
        <v/>
      </c>
      <c r="I128" s="38">
        <f>Bevetel!I128</f>
        <v>0</v>
      </c>
      <c r="J128" s="105" t="str">
        <f>Bevetel!J128</f>
        <v/>
      </c>
      <c r="K128" s="106" t="str">
        <f>Bevetel!K128</f>
        <v/>
      </c>
      <c r="L128" s="106" t="str">
        <f>Bevetel!L128</f>
        <v/>
      </c>
      <c r="M128" s="107"/>
      <c r="Q128" s="1">
        <f>VLOOKUP(G128,Keszlet!$C$5:$E$205,3,FALSE)</f>
        <v>0</v>
      </c>
      <c r="T128" s="1" t="str">
        <f t="shared" si="8"/>
        <v>0</v>
      </c>
      <c r="U128" s="1">
        <f t="shared" si="9"/>
        <v>0</v>
      </c>
      <c r="W128" s="6">
        <f t="shared" si="10"/>
        <v>0</v>
      </c>
      <c r="X128" s="6">
        <f t="shared" si="13"/>
        <v>55153</v>
      </c>
      <c r="Y128" s="1">
        <f t="shared" si="11"/>
        <v>996</v>
      </c>
      <c r="Z128" s="1">
        <f>IF(COUNTIF($Y$6:Y128,Y128)=1,Y128,Y128+COUNTIF($Y$5:Y127,Y128))</f>
        <v>1118</v>
      </c>
      <c r="AD128" s="1" t="str">
        <f t="shared" si="12"/>
        <v/>
      </c>
      <c r="BA128" s="1">
        <f>IF(W128&lt;=Leltar_iv!$Y$1,I128,0)</f>
        <v>0</v>
      </c>
    </row>
    <row r="129" spans="1:53" s="1" customFormat="1" hidden="1" x14ac:dyDescent="0.25">
      <c r="A129" s="18">
        <f>IF(COUNTIF($Y$6:Y129,Y129)=1,Y129,Y129+COUNTIF($Y$5:Y128,Y129))</f>
        <v>1119</v>
      </c>
      <c r="B129" s="1">
        <f>IF(AND(Kisero_iv!$N$2=C129,Kisero_iv!$K$5=$B$2,SUM(I129:L133)&lt;&gt;0,$B$4=YEAR(W129)),B128+1,0)</f>
        <v>0</v>
      </c>
      <c r="C129" s="1">
        <f>IF(YEAR(W128)&lt;&gt;YEAR(W129),1,IF(Bevetel!T129&lt;&gt;0,C128+1,C128))</f>
        <v>124</v>
      </c>
      <c r="D129" s="102" t="str">
        <f>Bevetel!D129</f>
        <v/>
      </c>
      <c r="E129" s="42">
        <f>Bevetel!E129</f>
        <v>0</v>
      </c>
      <c r="F129" s="38" t="str">
        <f>IF(Bevetel!F129&lt;&gt;0,Bevetel!F129,"")</f>
        <v/>
      </c>
      <c r="G129" s="38" t="str">
        <f>IF(Bevetel!G129&lt;&gt;0,Bevetel!G129,"")</f>
        <v/>
      </c>
      <c r="H129" s="38" t="str">
        <f>IF(Bevetel!H129&lt;&gt;0,Bevetel!H129,"")</f>
        <v/>
      </c>
      <c r="I129" s="38">
        <f>Bevetel!I129</f>
        <v>0</v>
      </c>
      <c r="J129" s="105" t="str">
        <f>Bevetel!J129</f>
        <v/>
      </c>
      <c r="K129" s="106" t="str">
        <f>Bevetel!K129</f>
        <v/>
      </c>
      <c r="L129" s="106" t="str">
        <f>Bevetel!L129</f>
        <v/>
      </c>
      <c r="M129" s="107"/>
      <c r="Q129" s="1">
        <f>VLOOKUP(G129,Keszlet!$C$5:$E$205,3,FALSE)</f>
        <v>0</v>
      </c>
      <c r="T129" s="1" t="str">
        <f t="shared" si="8"/>
        <v>0</v>
      </c>
      <c r="U129" s="1">
        <f t="shared" si="9"/>
        <v>0</v>
      </c>
      <c r="W129" s="6">
        <f t="shared" si="10"/>
        <v>0</v>
      </c>
      <c r="X129" s="6">
        <f t="shared" si="13"/>
        <v>55153</v>
      </c>
      <c r="Y129" s="1">
        <f t="shared" si="11"/>
        <v>996</v>
      </c>
      <c r="Z129" s="1">
        <f>IF(COUNTIF($Y$6:Y129,Y129)=1,Y129,Y129+COUNTIF($Y$5:Y128,Y129))</f>
        <v>1119</v>
      </c>
      <c r="AD129" s="1" t="str">
        <f t="shared" si="12"/>
        <v/>
      </c>
      <c r="BA129" s="1">
        <f>IF(W129&lt;=Leltar_iv!$Y$1,I129,0)</f>
        <v>0</v>
      </c>
    </row>
    <row r="130" spans="1:53" s="1" customFormat="1" hidden="1" x14ac:dyDescent="0.25">
      <c r="A130" s="18">
        <f>IF(COUNTIF($Y$6:Y130,Y130)=1,Y130,Y130+COUNTIF($Y$5:Y129,Y130))</f>
        <v>1120</v>
      </c>
      <c r="B130" s="1">
        <f>IF(AND(Kisero_iv!$N$2=C130,Kisero_iv!$K$5=$B$2,SUM(I130:L134)&lt;&gt;0,$B$4=YEAR(W130)),B129+1,0)</f>
        <v>0</v>
      </c>
      <c r="C130" s="1">
        <f>IF(YEAR(W129)&lt;&gt;YEAR(W130),1,IF(Bevetel!T130&lt;&gt;0,C129+1,C129))</f>
        <v>125</v>
      </c>
      <c r="D130" s="102" t="str">
        <f>Bevetel!D130</f>
        <v/>
      </c>
      <c r="E130" s="42">
        <f>Bevetel!E130</f>
        <v>0</v>
      </c>
      <c r="F130" s="38" t="str">
        <f>IF(Bevetel!F130&lt;&gt;0,Bevetel!F130,"")</f>
        <v/>
      </c>
      <c r="G130" s="38" t="str">
        <f>IF(Bevetel!G130&lt;&gt;0,Bevetel!G130,"")</f>
        <v/>
      </c>
      <c r="H130" s="38" t="str">
        <f>IF(Bevetel!H130&lt;&gt;0,Bevetel!H130,"")</f>
        <v/>
      </c>
      <c r="I130" s="38">
        <f>Bevetel!I130</f>
        <v>0</v>
      </c>
      <c r="J130" s="105" t="str">
        <f>Bevetel!J130</f>
        <v/>
      </c>
      <c r="K130" s="106" t="str">
        <f>Bevetel!K130</f>
        <v/>
      </c>
      <c r="L130" s="106" t="str">
        <f>Bevetel!L130</f>
        <v/>
      </c>
      <c r="M130" s="107"/>
      <c r="Q130" s="1">
        <f>VLOOKUP(G130,Keszlet!$C$5:$E$205,3,FALSE)</f>
        <v>0</v>
      </c>
      <c r="T130" s="1" t="str">
        <f t="shared" si="8"/>
        <v>0</v>
      </c>
      <c r="U130" s="1">
        <f t="shared" si="9"/>
        <v>0</v>
      </c>
      <c r="W130" s="6">
        <f t="shared" si="10"/>
        <v>0</v>
      </c>
      <c r="X130" s="6">
        <f t="shared" si="13"/>
        <v>55153</v>
      </c>
      <c r="Y130" s="1">
        <f t="shared" si="11"/>
        <v>996</v>
      </c>
      <c r="Z130" s="1">
        <f>IF(COUNTIF($Y$6:Y130,Y130)=1,Y130,Y130+COUNTIF($Y$5:Y129,Y130))</f>
        <v>1120</v>
      </c>
      <c r="AD130" s="1" t="str">
        <f t="shared" si="12"/>
        <v/>
      </c>
      <c r="BA130" s="1">
        <f>IF(W130&lt;=Leltar_iv!$Y$1,I130,0)</f>
        <v>0</v>
      </c>
    </row>
    <row r="131" spans="1:53" s="1" customFormat="1" hidden="1" x14ac:dyDescent="0.25">
      <c r="A131" s="18">
        <f>IF(COUNTIF($Y$6:Y131,Y131)=1,Y131,Y131+COUNTIF($Y$5:Y130,Y131))</f>
        <v>1121</v>
      </c>
      <c r="B131" s="1">
        <f>IF(AND(Kisero_iv!$N$2=C131,Kisero_iv!$K$5=$B$2,SUM(I131:L135)&lt;&gt;0,$B$4=YEAR(W131)),B130+1,0)</f>
        <v>0</v>
      </c>
      <c r="C131" s="1">
        <f>IF(YEAR(W130)&lt;&gt;YEAR(W131),1,IF(Bevetel!T131&lt;&gt;0,C130+1,C130))</f>
        <v>126</v>
      </c>
      <c r="D131" s="102" t="str">
        <f>Bevetel!D131</f>
        <v/>
      </c>
      <c r="E131" s="42">
        <f>Bevetel!E131</f>
        <v>0</v>
      </c>
      <c r="F131" s="38" t="str">
        <f>IF(Bevetel!F131&lt;&gt;0,Bevetel!F131,"")</f>
        <v/>
      </c>
      <c r="G131" s="38" t="str">
        <f>IF(Bevetel!G131&lt;&gt;0,Bevetel!G131,"")</f>
        <v/>
      </c>
      <c r="H131" s="38" t="str">
        <f>IF(Bevetel!H131&lt;&gt;0,Bevetel!H131,"")</f>
        <v/>
      </c>
      <c r="I131" s="38">
        <f>Bevetel!I131</f>
        <v>0</v>
      </c>
      <c r="J131" s="105" t="str">
        <f>Bevetel!J131</f>
        <v/>
      </c>
      <c r="K131" s="106" t="str">
        <f>Bevetel!K131</f>
        <v/>
      </c>
      <c r="L131" s="106" t="str">
        <f>Bevetel!L131</f>
        <v/>
      </c>
      <c r="M131" s="107"/>
      <c r="Q131" s="1">
        <f>VLOOKUP(G131,Keszlet!$C$5:$E$205,3,FALSE)</f>
        <v>0</v>
      </c>
      <c r="T131" s="1" t="str">
        <f t="shared" si="8"/>
        <v>0</v>
      </c>
      <c r="U131" s="1">
        <f t="shared" si="9"/>
        <v>0</v>
      </c>
      <c r="W131" s="6">
        <f t="shared" si="10"/>
        <v>0</v>
      </c>
      <c r="X131" s="6">
        <f t="shared" si="13"/>
        <v>55153</v>
      </c>
      <c r="Y131" s="1">
        <f t="shared" si="11"/>
        <v>996</v>
      </c>
      <c r="Z131" s="1">
        <f>IF(COUNTIF($Y$6:Y131,Y131)=1,Y131,Y131+COUNTIF($Y$5:Y130,Y131))</f>
        <v>1121</v>
      </c>
      <c r="AD131" s="1" t="str">
        <f t="shared" si="12"/>
        <v/>
      </c>
      <c r="BA131" s="1">
        <f>IF(W131&lt;=Leltar_iv!$Y$1,I131,0)</f>
        <v>0</v>
      </c>
    </row>
    <row r="132" spans="1:53" s="1" customFormat="1" hidden="1" x14ac:dyDescent="0.25">
      <c r="A132" s="18">
        <f>IF(COUNTIF($Y$6:Y132,Y132)=1,Y132,Y132+COUNTIF($Y$5:Y131,Y132))</f>
        <v>1122</v>
      </c>
      <c r="B132" s="1">
        <f>IF(AND(Kisero_iv!$N$2=C132,Kisero_iv!$K$5=$B$2,SUM(I132:L136)&lt;&gt;0,$B$4=YEAR(W132)),B131+1,0)</f>
        <v>0</v>
      </c>
      <c r="C132" s="1">
        <f>IF(YEAR(W131)&lt;&gt;YEAR(W132),1,IF(Bevetel!T132&lt;&gt;0,C131+1,C131))</f>
        <v>127</v>
      </c>
      <c r="D132" s="102" t="str">
        <f>Bevetel!D132</f>
        <v/>
      </c>
      <c r="E132" s="42">
        <f>Bevetel!E132</f>
        <v>0</v>
      </c>
      <c r="F132" s="38" t="str">
        <f>IF(Bevetel!F132&lt;&gt;0,Bevetel!F132,"")</f>
        <v/>
      </c>
      <c r="G132" s="38" t="str">
        <f>IF(Bevetel!G132&lt;&gt;0,Bevetel!G132,"")</f>
        <v/>
      </c>
      <c r="H132" s="38" t="str">
        <f>IF(Bevetel!H132&lt;&gt;0,Bevetel!H132,"")</f>
        <v/>
      </c>
      <c r="I132" s="38">
        <f>Bevetel!I132</f>
        <v>0</v>
      </c>
      <c r="J132" s="105" t="str">
        <f>Bevetel!J132</f>
        <v/>
      </c>
      <c r="K132" s="106" t="str">
        <f>Bevetel!K132</f>
        <v/>
      </c>
      <c r="L132" s="106" t="str">
        <f>Bevetel!L132</f>
        <v/>
      </c>
      <c r="M132" s="107"/>
      <c r="Q132" s="1">
        <f>VLOOKUP(G132,Keszlet!$C$5:$E$205,3,FALSE)</f>
        <v>0</v>
      </c>
      <c r="T132" s="1" t="str">
        <f t="shared" si="8"/>
        <v>0</v>
      </c>
      <c r="U132" s="1">
        <f t="shared" si="9"/>
        <v>0</v>
      </c>
      <c r="W132" s="6">
        <f t="shared" si="10"/>
        <v>0</v>
      </c>
      <c r="X132" s="6">
        <f t="shared" si="13"/>
        <v>55153</v>
      </c>
      <c r="Y132" s="1">
        <f t="shared" si="11"/>
        <v>996</v>
      </c>
      <c r="Z132" s="1">
        <f>IF(COUNTIF($Y$6:Y132,Y132)=1,Y132,Y132+COUNTIF($Y$5:Y131,Y132))</f>
        <v>1122</v>
      </c>
      <c r="AD132" s="1" t="str">
        <f t="shared" si="12"/>
        <v/>
      </c>
      <c r="BA132" s="1">
        <f>IF(W132&lt;=Leltar_iv!$Y$1,I132,0)</f>
        <v>0</v>
      </c>
    </row>
    <row r="133" spans="1:53" s="1" customFormat="1" hidden="1" x14ac:dyDescent="0.25">
      <c r="A133" s="18">
        <f>IF(COUNTIF($Y$6:Y133,Y133)=1,Y133,Y133+COUNTIF($Y$5:Y132,Y133))</f>
        <v>1123</v>
      </c>
      <c r="B133" s="1">
        <f>IF(AND(Kisero_iv!$N$2=C133,Kisero_iv!$K$5=$B$2,SUM(I133:L137)&lt;&gt;0,$B$4=YEAR(W133)),B132+1,0)</f>
        <v>0</v>
      </c>
      <c r="C133" s="1">
        <f>IF(YEAR(W132)&lt;&gt;YEAR(W133),1,IF(Bevetel!T133&lt;&gt;0,C132+1,C132))</f>
        <v>128</v>
      </c>
      <c r="D133" s="102" t="str">
        <f>Bevetel!D133</f>
        <v/>
      </c>
      <c r="E133" s="42">
        <f>Bevetel!E133</f>
        <v>0</v>
      </c>
      <c r="F133" s="38" t="str">
        <f>IF(Bevetel!F133&lt;&gt;0,Bevetel!F133,"")</f>
        <v/>
      </c>
      <c r="G133" s="38" t="str">
        <f>IF(Bevetel!G133&lt;&gt;0,Bevetel!G133,"")</f>
        <v/>
      </c>
      <c r="H133" s="38" t="str">
        <f>IF(Bevetel!H133&lt;&gt;0,Bevetel!H133,"")</f>
        <v/>
      </c>
      <c r="I133" s="38">
        <f>Bevetel!I133</f>
        <v>0</v>
      </c>
      <c r="J133" s="105" t="str">
        <f>Bevetel!J133</f>
        <v/>
      </c>
      <c r="K133" s="106" t="str">
        <f>Bevetel!K133</f>
        <v/>
      </c>
      <c r="L133" s="106" t="str">
        <f>Bevetel!L133</f>
        <v/>
      </c>
      <c r="M133" s="107"/>
      <c r="Q133" s="1">
        <f>VLOOKUP(G133,Keszlet!$C$5:$E$205,3,FALSE)</f>
        <v>0</v>
      </c>
      <c r="T133" s="1" t="str">
        <f t="shared" si="8"/>
        <v>0</v>
      </c>
      <c r="U133" s="1">
        <f t="shared" si="9"/>
        <v>0</v>
      </c>
      <c r="W133" s="6">
        <f t="shared" si="10"/>
        <v>0</v>
      </c>
      <c r="X133" s="6">
        <f t="shared" si="13"/>
        <v>55153</v>
      </c>
      <c r="Y133" s="1">
        <f t="shared" si="11"/>
        <v>996</v>
      </c>
      <c r="Z133" s="1">
        <f>IF(COUNTIF($Y$6:Y133,Y133)=1,Y133,Y133+COUNTIF($Y$5:Y132,Y133))</f>
        <v>1123</v>
      </c>
      <c r="AD133" s="1" t="str">
        <f t="shared" si="12"/>
        <v/>
      </c>
      <c r="BA133" s="1">
        <f>IF(W133&lt;=Leltar_iv!$Y$1,I133,0)</f>
        <v>0</v>
      </c>
    </row>
    <row r="134" spans="1:53" s="1" customFormat="1" hidden="1" x14ac:dyDescent="0.25">
      <c r="A134" s="18">
        <f>IF(COUNTIF($Y$6:Y134,Y134)=1,Y134,Y134+COUNTIF($Y$5:Y133,Y134))</f>
        <v>1124</v>
      </c>
      <c r="B134" s="1">
        <f>IF(AND(Kisero_iv!$N$2=C134,Kisero_iv!$K$5=$B$2,SUM(I134:L138)&lt;&gt;0,$B$4=YEAR(W134)),B133+1,0)</f>
        <v>0</v>
      </c>
      <c r="C134" s="1">
        <f>IF(YEAR(W133)&lt;&gt;YEAR(W134),1,IF(Bevetel!T134&lt;&gt;0,C133+1,C133))</f>
        <v>129</v>
      </c>
      <c r="D134" s="102" t="str">
        <f>Bevetel!D134</f>
        <v/>
      </c>
      <c r="E134" s="42">
        <f>Bevetel!E134</f>
        <v>0</v>
      </c>
      <c r="F134" s="38" t="str">
        <f>IF(Bevetel!F134&lt;&gt;0,Bevetel!F134,"")</f>
        <v/>
      </c>
      <c r="G134" s="38" t="str">
        <f>IF(Bevetel!G134&lt;&gt;0,Bevetel!G134,"")</f>
        <v/>
      </c>
      <c r="H134" s="38" t="str">
        <f>IF(Bevetel!H134&lt;&gt;0,Bevetel!H134,"")</f>
        <v/>
      </c>
      <c r="I134" s="38">
        <f>Bevetel!I134</f>
        <v>0</v>
      </c>
      <c r="J134" s="105" t="str">
        <f>Bevetel!J134</f>
        <v/>
      </c>
      <c r="K134" s="106" t="str">
        <f>Bevetel!K134</f>
        <v/>
      </c>
      <c r="L134" s="106" t="str">
        <f>Bevetel!L134</f>
        <v/>
      </c>
      <c r="M134" s="107"/>
      <c r="Q134" s="1">
        <f>VLOOKUP(G134,Keszlet!$C$5:$E$205,3,FALSE)</f>
        <v>0</v>
      </c>
      <c r="T134" s="1" t="str">
        <f t="shared" si="8"/>
        <v>0</v>
      </c>
      <c r="U134" s="1">
        <f t="shared" si="9"/>
        <v>0</v>
      </c>
      <c r="W134" s="6">
        <f t="shared" si="10"/>
        <v>0</v>
      </c>
      <c r="X134" s="6">
        <f t="shared" ref="X134:X165" si="14">IF(G134=q,W134,$X$1)</f>
        <v>55153</v>
      </c>
      <c r="Y134" s="1">
        <f t="shared" si="11"/>
        <v>996</v>
      </c>
      <c r="Z134" s="1">
        <f>IF(COUNTIF($Y$6:Y134,Y134)=1,Y134,Y134+COUNTIF($Y$5:Y133,Y134))</f>
        <v>1124</v>
      </c>
      <c r="AD134" s="1" t="str">
        <f t="shared" si="12"/>
        <v/>
      </c>
      <c r="BA134" s="1">
        <f>IF(W134&lt;=Leltar_iv!$Y$1,I134,0)</f>
        <v>0</v>
      </c>
    </row>
    <row r="135" spans="1:53" s="1" customFormat="1" hidden="1" x14ac:dyDescent="0.25">
      <c r="A135" s="18">
        <f>IF(COUNTIF($Y$6:Y135,Y135)=1,Y135,Y135+COUNTIF($Y$5:Y134,Y135))</f>
        <v>1125</v>
      </c>
      <c r="B135" s="1">
        <f>IF(AND(Kisero_iv!$N$2=C135,Kisero_iv!$K$5=$B$2,SUM(I135:L139)&lt;&gt;0,$B$4=YEAR(W135)),B134+1,0)</f>
        <v>0</v>
      </c>
      <c r="C135" s="1">
        <f>IF(YEAR(W134)&lt;&gt;YEAR(W135),1,IF(Bevetel!T135&lt;&gt;0,C134+1,C134))</f>
        <v>130</v>
      </c>
      <c r="D135" s="102" t="str">
        <f>Bevetel!D135</f>
        <v/>
      </c>
      <c r="E135" s="42">
        <f>Bevetel!E135</f>
        <v>0</v>
      </c>
      <c r="F135" s="38" t="str">
        <f>IF(Bevetel!F135&lt;&gt;0,Bevetel!F135,"")</f>
        <v/>
      </c>
      <c r="G135" s="38" t="str">
        <f>IF(Bevetel!G135&lt;&gt;0,Bevetel!G135,"")</f>
        <v/>
      </c>
      <c r="H135" s="38" t="str">
        <f>IF(Bevetel!H135&lt;&gt;0,Bevetel!H135,"")</f>
        <v/>
      </c>
      <c r="I135" s="38">
        <f>Bevetel!I135</f>
        <v>0</v>
      </c>
      <c r="J135" s="105" t="str">
        <f>Bevetel!J135</f>
        <v/>
      </c>
      <c r="K135" s="106" t="str">
        <f>Bevetel!K135</f>
        <v/>
      </c>
      <c r="L135" s="106" t="str">
        <f>Bevetel!L135</f>
        <v/>
      </c>
      <c r="M135" s="107"/>
      <c r="Q135" s="1">
        <f>VLOOKUP(G135,Keszlet!$C$5:$E$205,3,FALSE)</f>
        <v>0</v>
      </c>
      <c r="T135" s="1" t="str">
        <f t="shared" ref="T135:T198" si="15">IF(OR(E135&lt;&gt;0,COUNTIF(T130:T134,0)=5,F135&lt;&gt;"",SUM(L135:L155)=0),E135&amp;F135,0)</f>
        <v>0</v>
      </c>
      <c r="U135" s="1">
        <f t="shared" ref="U135:U198" si="16">IF(F135&lt;&gt;"",F135,U134)</f>
        <v>0</v>
      </c>
      <c r="W135" s="6">
        <f t="shared" ref="W135:W198" si="17">IF(E135&lt;&gt;0,E135,W134)</f>
        <v>0</v>
      </c>
      <c r="X135" s="6">
        <f t="shared" si="14"/>
        <v>55153</v>
      </c>
      <c r="Y135" s="1">
        <f t="shared" ref="Y135:Y198" si="18">RANK(X135,$X$6:$X$10000,1)</f>
        <v>996</v>
      </c>
      <c r="Z135" s="1">
        <f>IF(COUNTIF($Y$6:Y135,Y135)=1,Y135,Y135+COUNTIF($Y$5:Y134,Y135))</f>
        <v>1125</v>
      </c>
      <c r="AD135" s="1" t="str">
        <f t="shared" ref="AD135:AD198" si="19">IF(AND(C134&lt;&gt;C135,SUM(L135:L155)&lt;&gt;0,$B$4=YEAR(W135)),C135,"")</f>
        <v/>
      </c>
      <c r="BA135" s="1">
        <f>IF(W135&lt;=Leltar_iv!$Y$1,I135,0)</f>
        <v>0</v>
      </c>
    </row>
    <row r="136" spans="1:53" s="1" customFormat="1" hidden="1" x14ac:dyDescent="0.25">
      <c r="A136" s="18">
        <f>IF(COUNTIF($Y$6:Y136,Y136)=1,Y136,Y136+COUNTIF($Y$5:Y135,Y136))</f>
        <v>1126</v>
      </c>
      <c r="B136" s="1">
        <f>IF(AND(Kisero_iv!$N$2=C136,Kisero_iv!$K$5=$B$2,SUM(I136:L140)&lt;&gt;0,$B$4=YEAR(W136)),B135+1,0)</f>
        <v>0</v>
      </c>
      <c r="C136" s="1">
        <f>IF(YEAR(W135)&lt;&gt;YEAR(W136),1,IF(Bevetel!T136&lt;&gt;0,C135+1,C135))</f>
        <v>131</v>
      </c>
      <c r="D136" s="102" t="str">
        <f>Bevetel!D136</f>
        <v/>
      </c>
      <c r="E136" s="42">
        <f>Bevetel!E136</f>
        <v>0</v>
      </c>
      <c r="F136" s="38" t="str">
        <f>IF(Bevetel!F136&lt;&gt;0,Bevetel!F136,"")</f>
        <v/>
      </c>
      <c r="G136" s="38" t="str">
        <f>IF(Bevetel!G136&lt;&gt;0,Bevetel!G136,"")</f>
        <v/>
      </c>
      <c r="H136" s="38" t="str">
        <f>IF(Bevetel!H136&lt;&gt;0,Bevetel!H136,"")</f>
        <v/>
      </c>
      <c r="I136" s="38">
        <f>Bevetel!I136</f>
        <v>0</v>
      </c>
      <c r="J136" s="105" t="str">
        <f>Bevetel!J136</f>
        <v/>
      </c>
      <c r="K136" s="106" t="str">
        <f>Bevetel!K136</f>
        <v/>
      </c>
      <c r="L136" s="106" t="str">
        <f>Bevetel!L136</f>
        <v/>
      </c>
      <c r="M136" s="107"/>
      <c r="Q136" s="1">
        <f>VLOOKUP(G136,Keszlet!$C$5:$E$205,3,FALSE)</f>
        <v>0</v>
      </c>
      <c r="T136" s="1" t="str">
        <f t="shared" si="15"/>
        <v>0</v>
      </c>
      <c r="U136" s="1">
        <f t="shared" si="16"/>
        <v>0</v>
      </c>
      <c r="W136" s="6">
        <f t="shared" si="17"/>
        <v>0</v>
      </c>
      <c r="X136" s="6">
        <f t="shared" si="14"/>
        <v>55153</v>
      </c>
      <c r="Y136" s="1">
        <f t="shared" si="18"/>
        <v>996</v>
      </c>
      <c r="Z136" s="1">
        <f>IF(COUNTIF($Y$6:Y136,Y136)=1,Y136,Y136+COUNTIF($Y$5:Y135,Y136))</f>
        <v>1126</v>
      </c>
      <c r="AD136" s="1" t="str">
        <f t="shared" si="19"/>
        <v/>
      </c>
      <c r="BA136" s="1">
        <f>IF(W136&lt;=Leltar_iv!$Y$1,I136,0)</f>
        <v>0</v>
      </c>
    </row>
    <row r="137" spans="1:53" s="1" customFormat="1" hidden="1" x14ac:dyDescent="0.25">
      <c r="A137" s="18">
        <f>IF(COUNTIF($Y$6:Y137,Y137)=1,Y137,Y137+COUNTIF($Y$5:Y136,Y137))</f>
        <v>1127</v>
      </c>
      <c r="B137" s="1">
        <f>IF(AND(Kisero_iv!$N$2=C137,Kisero_iv!$K$5=$B$2,SUM(I137:L141)&lt;&gt;0,$B$4=YEAR(W137)),B136+1,0)</f>
        <v>0</v>
      </c>
      <c r="C137" s="1">
        <f>IF(YEAR(W136)&lt;&gt;YEAR(W137),1,IF(Bevetel!T137&lt;&gt;0,C136+1,C136))</f>
        <v>132</v>
      </c>
      <c r="D137" s="102" t="str">
        <f>Bevetel!D137</f>
        <v/>
      </c>
      <c r="E137" s="42">
        <f>Bevetel!E137</f>
        <v>0</v>
      </c>
      <c r="F137" s="38" t="str">
        <f>IF(Bevetel!F137&lt;&gt;0,Bevetel!F137,"")</f>
        <v/>
      </c>
      <c r="G137" s="38" t="str">
        <f>IF(Bevetel!G137&lt;&gt;0,Bevetel!G137,"")</f>
        <v/>
      </c>
      <c r="H137" s="38" t="str">
        <f>IF(Bevetel!H137&lt;&gt;0,Bevetel!H137,"")</f>
        <v/>
      </c>
      <c r="I137" s="38">
        <f>Bevetel!I137</f>
        <v>0</v>
      </c>
      <c r="J137" s="105" t="str">
        <f>Bevetel!J137</f>
        <v/>
      </c>
      <c r="K137" s="106" t="str">
        <f>Bevetel!K137</f>
        <v/>
      </c>
      <c r="L137" s="106" t="str">
        <f>Bevetel!L137</f>
        <v/>
      </c>
      <c r="M137" s="107"/>
      <c r="Q137" s="1">
        <f>VLOOKUP(G137,Keszlet!$C$5:$E$205,3,FALSE)</f>
        <v>0</v>
      </c>
      <c r="T137" s="1" t="str">
        <f t="shared" si="15"/>
        <v>0</v>
      </c>
      <c r="U137" s="1">
        <f t="shared" si="16"/>
        <v>0</v>
      </c>
      <c r="W137" s="6">
        <f t="shared" si="17"/>
        <v>0</v>
      </c>
      <c r="X137" s="6">
        <f t="shared" si="14"/>
        <v>55153</v>
      </c>
      <c r="Y137" s="1">
        <f t="shared" si="18"/>
        <v>996</v>
      </c>
      <c r="Z137" s="1">
        <f>IF(COUNTIF($Y$6:Y137,Y137)=1,Y137,Y137+COUNTIF($Y$5:Y136,Y137))</f>
        <v>1127</v>
      </c>
      <c r="AD137" s="1" t="str">
        <f t="shared" si="19"/>
        <v/>
      </c>
      <c r="BA137" s="1">
        <f>IF(W137&lt;=Leltar_iv!$Y$1,I137,0)</f>
        <v>0</v>
      </c>
    </row>
    <row r="138" spans="1:53" s="1" customFormat="1" hidden="1" x14ac:dyDescent="0.25">
      <c r="A138" s="18">
        <f>IF(COUNTIF($Y$6:Y138,Y138)=1,Y138,Y138+COUNTIF($Y$5:Y137,Y138))</f>
        <v>1128</v>
      </c>
      <c r="B138" s="1">
        <f>IF(AND(Kisero_iv!$N$2=C138,Kisero_iv!$K$5=$B$2,SUM(I138:L142)&lt;&gt;0,$B$4=YEAR(W138)),B137+1,0)</f>
        <v>0</v>
      </c>
      <c r="C138" s="1">
        <f>IF(YEAR(W137)&lt;&gt;YEAR(W138),1,IF(Bevetel!T138&lt;&gt;0,C137+1,C137))</f>
        <v>133</v>
      </c>
      <c r="D138" s="102" t="str">
        <f>Bevetel!D138</f>
        <v/>
      </c>
      <c r="E138" s="42">
        <f>Bevetel!E138</f>
        <v>0</v>
      </c>
      <c r="F138" s="38" t="str">
        <f>IF(Bevetel!F138&lt;&gt;0,Bevetel!F138,"")</f>
        <v/>
      </c>
      <c r="G138" s="38" t="str">
        <f>IF(Bevetel!G138&lt;&gt;0,Bevetel!G138,"")</f>
        <v/>
      </c>
      <c r="H138" s="38" t="str">
        <f>IF(Bevetel!H138&lt;&gt;0,Bevetel!H138,"")</f>
        <v/>
      </c>
      <c r="I138" s="38">
        <f>Bevetel!I138</f>
        <v>0</v>
      </c>
      <c r="J138" s="105" t="str">
        <f>Bevetel!J138</f>
        <v/>
      </c>
      <c r="K138" s="106" t="str">
        <f>Bevetel!K138</f>
        <v/>
      </c>
      <c r="L138" s="106" t="str">
        <f>Bevetel!L138</f>
        <v/>
      </c>
      <c r="M138" s="107"/>
      <c r="Q138" s="1">
        <f>VLOOKUP(G138,Keszlet!$C$5:$E$205,3,FALSE)</f>
        <v>0</v>
      </c>
      <c r="T138" s="1" t="str">
        <f t="shared" si="15"/>
        <v>0</v>
      </c>
      <c r="U138" s="1">
        <f t="shared" si="16"/>
        <v>0</v>
      </c>
      <c r="W138" s="6">
        <f t="shared" si="17"/>
        <v>0</v>
      </c>
      <c r="X138" s="6">
        <f t="shared" si="14"/>
        <v>55153</v>
      </c>
      <c r="Y138" s="1">
        <f t="shared" si="18"/>
        <v>996</v>
      </c>
      <c r="Z138" s="1">
        <f>IF(COUNTIF($Y$6:Y138,Y138)=1,Y138,Y138+COUNTIF($Y$5:Y137,Y138))</f>
        <v>1128</v>
      </c>
      <c r="AD138" s="1" t="str">
        <f t="shared" si="19"/>
        <v/>
      </c>
      <c r="BA138" s="1">
        <f>IF(W138&lt;=Leltar_iv!$Y$1,I138,0)</f>
        <v>0</v>
      </c>
    </row>
    <row r="139" spans="1:53" s="1" customFormat="1" hidden="1" x14ac:dyDescent="0.25">
      <c r="A139" s="18">
        <f>IF(COUNTIF($Y$6:Y139,Y139)=1,Y139,Y139+COUNTIF($Y$5:Y138,Y139))</f>
        <v>1129</v>
      </c>
      <c r="B139" s="1">
        <f>IF(AND(Kisero_iv!$N$2=C139,Kisero_iv!$K$5=$B$2,SUM(I139:L143)&lt;&gt;0,$B$4=YEAR(W139)),B138+1,0)</f>
        <v>0</v>
      </c>
      <c r="C139" s="1">
        <f>IF(YEAR(W138)&lt;&gt;YEAR(W139),1,IF(Bevetel!T139&lt;&gt;0,C138+1,C138))</f>
        <v>134</v>
      </c>
      <c r="D139" s="102" t="str">
        <f>Bevetel!D139</f>
        <v/>
      </c>
      <c r="E139" s="42">
        <f>Bevetel!E139</f>
        <v>0</v>
      </c>
      <c r="F139" s="38" t="str">
        <f>IF(Bevetel!F139&lt;&gt;0,Bevetel!F139,"")</f>
        <v/>
      </c>
      <c r="G139" s="38" t="str">
        <f>IF(Bevetel!G139&lt;&gt;0,Bevetel!G139,"")</f>
        <v/>
      </c>
      <c r="H139" s="38" t="str">
        <f>IF(Bevetel!H139&lt;&gt;0,Bevetel!H139,"")</f>
        <v/>
      </c>
      <c r="I139" s="38">
        <f>Bevetel!I139</f>
        <v>0</v>
      </c>
      <c r="J139" s="105" t="str">
        <f>Bevetel!J139</f>
        <v/>
      </c>
      <c r="K139" s="106" t="str">
        <f>Bevetel!K139</f>
        <v/>
      </c>
      <c r="L139" s="106" t="str">
        <f>Bevetel!L139</f>
        <v/>
      </c>
      <c r="M139" s="107"/>
      <c r="Q139" s="1">
        <f>VLOOKUP(G139,Keszlet!$C$5:$E$205,3,FALSE)</f>
        <v>0</v>
      </c>
      <c r="T139" s="1" t="str">
        <f t="shared" si="15"/>
        <v>0</v>
      </c>
      <c r="U139" s="1">
        <f t="shared" si="16"/>
        <v>0</v>
      </c>
      <c r="W139" s="6">
        <f t="shared" si="17"/>
        <v>0</v>
      </c>
      <c r="X139" s="6">
        <f t="shared" si="14"/>
        <v>55153</v>
      </c>
      <c r="Y139" s="1">
        <f t="shared" si="18"/>
        <v>996</v>
      </c>
      <c r="Z139" s="1">
        <f>IF(COUNTIF($Y$6:Y139,Y139)=1,Y139,Y139+COUNTIF($Y$5:Y138,Y139))</f>
        <v>1129</v>
      </c>
      <c r="AD139" s="1" t="str">
        <f t="shared" si="19"/>
        <v/>
      </c>
      <c r="BA139" s="1">
        <f>IF(W139&lt;=Leltar_iv!$Y$1,I139,0)</f>
        <v>0</v>
      </c>
    </row>
    <row r="140" spans="1:53" s="1" customFormat="1" hidden="1" x14ac:dyDescent="0.25">
      <c r="A140" s="18">
        <f>IF(COUNTIF($Y$6:Y140,Y140)=1,Y140,Y140+COUNTIF($Y$5:Y139,Y140))</f>
        <v>1130</v>
      </c>
      <c r="B140" s="1">
        <f>IF(AND(Kisero_iv!$N$2=C140,Kisero_iv!$K$5=$B$2,SUM(I140:L144)&lt;&gt;0,$B$4=YEAR(W140)),B139+1,0)</f>
        <v>0</v>
      </c>
      <c r="C140" s="1">
        <f>IF(YEAR(W139)&lt;&gt;YEAR(W140),1,IF(Bevetel!T140&lt;&gt;0,C139+1,C139))</f>
        <v>135</v>
      </c>
      <c r="D140" s="102" t="str">
        <f>Bevetel!D140</f>
        <v/>
      </c>
      <c r="E140" s="42">
        <f>Bevetel!E140</f>
        <v>0</v>
      </c>
      <c r="F140" s="38" t="str">
        <f>IF(Bevetel!F140&lt;&gt;0,Bevetel!F140,"")</f>
        <v/>
      </c>
      <c r="G140" s="38" t="str">
        <f>IF(Bevetel!G140&lt;&gt;0,Bevetel!G140,"")</f>
        <v/>
      </c>
      <c r="H140" s="38" t="str">
        <f>IF(Bevetel!H140&lt;&gt;0,Bevetel!H140,"")</f>
        <v/>
      </c>
      <c r="I140" s="38">
        <f>Bevetel!I140</f>
        <v>0</v>
      </c>
      <c r="J140" s="105" t="str">
        <f>Bevetel!J140</f>
        <v/>
      </c>
      <c r="K140" s="106" t="str">
        <f>Bevetel!K140</f>
        <v/>
      </c>
      <c r="L140" s="106" t="str">
        <f>Bevetel!L140</f>
        <v/>
      </c>
      <c r="M140" s="107"/>
      <c r="Q140" s="1">
        <f>VLOOKUP(G140,Keszlet!$C$5:$E$205,3,FALSE)</f>
        <v>0</v>
      </c>
      <c r="T140" s="1" t="str">
        <f t="shared" si="15"/>
        <v>0</v>
      </c>
      <c r="U140" s="1">
        <f t="shared" si="16"/>
        <v>0</v>
      </c>
      <c r="W140" s="6">
        <f t="shared" si="17"/>
        <v>0</v>
      </c>
      <c r="X140" s="6">
        <f t="shared" si="14"/>
        <v>55153</v>
      </c>
      <c r="Y140" s="1">
        <f t="shared" si="18"/>
        <v>996</v>
      </c>
      <c r="Z140" s="1">
        <f>IF(COUNTIF($Y$6:Y140,Y140)=1,Y140,Y140+COUNTIF($Y$5:Y139,Y140))</f>
        <v>1130</v>
      </c>
      <c r="AD140" s="1" t="str">
        <f t="shared" si="19"/>
        <v/>
      </c>
      <c r="BA140" s="1">
        <f>IF(W140&lt;=Leltar_iv!$Y$1,I140,0)</f>
        <v>0</v>
      </c>
    </row>
    <row r="141" spans="1:53" s="1" customFormat="1" hidden="1" x14ac:dyDescent="0.25">
      <c r="A141" s="18">
        <f>IF(COUNTIF($Y$6:Y141,Y141)=1,Y141,Y141+COUNTIF($Y$5:Y140,Y141))</f>
        <v>1131</v>
      </c>
      <c r="B141" s="1">
        <f>IF(AND(Kisero_iv!$N$2=C141,Kisero_iv!$K$5=$B$2,SUM(I141:L145)&lt;&gt;0,$B$4=YEAR(W141)),B140+1,0)</f>
        <v>0</v>
      </c>
      <c r="C141" s="1">
        <f>IF(YEAR(W140)&lt;&gt;YEAR(W141),1,IF(Bevetel!T141&lt;&gt;0,C140+1,C140))</f>
        <v>136</v>
      </c>
      <c r="D141" s="102" t="str">
        <f>Bevetel!D141</f>
        <v/>
      </c>
      <c r="E141" s="42">
        <f>Bevetel!E141</f>
        <v>0</v>
      </c>
      <c r="F141" s="38" t="str">
        <f>IF(Bevetel!F141&lt;&gt;0,Bevetel!F141,"")</f>
        <v/>
      </c>
      <c r="G141" s="38" t="str">
        <f>IF(Bevetel!G141&lt;&gt;0,Bevetel!G141,"")</f>
        <v/>
      </c>
      <c r="H141" s="38" t="str">
        <f>IF(Bevetel!H141&lt;&gt;0,Bevetel!H141,"")</f>
        <v/>
      </c>
      <c r="I141" s="38">
        <f>Bevetel!I141</f>
        <v>0</v>
      </c>
      <c r="J141" s="105" t="str">
        <f>Bevetel!J141</f>
        <v/>
      </c>
      <c r="K141" s="106" t="str">
        <f>Bevetel!K141</f>
        <v/>
      </c>
      <c r="L141" s="106" t="str">
        <f>Bevetel!L141</f>
        <v/>
      </c>
      <c r="M141" s="107"/>
      <c r="Q141" s="1">
        <f>VLOOKUP(G141,Keszlet!$C$5:$E$205,3,FALSE)</f>
        <v>0</v>
      </c>
      <c r="T141" s="1" t="str">
        <f t="shared" si="15"/>
        <v>0</v>
      </c>
      <c r="U141" s="1">
        <f t="shared" si="16"/>
        <v>0</v>
      </c>
      <c r="W141" s="6">
        <f t="shared" si="17"/>
        <v>0</v>
      </c>
      <c r="X141" s="6">
        <f t="shared" si="14"/>
        <v>55153</v>
      </c>
      <c r="Y141" s="1">
        <f t="shared" si="18"/>
        <v>996</v>
      </c>
      <c r="Z141" s="1">
        <f>IF(COUNTIF($Y$6:Y141,Y141)=1,Y141,Y141+COUNTIF($Y$5:Y140,Y141))</f>
        <v>1131</v>
      </c>
      <c r="AD141" s="1" t="str">
        <f t="shared" si="19"/>
        <v/>
      </c>
      <c r="BA141" s="1">
        <f>IF(W141&lt;=Leltar_iv!$Y$1,I141,0)</f>
        <v>0</v>
      </c>
    </row>
    <row r="142" spans="1:53" s="1" customFormat="1" hidden="1" x14ac:dyDescent="0.25">
      <c r="A142" s="18">
        <f>IF(COUNTIF($Y$6:Y142,Y142)=1,Y142,Y142+COUNTIF($Y$5:Y141,Y142))</f>
        <v>1132</v>
      </c>
      <c r="B142" s="1">
        <f>IF(AND(Kisero_iv!$N$2=C142,Kisero_iv!$K$5=$B$2,SUM(I142:L146)&lt;&gt;0,$B$4=YEAR(W142)),B141+1,0)</f>
        <v>0</v>
      </c>
      <c r="C142" s="1">
        <f>IF(YEAR(W141)&lt;&gt;YEAR(W142),1,IF(Bevetel!T142&lt;&gt;0,C141+1,C141))</f>
        <v>137</v>
      </c>
      <c r="D142" s="102" t="str">
        <f>Bevetel!D142</f>
        <v/>
      </c>
      <c r="E142" s="42">
        <f>Bevetel!E142</f>
        <v>0</v>
      </c>
      <c r="F142" s="38" t="str">
        <f>IF(Bevetel!F142&lt;&gt;0,Bevetel!F142,"")</f>
        <v/>
      </c>
      <c r="G142" s="38" t="str">
        <f>IF(Bevetel!G142&lt;&gt;0,Bevetel!G142,"")</f>
        <v/>
      </c>
      <c r="H142" s="38" t="str">
        <f>IF(Bevetel!H142&lt;&gt;0,Bevetel!H142,"")</f>
        <v/>
      </c>
      <c r="I142" s="38">
        <f>Bevetel!I142</f>
        <v>0</v>
      </c>
      <c r="J142" s="105" t="str">
        <f>Bevetel!J142</f>
        <v/>
      </c>
      <c r="K142" s="106" t="str">
        <f>Bevetel!K142</f>
        <v/>
      </c>
      <c r="L142" s="106" t="str">
        <f>Bevetel!L142</f>
        <v/>
      </c>
      <c r="M142" s="107"/>
      <c r="Q142" s="1">
        <f>VLOOKUP(G142,Keszlet!$C$5:$E$205,3,FALSE)</f>
        <v>0</v>
      </c>
      <c r="T142" s="1" t="str">
        <f t="shared" si="15"/>
        <v>0</v>
      </c>
      <c r="U142" s="1">
        <f t="shared" si="16"/>
        <v>0</v>
      </c>
      <c r="W142" s="6">
        <f t="shared" si="17"/>
        <v>0</v>
      </c>
      <c r="X142" s="6">
        <f t="shared" si="14"/>
        <v>55153</v>
      </c>
      <c r="Y142" s="1">
        <f t="shared" si="18"/>
        <v>996</v>
      </c>
      <c r="Z142" s="1">
        <f>IF(COUNTIF($Y$6:Y142,Y142)=1,Y142,Y142+COUNTIF($Y$5:Y141,Y142))</f>
        <v>1132</v>
      </c>
      <c r="AD142" s="1" t="str">
        <f t="shared" si="19"/>
        <v/>
      </c>
      <c r="BA142" s="1">
        <f>IF(W142&lt;=Leltar_iv!$Y$1,I142,0)</f>
        <v>0</v>
      </c>
    </row>
    <row r="143" spans="1:53" s="1" customFormat="1" hidden="1" x14ac:dyDescent="0.25">
      <c r="A143" s="18">
        <f>IF(COUNTIF($Y$6:Y143,Y143)=1,Y143,Y143+COUNTIF($Y$5:Y142,Y143))</f>
        <v>1133</v>
      </c>
      <c r="B143" s="1">
        <f>IF(AND(Kisero_iv!$N$2=C143,Kisero_iv!$K$5=$B$2,SUM(I143:L147)&lt;&gt;0,$B$4=YEAR(W143)),B142+1,0)</f>
        <v>0</v>
      </c>
      <c r="C143" s="1">
        <f>IF(YEAR(W142)&lt;&gt;YEAR(W143),1,IF(Bevetel!T143&lt;&gt;0,C142+1,C142))</f>
        <v>138</v>
      </c>
      <c r="D143" s="102" t="str">
        <f>Bevetel!D143</f>
        <v/>
      </c>
      <c r="E143" s="42">
        <f>Bevetel!E143</f>
        <v>0</v>
      </c>
      <c r="F143" s="38" t="str">
        <f>IF(Bevetel!F143&lt;&gt;0,Bevetel!F143,"")</f>
        <v/>
      </c>
      <c r="G143" s="38" t="str">
        <f>IF(Bevetel!G143&lt;&gt;0,Bevetel!G143,"")</f>
        <v/>
      </c>
      <c r="H143" s="38" t="str">
        <f>IF(Bevetel!H143&lt;&gt;0,Bevetel!H143,"")</f>
        <v/>
      </c>
      <c r="I143" s="38">
        <f>Bevetel!I143</f>
        <v>0</v>
      </c>
      <c r="J143" s="105" t="str">
        <f>Bevetel!J143</f>
        <v/>
      </c>
      <c r="K143" s="106" t="str">
        <f>Bevetel!K143</f>
        <v/>
      </c>
      <c r="L143" s="106" t="str">
        <f>Bevetel!L143</f>
        <v/>
      </c>
      <c r="M143" s="107"/>
      <c r="Q143" s="1">
        <f>VLOOKUP(G143,Keszlet!$C$5:$E$205,3,FALSE)</f>
        <v>0</v>
      </c>
      <c r="T143" s="1" t="str">
        <f t="shared" si="15"/>
        <v>0</v>
      </c>
      <c r="U143" s="1">
        <f t="shared" si="16"/>
        <v>0</v>
      </c>
      <c r="W143" s="6">
        <f t="shared" si="17"/>
        <v>0</v>
      </c>
      <c r="X143" s="6">
        <f t="shared" si="14"/>
        <v>55153</v>
      </c>
      <c r="Y143" s="1">
        <f t="shared" si="18"/>
        <v>996</v>
      </c>
      <c r="Z143" s="1">
        <f>IF(COUNTIF($Y$6:Y143,Y143)=1,Y143,Y143+COUNTIF($Y$5:Y142,Y143))</f>
        <v>1133</v>
      </c>
      <c r="AD143" s="1" t="str">
        <f t="shared" si="19"/>
        <v/>
      </c>
      <c r="BA143" s="1">
        <f>IF(W143&lt;=Leltar_iv!$Y$1,I143,0)</f>
        <v>0</v>
      </c>
    </row>
    <row r="144" spans="1:53" s="1" customFormat="1" hidden="1" x14ac:dyDescent="0.25">
      <c r="A144" s="18">
        <f>IF(COUNTIF($Y$6:Y144,Y144)=1,Y144,Y144+COUNTIF($Y$5:Y143,Y144))</f>
        <v>1134</v>
      </c>
      <c r="B144" s="1">
        <f>IF(AND(Kisero_iv!$N$2=C144,Kisero_iv!$K$5=$B$2,SUM(I144:L148)&lt;&gt;0,$B$4=YEAR(W144)),B143+1,0)</f>
        <v>0</v>
      </c>
      <c r="C144" s="1">
        <f>IF(YEAR(W143)&lt;&gt;YEAR(W144),1,IF(Bevetel!T144&lt;&gt;0,C143+1,C143))</f>
        <v>139</v>
      </c>
      <c r="D144" s="102" t="str">
        <f>Bevetel!D144</f>
        <v/>
      </c>
      <c r="E144" s="42">
        <f>Bevetel!E144</f>
        <v>0</v>
      </c>
      <c r="F144" s="38" t="str">
        <f>IF(Bevetel!F144&lt;&gt;0,Bevetel!F144,"")</f>
        <v/>
      </c>
      <c r="G144" s="38" t="str">
        <f>IF(Bevetel!G144&lt;&gt;0,Bevetel!G144,"")</f>
        <v/>
      </c>
      <c r="H144" s="38" t="str">
        <f>IF(Bevetel!H144&lt;&gt;0,Bevetel!H144,"")</f>
        <v/>
      </c>
      <c r="I144" s="38">
        <f>Bevetel!I144</f>
        <v>0</v>
      </c>
      <c r="J144" s="105" t="str">
        <f>Bevetel!J144</f>
        <v/>
      </c>
      <c r="K144" s="106" t="str">
        <f>Bevetel!K144</f>
        <v/>
      </c>
      <c r="L144" s="106" t="str">
        <f>Bevetel!L144</f>
        <v/>
      </c>
      <c r="M144" s="107"/>
      <c r="Q144" s="1">
        <f>VLOOKUP(G144,Keszlet!$C$5:$E$205,3,FALSE)</f>
        <v>0</v>
      </c>
      <c r="T144" s="1" t="str">
        <f t="shared" si="15"/>
        <v>0</v>
      </c>
      <c r="U144" s="1">
        <f t="shared" si="16"/>
        <v>0</v>
      </c>
      <c r="W144" s="6">
        <f t="shared" si="17"/>
        <v>0</v>
      </c>
      <c r="X144" s="6">
        <f t="shared" si="14"/>
        <v>55153</v>
      </c>
      <c r="Y144" s="1">
        <f t="shared" si="18"/>
        <v>996</v>
      </c>
      <c r="Z144" s="1">
        <f>IF(COUNTIF($Y$6:Y144,Y144)=1,Y144,Y144+COUNTIF($Y$5:Y143,Y144))</f>
        <v>1134</v>
      </c>
      <c r="AD144" s="1" t="str">
        <f t="shared" si="19"/>
        <v/>
      </c>
      <c r="BA144" s="1">
        <f>IF(W144&lt;=Leltar_iv!$Y$1,I144,0)</f>
        <v>0</v>
      </c>
    </row>
    <row r="145" spans="1:53" s="1" customFormat="1" hidden="1" x14ac:dyDescent="0.25">
      <c r="A145" s="18">
        <f>IF(COUNTIF($Y$6:Y145,Y145)=1,Y145,Y145+COUNTIF($Y$5:Y144,Y145))</f>
        <v>1135</v>
      </c>
      <c r="B145" s="1">
        <f>IF(AND(Kisero_iv!$N$2=C145,Kisero_iv!$K$5=$B$2,SUM(I145:L149)&lt;&gt;0,$B$4=YEAR(W145)),B144+1,0)</f>
        <v>0</v>
      </c>
      <c r="C145" s="1">
        <f>IF(YEAR(W144)&lt;&gt;YEAR(W145),1,IF(Bevetel!T145&lt;&gt;0,C144+1,C144))</f>
        <v>140</v>
      </c>
      <c r="D145" s="102" t="str">
        <f>Bevetel!D145</f>
        <v/>
      </c>
      <c r="E145" s="42">
        <f>Bevetel!E145</f>
        <v>0</v>
      </c>
      <c r="F145" s="38" t="str">
        <f>IF(Bevetel!F145&lt;&gt;0,Bevetel!F145,"")</f>
        <v/>
      </c>
      <c r="G145" s="38" t="str">
        <f>IF(Bevetel!G145&lt;&gt;0,Bevetel!G145,"")</f>
        <v/>
      </c>
      <c r="H145" s="38" t="str">
        <f>IF(Bevetel!H145&lt;&gt;0,Bevetel!H145,"")</f>
        <v/>
      </c>
      <c r="I145" s="38">
        <f>Bevetel!I145</f>
        <v>0</v>
      </c>
      <c r="J145" s="105" t="str">
        <f>Bevetel!J145</f>
        <v/>
      </c>
      <c r="K145" s="106" t="str">
        <f>Bevetel!K145</f>
        <v/>
      </c>
      <c r="L145" s="106" t="str">
        <f>Bevetel!L145</f>
        <v/>
      </c>
      <c r="M145" s="107"/>
      <c r="Q145" s="1">
        <f>VLOOKUP(G145,Keszlet!$C$5:$E$205,3,FALSE)</f>
        <v>0</v>
      </c>
      <c r="T145" s="1" t="str">
        <f t="shared" si="15"/>
        <v>0</v>
      </c>
      <c r="U145" s="1">
        <f t="shared" si="16"/>
        <v>0</v>
      </c>
      <c r="W145" s="6">
        <f t="shared" si="17"/>
        <v>0</v>
      </c>
      <c r="X145" s="6">
        <f t="shared" si="14"/>
        <v>55153</v>
      </c>
      <c r="Y145" s="1">
        <f t="shared" si="18"/>
        <v>996</v>
      </c>
      <c r="Z145" s="1">
        <f>IF(COUNTIF($Y$6:Y145,Y145)=1,Y145,Y145+COUNTIF($Y$5:Y144,Y145))</f>
        <v>1135</v>
      </c>
      <c r="AD145" s="1" t="str">
        <f t="shared" si="19"/>
        <v/>
      </c>
      <c r="BA145" s="1">
        <f>IF(W145&lt;=Leltar_iv!$Y$1,I145,0)</f>
        <v>0</v>
      </c>
    </row>
    <row r="146" spans="1:53" s="1" customFormat="1" hidden="1" x14ac:dyDescent="0.25">
      <c r="A146" s="18">
        <f>IF(COUNTIF($Y$6:Y146,Y146)=1,Y146,Y146+COUNTIF($Y$5:Y145,Y146))</f>
        <v>1136</v>
      </c>
      <c r="B146" s="1">
        <f>IF(AND(Kisero_iv!$N$2=C146,Kisero_iv!$K$5=$B$2,SUM(I146:L150)&lt;&gt;0,$B$4=YEAR(W146)),B145+1,0)</f>
        <v>0</v>
      </c>
      <c r="C146" s="1">
        <f>IF(YEAR(W145)&lt;&gt;YEAR(W146),1,IF(Bevetel!T146&lt;&gt;0,C145+1,C145))</f>
        <v>141</v>
      </c>
      <c r="D146" s="102" t="str">
        <f>Bevetel!D146</f>
        <v/>
      </c>
      <c r="E146" s="42">
        <f>Bevetel!E146</f>
        <v>0</v>
      </c>
      <c r="F146" s="38" t="str">
        <f>IF(Bevetel!F146&lt;&gt;0,Bevetel!F146,"")</f>
        <v/>
      </c>
      <c r="G146" s="38" t="str">
        <f>IF(Bevetel!G146&lt;&gt;0,Bevetel!G146,"")</f>
        <v/>
      </c>
      <c r="H146" s="38" t="str">
        <f>IF(Bevetel!H146&lt;&gt;0,Bevetel!H146,"")</f>
        <v/>
      </c>
      <c r="I146" s="38">
        <f>Bevetel!I146</f>
        <v>0</v>
      </c>
      <c r="J146" s="105" t="str">
        <f>Bevetel!J146</f>
        <v/>
      </c>
      <c r="K146" s="106" t="str">
        <f>Bevetel!K146</f>
        <v/>
      </c>
      <c r="L146" s="106" t="str">
        <f>Bevetel!L146</f>
        <v/>
      </c>
      <c r="M146" s="107"/>
      <c r="Q146" s="1">
        <f>VLOOKUP(G146,Keszlet!$C$5:$E$205,3,FALSE)</f>
        <v>0</v>
      </c>
      <c r="T146" s="1" t="str">
        <f t="shared" si="15"/>
        <v>0</v>
      </c>
      <c r="U146" s="1">
        <f t="shared" si="16"/>
        <v>0</v>
      </c>
      <c r="W146" s="6">
        <f t="shared" si="17"/>
        <v>0</v>
      </c>
      <c r="X146" s="6">
        <f t="shared" si="14"/>
        <v>55153</v>
      </c>
      <c r="Y146" s="1">
        <f t="shared" si="18"/>
        <v>996</v>
      </c>
      <c r="Z146" s="1">
        <f>IF(COUNTIF($Y$6:Y146,Y146)=1,Y146,Y146+COUNTIF($Y$5:Y145,Y146))</f>
        <v>1136</v>
      </c>
      <c r="AD146" s="1" t="str">
        <f t="shared" si="19"/>
        <v/>
      </c>
      <c r="BA146" s="1">
        <f>IF(W146&lt;=Leltar_iv!$Y$1,I146,0)</f>
        <v>0</v>
      </c>
    </row>
    <row r="147" spans="1:53" s="1" customFormat="1" hidden="1" x14ac:dyDescent="0.25">
      <c r="A147" s="18">
        <f>IF(COUNTIF($Y$6:Y147,Y147)=1,Y147,Y147+COUNTIF($Y$5:Y146,Y147))</f>
        <v>1137</v>
      </c>
      <c r="B147" s="1">
        <f>IF(AND(Kisero_iv!$N$2=C147,Kisero_iv!$K$5=$B$2,SUM(I147:L151)&lt;&gt;0,$B$4=YEAR(W147)),B146+1,0)</f>
        <v>0</v>
      </c>
      <c r="C147" s="1">
        <f>IF(YEAR(W146)&lt;&gt;YEAR(W147),1,IF(Bevetel!T147&lt;&gt;0,C146+1,C146))</f>
        <v>142</v>
      </c>
      <c r="D147" s="102" t="str">
        <f>Bevetel!D147</f>
        <v/>
      </c>
      <c r="E147" s="42">
        <f>Bevetel!E147</f>
        <v>0</v>
      </c>
      <c r="F147" s="38" t="str">
        <f>IF(Bevetel!F147&lt;&gt;0,Bevetel!F147,"")</f>
        <v/>
      </c>
      <c r="G147" s="38" t="str">
        <f>IF(Bevetel!G147&lt;&gt;0,Bevetel!G147,"")</f>
        <v/>
      </c>
      <c r="H147" s="38" t="str">
        <f>IF(Bevetel!H147&lt;&gt;0,Bevetel!H147,"")</f>
        <v/>
      </c>
      <c r="I147" s="38">
        <f>Bevetel!I147</f>
        <v>0</v>
      </c>
      <c r="J147" s="105" t="str">
        <f>Bevetel!J147</f>
        <v/>
      </c>
      <c r="K147" s="106" t="str">
        <f>Bevetel!K147</f>
        <v/>
      </c>
      <c r="L147" s="106" t="str">
        <f>Bevetel!L147</f>
        <v/>
      </c>
      <c r="M147" s="107"/>
      <c r="Q147" s="1">
        <f>VLOOKUP(G147,Keszlet!$C$5:$E$205,3,FALSE)</f>
        <v>0</v>
      </c>
      <c r="T147" s="1" t="str">
        <f t="shared" si="15"/>
        <v>0</v>
      </c>
      <c r="U147" s="1">
        <f t="shared" si="16"/>
        <v>0</v>
      </c>
      <c r="W147" s="6">
        <f t="shared" si="17"/>
        <v>0</v>
      </c>
      <c r="X147" s="6">
        <f t="shared" si="14"/>
        <v>55153</v>
      </c>
      <c r="Y147" s="1">
        <f t="shared" si="18"/>
        <v>996</v>
      </c>
      <c r="Z147" s="1">
        <f>IF(COUNTIF($Y$6:Y147,Y147)=1,Y147,Y147+COUNTIF($Y$5:Y146,Y147))</f>
        <v>1137</v>
      </c>
      <c r="AD147" s="1" t="str">
        <f t="shared" si="19"/>
        <v/>
      </c>
      <c r="BA147" s="1">
        <f>IF(W147&lt;=Leltar_iv!$Y$1,I147,0)</f>
        <v>0</v>
      </c>
    </row>
    <row r="148" spans="1:53" s="1" customFormat="1" hidden="1" x14ac:dyDescent="0.25">
      <c r="A148" s="18">
        <f>IF(COUNTIF($Y$6:Y148,Y148)=1,Y148,Y148+COUNTIF($Y$5:Y147,Y148))</f>
        <v>1138</v>
      </c>
      <c r="B148" s="1">
        <f>IF(AND(Kisero_iv!$N$2=C148,Kisero_iv!$K$5=$B$2,SUM(I148:L152)&lt;&gt;0,$B$4=YEAR(W148)),B147+1,0)</f>
        <v>0</v>
      </c>
      <c r="C148" s="1">
        <f>IF(YEAR(W147)&lt;&gt;YEAR(W148),1,IF(Bevetel!T148&lt;&gt;0,C147+1,C147))</f>
        <v>143</v>
      </c>
      <c r="D148" s="102" t="str">
        <f>Bevetel!D148</f>
        <v/>
      </c>
      <c r="E148" s="42">
        <f>Bevetel!E148</f>
        <v>0</v>
      </c>
      <c r="F148" s="38" t="str">
        <f>IF(Bevetel!F148&lt;&gt;0,Bevetel!F148,"")</f>
        <v/>
      </c>
      <c r="G148" s="38" t="str">
        <f>IF(Bevetel!G148&lt;&gt;0,Bevetel!G148,"")</f>
        <v/>
      </c>
      <c r="H148" s="38" t="str">
        <f>IF(Bevetel!H148&lt;&gt;0,Bevetel!H148,"")</f>
        <v/>
      </c>
      <c r="I148" s="38">
        <f>Bevetel!I148</f>
        <v>0</v>
      </c>
      <c r="J148" s="105" t="str">
        <f>Bevetel!J148</f>
        <v/>
      </c>
      <c r="K148" s="106" t="str">
        <f>Bevetel!K148</f>
        <v/>
      </c>
      <c r="L148" s="106" t="str">
        <f>Bevetel!L148</f>
        <v/>
      </c>
      <c r="M148" s="107"/>
      <c r="Q148" s="1">
        <f>VLOOKUP(G148,Keszlet!$C$5:$E$205,3,FALSE)</f>
        <v>0</v>
      </c>
      <c r="T148" s="1" t="str">
        <f t="shared" si="15"/>
        <v>0</v>
      </c>
      <c r="U148" s="1">
        <f t="shared" si="16"/>
        <v>0</v>
      </c>
      <c r="W148" s="6">
        <f t="shared" si="17"/>
        <v>0</v>
      </c>
      <c r="X148" s="6">
        <f t="shared" si="14"/>
        <v>55153</v>
      </c>
      <c r="Y148" s="1">
        <f t="shared" si="18"/>
        <v>996</v>
      </c>
      <c r="Z148" s="1">
        <f>IF(COUNTIF($Y$6:Y148,Y148)=1,Y148,Y148+COUNTIF($Y$5:Y147,Y148))</f>
        <v>1138</v>
      </c>
      <c r="AD148" s="1" t="str">
        <f t="shared" si="19"/>
        <v/>
      </c>
      <c r="BA148" s="1">
        <f>IF(W148&lt;=Leltar_iv!$Y$1,I148,0)</f>
        <v>0</v>
      </c>
    </row>
    <row r="149" spans="1:53" s="1" customFormat="1" hidden="1" x14ac:dyDescent="0.25">
      <c r="A149" s="18">
        <f>IF(COUNTIF($Y$6:Y149,Y149)=1,Y149,Y149+COUNTIF($Y$5:Y148,Y149))</f>
        <v>1139</v>
      </c>
      <c r="B149" s="1">
        <f>IF(AND(Kisero_iv!$N$2=C149,Kisero_iv!$K$5=$B$2,SUM(I149:L153)&lt;&gt;0,$B$4=YEAR(W149)),B148+1,0)</f>
        <v>0</v>
      </c>
      <c r="C149" s="1">
        <f>IF(YEAR(W148)&lt;&gt;YEAR(W149),1,IF(Bevetel!T149&lt;&gt;0,C148+1,C148))</f>
        <v>144</v>
      </c>
      <c r="D149" s="102" t="str">
        <f>Bevetel!D149</f>
        <v/>
      </c>
      <c r="E149" s="42">
        <f>Bevetel!E149</f>
        <v>0</v>
      </c>
      <c r="F149" s="38" t="str">
        <f>IF(Bevetel!F149&lt;&gt;0,Bevetel!F149,"")</f>
        <v/>
      </c>
      <c r="G149" s="38" t="str">
        <f>IF(Bevetel!G149&lt;&gt;0,Bevetel!G149,"")</f>
        <v/>
      </c>
      <c r="H149" s="38" t="str">
        <f>IF(Bevetel!H149&lt;&gt;0,Bevetel!H149,"")</f>
        <v/>
      </c>
      <c r="I149" s="38">
        <f>Bevetel!I149</f>
        <v>0</v>
      </c>
      <c r="J149" s="105" t="str">
        <f>Bevetel!J149</f>
        <v/>
      </c>
      <c r="K149" s="106" t="str">
        <f>Bevetel!K149</f>
        <v/>
      </c>
      <c r="L149" s="106" t="str">
        <f>Bevetel!L149</f>
        <v/>
      </c>
      <c r="M149" s="107"/>
      <c r="Q149" s="1">
        <f>VLOOKUP(G149,Keszlet!$C$5:$E$205,3,FALSE)</f>
        <v>0</v>
      </c>
      <c r="T149" s="1" t="str">
        <f t="shared" si="15"/>
        <v>0</v>
      </c>
      <c r="U149" s="1">
        <f t="shared" si="16"/>
        <v>0</v>
      </c>
      <c r="W149" s="6">
        <f t="shared" si="17"/>
        <v>0</v>
      </c>
      <c r="X149" s="6">
        <f t="shared" si="14"/>
        <v>55153</v>
      </c>
      <c r="Y149" s="1">
        <f t="shared" si="18"/>
        <v>996</v>
      </c>
      <c r="Z149" s="1">
        <f>IF(COUNTIF($Y$6:Y149,Y149)=1,Y149,Y149+COUNTIF($Y$5:Y148,Y149))</f>
        <v>1139</v>
      </c>
      <c r="AD149" s="1" t="str">
        <f t="shared" si="19"/>
        <v/>
      </c>
      <c r="BA149" s="1">
        <f>IF(W149&lt;=Leltar_iv!$Y$1,I149,0)</f>
        <v>0</v>
      </c>
    </row>
    <row r="150" spans="1:53" s="1" customFormat="1" hidden="1" x14ac:dyDescent="0.25">
      <c r="A150" s="18">
        <f>IF(COUNTIF($Y$6:Y150,Y150)=1,Y150,Y150+COUNTIF($Y$5:Y149,Y150))</f>
        <v>1140</v>
      </c>
      <c r="B150" s="1">
        <f>IF(AND(Kisero_iv!$N$2=C150,Kisero_iv!$K$5=$B$2,SUM(I150:L154)&lt;&gt;0,$B$4=YEAR(W150)),B149+1,0)</f>
        <v>0</v>
      </c>
      <c r="C150" s="1">
        <f>IF(YEAR(W149)&lt;&gt;YEAR(W150),1,IF(Bevetel!T150&lt;&gt;0,C149+1,C149))</f>
        <v>145</v>
      </c>
      <c r="D150" s="102" t="str">
        <f>Bevetel!D150</f>
        <v/>
      </c>
      <c r="E150" s="42">
        <f>Bevetel!E150</f>
        <v>0</v>
      </c>
      <c r="F150" s="38" t="str">
        <f>IF(Bevetel!F150&lt;&gt;0,Bevetel!F150,"")</f>
        <v/>
      </c>
      <c r="G150" s="38" t="str">
        <f>IF(Bevetel!G150&lt;&gt;0,Bevetel!G150,"")</f>
        <v/>
      </c>
      <c r="H150" s="38" t="str">
        <f>IF(Bevetel!H150&lt;&gt;0,Bevetel!H150,"")</f>
        <v/>
      </c>
      <c r="I150" s="38">
        <f>Bevetel!I150</f>
        <v>0</v>
      </c>
      <c r="J150" s="105" t="str">
        <f>Bevetel!J150</f>
        <v/>
      </c>
      <c r="K150" s="106" t="str">
        <f>Bevetel!K150</f>
        <v/>
      </c>
      <c r="L150" s="106" t="str">
        <f>Bevetel!L150</f>
        <v/>
      </c>
      <c r="M150" s="107"/>
      <c r="Q150" s="1">
        <f>VLOOKUP(G150,Keszlet!$C$5:$E$205,3,FALSE)</f>
        <v>0</v>
      </c>
      <c r="T150" s="1" t="str">
        <f t="shared" si="15"/>
        <v>0</v>
      </c>
      <c r="U150" s="1">
        <f t="shared" si="16"/>
        <v>0</v>
      </c>
      <c r="W150" s="6">
        <f t="shared" si="17"/>
        <v>0</v>
      </c>
      <c r="X150" s="6">
        <f t="shared" si="14"/>
        <v>55153</v>
      </c>
      <c r="Y150" s="1">
        <f t="shared" si="18"/>
        <v>996</v>
      </c>
      <c r="Z150" s="1">
        <f>IF(COUNTIF($Y$6:Y150,Y150)=1,Y150,Y150+COUNTIF($Y$5:Y149,Y150))</f>
        <v>1140</v>
      </c>
      <c r="AD150" s="1" t="str">
        <f t="shared" si="19"/>
        <v/>
      </c>
      <c r="BA150" s="1">
        <f>IF(W150&lt;=Leltar_iv!$Y$1,I150,0)</f>
        <v>0</v>
      </c>
    </row>
    <row r="151" spans="1:53" s="1" customFormat="1" hidden="1" x14ac:dyDescent="0.25">
      <c r="A151" s="18">
        <f>IF(COUNTIF($Y$6:Y151,Y151)=1,Y151,Y151+COUNTIF($Y$5:Y150,Y151))</f>
        <v>1141</v>
      </c>
      <c r="B151" s="1">
        <f>IF(AND(Kisero_iv!$N$2=C151,Kisero_iv!$K$5=$B$2,SUM(I151:L155)&lt;&gt;0,$B$4=YEAR(W151)),B150+1,0)</f>
        <v>0</v>
      </c>
      <c r="C151" s="1">
        <f>IF(YEAR(W150)&lt;&gt;YEAR(W151),1,IF(Bevetel!T151&lt;&gt;0,C150+1,C150))</f>
        <v>146</v>
      </c>
      <c r="D151" s="102" t="str">
        <f>Bevetel!D151</f>
        <v/>
      </c>
      <c r="E151" s="42">
        <f>Bevetel!E151</f>
        <v>0</v>
      </c>
      <c r="F151" s="38" t="str">
        <f>IF(Bevetel!F151&lt;&gt;0,Bevetel!F151,"")</f>
        <v/>
      </c>
      <c r="G151" s="38" t="str">
        <f>IF(Bevetel!G151&lt;&gt;0,Bevetel!G151,"")</f>
        <v/>
      </c>
      <c r="H151" s="38" t="str">
        <f>IF(Bevetel!H151&lt;&gt;0,Bevetel!H151,"")</f>
        <v/>
      </c>
      <c r="I151" s="38">
        <f>Bevetel!I151</f>
        <v>0</v>
      </c>
      <c r="J151" s="105" t="str">
        <f>Bevetel!J151</f>
        <v/>
      </c>
      <c r="K151" s="106" t="str">
        <f>Bevetel!K151</f>
        <v/>
      </c>
      <c r="L151" s="106" t="str">
        <f>Bevetel!L151</f>
        <v/>
      </c>
      <c r="M151" s="107"/>
      <c r="Q151" s="1">
        <f>VLOOKUP(G151,Keszlet!$C$5:$E$205,3,FALSE)</f>
        <v>0</v>
      </c>
      <c r="T151" s="1" t="str">
        <f t="shared" si="15"/>
        <v>0</v>
      </c>
      <c r="U151" s="1">
        <f t="shared" si="16"/>
        <v>0</v>
      </c>
      <c r="W151" s="6">
        <f t="shared" si="17"/>
        <v>0</v>
      </c>
      <c r="X151" s="6">
        <f t="shared" si="14"/>
        <v>55153</v>
      </c>
      <c r="Y151" s="1">
        <f t="shared" si="18"/>
        <v>996</v>
      </c>
      <c r="Z151" s="1">
        <f>IF(COUNTIF($Y$6:Y151,Y151)=1,Y151,Y151+COUNTIF($Y$5:Y150,Y151))</f>
        <v>1141</v>
      </c>
      <c r="AD151" s="1" t="str">
        <f t="shared" si="19"/>
        <v/>
      </c>
      <c r="BA151" s="1">
        <f>IF(W151&lt;=Leltar_iv!$Y$1,I151,0)</f>
        <v>0</v>
      </c>
    </row>
    <row r="152" spans="1:53" s="1" customFormat="1" hidden="1" x14ac:dyDescent="0.25">
      <c r="A152" s="18">
        <f>IF(COUNTIF($Y$6:Y152,Y152)=1,Y152,Y152+COUNTIF($Y$5:Y151,Y152))</f>
        <v>1142</v>
      </c>
      <c r="B152" s="1">
        <f>IF(AND(Kisero_iv!$N$2=C152,Kisero_iv!$K$5=$B$2,SUM(I152:L156)&lt;&gt;0,$B$4=YEAR(W152)),B151+1,0)</f>
        <v>0</v>
      </c>
      <c r="C152" s="1">
        <f>IF(YEAR(W151)&lt;&gt;YEAR(W152),1,IF(Bevetel!T152&lt;&gt;0,C151+1,C151))</f>
        <v>147</v>
      </c>
      <c r="D152" s="102" t="str">
        <f>Bevetel!D152</f>
        <v/>
      </c>
      <c r="E152" s="42">
        <f>Bevetel!E152</f>
        <v>0</v>
      </c>
      <c r="F152" s="38" t="str">
        <f>IF(Bevetel!F152&lt;&gt;0,Bevetel!F152,"")</f>
        <v/>
      </c>
      <c r="G152" s="38" t="str">
        <f>IF(Bevetel!G152&lt;&gt;0,Bevetel!G152,"")</f>
        <v/>
      </c>
      <c r="H152" s="38" t="str">
        <f>IF(Bevetel!H152&lt;&gt;0,Bevetel!H152,"")</f>
        <v/>
      </c>
      <c r="I152" s="38">
        <f>Bevetel!I152</f>
        <v>0</v>
      </c>
      <c r="J152" s="105" t="str">
        <f>Bevetel!J152</f>
        <v/>
      </c>
      <c r="K152" s="106" t="str">
        <f>Bevetel!K152</f>
        <v/>
      </c>
      <c r="L152" s="106" t="str">
        <f>Bevetel!L152</f>
        <v/>
      </c>
      <c r="M152" s="107"/>
      <c r="Q152" s="1">
        <f>VLOOKUP(G152,Keszlet!$C$5:$E$205,3,FALSE)</f>
        <v>0</v>
      </c>
      <c r="T152" s="1" t="str">
        <f t="shared" si="15"/>
        <v>0</v>
      </c>
      <c r="U152" s="1">
        <f t="shared" si="16"/>
        <v>0</v>
      </c>
      <c r="W152" s="6">
        <f t="shared" si="17"/>
        <v>0</v>
      </c>
      <c r="X152" s="6">
        <f t="shared" si="14"/>
        <v>55153</v>
      </c>
      <c r="Y152" s="1">
        <f t="shared" si="18"/>
        <v>996</v>
      </c>
      <c r="Z152" s="1">
        <f>IF(COUNTIF($Y$6:Y152,Y152)=1,Y152,Y152+COUNTIF($Y$5:Y151,Y152))</f>
        <v>1142</v>
      </c>
      <c r="AD152" s="1" t="str">
        <f t="shared" si="19"/>
        <v/>
      </c>
      <c r="BA152" s="1">
        <f>IF(W152&lt;=Leltar_iv!$Y$1,I152,0)</f>
        <v>0</v>
      </c>
    </row>
    <row r="153" spans="1:53" s="1" customFormat="1" hidden="1" x14ac:dyDescent="0.25">
      <c r="A153" s="18">
        <f>IF(COUNTIF($Y$6:Y153,Y153)=1,Y153,Y153+COUNTIF($Y$5:Y152,Y153))</f>
        <v>1143</v>
      </c>
      <c r="B153" s="1">
        <f>IF(AND(Kisero_iv!$N$2=C153,Kisero_iv!$K$5=$B$2,SUM(I153:L157)&lt;&gt;0,$B$4=YEAR(W153)),B152+1,0)</f>
        <v>0</v>
      </c>
      <c r="C153" s="1">
        <f>IF(YEAR(W152)&lt;&gt;YEAR(W153),1,IF(Bevetel!T153&lt;&gt;0,C152+1,C152))</f>
        <v>148</v>
      </c>
      <c r="D153" s="102" t="str">
        <f>Bevetel!D153</f>
        <v/>
      </c>
      <c r="E153" s="42">
        <f>Bevetel!E153</f>
        <v>0</v>
      </c>
      <c r="F153" s="38" t="str">
        <f>IF(Bevetel!F153&lt;&gt;0,Bevetel!F153,"")</f>
        <v/>
      </c>
      <c r="G153" s="38" t="str">
        <f>IF(Bevetel!G153&lt;&gt;0,Bevetel!G153,"")</f>
        <v/>
      </c>
      <c r="H153" s="38" t="str">
        <f>IF(Bevetel!H153&lt;&gt;0,Bevetel!H153,"")</f>
        <v/>
      </c>
      <c r="I153" s="38">
        <f>Bevetel!I153</f>
        <v>0</v>
      </c>
      <c r="J153" s="105" t="str">
        <f>Bevetel!J153</f>
        <v/>
      </c>
      <c r="K153" s="106" t="str">
        <f>Bevetel!K153</f>
        <v/>
      </c>
      <c r="L153" s="106" t="str">
        <f>Bevetel!L153</f>
        <v/>
      </c>
      <c r="M153" s="107"/>
      <c r="Q153" s="1">
        <f>VLOOKUP(G153,Keszlet!$C$5:$E$205,3,FALSE)</f>
        <v>0</v>
      </c>
      <c r="T153" s="1" t="str">
        <f t="shared" si="15"/>
        <v>0</v>
      </c>
      <c r="U153" s="1">
        <f t="shared" si="16"/>
        <v>0</v>
      </c>
      <c r="W153" s="6">
        <f t="shared" si="17"/>
        <v>0</v>
      </c>
      <c r="X153" s="6">
        <f t="shared" si="14"/>
        <v>55153</v>
      </c>
      <c r="Y153" s="1">
        <f t="shared" si="18"/>
        <v>996</v>
      </c>
      <c r="Z153" s="1">
        <f>IF(COUNTIF($Y$6:Y153,Y153)=1,Y153,Y153+COUNTIF($Y$5:Y152,Y153))</f>
        <v>1143</v>
      </c>
      <c r="AD153" s="1" t="str">
        <f t="shared" si="19"/>
        <v/>
      </c>
      <c r="BA153" s="1">
        <f>IF(W153&lt;=Leltar_iv!$Y$1,I153,0)</f>
        <v>0</v>
      </c>
    </row>
    <row r="154" spans="1:53" s="1" customFormat="1" hidden="1" x14ac:dyDescent="0.25">
      <c r="A154" s="18">
        <f>IF(COUNTIF($Y$6:Y154,Y154)=1,Y154,Y154+COUNTIF($Y$5:Y153,Y154))</f>
        <v>1144</v>
      </c>
      <c r="B154" s="1">
        <f>IF(AND(Kisero_iv!$N$2=C154,Kisero_iv!$K$5=$B$2,SUM(I154:L158)&lt;&gt;0,$B$4=YEAR(W154)),B153+1,0)</f>
        <v>0</v>
      </c>
      <c r="C154" s="1">
        <f>IF(YEAR(W153)&lt;&gt;YEAR(W154),1,IF(Bevetel!T154&lt;&gt;0,C153+1,C153))</f>
        <v>149</v>
      </c>
      <c r="D154" s="102" t="str">
        <f>Bevetel!D154</f>
        <v/>
      </c>
      <c r="E154" s="42">
        <f>Bevetel!E154</f>
        <v>0</v>
      </c>
      <c r="F154" s="38" t="str">
        <f>IF(Bevetel!F154&lt;&gt;0,Bevetel!F154,"")</f>
        <v/>
      </c>
      <c r="G154" s="38" t="str">
        <f>IF(Bevetel!G154&lt;&gt;0,Bevetel!G154,"")</f>
        <v/>
      </c>
      <c r="H154" s="38" t="str">
        <f>IF(Bevetel!H154&lt;&gt;0,Bevetel!H154,"")</f>
        <v/>
      </c>
      <c r="I154" s="38">
        <f>Bevetel!I154</f>
        <v>0</v>
      </c>
      <c r="J154" s="105" t="str">
        <f>Bevetel!J154</f>
        <v/>
      </c>
      <c r="K154" s="106" t="str">
        <f>Bevetel!K154</f>
        <v/>
      </c>
      <c r="L154" s="106" t="str">
        <f>Bevetel!L154</f>
        <v/>
      </c>
      <c r="M154" s="107"/>
      <c r="Q154" s="1">
        <f>VLOOKUP(G154,Keszlet!$C$5:$E$205,3,FALSE)</f>
        <v>0</v>
      </c>
      <c r="T154" s="1" t="str">
        <f t="shared" si="15"/>
        <v>0</v>
      </c>
      <c r="U154" s="1">
        <f t="shared" si="16"/>
        <v>0</v>
      </c>
      <c r="W154" s="6">
        <f t="shared" si="17"/>
        <v>0</v>
      </c>
      <c r="X154" s="6">
        <f t="shared" si="14"/>
        <v>55153</v>
      </c>
      <c r="Y154" s="1">
        <f t="shared" si="18"/>
        <v>996</v>
      </c>
      <c r="Z154" s="1">
        <f>IF(COUNTIF($Y$6:Y154,Y154)=1,Y154,Y154+COUNTIF($Y$5:Y153,Y154))</f>
        <v>1144</v>
      </c>
      <c r="AD154" s="1" t="str">
        <f t="shared" si="19"/>
        <v/>
      </c>
      <c r="BA154" s="1">
        <f>IF(W154&lt;=Leltar_iv!$Y$1,I154,0)</f>
        <v>0</v>
      </c>
    </row>
    <row r="155" spans="1:53" s="1" customFormat="1" hidden="1" x14ac:dyDescent="0.25">
      <c r="A155" s="18">
        <f>IF(COUNTIF($Y$6:Y155,Y155)=1,Y155,Y155+COUNTIF($Y$5:Y154,Y155))</f>
        <v>1145</v>
      </c>
      <c r="B155" s="1">
        <f>IF(AND(Kisero_iv!$N$2=C155,Kisero_iv!$K$5=$B$2,SUM(I155:L159)&lt;&gt;0,$B$4=YEAR(W155)),B154+1,0)</f>
        <v>0</v>
      </c>
      <c r="C155" s="1">
        <f>IF(YEAR(W154)&lt;&gt;YEAR(W155),1,IF(Bevetel!T155&lt;&gt;0,C154+1,C154))</f>
        <v>150</v>
      </c>
      <c r="D155" s="102" t="str">
        <f>Bevetel!D155</f>
        <v/>
      </c>
      <c r="E155" s="42">
        <f>Bevetel!E155</f>
        <v>0</v>
      </c>
      <c r="F155" s="38" t="str">
        <f>IF(Bevetel!F155&lt;&gt;0,Bevetel!F155,"")</f>
        <v/>
      </c>
      <c r="G155" s="38" t="str">
        <f>IF(Bevetel!G155&lt;&gt;0,Bevetel!G155,"")</f>
        <v/>
      </c>
      <c r="H155" s="38" t="str">
        <f>IF(Bevetel!H155&lt;&gt;0,Bevetel!H155,"")</f>
        <v/>
      </c>
      <c r="I155" s="38">
        <f>Bevetel!I155</f>
        <v>0</v>
      </c>
      <c r="J155" s="105" t="str">
        <f>Bevetel!J155</f>
        <v/>
      </c>
      <c r="K155" s="106" t="str">
        <f>Bevetel!K155</f>
        <v/>
      </c>
      <c r="L155" s="106" t="str">
        <f>Bevetel!L155</f>
        <v/>
      </c>
      <c r="M155" s="107"/>
      <c r="Q155" s="1">
        <f>VLOOKUP(G155,Keszlet!$C$5:$E$205,3,FALSE)</f>
        <v>0</v>
      </c>
      <c r="T155" s="1" t="str">
        <f t="shared" si="15"/>
        <v>0</v>
      </c>
      <c r="U155" s="1">
        <f t="shared" si="16"/>
        <v>0</v>
      </c>
      <c r="W155" s="6">
        <f t="shared" si="17"/>
        <v>0</v>
      </c>
      <c r="X155" s="6">
        <f t="shared" si="14"/>
        <v>55153</v>
      </c>
      <c r="Y155" s="1">
        <f t="shared" si="18"/>
        <v>996</v>
      </c>
      <c r="Z155" s="1">
        <f>IF(COUNTIF($Y$6:Y155,Y155)=1,Y155,Y155+COUNTIF($Y$5:Y154,Y155))</f>
        <v>1145</v>
      </c>
      <c r="AD155" s="1" t="str">
        <f t="shared" si="19"/>
        <v/>
      </c>
      <c r="BA155" s="1">
        <f>IF(W155&lt;=Leltar_iv!$Y$1,I155,0)</f>
        <v>0</v>
      </c>
    </row>
    <row r="156" spans="1:53" s="1" customFormat="1" hidden="1" x14ac:dyDescent="0.25">
      <c r="A156" s="18">
        <f>IF(COUNTIF($Y$6:Y156,Y156)=1,Y156,Y156+COUNTIF($Y$5:Y155,Y156))</f>
        <v>1146</v>
      </c>
      <c r="B156" s="1">
        <f>IF(AND(Kisero_iv!$N$2=C156,Kisero_iv!$K$5=$B$2,SUM(I156:L160)&lt;&gt;0,$B$4=YEAR(W156)),B155+1,0)</f>
        <v>0</v>
      </c>
      <c r="C156" s="1">
        <f>IF(YEAR(W155)&lt;&gt;YEAR(W156),1,IF(Bevetel!T156&lt;&gt;0,C155+1,C155))</f>
        <v>151</v>
      </c>
      <c r="D156" s="102" t="str">
        <f>Bevetel!D156</f>
        <v/>
      </c>
      <c r="E156" s="42">
        <f>Bevetel!E156</f>
        <v>0</v>
      </c>
      <c r="F156" s="38" t="str">
        <f>IF(Bevetel!F156&lt;&gt;0,Bevetel!F156,"")</f>
        <v/>
      </c>
      <c r="G156" s="38" t="str">
        <f>IF(Bevetel!G156&lt;&gt;0,Bevetel!G156,"")</f>
        <v/>
      </c>
      <c r="H156" s="38" t="str">
        <f>IF(Bevetel!H156&lt;&gt;0,Bevetel!H156,"")</f>
        <v/>
      </c>
      <c r="I156" s="38">
        <f>Bevetel!I156</f>
        <v>0</v>
      </c>
      <c r="J156" s="105" t="str">
        <f>Bevetel!J156</f>
        <v/>
      </c>
      <c r="K156" s="106" t="str">
        <f>Bevetel!K156</f>
        <v/>
      </c>
      <c r="L156" s="106" t="str">
        <f>Bevetel!L156</f>
        <v/>
      </c>
      <c r="M156" s="107"/>
      <c r="Q156" s="1">
        <f>VLOOKUP(G156,Keszlet!$C$5:$E$205,3,FALSE)</f>
        <v>0</v>
      </c>
      <c r="T156" s="1" t="str">
        <f t="shared" si="15"/>
        <v>0</v>
      </c>
      <c r="U156" s="1">
        <f t="shared" si="16"/>
        <v>0</v>
      </c>
      <c r="W156" s="6">
        <f t="shared" si="17"/>
        <v>0</v>
      </c>
      <c r="X156" s="6">
        <f t="shared" si="14"/>
        <v>55153</v>
      </c>
      <c r="Y156" s="1">
        <f t="shared" si="18"/>
        <v>996</v>
      </c>
      <c r="Z156" s="1">
        <f>IF(COUNTIF($Y$6:Y156,Y156)=1,Y156,Y156+COUNTIF($Y$5:Y155,Y156))</f>
        <v>1146</v>
      </c>
      <c r="AD156" s="1" t="str">
        <f t="shared" si="19"/>
        <v/>
      </c>
      <c r="BA156" s="1">
        <f>IF(W156&lt;=Leltar_iv!$Y$1,I156,0)</f>
        <v>0</v>
      </c>
    </row>
    <row r="157" spans="1:53" s="1" customFormat="1" hidden="1" x14ac:dyDescent="0.25">
      <c r="A157" s="18">
        <f>IF(COUNTIF($Y$6:Y157,Y157)=1,Y157,Y157+COUNTIF($Y$5:Y156,Y157))</f>
        <v>1147</v>
      </c>
      <c r="B157" s="1">
        <f>IF(AND(Kisero_iv!$N$2=C157,Kisero_iv!$K$5=$B$2,SUM(I157:L161)&lt;&gt;0,$B$4=YEAR(W157)),B156+1,0)</f>
        <v>0</v>
      </c>
      <c r="C157" s="1">
        <f>IF(YEAR(W156)&lt;&gt;YEAR(W157),1,IF(Bevetel!T157&lt;&gt;0,C156+1,C156))</f>
        <v>152</v>
      </c>
      <c r="D157" s="102" t="str">
        <f>Bevetel!D157</f>
        <v/>
      </c>
      <c r="E157" s="42">
        <f>Bevetel!E157</f>
        <v>0</v>
      </c>
      <c r="F157" s="38" t="str">
        <f>IF(Bevetel!F157&lt;&gt;0,Bevetel!F157,"")</f>
        <v/>
      </c>
      <c r="G157" s="38" t="str">
        <f>IF(Bevetel!G157&lt;&gt;0,Bevetel!G157,"")</f>
        <v/>
      </c>
      <c r="H157" s="38" t="str">
        <f>IF(Bevetel!H157&lt;&gt;0,Bevetel!H157,"")</f>
        <v/>
      </c>
      <c r="I157" s="38">
        <f>Bevetel!I157</f>
        <v>0</v>
      </c>
      <c r="J157" s="105" t="str">
        <f>Bevetel!J157</f>
        <v/>
      </c>
      <c r="K157" s="106" t="str">
        <f>Bevetel!K157</f>
        <v/>
      </c>
      <c r="L157" s="106" t="str">
        <f>Bevetel!L157</f>
        <v/>
      </c>
      <c r="M157" s="107"/>
      <c r="Q157" s="1">
        <f>VLOOKUP(G157,Keszlet!$C$5:$E$205,3,FALSE)</f>
        <v>0</v>
      </c>
      <c r="T157" s="1" t="str">
        <f t="shared" si="15"/>
        <v>0</v>
      </c>
      <c r="U157" s="1">
        <f t="shared" si="16"/>
        <v>0</v>
      </c>
      <c r="W157" s="6">
        <f t="shared" si="17"/>
        <v>0</v>
      </c>
      <c r="X157" s="6">
        <f t="shared" si="14"/>
        <v>55153</v>
      </c>
      <c r="Y157" s="1">
        <f t="shared" si="18"/>
        <v>996</v>
      </c>
      <c r="Z157" s="1">
        <f>IF(COUNTIF($Y$6:Y157,Y157)=1,Y157,Y157+COUNTIF($Y$5:Y156,Y157))</f>
        <v>1147</v>
      </c>
      <c r="AD157" s="1" t="str">
        <f t="shared" si="19"/>
        <v/>
      </c>
      <c r="BA157" s="1">
        <f>IF(W157&lt;=Leltar_iv!$Y$1,I157,0)</f>
        <v>0</v>
      </c>
    </row>
    <row r="158" spans="1:53" s="1" customFormat="1" hidden="1" x14ac:dyDescent="0.25">
      <c r="A158" s="18">
        <f>IF(COUNTIF($Y$6:Y158,Y158)=1,Y158,Y158+COUNTIF($Y$5:Y157,Y158))</f>
        <v>1148</v>
      </c>
      <c r="B158" s="1">
        <f>IF(AND(Kisero_iv!$N$2=C158,Kisero_iv!$K$5=$B$2,SUM(I158:L162)&lt;&gt;0,$B$4=YEAR(W158)),B157+1,0)</f>
        <v>0</v>
      </c>
      <c r="C158" s="1">
        <f>IF(YEAR(W157)&lt;&gt;YEAR(W158),1,IF(Bevetel!T158&lt;&gt;0,C157+1,C157))</f>
        <v>153</v>
      </c>
      <c r="D158" s="102" t="str">
        <f>Bevetel!D158</f>
        <v/>
      </c>
      <c r="E158" s="42">
        <f>Bevetel!E158</f>
        <v>0</v>
      </c>
      <c r="F158" s="38" t="str">
        <f>IF(Bevetel!F158&lt;&gt;0,Bevetel!F158,"")</f>
        <v/>
      </c>
      <c r="G158" s="38" t="str">
        <f>IF(Bevetel!G158&lt;&gt;0,Bevetel!G158,"")</f>
        <v/>
      </c>
      <c r="H158" s="38" t="str">
        <f>IF(Bevetel!H158&lt;&gt;0,Bevetel!H158,"")</f>
        <v/>
      </c>
      <c r="I158" s="38">
        <f>Bevetel!I158</f>
        <v>0</v>
      </c>
      <c r="J158" s="105" t="str">
        <f>Bevetel!J158</f>
        <v/>
      </c>
      <c r="K158" s="106" t="str">
        <f>Bevetel!K158</f>
        <v/>
      </c>
      <c r="L158" s="106" t="str">
        <f>Bevetel!L158</f>
        <v/>
      </c>
      <c r="M158" s="107"/>
      <c r="Q158" s="1">
        <f>VLOOKUP(G158,Keszlet!$C$5:$E$205,3,FALSE)</f>
        <v>0</v>
      </c>
      <c r="T158" s="1" t="str">
        <f t="shared" si="15"/>
        <v>0</v>
      </c>
      <c r="U158" s="1">
        <f t="shared" si="16"/>
        <v>0</v>
      </c>
      <c r="W158" s="6">
        <f t="shared" si="17"/>
        <v>0</v>
      </c>
      <c r="X158" s="6">
        <f t="shared" si="14"/>
        <v>55153</v>
      </c>
      <c r="Y158" s="1">
        <f t="shared" si="18"/>
        <v>996</v>
      </c>
      <c r="Z158" s="1">
        <f>IF(COUNTIF($Y$6:Y158,Y158)=1,Y158,Y158+COUNTIF($Y$5:Y157,Y158))</f>
        <v>1148</v>
      </c>
      <c r="AD158" s="1" t="str">
        <f t="shared" si="19"/>
        <v/>
      </c>
      <c r="BA158" s="1">
        <f>IF(W158&lt;=Leltar_iv!$Y$1,I158,0)</f>
        <v>0</v>
      </c>
    </row>
    <row r="159" spans="1:53" s="1" customFormat="1" hidden="1" x14ac:dyDescent="0.25">
      <c r="A159" s="18">
        <f>IF(COUNTIF($Y$6:Y159,Y159)=1,Y159,Y159+COUNTIF($Y$5:Y158,Y159))</f>
        <v>1149</v>
      </c>
      <c r="B159" s="1">
        <f>IF(AND(Kisero_iv!$N$2=C159,Kisero_iv!$K$5=$B$2,SUM(I159:L163)&lt;&gt;0,$B$4=YEAR(W159)),B158+1,0)</f>
        <v>0</v>
      </c>
      <c r="C159" s="1">
        <f>IF(YEAR(W158)&lt;&gt;YEAR(W159),1,IF(Bevetel!T159&lt;&gt;0,C158+1,C158))</f>
        <v>154</v>
      </c>
      <c r="D159" s="102" t="str">
        <f>Bevetel!D159</f>
        <v/>
      </c>
      <c r="E159" s="42">
        <f>Bevetel!E159</f>
        <v>0</v>
      </c>
      <c r="F159" s="38" t="str">
        <f>IF(Bevetel!F159&lt;&gt;0,Bevetel!F159,"")</f>
        <v/>
      </c>
      <c r="G159" s="38" t="str">
        <f>IF(Bevetel!G159&lt;&gt;0,Bevetel!G159,"")</f>
        <v/>
      </c>
      <c r="H159" s="38" t="str">
        <f>IF(Bevetel!H159&lt;&gt;0,Bevetel!H159,"")</f>
        <v/>
      </c>
      <c r="I159" s="38">
        <f>Bevetel!I159</f>
        <v>0</v>
      </c>
      <c r="J159" s="105" t="str">
        <f>Bevetel!J159</f>
        <v/>
      </c>
      <c r="K159" s="106" t="str">
        <f>Bevetel!K159</f>
        <v/>
      </c>
      <c r="L159" s="106" t="str">
        <f>Bevetel!L159</f>
        <v/>
      </c>
      <c r="M159" s="107"/>
      <c r="Q159" s="1">
        <f>VLOOKUP(G159,Keszlet!$C$5:$E$205,3,FALSE)</f>
        <v>0</v>
      </c>
      <c r="T159" s="1" t="str">
        <f t="shared" si="15"/>
        <v>0</v>
      </c>
      <c r="U159" s="1">
        <f t="shared" si="16"/>
        <v>0</v>
      </c>
      <c r="W159" s="6">
        <f t="shared" si="17"/>
        <v>0</v>
      </c>
      <c r="X159" s="6">
        <f t="shared" si="14"/>
        <v>55153</v>
      </c>
      <c r="Y159" s="1">
        <f t="shared" si="18"/>
        <v>996</v>
      </c>
      <c r="Z159" s="1">
        <f>IF(COUNTIF($Y$6:Y159,Y159)=1,Y159,Y159+COUNTIF($Y$5:Y158,Y159))</f>
        <v>1149</v>
      </c>
      <c r="AD159" s="1" t="str">
        <f t="shared" si="19"/>
        <v/>
      </c>
      <c r="BA159" s="1">
        <f>IF(W159&lt;=Leltar_iv!$Y$1,I159,0)</f>
        <v>0</v>
      </c>
    </row>
    <row r="160" spans="1:53" s="1" customFormat="1" hidden="1" x14ac:dyDescent="0.25">
      <c r="A160" s="18">
        <f>IF(COUNTIF($Y$6:Y160,Y160)=1,Y160,Y160+COUNTIF($Y$5:Y159,Y160))</f>
        <v>1150</v>
      </c>
      <c r="B160" s="1">
        <f>IF(AND(Kisero_iv!$N$2=C160,Kisero_iv!$K$5=$B$2,SUM(I160:L164)&lt;&gt;0,$B$4=YEAR(W160)),B159+1,0)</f>
        <v>0</v>
      </c>
      <c r="C160" s="1">
        <f>IF(YEAR(W159)&lt;&gt;YEAR(W160),1,IF(Bevetel!T160&lt;&gt;0,C159+1,C159))</f>
        <v>155</v>
      </c>
      <c r="D160" s="102" t="str">
        <f>Bevetel!D160</f>
        <v/>
      </c>
      <c r="E160" s="42">
        <f>Bevetel!E160</f>
        <v>0</v>
      </c>
      <c r="F160" s="38" t="str">
        <f>IF(Bevetel!F160&lt;&gt;0,Bevetel!F160,"")</f>
        <v/>
      </c>
      <c r="G160" s="38" t="str">
        <f>IF(Bevetel!G160&lt;&gt;0,Bevetel!G160,"")</f>
        <v/>
      </c>
      <c r="H160" s="38" t="str">
        <f>IF(Bevetel!H160&lt;&gt;0,Bevetel!H160,"")</f>
        <v/>
      </c>
      <c r="I160" s="38">
        <f>Bevetel!I160</f>
        <v>0</v>
      </c>
      <c r="J160" s="105" t="str">
        <f>Bevetel!J160</f>
        <v/>
      </c>
      <c r="K160" s="106" t="str">
        <f>Bevetel!K160</f>
        <v/>
      </c>
      <c r="L160" s="106" t="str">
        <f>Bevetel!L160</f>
        <v/>
      </c>
      <c r="M160" s="107"/>
      <c r="Q160" s="1">
        <f>VLOOKUP(G160,Keszlet!$C$5:$E$205,3,FALSE)</f>
        <v>0</v>
      </c>
      <c r="T160" s="1" t="str">
        <f t="shared" si="15"/>
        <v>0</v>
      </c>
      <c r="U160" s="1">
        <f t="shared" si="16"/>
        <v>0</v>
      </c>
      <c r="W160" s="6">
        <f t="shared" si="17"/>
        <v>0</v>
      </c>
      <c r="X160" s="6">
        <f t="shared" si="14"/>
        <v>55153</v>
      </c>
      <c r="Y160" s="1">
        <f t="shared" si="18"/>
        <v>996</v>
      </c>
      <c r="Z160" s="1">
        <f>IF(COUNTIF($Y$6:Y160,Y160)=1,Y160,Y160+COUNTIF($Y$5:Y159,Y160))</f>
        <v>1150</v>
      </c>
      <c r="AD160" s="1" t="str">
        <f t="shared" si="19"/>
        <v/>
      </c>
      <c r="BA160" s="1">
        <f>IF(W160&lt;=Leltar_iv!$Y$1,I160,0)</f>
        <v>0</v>
      </c>
    </row>
    <row r="161" spans="1:53" s="1" customFormat="1" hidden="1" x14ac:dyDescent="0.25">
      <c r="A161" s="18">
        <f>IF(COUNTIF($Y$6:Y161,Y161)=1,Y161,Y161+COUNTIF($Y$5:Y160,Y161))</f>
        <v>1151</v>
      </c>
      <c r="B161" s="1">
        <f>IF(AND(Kisero_iv!$N$2=C161,Kisero_iv!$K$5=$B$2,SUM(I161:L165)&lt;&gt;0,$B$4=YEAR(W161)),B160+1,0)</f>
        <v>0</v>
      </c>
      <c r="C161" s="1">
        <f>IF(YEAR(W160)&lt;&gt;YEAR(W161),1,IF(Bevetel!T161&lt;&gt;0,C160+1,C160))</f>
        <v>156</v>
      </c>
      <c r="D161" s="102" t="str">
        <f>Bevetel!D161</f>
        <v/>
      </c>
      <c r="E161" s="42">
        <f>Bevetel!E161</f>
        <v>0</v>
      </c>
      <c r="F161" s="38" t="str">
        <f>IF(Bevetel!F161&lt;&gt;0,Bevetel!F161,"")</f>
        <v/>
      </c>
      <c r="G161" s="38" t="str">
        <f>IF(Bevetel!G161&lt;&gt;0,Bevetel!G161,"")</f>
        <v/>
      </c>
      <c r="H161" s="38" t="str">
        <f>IF(Bevetel!H161&lt;&gt;0,Bevetel!H161,"")</f>
        <v/>
      </c>
      <c r="I161" s="38">
        <f>Bevetel!I161</f>
        <v>0</v>
      </c>
      <c r="J161" s="105" t="str">
        <f>Bevetel!J161</f>
        <v/>
      </c>
      <c r="K161" s="106" t="str">
        <f>Bevetel!K161</f>
        <v/>
      </c>
      <c r="L161" s="106" t="str">
        <f>Bevetel!L161</f>
        <v/>
      </c>
      <c r="M161" s="107"/>
      <c r="Q161" s="1">
        <f>VLOOKUP(G161,Keszlet!$C$5:$E$205,3,FALSE)</f>
        <v>0</v>
      </c>
      <c r="T161" s="1" t="str">
        <f t="shared" si="15"/>
        <v>0</v>
      </c>
      <c r="U161" s="1">
        <f t="shared" si="16"/>
        <v>0</v>
      </c>
      <c r="W161" s="6">
        <f t="shared" si="17"/>
        <v>0</v>
      </c>
      <c r="X161" s="6">
        <f t="shared" si="14"/>
        <v>55153</v>
      </c>
      <c r="Y161" s="1">
        <f t="shared" si="18"/>
        <v>996</v>
      </c>
      <c r="Z161" s="1">
        <f>IF(COUNTIF($Y$6:Y161,Y161)=1,Y161,Y161+COUNTIF($Y$5:Y160,Y161))</f>
        <v>1151</v>
      </c>
      <c r="AD161" s="1" t="str">
        <f t="shared" si="19"/>
        <v/>
      </c>
      <c r="BA161" s="1">
        <f>IF(W161&lt;=Leltar_iv!$Y$1,I161,0)</f>
        <v>0</v>
      </c>
    </row>
    <row r="162" spans="1:53" s="1" customFormat="1" hidden="1" x14ac:dyDescent="0.25">
      <c r="A162" s="18">
        <f>IF(COUNTIF($Y$6:Y162,Y162)=1,Y162,Y162+COUNTIF($Y$5:Y161,Y162))</f>
        <v>1152</v>
      </c>
      <c r="B162" s="1">
        <f>IF(AND(Kisero_iv!$N$2=C162,Kisero_iv!$K$5=$B$2,SUM(I162:L166)&lt;&gt;0,$B$4=YEAR(W162)),B161+1,0)</f>
        <v>0</v>
      </c>
      <c r="C162" s="1">
        <f>IF(YEAR(W161)&lt;&gt;YEAR(W162),1,IF(Bevetel!T162&lt;&gt;0,C161+1,C161))</f>
        <v>157</v>
      </c>
      <c r="D162" s="102" t="str">
        <f>Bevetel!D162</f>
        <v/>
      </c>
      <c r="E162" s="42">
        <f>Bevetel!E162</f>
        <v>0</v>
      </c>
      <c r="F162" s="38" t="str">
        <f>IF(Bevetel!F162&lt;&gt;0,Bevetel!F162,"")</f>
        <v/>
      </c>
      <c r="G162" s="38" t="str">
        <f>IF(Bevetel!G162&lt;&gt;0,Bevetel!G162,"")</f>
        <v/>
      </c>
      <c r="H162" s="38" t="str">
        <f>IF(Bevetel!H162&lt;&gt;0,Bevetel!H162,"")</f>
        <v/>
      </c>
      <c r="I162" s="38">
        <f>Bevetel!I162</f>
        <v>0</v>
      </c>
      <c r="J162" s="105" t="str">
        <f>Bevetel!J162</f>
        <v/>
      </c>
      <c r="K162" s="106" t="str">
        <f>Bevetel!K162</f>
        <v/>
      </c>
      <c r="L162" s="106" t="str">
        <f>Bevetel!L162</f>
        <v/>
      </c>
      <c r="M162" s="107"/>
      <c r="Q162" s="1">
        <f>VLOOKUP(G162,Keszlet!$C$5:$E$205,3,FALSE)</f>
        <v>0</v>
      </c>
      <c r="T162" s="1" t="str">
        <f t="shared" si="15"/>
        <v>0</v>
      </c>
      <c r="U162" s="1">
        <f t="shared" si="16"/>
        <v>0</v>
      </c>
      <c r="W162" s="6">
        <f t="shared" si="17"/>
        <v>0</v>
      </c>
      <c r="X162" s="6">
        <f t="shared" si="14"/>
        <v>55153</v>
      </c>
      <c r="Y162" s="1">
        <f t="shared" si="18"/>
        <v>996</v>
      </c>
      <c r="Z162" s="1">
        <f>IF(COUNTIF($Y$6:Y162,Y162)=1,Y162,Y162+COUNTIF($Y$5:Y161,Y162))</f>
        <v>1152</v>
      </c>
      <c r="AD162" s="1" t="str">
        <f t="shared" si="19"/>
        <v/>
      </c>
      <c r="BA162" s="1">
        <f>IF(W162&lt;=Leltar_iv!$Y$1,I162,0)</f>
        <v>0</v>
      </c>
    </row>
    <row r="163" spans="1:53" s="1" customFormat="1" hidden="1" x14ac:dyDescent="0.25">
      <c r="A163" s="18">
        <f>IF(COUNTIF($Y$6:Y163,Y163)=1,Y163,Y163+COUNTIF($Y$5:Y162,Y163))</f>
        <v>1153</v>
      </c>
      <c r="B163" s="1">
        <f>IF(AND(Kisero_iv!$N$2=C163,Kisero_iv!$K$5=$B$2,SUM(I163:L167)&lt;&gt;0,$B$4=YEAR(W163)),B162+1,0)</f>
        <v>0</v>
      </c>
      <c r="C163" s="1">
        <f>IF(YEAR(W162)&lt;&gt;YEAR(W163),1,IF(Bevetel!T163&lt;&gt;0,C162+1,C162))</f>
        <v>158</v>
      </c>
      <c r="D163" s="102" t="str">
        <f>Bevetel!D163</f>
        <v/>
      </c>
      <c r="E163" s="42">
        <f>Bevetel!E163</f>
        <v>0</v>
      </c>
      <c r="F163" s="38" t="str">
        <f>IF(Bevetel!F163&lt;&gt;0,Bevetel!F163,"")</f>
        <v/>
      </c>
      <c r="G163" s="38" t="str">
        <f>IF(Bevetel!G163&lt;&gt;0,Bevetel!G163,"")</f>
        <v/>
      </c>
      <c r="H163" s="38" t="str">
        <f>IF(Bevetel!H163&lt;&gt;0,Bevetel!H163,"")</f>
        <v/>
      </c>
      <c r="I163" s="38">
        <f>Bevetel!I163</f>
        <v>0</v>
      </c>
      <c r="J163" s="105" t="str">
        <f>Bevetel!J163</f>
        <v/>
      </c>
      <c r="K163" s="106" t="str">
        <f>Bevetel!K163</f>
        <v/>
      </c>
      <c r="L163" s="106" t="str">
        <f>Bevetel!L163</f>
        <v/>
      </c>
      <c r="M163" s="107"/>
      <c r="Q163" s="1">
        <f>VLOOKUP(G163,Keszlet!$C$5:$E$205,3,FALSE)</f>
        <v>0</v>
      </c>
      <c r="T163" s="1" t="str">
        <f t="shared" si="15"/>
        <v>0</v>
      </c>
      <c r="U163" s="1">
        <f t="shared" si="16"/>
        <v>0</v>
      </c>
      <c r="W163" s="6">
        <f t="shared" si="17"/>
        <v>0</v>
      </c>
      <c r="X163" s="6">
        <f t="shared" si="14"/>
        <v>55153</v>
      </c>
      <c r="Y163" s="1">
        <f t="shared" si="18"/>
        <v>996</v>
      </c>
      <c r="Z163" s="1">
        <f>IF(COUNTIF($Y$6:Y163,Y163)=1,Y163,Y163+COUNTIF($Y$5:Y162,Y163))</f>
        <v>1153</v>
      </c>
      <c r="AD163" s="1" t="str">
        <f t="shared" si="19"/>
        <v/>
      </c>
      <c r="BA163" s="1">
        <f>IF(W163&lt;=Leltar_iv!$Y$1,I163,0)</f>
        <v>0</v>
      </c>
    </row>
    <row r="164" spans="1:53" s="1" customFormat="1" hidden="1" x14ac:dyDescent="0.25">
      <c r="A164" s="18">
        <f>IF(COUNTIF($Y$6:Y164,Y164)=1,Y164,Y164+COUNTIF($Y$5:Y163,Y164))</f>
        <v>1154</v>
      </c>
      <c r="B164" s="1">
        <f>IF(AND(Kisero_iv!$N$2=C164,Kisero_iv!$K$5=$B$2,SUM(I164:L168)&lt;&gt;0,$B$4=YEAR(W164)),B163+1,0)</f>
        <v>0</v>
      </c>
      <c r="C164" s="1">
        <f>IF(YEAR(W163)&lt;&gt;YEAR(W164),1,IF(Bevetel!T164&lt;&gt;0,C163+1,C163))</f>
        <v>159</v>
      </c>
      <c r="D164" s="102" t="str">
        <f>Bevetel!D164</f>
        <v/>
      </c>
      <c r="E164" s="42">
        <f>Bevetel!E164</f>
        <v>0</v>
      </c>
      <c r="F164" s="38" t="str">
        <f>IF(Bevetel!F164&lt;&gt;0,Bevetel!F164,"")</f>
        <v/>
      </c>
      <c r="G164" s="38" t="str">
        <f>IF(Bevetel!G164&lt;&gt;0,Bevetel!G164,"")</f>
        <v/>
      </c>
      <c r="H164" s="38" t="str">
        <f>IF(Bevetel!H164&lt;&gt;0,Bevetel!H164,"")</f>
        <v/>
      </c>
      <c r="I164" s="38">
        <f>Bevetel!I164</f>
        <v>0</v>
      </c>
      <c r="J164" s="105" t="str">
        <f>Bevetel!J164</f>
        <v/>
      </c>
      <c r="K164" s="106" t="str">
        <f>Bevetel!K164</f>
        <v/>
      </c>
      <c r="L164" s="106" t="str">
        <f>Bevetel!L164</f>
        <v/>
      </c>
      <c r="M164" s="107"/>
      <c r="Q164" s="1">
        <f>VLOOKUP(G164,Keszlet!$C$5:$E$205,3,FALSE)</f>
        <v>0</v>
      </c>
      <c r="T164" s="1" t="str">
        <f t="shared" si="15"/>
        <v>0</v>
      </c>
      <c r="U164" s="1">
        <f t="shared" si="16"/>
        <v>0</v>
      </c>
      <c r="W164" s="6">
        <f t="shared" si="17"/>
        <v>0</v>
      </c>
      <c r="X164" s="6">
        <f t="shared" si="14"/>
        <v>55153</v>
      </c>
      <c r="Y164" s="1">
        <f t="shared" si="18"/>
        <v>996</v>
      </c>
      <c r="Z164" s="1">
        <f>IF(COUNTIF($Y$6:Y164,Y164)=1,Y164,Y164+COUNTIF($Y$5:Y163,Y164))</f>
        <v>1154</v>
      </c>
      <c r="AD164" s="1" t="str">
        <f t="shared" si="19"/>
        <v/>
      </c>
      <c r="BA164" s="1">
        <f>IF(W164&lt;=Leltar_iv!$Y$1,I164,0)</f>
        <v>0</v>
      </c>
    </row>
    <row r="165" spans="1:53" s="1" customFormat="1" hidden="1" x14ac:dyDescent="0.25">
      <c r="A165" s="18">
        <f>IF(COUNTIF($Y$6:Y165,Y165)=1,Y165,Y165+COUNTIF($Y$5:Y164,Y165))</f>
        <v>1155</v>
      </c>
      <c r="B165" s="1">
        <f>IF(AND(Kisero_iv!$N$2=C165,Kisero_iv!$K$5=$B$2,SUM(I165:L169)&lt;&gt;0,$B$4=YEAR(W165)),B164+1,0)</f>
        <v>0</v>
      </c>
      <c r="C165" s="1">
        <f>IF(YEAR(W164)&lt;&gt;YEAR(W165),1,IF(Bevetel!T165&lt;&gt;0,C164+1,C164))</f>
        <v>160</v>
      </c>
      <c r="D165" s="102" t="str">
        <f>Bevetel!D165</f>
        <v/>
      </c>
      <c r="E165" s="42">
        <f>Bevetel!E165</f>
        <v>0</v>
      </c>
      <c r="F165" s="38" t="str">
        <f>IF(Bevetel!F165&lt;&gt;0,Bevetel!F165,"")</f>
        <v/>
      </c>
      <c r="G165" s="38" t="str">
        <f>IF(Bevetel!G165&lt;&gt;0,Bevetel!G165,"")</f>
        <v/>
      </c>
      <c r="H165" s="38" t="str">
        <f>IF(Bevetel!H165&lt;&gt;0,Bevetel!H165,"")</f>
        <v/>
      </c>
      <c r="I165" s="38">
        <f>Bevetel!I165</f>
        <v>0</v>
      </c>
      <c r="J165" s="105" t="str">
        <f>Bevetel!J165</f>
        <v/>
      </c>
      <c r="K165" s="106" t="str">
        <f>Bevetel!K165</f>
        <v/>
      </c>
      <c r="L165" s="106" t="str">
        <f>Bevetel!L165</f>
        <v/>
      </c>
      <c r="M165" s="107"/>
      <c r="Q165" s="1">
        <f>VLOOKUP(G165,Keszlet!$C$5:$E$205,3,FALSE)</f>
        <v>0</v>
      </c>
      <c r="T165" s="1" t="str">
        <f t="shared" si="15"/>
        <v>0</v>
      </c>
      <c r="U165" s="1">
        <f t="shared" si="16"/>
        <v>0</v>
      </c>
      <c r="W165" s="6">
        <f t="shared" si="17"/>
        <v>0</v>
      </c>
      <c r="X165" s="6">
        <f t="shared" si="14"/>
        <v>55153</v>
      </c>
      <c r="Y165" s="1">
        <f t="shared" si="18"/>
        <v>996</v>
      </c>
      <c r="Z165" s="1">
        <f>IF(COUNTIF($Y$6:Y165,Y165)=1,Y165,Y165+COUNTIF($Y$5:Y164,Y165))</f>
        <v>1155</v>
      </c>
      <c r="AD165" s="1" t="str">
        <f t="shared" si="19"/>
        <v/>
      </c>
      <c r="BA165" s="1">
        <f>IF(W165&lt;=Leltar_iv!$Y$1,I165,0)</f>
        <v>0</v>
      </c>
    </row>
    <row r="166" spans="1:53" s="1" customFormat="1" hidden="1" x14ac:dyDescent="0.25">
      <c r="A166" s="18">
        <f>IF(COUNTIF($Y$6:Y166,Y166)=1,Y166,Y166+COUNTIF($Y$5:Y165,Y166))</f>
        <v>1156</v>
      </c>
      <c r="B166" s="1">
        <f>IF(AND(Kisero_iv!$N$2=C166,Kisero_iv!$K$5=$B$2,SUM(I166:L170)&lt;&gt;0,$B$4=YEAR(W166)),B165+1,0)</f>
        <v>0</v>
      </c>
      <c r="C166" s="1">
        <f>IF(YEAR(W165)&lt;&gt;YEAR(W166),1,IF(Bevetel!T166&lt;&gt;0,C165+1,C165))</f>
        <v>161</v>
      </c>
      <c r="D166" s="102" t="str">
        <f>Bevetel!D166</f>
        <v/>
      </c>
      <c r="E166" s="42">
        <f>Bevetel!E166</f>
        <v>0</v>
      </c>
      <c r="F166" s="38" t="str">
        <f>IF(Bevetel!F166&lt;&gt;0,Bevetel!F166,"")</f>
        <v/>
      </c>
      <c r="G166" s="38" t="str">
        <f>IF(Bevetel!G166&lt;&gt;0,Bevetel!G166,"")</f>
        <v/>
      </c>
      <c r="H166" s="38" t="str">
        <f>IF(Bevetel!H166&lt;&gt;0,Bevetel!H166,"")</f>
        <v/>
      </c>
      <c r="I166" s="38">
        <f>Bevetel!I166</f>
        <v>0</v>
      </c>
      <c r="J166" s="105" t="str">
        <f>Bevetel!J166</f>
        <v/>
      </c>
      <c r="K166" s="106" t="str">
        <f>Bevetel!K166</f>
        <v/>
      </c>
      <c r="L166" s="106" t="str">
        <f>Bevetel!L166</f>
        <v/>
      </c>
      <c r="M166" s="107"/>
      <c r="Q166" s="1">
        <f>VLOOKUP(G166,Keszlet!$C$5:$E$205,3,FALSE)</f>
        <v>0</v>
      </c>
      <c r="T166" s="1" t="str">
        <f t="shared" si="15"/>
        <v>0</v>
      </c>
      <c r="U166" s="1">
        <f t="shared" si="16"/>
        <v>0</v>
      </c>
      <c r="W166" s="6">
        <f t="shared" si="17"/>
        <v>0</v>
      </c>
      <c r="X166" s="6">
        <f t="shared" ref="X166:X197" si="20">IF(G166=q,W166,$X$1)</f>
        <v>55153</v>
      </c>
      <c r="Y166" s="1">
        <f t="shared" si="18"/>
        <v>996</v>
      </c>
      <c r="Z166" s="1">
        <f>IF(COUNTIF($Y$6:Y166,Y166)=1,Y166,Y166+COUNTIF($Y$5:Y165,Y166))</f>
        <v>1156</v>
      </c>
      <c r="AD166" s="1" t="str">
        <f t="shared" si="19"/>
        <v/>
      </c>
      <c r="BA166" s="1">
        <f>IF(W166&lt;=Leltar_iv!$Y$1,I166,0)</f>
        <v>0</v>
      </c>
    </row>
    <row r="167" spans="1:53" s="1" customFormat="1" hidden="1" x14ac:dyDescent="0.25">
      <c r="A167" s="18">
        <f>IF(COUNTIF($Y$6:Y167,Y167)=1,Y167,Y167+COUNTIF($Y$5:Y166,Y167))</f>
        <v>1157</v>
      </c>
      <c r="B167" s="1">
        <f>IF(AND(Kisero_iv!$N$2=C167,Kisero_iv!$K$5=$B$2,SUM(I167:L171)&lt;&gt;0,$B$4=YEAR(W167)),B166+1,0)</f>
        <v>0</v>
      </c>
      <c r="C167" s="1">
        <f>IF(YEAR(W166)&lt;&gt;YEAR(W167),1,IF(Bevetel!T167&lt;&gt;0,C166+1,C166))</f>
        <v>162</v>
      </c>
      <c r="D167" s="102" t="str">
        <f>Bevetel!D167</f>
        <v/>
      </c>
      <c r="E167" s="42">
        <f>Bevetel!E167</f>
        <v>0</v>
      </c>
      <c r="F167" s="38" t="str">
        <f>IF(Bevetel!F167&lt;&gt;0,Bevetel!F167,"")</f>
        <v/>
      </c>
      <c r="G167" s="38" t="str">
        <f>IF(Bevetel!G167&lt;&gt;0,Bevetel!G167,"")</f>
        <v/>
      </c>
      <c r="H167" s="38" t="str">
        <f>IF(Bevetel!H167&lt;&gt;0,Bevetel!H167,"")</f>
        <v/>
      </c>
      <c r="I167" s="38">
        <f>Bevetel!I167</f>
        <v>0</v>
      </c>
      <c r="J167" s="105" t="str">
        <f>Bevetel!J167</f>
        <v/>
      </c>
      <c r="K167" s="106" t="str">
        <f>Bevetel!K167</f>
        <v/>
      </c>
      <c r="L167" s="106" t="str">
        <f>Bevetel!L167</f>
        <v/>
      </c>
      <c r="M167" s="107"/>
      <c r="Q167" s="1">
        <f>VLOOKUP(G167,Keszlet!$C$5:$E$205,3,FALSE)</f>
        <v>0</v>
      </c>
      <c r="T167" s="1" t="str">
        <f t="shared" si="15"/>
        <v>0</v>
      </c>
      <c r="U167" s="1">
        <f t="shared" si="16"/>
        <v>0</v>
      </c>
      <c r="W167" s="6">
        <f t="shared" si="17"/>
        <v>0</v>
      </c>
      <c r="X167" s="6">
        <f t="shared" si="20"/>
        <v>55153</v>
      </c>
      <c r="Y167" s="1">
        <f t="shared" si="18"/>
        <v>996</v>
      </c>
      <c r="Z167" s="1">
        <f>IF(COUNTIF($Y$6:Y167,Y167)=1,Y167,Y167+COUNTIF($Y$5:Y166,Y167))</f>
        <v>1157</v>
      </c>
      <c r="AD167" s="1" t="str">
        <f t="shared" si="19"/>
        <v/>
      </c>
      <c r="BA167" s="1">
        <f>IF(W167&lt;=Leltar_iv!$Y$1,I167,0)</f>
        <v>0</v>
      </c>
    </row>
    <row r="168" spans="1:53" s="1" customFormat="1" hidden="1" x14ac:dyDescent="0.25">
      <c r="A168" s="18">
        <f>IF(COUNTIF($Y$6:Y168,Y168)=1,Y168,Y168+COUNTIF($Y$5:Y167,Y168))</f>
        <v>1158</v>
      </c>
      <c r="B168" s="1">
        <f>IF(AND(Kisero_iv!$N$2=C168,Kisero_iv!$K$5=$B$2,SUM(I168:L172)&lt;&gt;0,$B$4=YEAR(W168)),B167+1,0)</f>
        <v>0</v>
      </c>
      <c r="C168" s="1">
        <f>IF(YEAR(W167)&lt;&gt;YEAR(W168),1,IF(Bevetel!T168&lt;&gt;0,C167+1,C167))</f>
        <v>163</v>
      </c>
      <c r="D168" s="102" t="str">
        <f>Bevetel!D168</f>
        <v/>
      </c>
      <c r="E168" s="42">
        <f>Bevetel!E168</f>
        <v>0</v>
      </c>
      <c r="F168" s="38" t="str">
        <f>IF(Bevetel!F168&lt;&gt;0,Bevetel!F168,"")</f>
        <v/>
      </c>
      <c r="G168" s="38" t="str">
        <f>IF(Bevetel!G168&lt;&gt;0,Bevetel!G168,"")</f>
        <v/>
      </c>
      <c r="H168" s="38" t="str">
        <f>IF(Bevetel!H168&lt;&gt;0,Bevetel!H168,"")</f>
        <v/>
      </c>
      <c r="I168" s="38">
        <f>Bevetel!I168</f>
        <v>0</v>
      </c>
      <c r="J168" s="105" t="str">
        <f>Bevetel!J168</f>
        <v/>
      </c>
      <c r="K168" s="106" t="str">
        <f>Bevetel!K168</f>
        <v/>
      </c>
      <c r="L168" s="106" t="str">
        <f>Bevetel!L168</f>
        <v/>
      </c>
      <c r="M168" s="107"/>
      <c r="Q168" s="1">
        <f>VLOOKUP(G168,Keszlet!$C$5:$E$205,3,FALSE)</f>
        <v>0</v>
      </c>
      <c r="T168" s="1" t="str">
        <f t="shared" si="15"/>
        <v>0</v>
      </c>
      <c r="U168" s="1">
        <f t="shared" si="16"/>
        <v>0</v>
      </c>
      <c r="W168" s="6">
        <f t="shared" si="17"/>
        <v>0</v>
      </c>
      <c r="X168" s="6">
        <f t="shared" si="20"/>
        <v>55153</v>
      </c>
      <c r="Y168" s="1">
        <f t="shared" si="18"/>
        <v>996</v>
      </c>
      <c r="Z168" s="1">
        <f>IF(COUNTIF($Y$6:Y168,Y168)=1,Y168,Y168+COUNTIF($Y$5:Y167,Y168))</f>
        <v>1158</v>
      </c>
      <c r="AD168" s="1" t="str">
        <f t="shared" si="19"/>
        <v/>
      </c>
      <c r="BA168" s="1">
        <f>IF(W168&lt;=Leltar_iv!$Y$1,I168,0)</f>
        <v>0</v>
      </c>
    </row>
    <row r="169" spans="1:53" s="1" customFormat="1" hidden="1" x14ac:dyDescent="0.25">
      <c r="A169" s="18">
        <f>IF(COUNTIF($Y$6:Y169,Y169)=1,Y169,Y169+COUNTIF($Y$5:Y168,Y169))</f>
        <v>1159</v>
      </c>
      <c r="B169" s="1">
        <f>IF(AND(Kisero_iv!$N$2=C169,Kisero_iv!$K$5=$B$2,SUM(I169:L173)&lt;&gt;0,$B$4=YEAR(W169)),B168+1,0)</f>
        <v>0</v>
      </c>
      <c r="C169" s="1">
        <f>IF(YEAR(W168)&lt;&gt;YEAR(W169),1,IF(Bevetel!T169&lt;&gt;0,C168+1,C168))</f>
        <v>164</v>
      </c>
      <c r="D169" s="102" t="str">
        <f>Bevetel!D169</f>
        <v/>
      </c>
      <c r="E169" s="42">
        <f>Bevetel!E169</f>
        <v>0</v>
      </c>
      <c r="F169" s="38" t="str">
        <f>IF(Bevetel!F169&lt;&gt;0,Bevetel!F169,"")</f>
        <v/>
      </c>
      <c r="G169" s="38" t="str">
        <f>IF(Bevetel!G169&lt;&gt;0,Bevetel!G169,"")</f>
        <v/>
      </c>
      <c r="H169" s="38" t="str">
        <f>IF(Bevetel!H169&lt;&gt;0,Bevetel!H169,"")</f>
        <v/>
      </c>
      <c r="I169" s="38">
        <f>Bevetel!I169</f>
        <v>0</v>
      </c>
      <c r="J169" s="105" t="str">
        <f>Bevetel!J169</f>
        <v/>
      </c>
      <c r="K169" s="106" t="str">
        <f>Bevetel!K169</f>
        <v/>
      </c>
      <c r="L169" s="106" t="str">
        <f>Bevetel!L169</f>
        <v/>
      </c>
      <c r="M169" s="107"/>
      <c r="Q169" s="1">
        <f>VLOOKUP(G169,Keszlet!$C$5:$E$205,3,FALSE)</f>
        <v>0</v>
      </c>
      <c r="T169" s="1" t="str">
        <f t="shared" si="15"/>
        <v>0</v>
      </c>
      <c r="U169" s="1">
        <f t="shared" si="16"/>
        <v>0</v>
      </c>
      <c r="W169" s="6">
        <f t="shared" si="17"/>
        <v>0</v>
      </c>
      <c r="X169" s="6">
        <f t="shared" si="20"/>
        <v>55153</v>
      </c>
      <c r="Y169" s="1">
        <f t="shared" si="18"/>
        <v>996</v>
      </c>
      <c r="Z169" s="1">
        <f>IF(COUNTIF($Y$6:Y169,Y169)=1,Y169,Y169+COUNTIF($Y$5:Y168,Y169))</f>
        <v>1159</v>
      </c>
      <c r="AD169" s="1" t="str">
        <f t="shared" si="19"/>
        <v/>
      </c>
      <c r="BA169" s="1">
        <f>IF(W169&lt;=Leltar_iv!$Y$1,I169,0)</f>
        <v>0</v>
      </c>
    </row>
    <row r="170" spans="1:53" s="1" customFormat="1" hidden="1" x14ac:dyDescent="0.25">
      <c r="A170" s="18">
        <f>IF(COUNTIF($Y$6:Y170,Y170)=1,Y170,Y170+COUNTIF($Y$5:Y169,Y170))</f>
        <v>1160</v>
      </c>
      <c r="B170" s="1">
        <f>IF(AND(Kisero_iv!$N$2=C170,Kisero_iv!$K$5=$B$2,SUM(I170:L174)&lt;&gt;0,$B$4=YEAR(W170)),B169+1,0)</f>
        <v>0</v>
      </c>
      <c r="C170" s="1">
        <f>IF(YEAR(W169)&lt;&gt;YEAR(W170),1,IF(Bevetel!T170&lt;&gt;0,C169+1,C169))</f>
        <v>165</v>
      </c>
      <c r="D170" s="102" t="str">
        <f>Bevetel!D170</f>
        <v/>
      </c>
      <c r="E170" s="42">
        <f>Bevetel!E170</f>
        <v>0</v>
      </c>
      <c r="F170" s="38" t="str">
        <f>IF(Bevetel!F170&lt;&gt;0,Bevetel!F170,"")</f>
        <v/>
      </c>
      <c r="G170" s="38" t="str">
        <f>IF(Bevetel!G170&lt;&gt;0,Bevetel!G170,"")</f>
        <v/>
      </c>
      <c r="H170" s="38" t="str">
        <f>IF(Bevetel!H170&lt;&gt;0,Bevetel!H170,"")</f>
        <v/>
      </c>
      <c r="I170" s="38">
        <f>Bevetel!I170</f>
        <v>0</v>
      </c>
      <c r="J170" s="105" t="str">
        <f>Bevetel!J170</f>
        <v/>
      </c>
      <c r="K170" s="106" t="str">
        <f>Bevetel!K170</f>
        <v/>
      </c>
      <c r="L170" s="106" t="str">
        <f>Bevetel!L170</f>
        <v/>
      </c>
      <c r="M170" s="107"/>
      <c r="Q170" s="1">
        <f>VLOOKUP(G170,Keszlet!$C$5:$E$205,3,FALSE)</f>
        <v>0</v>
      </c>
      <c r="T170" s="1" t="str">
        <f t="shared" si="15"/>
        <v>0</v>
      </c>
      <c r="U170" s="1">
        <f t="shared" si="16"/>
        <v>0</v>
      </c>
      <c r="W170" s="6">
        <f t="shared" si="17"/>
        <v>0</v>
      </c>
      <c r="X170" s="6">
        <f t="shared" si="20"/>
        <v>55153</v>
      </c>
      <c r="Y170" s="1">
        <f t="shared" si="18"/>
        <v>996</v>
      </c>
      <c r="Z170" s="1">
        <f>IF(COUNTIF($Y$6:Y170,Y170)=1,Y170,Y170+COUNTIF($Y$5:Y169,Y170))</f>
        <v>1160</v>
      </c>
      <c r="AD170" s="1" t="str">
        <f t="shared" si="19"/>
        <v/>
      </c>
      <c r="BA170" s="1">
        <f>IF(W170&lt;=Leltar_iv!$Y$1,I170,0)</f>
        <v>0</v>
      </c>
    </row>
    <row r="171" spans="1:53" s="1" customFormat="1" hidden="1" x14ac:dyDescent="0.25">
      <c r="A171" s="18">
        <f>IF(COUNTIF($Y$6:Y171,Y171)=1,Y171,Y171+COUNTIF($Y$5:Y170,Y171))</f>
        <v>1161</v>
      </c>
      <c r="B171" s="1">
        <f>IF(AND(Kisero_iv!$N$2=C171,Kisero_iv!$K$5=$B$2,SUM(I171:L175)&lt;&gt;0,$B$4=YEAR(W171)),B170+1,0)</f>
        <v>0</v>
      </c>
      <c r="C171" s="1">
        <f>IF(YEAR(W170)&lt;&gt;YEAR(W171),1,IF(Bevetel!T171&lt;&gt;0,C170+1,C170))</f>
        <v>166</v>
      </c>
      <c r="D171" s="102" t="str">
        <f>Bevetel!D171</f>
        <v/>
      </c>
      <c r="E171" s="42">
        <f>Bevetel!E171</f>
        <v>0</v>
      </c>
      <c r="F171" s="38" t="str">
        <f>IF(Bevetel!F171&lt;&gt;0,Bevetel!F171,"")</f>
        <v/>
      </c>
      <c r="G171" s="38" t="str">
        <f>IF(Bevetel!G171&lt;&gt;0,Bevetel!G171,"")</f>
        <v/>
      </c>
      <c r="H171" s="38" t="str">
        <f>IF(Bevetel!H171&lt;&gt;0,Bevetel!H171,"")</f>
        <v/>
      </c>
      <c r="I171" s="38">
        <f>Bevetel!I171</f>
        <v>0</v>
      </c>
      <c r="J171" s="105" t="str">
        <f>Bevetel!J171</f>
        <v/>
      </c>
      <c r="K171" s="106" t="str">
        <f>Bevetel!K171</f>
        <v/>
      </c>
      <c r="L171" s="106" t="str">
        <f>Bevetel!L171</f>
        <v/>
      </c>
      <c r="M171" s="107"/>
      <c r="Q171" s="1">
        <f>VLOOKUP(G171,Keszlet!$C$5:$E$205,3,FALSE)</f>
        <v>0</v>
      </c>
      <c r="T171" s="1" t="str">
        <f t="shared" si="15"/>
        <v>0</v>
      </c>
      <c r="U171" s="1">
        <f t="shared" si="16"/>
        <v>0</v>
      </c>
      <c r="W171" s="6">
        <f t="shared" si="17"/>
        <v>0</v>
      </c>
      <c r="X171" s="6">
        <f t="shared" si="20"/>
        <v>55153</v>
      </c>
      <c r="Y171" s="1">
        <f t="shared" si="18"/>
        <v>996</v>
      </c>
      <c r="Z171" s="1">
        <f>IF(COUNTIF($Y$6:Y171,Y171)=1,Y171,Y171+COUNTIF($Y$5:Y170,Y171))</f>
        <v>1161</v>
      </c>
      <c r="AD171" s="1" t="str">
        <f t="shared" si="19"/>
        <v/>
      </c>
      <c r="BA171" s="1">
        <f>IF(W171&lt;=Leltar_iv!$Y$1,I171,0)</f>
        <v>0</v>
      </c>
    </row>
    <row r="172" spans="1:53" s="1" customFormat="1" hidden="1" x14ac:dyDescent="0.25">
      <c r="A172" s="18">
        <f>IF(COUNTIF($Y$6:Y172,Y172)=1,Y172,Y172+COUNTIF($Y$5:Y171,Y172))</f>
        <v>1162</v>
      </c>
      <c r="B172" s="1">
        <f>IF(AND(Kisero_iv!$N$2=C172,Kisero_iv!$K$5=$B$2,SUM(I172:L176)&lt;&gt;0,$B$4=YEAR(W172)),B171+1,0)</f>
        <v>0</v>
      </c>
      <c r="C172" s="1">
        <f>IF(YEAR(W171)&lt;&gt;YEAR(W172),1,IF(Bevetel!T172&lt;&gt;0,C171+1,C171))</f>
        <v>167</v>
      </c>
      <c r="D172" s="102" t="str">
        <f>Bevetel!D172</f>
        <v/>
      </c>
      <c r="E172" s="42">
        <f>Bevetel!E172</f>
        <v>0</v>
      </c>
      <c r="F172" s="38" t="str">
        <f>IF(Bevetel!F172&lt;&gt;0,Bevetel!F172,"")</f>
        <v/>
      </c>
      <c r="G172" s="38" t="str">
        <f>IF(Bevetel!G172&lt;&gt;0,Bevetel!G172,"")</f>
        <v/>
      </c>
      <c r="H172" s="38" t="str">
        <f>IF(Bevetel!H172&lt;&gt;0,Bevetel!H172,"")</f>
        <v/>
      </c>
      <c r="I172" s="38">
        <f>Bevetel!I172</f>
        <v>0</v>
      </c>
      <c r="J172" s="105" t="str">
        <f>Bevetel!J172</f>
        <v/>
      </c>
      <c r="K172" s="106" t="str">
        <f>Bevetel!K172</f>
        <v/>
      </c>
      <c r="L172" s="106" t="str">
        <f>Bevetel!L172</f>
        <v/>
      </c>
      <c r="M172" s="107"/>
      <c r="Q172" s="1">
        <f>VLOOKUP(G172,Keszlet!$C$5:$E$205,3,FALSE)</f>
        <v>0</v>
      </c>
      <c r="T172" s="1" t="str">
        <f t="shared" si="15"/>
        <v>0</v>
      </c>
      <c r="U172" s="1">
        <f t="shared" si="16"/>
        <v>0</v>
      </c>
      <c r="W172" s="6">
        <f t="shared" si="17"/>
        <v>0</v>
      </c>
      <c r="X172" s="6">
        <f t="shared" si="20"/>
        <v>55153</v>
      </c>
      <c r="Y172" s="1">
        <f t="shared" si="18"/>
        <v>996</v>
      </c>
      <c r="Z172" s="1">
        <f>IF(COUNTIF($Y$6:Y172,Y172)=1,Y172,Y172+COUNTIF($Y$5:Y171,Y172))</f>
        <v>1162</v>
      </c>
      <c r="AD172" s="1" t="str">
        <f t="shared" si="19"/>
        <v/>
      </c>
      <c r="BA172" s="1">
        <f>IF(W172&lt;=Leltar_iv!$Y$1,I172,0)</f>
        <v>0</v>
      </c>
    </row>
    <row r="173" spans="1:53" s="1" customFormat="1" hidden="1" x14ac:dyDescent="0.25">
      <c r="A173" s="18">
        <f>IF(COUNTIF($Y$6:Y173,Y173)=1,Y173,Y173+COUNTIF($Y$5:Y172,Y173))</f>
        <v>1163</v>
      </c>
      <c r="B173" s="1">
        <f>IF(AND(Kisero_iv!$N$2=C173,Kisero_iv!$K$5=$B$2,SUM(I173:L177)&lt;&gt;0,$B$4=YEAR(W173)),B172+1,0)</f>
        <v>0</v>
      </c>
      <c r="C173" s="1">
        <f>IF(YEAR(W172)&lt;&gt;YEAR(W173),1,IF(Bevetel!T173&lt;&gt;0,C172+1,C172))</f>
        <v>168</v>
      </c>
      <c r="D173" s="102" t="str">
        <f>Bevetel!D173</f>
        <v/>
      </c>
      <c r="E173" s="42">
        <f>Bevetel!E173</f>
        <v>0</v>
      </c>
      <c r="F173" s="38" t="str">
        <f>IF(Bevetel!F173&lt;&gt;0,Bevetel!F173,"")</f>
        <v/>
      </c>
      <c r="G173" s="38" t="str">
        <f>IF(Bevetel!G173&lt;&gt;0,Bevetel!G173,"")</f>
        <v/>
      </c>
      <c r="H173" s="38" t="str">
        <f>IF(Bevetel!H173&lt;&gt;0,Bevetel!H173,"")</f>
        <v/>
      </c>
      <c r="I173" s="38">
        <f>Bevetel!I173</f>
        <v>0</v>
      </c>
      <c r="J173" s="105" t="str">
        <f>Bevetel!J173</f>
        <v/>
      </c>
      <c r="K173" s="106" t="str">
        <f>Bevetel!K173</f>
        <v/>
      </c>
      <c r="L173" s="106" t="str">
        <f>Bevetel!L173</f>
        <v/>
      </c>
      <c r="M173" s="107"/>
      <c r="Q173" s="1">
        <f>VLOOKUP(G173,Keszlet!$C$5:$E$205,3,FALSE)</f>
        <v>0</v>
      </c>
      <c r="T173" s="1" t="str">
        <f t="shared" si="15"/>
        <v>0</v>
      </c>
      <c r="U173" s="1">
        <f t="shared" si="16"/>
        <v>0</v>
      </c>
      <c r="W173" s="6">
        <f t="shared" si="17"/>
        <v>0</v>
      </c>
      <c r="X173" s="6">
        <f t="shared" si="20"/>
        <v>55153</v>
      </c>
      <c r="Y173" s="1">
        <f t="shared" si="18"/>
        <v>996</v>
      </c>
      <c r="Z173" s="1">
        <f>IF(COUNTIF($Y$6:Y173,Y173)=1,Y173,Y173+COUNTIF($Y$5:Y172,Y173))</f>
        <v>1163</v>
      </c>
      <c r="AD173" s="1" t="str">
        <f t="shared" si="19"/>
        <v/>
      </c>
      <c r="BA173" s="1">
        <f>IF(W173&lt;=Leltar_iv!$Y$1,I173,0)</f>
        <v>0</v>
      </c>
    </row>
    <row r="174" spans="1:53" s="1" customFormat="1" hidden="1" x14ac:dyDescent="0.25">
      <c r="A174" s="18">
        <f>IF(COUNTIF($Y$6:Y174,Y174)=1,Y174,Y174+COUNTIF($Y$5:Y173,Y174))</f>
        <v>1164</v>
      </c>
      <c r="B174" s="1">
        <f>IF(AND(Kisero_iv!$N$2=C174,Kisero_iv!$K$5=$B$2,SUM(I174:L178)&lt;&gt;0,$B$4=YEAR(W174)),B173+1,0)</f>
        <v>0</v>
      </c>
      <c r="C174" s="1">
        <f>IF(YEAR(W173)&lt;&gt;YEAR(W174),1,IF(Bevetel!T174&lt;&gt;0,C173+1,C173))</f>
        <v>169</v>
      </c>
      <c r="D174" s="102" t="str">
        <f>Bevetel!D174</f>
        <v/>
      </c>
      <c r="E174" s="42">
        <f>Bevetel!E174</f>
        <v>0</v>
      </c>
      <c r="F174" s="38" t="str">
        <f>IF(Bevetel!F174&lt;&gt;0,Bevetel!F174,"")</f>
        <v/>
      </c>
      <c r="G174" s="38" t="str">
        <f>IF(Bevetel!G174&lt;&gt;0,Bevetel!G174,"")</f>
        <v/>
      </c>
      <c r="H174" s="38" t="str">
        <f>IF(Bevetel!H174&lt;&gt;0,Bevetel!H174,"")</f>
        <v/>
      </c>
      <c r="I174" s="38">
        <f>Bevetel!I174</f>
        <v>0</v>
      </c>
      <c r="J174" s="105" t="str">
        <f>Bevetel!J174</f>
        <v/>
      </c>
      <c r="K174" s="106" t="str">
        <f>Bevetel!K174</f>
        <v/>
      </c>
      <c r="L174" s="106" t="str">
        <f>Bevetel!L174</f>
        <v/>
      </c>
      <c r="M174" s="107"/>
      <c r="Q174" s="1">
        <f>VLOOKUP(G174,Keszlet!$C$5:$E$205,3,FALSE)</f>
        <v>0</v>
      </c>
      <c r="T174" s="1" t="str">
        <f t="shared" si="15"/>
        <v>0</v>
      </c>
      <c r="U174" s="1">
        <f t="shared" si="16"/>
        <v>0</v>
      </c>
      <c r="W174" s="6">
        <f t="shared" si="17"/>
        <v>0</v>
      </c>
      <c r="X174" s="6">
        <f t="shared" si="20"/>
        <v>55153</v>
      </c>
      <c r="Y174" s="1">
        <f t="shared" si="18"/>
        <v>996</v>
      </c>
      <c r="Z174" s="1">
        <f>IF(COUNTIF($Y$6:Y174,Y174)=1,Y174,Y174+COUNTIF($Y$5:Y173,Y174))</f>
        <v>1164</v>
      </c>
      <c r="AD174" s="1" t="str">
        <f t="shared" si="19"/>
        <v/>
      </c>
      <c r="BA174" s="1">
        <f>IF(W174&lt;=Leltar_iv!$Y$1,I174,0)</f>
        <v>0</v>
      </c>
    </row>
    <row r="175" spans="1:53" s="1" customFormat="1" hidden="1" x14ac:dyDescent="0.25">
      <c r="A175" s="18">
        <f>IF(COUNTIF($Y$6:Y175,Y175)=1,Y175,Y175+COUNTIF($Y$5:Y174,Y175))</f>
        <v>1165</v>
      </c>
      <c r="B175" s="1">
        <f>IF(AND(Kisero_iv!$N$2=C175,Kisero_iv!$K$5=$B$2,SUM(I175:L179)&lt;&gt;0,$B$4=YEAR(W175)),B174+1,0)</f>
        <v>0</v>
      </c>
      <c r="C175" s="1">
        <f>IF(YEAR(W174)&lt;&gt;YEAR(W175),1,IF(Bevetel!T175&lt;&gt;0,C174+1,C174))</f>
        <v>170</v>
      </c>
      <c r="D175" s="102" t="str">
        <f>Bevetel!D175</f>
        <v/>
      </c>
      <c r="E175" s="42">
        <f>Bevetel!E175</f>
        <v>0</v>
      </c>
      <c r="F175" s="38" t="str">
        <f>IF(Bevetel!F175&lt;&gt;0,Bevetel!F175,"")</f>
        <v/>
      </c>
      <c r="G175" s="38" t="str">
        <f>IF(Bevetel!G175&lt;&gt;0,Bevetel!G175,"")</f>
        <v/>
      </c>
      <c r="H175" s="38" t="str">
        <f>IF(Bevetel!H175&lt;&gt;0,Bevetel!H175,"")</f>
        <v/>
      </c>
      <c r="I175" s="38">
        <f>Bevetel!I175</f>
        <v>0</v>
      </c>
      <c r="J175" s="105" t="str">
        <f>Bevetel!J175</f>
        <v/>
      </c>
      <c r="K175" s="106" t="str">
        <f>Bevetel!K175</f>
        <v/>
      </c>
      <c r="L175" s="106" t="str">
        <f>Bevetel!L175</f>
        <v/>
      </c>
      <c r="M175" s="107"/>
      <c r="Q175" s="1">
        <f>VLOOKUP(G175,Keszlet!$C$5:$E$205,3,FALSE)</f>
        <v>0</v>
      </c>
      <c r="T175" s="1" t="str">
        <f t="shared" si="15"/>
        <v>0</v>
      </c>
      <c r="U175" s="1">
        <f t="shared" si="16"/>
        <v>0</v>
      </c>
      <c r="W175" s="6">
        <f t="shared" si="17"/>
        <v>0</v>
      </c>
      <c r="X175" s="6">
        <f t="shared" si="20"/>
        <v>55153</v>
      </c>
      <c r="Y175" s="1">
        <f t="shared" si="18"/>
        <v>996</v>
      </c>
      <c r="Z175" s="1">
        <f>IF(COUNTIF($Y$6:Y175,Y175)=1,Y175,Y175+COUNTIF($Y$5:Y174,Y175))</f>
        <v>1165</v>
      </c>
      <c r="AD175" s="1" t="str">
        <f t="shared" si="19"/>
        <v/>
      </c>
      <c r="BA175" s="1">
        <f>IF(W175&lt;=Leltar_iv!$Y$1,I175,0)</f>
        <v>0</v>
      </c>
    </row>
    <row r="176" spans="1:53" s="1" customFormat="1" hidden="1" x14ac:dyDescent="0.25">
      <c r="A176" s="18">
        <f>IF(COUNTIF($Y$6:Y176,Y176)=1,Y176,Y176+COUNTIF($Y$5:Y175,Y176))</f>
        <v>1166</v>
      </c>
      <c r="B176" s="1">
        <f>IF(AND(Kisero_iv!$N$2=C176,Kisero_iv!$K$5=$B$2,SUM(I176:L180)&lt;&gt;0,$B$4=YEAR(W176)),B175+1,0)</f>
        <v>0</v>
      </c>
      <c r="C176" s="1">
        <f>IF(YEAR(W175)&lt;&gt;YEAR(W176),1,IF(Bevetel!T176&lt;&gt;0,C175+1,C175))</f>
        <v>171</v>
      </c>
      <c r="D176" s="102" t="str">
        <f>Bevetel!D176</f>
        <v/>
      </c>
      <c r="E176" s="42">
        <f>Bevetel!E176</f>
        <v>0</v>
      </c>
      <c r="F176" s="38" t="str">
        <f>IF(Bevetel!F176&lt;&gt;0,Bevetel!F176,"")</f>
        <v/>
      </c>
      <c r="G176" s="38" t="str">
        <f>IF(Bevetel!G176&lt;&gt;0,Bevetel!G176,"")</f>
        <v/>
      </c>
      <c r="H176" s="38" t="str">
        <f>IF(Bevetel!H176&lt;&gt;0,Bevetel!H176,"")</f>
        <v/>
      </c>
      <c r="I176" s="38">
        <f>Bevetel!I176</f>
        <v>0</v>
      </c>
      <c r="J176" s="105" t="str">
        <f>Bevetel!J176</f>
        <v/>
      </c>
      <c r="K176" s="106" t="str">
        <f>Bevetel!K176</f>
        <v/>
      </c>
      <c r="L176" s="106" t="str">
        <f>Bevetel!L176</f>
        <v/>
      </c>
      <c r="M176" s="107"/>
      <c r="Q176" s="1">
        <f>VLOOKUP(G176,Keszlet!$C$5:$E$205,3,FALSE)</f>
        <v>0</v>
      </c>
      <c r="T176" s="1" t="str">
        <f t="shared" si="15"/>
        <v>0</v>
      </c>
      <c r="U176" s="1">
        <f t="shared" si="16"/>
        <v>0</v>
      </c>
      <c r="W176" s="6">
        <f t="shared" si="17"/>
        <v>0</v>
      </c>
      <c r="X176" s="6">
        <f t="shared" si="20"/>
        <v>55153</v>
      </c>
      <c r="Y176" s="1">
        <f t="shared" si="18"/>
        <v>996</v>
      </c>
      <c r="Z176" s="1">
        <f>IF(COUNTIF($Y$6:Y176,Y176)=1,Y176,Y176+COUNTIF($Y$5:Y175,Y176))</f>
        <v>1166</v>
      </c>
      <c r="AD176" s="1" t="str">
        <f t="shared" si="19"/>
        <v/>
      </c>
      <c r="BA176" s="1">
        <f>IF(W176&lt;=Leltar_iv!$Y$1,I176,0)</f>
        <v>0</v>
      </c>
    </row>
    <row r="177" spans="1:53" s="1" customFormat="1" hidden="1" x14ac:dyDescent="0.25">
      <c r="A177" s="18">
        <f>IF(COUNTIF($Y$6:Y177,Y177)=1,Y177,Y177+COUNTIF($Y$5:Y176,Y177))</f>
        <v>1167</v>
      </c>
      <c r="B177" s="1">
        <f>IF(AND(Kisero_iv!$N$2=C177,Kisero_iv!$K$5=$B$2,SUM(I177:L181)&lt;&gt;0,$B$4=YEAR(W177)),B176+1,0)</f>
        <v>0</v>
      </c>
      <c r="C177" s="1">
        <f>IF(YEAR(W176)&lt;&gt;YEAR(W177),1,IF(Bevetel!T177&lt;&gt;0,C176+1,C176))</f>
        <v>172</v>
      </c>
      <c r="D177" s="102" t="str">
        <f>Bevetel!D177</f>
        <v/>
      </c>
      <c r="E177" s="42">
        <f>Bevetel!E177</f>
        <v>0</v>
      </c>
      <c r="F177" s="38" t="str">
        <f>IF(Bevetel!F177&lt;&gt;0,Bevetel!F177,"")</f>
        <v/>
      </c>
      <c r="G177" s="38" t="str">
        <f>IF(Bevetel!G177&lt;&gt;0,Bevetel!G177,"")</f>
        <v/>
      </c>
      <c r="H177" s="38" t="str">
        <f>IF(Bevetel!H177&lt;&gt;0,Bevetel!H177,"")</f>
        <v/>
      </c>
      <c r="I177" s="38">
        <f>Bevetel!I177</f>
        <v>0</v>
      </c>
      <c r="J177" s="105" t="str">
        <f>Bevetel!J177</f>
        <v/>
      </c>
      <c r="K177" s="106" t="str">
        <f>Bevetel!K177</f>
        <v/>
      </c>
      <c r="L177" s="106" t="str">
        <f>Bevetel!L177</f>
        <v/>
      </c>
      <c r="M177" s="107"/>
      <c r="Q177" s="1">
        <f>VLOOKUP(G177,Keszlet!$C$5:$E$205,3,FALSE)</f>
        <v>0</v>
      </c>
      <c r="T177" s="1" t="str">
        <f t="shared" si="15"/>
        <v>0</v>
      </c>
      <c r="U177" s="1">
        <f t="shared" si="16"/>
        <v>0</v>
      </c>
      <c r="W177" s="6">
        <f t="shared" si="17"/>
        <v>0</v>
      </c>
      <c r="X177" s="6">
        <f t="shared" si="20"/>
        <v>55153</v>
      </c>
      <c r="Y177" s="1">
        <f t="shared" si="18"/>
        <v>996</v>
      </c>
      <c r="Z177" s="1">
        <f>IF(COUNTIF($Y$6:Y177,Y177)=1,Y177,Y177+COUNTIF($Y$5:Y176,Y177))</f>
        <v>1167</v>
      </c>
      <c r="AD177" s="1" t="str">
        <f t="shared" si="19"/>
        <v/>
      </c>
      <c r="BA177" s="1">
        <f>IF(W177&lt;=Leltar_iv!$Y$1,I177,0)</f>
        <v>0</v>
      </c>
    </row>
    <row r="178" spans="1:53" s="1" customFormat="1" hidden="1" x14ac:dyDescent="0.25">
      <c r="A178" s="18">
        <f>IF(COUNTIF($Y$6:Y178,Y178)=1,Y178,Y178+COUNTIF($Y$5:Y177,Y178))</f>
        <v>1168</v>
      </c>
      <c r="B178" s="1">
        <f>IF(AND(Kisero_iv!$N$2=C178,Kisero_iv!$K$5=$B$2,SUM(I178:L182)&lt;&gt;0,$B$4=YEAR(W178)),B177+1,0)</f>
        <v>0</v>
      </c>
      <c r="C178" s="1">
        <f>IF(YEAR(W177)&lt;&gt;YEAR(W178),1,IF(Bevetel!T178&lt;&gt;0,C177+1,C177))</f>
        <v>173</v>
      </c>
      <c r="D178" s="102" t="str">
        <f>Bevetel!D178</f>
        <v/>
      </c>
      <c r="E178" s="42">
        <f>Bevetel!E178</f>
        <v>0</v>
      </c>
      <c r="F178" s="38" t="str">
        <f>IF(Bevetel!F178&lt;&gt;0,Bevetel!F178,"")</f>
        <v/>
      </c>
      <c r="G178" s="38" t="str">
        <f>IF(Bevetel!G178&lt;&gt;0,Bevetel!G178,"")</f>
        <v/>
      </c>
      <c r="H178" s="38" t="str">
        <f>IF(Bevetel!H178&lt;&gt;0,Bevetel!H178,"")</f>
        <v/>
      </c>
      <c r="I178" s="38">
        <f>Bevetel!I178</f>
        <v>0</v>
      </c>
      <c r="J178" s="105" t="str">
        <f>Bevetel!J178</f>
        <v/>
      </c>
      <c r="K178" s="106" t="str">
        <f>Bevetel!K178</f>
        <v/>
      </c>
      <c r="L178" s="106" t="str">
        <f>Bevetel!L178</f>
        <v/>
      </c>
      <c r="M178" s="107"/>
      <c r="Q178" s="1">
        <f>VLOOKUP(G178,Keszlet!$C$5:$E$205,3,FALSE)</f>
        <v>0</v>
      </c>
      <c r="T178" s="1" t="str">
        <f t="shared" si="15"/>
        <v>0</v>
      </c>
      <c r="U178" s="1">
        <f t="shared" si="16"/>
        <v>0</v>
      </c>
      <c r="W178" s="6">
        <f t="shared" si="17"/>
        <v>0</v>
      </c>
      <c r="X178" s="6">
        <f t="shared" si="20"/>
        <v>55153</v>
      </c>
      <c r="Y178" s="1">
        <f t="shared" si="18"/>
        <v>996</v>
      </c>
      <c r="Z178" s="1">
        <f>IF(COUNTIF($Y$6:Y178,Y178)=1,Y178,Y178+COUNTIF($Y$5:Y177,Y178))</f>
        <v>1168</v>
      </c>
      <c r="AD178" s="1" t="str">
        <f t="shared" si="19"/>
        <v/>
      </c>
      <c r="BA178" s="1">
        <f>IF(W178&lt;=Leltar_iv!$Y$1,I178,0)</f>
        <v>0</v>
      </c>
    </row>
    <row r="179" spans="1:53" s="1" customFormat="1" hidden="1" x14ac:dyDescent="0.25">
      <c r="A179" s="18">
        <f>IF(COUNTIF($Y$6:Y179,Y179)=1,Y179,Y179+COUNTIF($Y$5:Y178,Y179))</f>
        <v>1169</v>
      </c>
      <c r="B179" s="1">
        <f>IF(AND(Kisero_iv!$N$2=C179,Kisero_iv!$K$5=$B$2,SUM(I179:L183)&lt;&gt;0,$B$4=YEAR(W179)),B178+1,0)</f>
        <v>0</v>
      </c>
      <c r="C179" s="1">
        <f>IF(YEAR(W178)&lt;&gt;YEAR(W179),1,IF(Bevetel!T179&lt;&gt;0,C178+1,C178))</f>
        <v>174</v>
      </c>
      <c r="D179" s="102" t="str">
        <f>Bevetel!D179</f>
        <v/>
      </c>
      <c r="E179" s="42">
        <f>Bevetel!E179</f>
        <v>0</v>
      </c>
      <c r="F179" s="38" t="str">
        <f>IF(Bevetel!F179&lt;&gt;0,Bevetel!F179,"")</f>
        <v/>
      </c>
      <c r="G179" s="38" t="str">
        <f>IF(Bevetel!G179&lt;&gt;0,Bevetel!G179,"")</f>
        <v/>
      </c>
      <c r="H179" s="38" t="str">
        <f>IF(Bevetel!H179&lt;&gt;0,Bevetel!H179,"")</f>
        <v/>
      </c>
      <c r="I179" s="38">
        <f>Bevetel!I179</f>
        <v>0</v>
      </c>
      <c r="J179" s="105" t="str">
        <f>Bevetel!J179</f>
        <v/>
      </c>
      <c r="K179" s="106" t="str">
        <f>Bevetel!K179</f>
        <v/>
      </c>
      <c r="L179" s="106" t="str">
        <f>Bevetel!L179</f>
        <v/>
      </c>
      <c r="M179" s="107"/>
      <c r="Q179" s="1">
        <f>VLOOKUP(G179,Keszlet!$C$5:$E$205,3,FALSE)</f>
        <v>0</v>
      </c>
      <c r="T179" s="1" t="str">
        <f t="shared" si="15"/>
        <v>0</v>
      </c>
      <c r="U179" s="1">
        <f t="shared" si="16"/>
        <v>0</v>
      </c>
      <c r="W179" s="6">
        <f t="shared" si="17"/>
        <v>0</v>
      </c>
      <c r="X179" s="6">
        <f t="shared" si="20"/>
        <v>55153</v>
      </c>
      <c r="Y179" s="1">
        <f t="shared" si="18"/>
        <v>996</v>
      </c>
      <c r="Z179" s="1">
        <f>IF(COUNTIF($Y$6:Y179,Y179)=1,Y179,Y179+COUNTIF($Y$5:Y178,Y179))</f>
        <v>1169</v>
      </c>
      <c r="AD179" s="1" t="str">
        <f t="shared" si="19"/>
        <v/>
      </c>
      <c r="BA179" s="1">
        <f>IF(W179&lt;=Leltar_iv!$Y$1,I179,0)</f>
        <v>0</v>
      </c>
    </row>
    <row r="180" spans="1:53" s="1" customFormat="1" hidden="1" x14ac:dyDescent="0.25">
      <c r="A180" s="18">
        <f>IF(COUNTIF($Y$6:Y180,Y180)=1,Y180,Y180+COUNTIF($Y$5:Y179,Y180))</f>
        <v>1170</v>
      </c>
      <c r="B180" s="1">
        <f>IF(AND(Kisero_iv!$N$2=C180,Kisero_iv!$K$5=$B$2,SUM(I180:L184)&lt;&gt;0,$B$4=YEAR(W180)),B179+1,0)</f>
        <v>0</v>
      </c>
      <c r="C180" s="1">
        <f>IF(YEAR(W179)&lt;&gt;YEAR(W180),1,IF(Bevetel!T180&lt;&gt;0,C179+1,C179))</f>
        <v>175</v>
      </c>
      <c r="D180" s="102" t="str">
        <f>Bevetel!D180</f>
        <v/>
      </c>
      <c r="E180" s="42">
        <f>Bevetel!E180</f>
        <v>0</v>
      </c>
      <c r="F180" s="38" t="str">
        <f>IF(Bevetel!F180&lt;&gt;0,Bevetel!F180,"")</f>
        <v/>
      </c>
      <c r="G180" s="38" t="str">
        <f>IF(Bevetel!G180&lt;&gt;0,Bevetel!G180,"")</f>
        <v/>
      </c>
      <c r="H180" s="38" t="str">
        <f>IF(Bevetel!H180&lt;&gt;0,Bevetel!H180,"")</f>
        <v/>
      </c>
      <c r="I180" s="38">
        <f>Bevetel!I180</f>
        <v>0</v>
      </c>
      <c r="J180" s="105" t="str">
        <f>Bevetel!J180</f>
        <v/>
      </c>
      <c r="K180" s="106" t="str">
        <f>Bevetel!K180</f>
        <v/>
      </c>
      <c r="L180" s="106" t="str">
        <f>Bevetel!L180</f>
        <v/>
      </c>
      <c r="M180" s="107"/>
      <c r="Q180" s="1">
        <f>VLOOKUP(G180,Keszlet!$C$5:$E$205,3,FALSE)</f>
        <v>0</v>
      </c>
      <c r="T180" s="1" t="str">
        <f t="shared" si="15"/>
        <v>0</v>
      </c>
      <c r="U180" s="1">
        <f t="shared" si="16"/>
        <v>0</v>
      </c>
      <c r="W180" s="6">
        <f t="shared" si="17"/>
        <v>0</v>
      </c>
      <c r="X180" s="6">
        <f t="shared" si="20"/>
        <v>55153</v>
      </c>
      <c r="Y180" s="1">
        <f t="shared" si="18"/>
        <v>996</v>
      </c>
      <c r="Z180" s="1">
        <f>IF(COUNTIF($Y$6:Y180,Y180)=1,Y180,Y180+COUNTIF($Y$5:Y179,Y180))</f>
        <v>1170</v>
      </c>
      <c r="AD180" s="1" t="str">
        <f t="shared" si="19"/>
        <v/>
      </c>
      <c r="BA180" s="1">
        <f>IF(W180&lt;=Leltar_iv!$Y$1,I180,0)</f>
        <v>0</v>
      </c>
    </row>
    <row r="181" spans="1:53" s="1" customFormat="1" hidden="1" x14ac:dyDescent="0.25">
      <c r="A181" s="18">
        <f>IF(COUNTIF($Y$6:Y181,Y181)=1,Y181,Y181+COUNTIF($Y$5:Y180,Y181))</f>
        <v>1171</v>
      </c>
      <c r="B181" s="1">
        <f>IF(AND(Kisero_iv!$N$2=C181,Kisero_iv!$K$5=$B$2,SUM(I181:L185)&lt;&gt;0,$B$4=YEAR(W181)),B180+1,0)</f>
        <v>0</v>
      </c>
      <c r="C181" s="1">
        <f>IF(YEAR(W180)&lt;&gt;YEAR(W181),1,IF(Bevetel!T181&lt;&gt;0,C180+1,C180))</f>
        <v>176</v>
      </c>
      <c r="D181" s="102" t="str">
        <f>Bevetel!D181</f>
        <v/>
      </c>
      <c r="E181" s="42">
        <f>Bevetel!E181</f>
        <v>0</v>
      </c>
      <c r="F181" s="38" t="str">
        <f>IF(Bevetel!F181&lt;&gt;0,Bevetel!F181,"")</f>
        <v/>
      </c>
      <c r="G181" s="38" t="str">
        <f>IF(Bevetel!G181&lt;&gt;0,Bevetel!G181,"")</f>
        <v/>
      </c>
      <c r="H181" s="38" t="str">
        <f>IF(Bevetel!H181&lt;&gt;0,Bevetel!H181,"")</f>
        <v/>
      </c>
      <c r="I181" s="38">
        <f>Bevetel!I181</f>
        <v>0</v>
      </c>
      <c r="J181" s="105" t="str">
        <f>Bevetel!J181</f>
        <v/>
      </c>
      <c r="K181" s="106" t="str">
        <f>Bevetel!K181</f>
        <v/>
      </c>
      <c r="L181" s="106" t="str">
        <f>Bevetel!L181</f>
        <v/>
      </c>
      <c r="M181" s="107"/>
      <c r="Q181" s="1">
        <f>VLOOKUP(G181,Keszlet!$C$5:$E$205,3,FALSE)</f>
        <v>0</v>
      </c>
      <c r="T181" s="1" t="str">
        <f t="shared" si="15"/>
        <v>0</v>
      </c>
      <c r="U181" s="1">
        <f t="shared" si="16"/>
        <v>0</v>
      </c>
      <c r="W181" s="6">
        <f t="shared" si="17"/>
        <v>0</v>
      </c>
      <c r="X181" s="6">
        <f t="shared" si="20"/>
        <v>55153</v>
      </c>
      <c r="Y181" s="1">
        <f t="shared" si="18"/>
        <v>996</v>
      </c>
      <c r="Z181" s="1">
        <f>IF(COUNTIF($Y$6:Y181,Y181)=1,Y181,Y181+COUNTIF($Y$5:Y180,Y181))</f>
        <v>1171</v>
      </c>
      <c r="AD181" s="1" t="str">
        <f t="shared" si="19"/>
        <v/>
      </c>
      <c r="BA181" s="1">
        <f>IF(W181&lt;=Leltar_iv!$Y$1,I181,0)</f>
        <v>0</v>
      </c>
    </row>
    <row r="182" spans="1:53" s="1" customFormat="1" hidden="1" x14ac:dyDescent="0.25">
      <c r="A182" s="18">
        <f>IF(COUNTIF($Y$6:Y182,Y182)=1,Y182,Y182+COUNTIF($Y$5:Y181,Y182))</f>
        <v>1172</v>
      </c>
      <c r="B182" s="1">
        <f>IF(AND(Kisero_iv!$N$2=C182,Kisero_iv!$K$5=$B$2,SUM(I182:L186)&lt;&gt;0,$B$4=YEAR(W182)),B181+1,0)</f>
        <v>0</v>
      </c>
      <c r="C182" s="1">
        <f>IF(YEAR(W181)&lt;&gt;YEAR(W182),1,IF(Bevetel!T182&lt;&gt;0,C181+1,C181))</f>
        <v>177</v>
      </c>
      <c r="D182" s="102" t="str">
        <f>Bevetel!D182</f>
        <v/>
      </c>
      <c r="E182" s="42">
        <f>Bevetel!E182</f>
        <v>0</v>
      </c>
      <c r="F182" s="38" t="str">
        <f>IF(Bevetel!F182&lt;&gt;0,Bevetel!F182,"")</f>
        <v/>
      </c>
      <c r="G182" s="38" t="str">
        <f>IF(Bevetel!G182&lt;&gt;0,Bevetel!G182,"")</f>
        <v/>
      </c>
      <c r="H182" s="38" t="str">
        <f>IF(Bevetel!H182&lt;&gt;0,Bevetel!H182,"")</f>
        <v/>
      </c>
      <c r="I182" s="38">
        <f>Bevetel!I182</f>
        <v>0</v>
      </c>
      <c r="J182" s="105" t="str">
        <f>Bevetel!J182</f>
        <v/>
      </c>
      <c r="K182" s="106" t="str">
        <f>Bevetel!K182</f>
        <v/>
      </c>
      <c r="L182" s="106" t="str">
        <f>Bevetel!L182</f>
        <v/>
      </c>
      <c r="M182" s="107"/>
      <c r="Q182" s="1">
        <f>VLOOKUP(G182,Keszlet!$C$5:$E$205,3,FALSE)</f>
        <v>0</v>
      </c>
      <c r="T182" s="1" t="str">
        <f t="shared" si="15"/>
        <v>0</v>
      </c>
      <c r="U182" s="1">
        <f t="shared" si="16"/>
        <v>0</v>
      </c>
      <c r="W182" s="6">
        <f t="shared" si="17"/>
        <v>0</v>
      </c>
      <c r="X182" s="6">
        <f t="shared" si="20"/>
        <v>55153</v>
      </c>
      <c r="Y182" s="1">
        <f t="shared" si="18"/>
        <v>996</v>
      </c>
      <c r="Z182" s="1">
        <f>IF(COUNTIF($Y$6:Y182,Y182)=1,Y182,Y182+COUNTIF($Y$5:Y181,Y182))</f>
        <v>1172</v>
      </c>
      <c r="AD182" s="1" t="str">
        <f t="shared" si="19"/>
        <v/>
      </c>
      <c r="BA182" s="1">
        <f>IF(W182&lt;=Leltar_iv!$Y$1,I182,0)</f>
        <v>0</v>
      </c>
    </row>
    <row r="183" spans="1:53" s="1" customFormat="1" hidden="1" x14ac:dyDescent="0.25">
      <c r="A183" s="18">
        <f>IF(COUNTIF($Y$6:Y183,Y183)=1,Y183,Y183+COUNTIF($Y$5:Y182,Y183))</f>
        <v>1173</v>
      </c>
      <c r="B183" s="1">
        <f>IF(AND(Kisero_iv!$N$2=C183,Kisero_iv!$K$5=$B$2,SUM(I183:L187)&lt;&gt;0,$B$4=YEAR(W183)),B182+1,0)</f>
        <v>0</v>
      </c>
      <c r="C183" s="1">
        <f>IF(YEAR(W182)&lt;&gt;YEAR(W183),1,IF(Bevetel!T183&lt;&gt;0,C182+1,C182))</f>
        <v>178</v>
      </c>
      <c r="D183" s="102" t="str">
        <f>Bevetel!D183</f>
        <v/>
      </c>
      <c r="E183" s="42">
        <f>Bevetel!E183</f>
        <v>0</v>
      </c>
      <c r="F183" s="38" t="str">
        <f>IF(Bevetel!F183&lt;&gt;0,Bevetel!F183,"")</f>
        <v/>
      </c>
      <c r="G183" s="38" t="str">
        <f>IF(Bevetel!G183&lt;&gt;0,Bevetel!G183,"")</f>
        <v/>
      </c>
      <c r="H183" s="38" t="str">
        <f>IF(Bevetel!H183&lt;&gt;0,Bevetel!H183,"")</f>
        <v/>
      </c>
      <c r="I183" s="38">
        <f>Bevetel!I183</f>
        <v>0</v>
      </c>
      <c r="J183" s="105" t="str">
        <f>Bevetel!J183</f>
        <v/>
      </c>
      <c r="K183" s="106" t="str">
        <f>Bevetel!K183</f>
        <v/>
      </c>
      <c r="L183" s="106" t="str">
        <f>Bevetel!L183</f>
        <v/>
      </c>
      <c r="M183" s="107"/>
      <c r="Q183" s="1">
        <f>VLOOKUP(G183,Keszlet!$C$5:$E$205,3,FALSE)</f>
        <v>0</v>
      </c>
      <c r="T183" s="1" t="str">
        <f t="shared" si="15"/>
        <v>0</v>
      </c>
      <c r="U183" s="1">
        <f t="shared" si="16"/>
        <v>0</v>
      </c>
      <c r="W183" s="6">
        <f t="shared" si="17"/>
        <v>0</v>
      </c>
      <c r="X183" s="6">
        <f t="shared" si="20"/>
        <v>55153</v>
      </c>
      <c r="Y183" s="1">
        <f t="shared" si="18"/>
        <v>996</v>
      </c>
      <c r="Z183" s="1">
        <f>IF(COUNTIF($Y$6:Y183,Y183)=1,Y183,Y183+COUNTIF($Y$5:Y182,Y183))</f>
        <v>1173</v>
      </c>
      <c r="AD183" s="1" t="str">
        <f t="shared" si="19"/>
        <v/>
      </c>
      <c r="BA183" s="1">
        <f>IF(W183&lt;=Leltar_iv!$Y$1,I183,0)</f>
        <v>0</v>
      </c>
    </row>
    <row r="184" spans="1:53" s="1" customFormat="1" hidden="1" x14ac:dyDescent="0.25">
      <c r="A184" s="18">
        <f>IF(COUNTIF($Y$6:Y184,Y184)=1,Y184,Y184+COUNTIF($Y$5:Y183,Y184))</f>
        <v>1174</v>
      </c>
      <c r="B184" s="1">
        <f>IF(AND(Kisero_iv!$N$2=C184,Kisero_iv!$K$5=$B$2,SUM(I184:L188)&lt;&gt;0,$B$4=YEAR(W184)),B183+1,0)</f>
        <v>0</v>
      </c>
      <c r="C184" s="1">
        <f>IF(YEAR(W183)&lt;&gt;YEAR(W184),1,IF(Bevetel!T184&lt;&gt;0,C183+1,C183))</f>
        <v>179</v>
      </c>
      <c r="D184" s="102" t="str">
        <f>Bevetel!D184</f>
        <v/>
      </c>
      <c r="E184" s="42">
        <f>Bevetel!E184</f>
        <v>0</v>
      </c>
      <c r="F184" s="38" t="str">
        <f>IF(Bevetel!F184&lt;&gt;0,Bevetel!F184,"")</f>
        <v/>
      </c>
      <c r="G184" s="38" t="str">
        <f>IF(Bevetel!G184&lt;&gt;0,Bevetel!G184,"")</f>
        <v/>
      </c>
      <c r="H184" s="38" t="str">
        <f>IF(Bevetel!H184&lt;&gt;0,Bevetel!H184,"")</f>
        <v/>
      </c>
      <c r="I184" s="38">
        <f>Bevetel!I184</f>
        <v>0</v>
      </c>
      <c r="J184" s="105" t="str">
        <f>Bevetel!J184</f>
        <v/>
      </c>
      <c r="K184" s="106" t="str">
        <f>Bevetel!K184</f>
        <v/>
      </c>
      <c r="L184" s="106" t="str">
        <f>Bevetel!L184</f>
        <v/>
      </c>
      <c r="M184" s="107"/>
      <c r="Q184" s="1">
        <f>VLOOKUP(G184,Keszlet!$C$5:$E$205,3,FALSE)</f>
        <v>0</v>
      </c>
      <c r="T184" s="1" t="str">
        <f t="shared" si="15"/>
        <v>0</v>
      </c>
      <c r="U184" s="1">
        <f t="shared" si="16"/>
        <v>0</v>
      </c>
      <c r="W184" s="6">
        <f t="shared" si="17"/>
        <v>0</v>
      </c>
      <c r="X184" s="6">
        <f t="shared" si="20"/>
        <v>55153</v>
      </c>
      <c r="Y184" s="1">
        <f t="shared" si="18"/>
        <v>996</v>
      </c>
      <c r="Z184" s="1">
        <f>IF(COUNTIF($Y$6:Y184,Y184)=1,Y184,Y184+COUNTIF($Y$5:Y183,Y184))</f>
        <v>1174</v>
      </c>
      <c r="AD184" s="1" t="str">
        <f t="shared" si="19"/>
        <v/>
      </c>
      <c r="BA184" s="1">
        <f>IF(W184&lt;=Leltar_iv!$Y$1,I184,0)</f>
        <v>0</v>
      </c>
    </row>
    <row r="185" spans="1:53" s="1" customFormat="1" hidden="1" x14ac:dyDescent="0.25">
      <c r="A185" s="18">
        <f>IF(COUNTIF($Y$6:Y185,Y185)=1,Y185,Y185+COUNTIF($Y$5:Y184,Y185))</f>
        <v>1175</v>
      </c>
      <c r="B185" s="1">
        <f>IF(AND(Kisero_iv!$N$2=C185,Kisero_iv!$K$5=$B$2,SUM(I185:L189)&lt;&gt;0,$B$4=YEAR(W185)),B184+1,0)</f>
        <v>0</v>
      </c>
      <c r="C185" s="1">
        <f>IF(YEAR(W184)&lt;&gt;YEAR(W185),1,IF(Bevetel!T185&lt;&gt;0,C184+1,C184))</f>
        <v>180</v>
      </c>
      <c r="D185" s="102" t="str">
        <f>Bevetel!D185</f>
        <v/>
      </c>
      <c r="E185" s="42">
        <f>Bevetel!E185</f>
        <v>0</v>
      </c>
      <c r="F185" s="38" t="str">
        <f>IF(Bevetel!F185&lt;&gt;0,Bevetel!F185,"")</f>
        <v/>
      </c>
      <c r="G185" s="38" t="str">
        <f>IF(Bevetel!G185&lt;&gt;0,Bevetel!G185,"")</f>
        <v/>
      </c>
      <c r="H185" s="38" t="str">
        <f>IF(Bevetel!H185&lt;&gt;0,Bevetel!H185,"")</f>
        <v/>
      </c>
      <c r="I185" s="38">
        <f>Bevetel!I185</f>
        <v>0</v>
      </c>
      <c r="J185" s="105" t="str">
        <f>Bevetel!J185</f>
        <v/>
      </c>
      <c r="K185" s="106" t="str">
        <f>Bevetel!K185</f>
        <v/>
      </c>
      <c r="L185" s="106" t="str">
        <f>Bevetel!L185</f>
        <v/>
      </c>
      <c r="M185" s="107"/>
      <c r="Q185" s="1">
        <f>VLOOKUP(G185,Keszlet!$C$5:$E$205,3,FALSE)</f>
        <v>0</v>
      </c>
      <c r="T185" s="1" t="str">
        <f t="shared" si="15"/>
        <v>0</v>
      </c>
      <c r="U185" s="1">
        <f t="shared" si="16"/>
        <v>0</v>
      </c>
      <c r="W185" s="6">
        <f t="shared" si="17"/>
        <v>0</v>
      </c>
      <c r="X185" s="6">
        <f t="shared" si="20"/>
        <v>55153</v>
      </c>
      <c r="Y185" s="1">
        <f t="shared" si="18"/>
        <v>996</v>
      </c>
      <c r="Z185" s="1">
        <f>IF(COUNTIF($Y$6:Y185,Y185)=1,Y185,Y185+COUNTIF($Y$5:Y184,Y185))</f>
        <v>1175</v>
      </c>
      <c r="AD185" s="1" t="str">
        <f t="shared" si="19"/>
        <v/>
      </c>
      <c r="BA185" s="1">
        <f>IF(W185&lt;=Leltar_iv!$Y$1,I185,0)</f>
        <v>0</v>
      </c>
    </row>
    <row r="186" spans="1:53" s="1" customFormat="1" hidden="1" x14ac:dyDescent="0.25">
      <c r="A186" s="18">
        <f>IF(COUNTIF($Y$6:Y186,Y186)=1,Y186,Y186+COUNTIF($Y$5:Y185,Y186))</f>
        <v>1176</v>
      </c>
      <c r="B186" s="1">
        <f>IF(AND(Kisero_iv!$N$2=C186,Kisero_iv!$K$5=$B$2,SUM(I186:L190)&lt;&gt;0,$B$4=YEAR(W186)),B185+1,0)</f>
        <v>0</v>
      </c>
      <c r="C186" s="1">
        <f>IF(YEAR(W185)&lt;&gt;YEAR(W186),1,IF(Bevetel!T186&lt;&gt;0,C185+1,C185))</f>
        <v>181</v>
      </c>
      <c r="D186" s="102" t="str">
        <f>Bevetel!D186</f>
        <v/>
      </c>
      <c r="E186" s="42">
        <f>Bevetel!E186</f>
        <v>0</v>
      </c>
      <c r="F186" s="38" t="str">
        <f>IF(Bevetel!F186&lt;&gt;0,Bevetel!F186,"")</f>
        <v/>
      </c>
      <c r="G186" s="38" t="str">
        <f>IF(Bevetel!G186&lt;&gt;0,Bevetel!G186,"")</f>
        <v/>
      </c>
      <c r="H186" s="38" t="str">
        <f>IF(Bevetel!H186&lt;&gt;0,Bevetel!H186,"")</f>
        <v/>
      </c>
      <c r="I186" s="38">
        <f>Bevetel!I186</f>
        <v>0</v>
      </c>
      <c r="J186" s="105" t="str">
        <f>Bevetel!J186</f>
        <v/>
      </c>
      <c r="K186" s="106" t="str">
        <f>Bevetel!K186</f>
        <v/>
      </c>
      <c r="L186" s="106" t="str">
        <f>Bevetel!L186</f>
        <v/>
      </c>
      <c r="M186" s="107"/>
      <c r="Q186" s="1">
        <f>VLOOKUP(G186,Keszlet!$C$5:$E$205,3,FALSE)</f>
        <v>0</v>
      </c>
      <c r="T186" s="1" t="str">
        <f t="shared" si="15"/>
        <v>0</v>
      </c>
      <c r="U186" s="1">
        <f t="shared" si="16"/>
        <v>0</v>
      </c>
      <c r="W186" s="6">
        <f t="shared" si="17"/>
        <v>0</v>
      </c>
      <c r="X186" s="6">
        <f t="shared" si="20"/>
        <v>55153</v>
      </c>
      <c r="Y186" s="1">
        <f t="shared" si="18"/>
        <v>996</v>
      </c>
      <c r="Z186" s="1">
        <f>IF(COUNTIF($Y$6:Y186,Y186)=1,Y186,Y186+COUNTIF($Y$5:Y185,Y186))</f>
        <v>1176</v>
      </c>
      <c r="AD186" s="1" t="str">
        <f t="shared" si="19"/>
        <v/>
      </c>
      <c r="BA186" s="1">
        <f>IF(W186&lt;=Leltar_iv!$Y$1,I186,0)</f>
        <v>0</v>
      </c>
    </row>
    <row r="187" spans="1:53" s="1" customFormat="1" hidden="1" x14ac:dyDescent="0.25">
      <c r="A187" s="18">
        <f>IF(COUNTIF($Y$6:Y187,Y187)=1,Y187,Y187+COUNTIF($Y$5:Y186,Y187))</f>
        <v>1177</v>
      </c>
      <c r="B187" s="1">
        <f>IF(AND(Kisero_iv!$N$2=C187,Kisero_iv!$K$5=$B$2,SUM(I187:L191)&lt;&gt;0,$B$4=YEAR(W187)),B186+1,0)</f>
        <v>0</v>
      </c>
      <c r="C187" s="1">
        <f>IF(YEAR(W186)&lt;&gt;YEAR(W187),1,IF(Bevetel!T187&lt;&gt;0,C186+1,C186))</f>
        <v>182</v>
      </c>
      <c r="D187" s="102" t="str">
        <f>Bevetel!D187</f>
        <v/>
      </c>
      <c r="E187" s="42">
        <f>Bevetel!E187</f>
        <v>0</v>
      </c>
      <c r="F187" s="38" t="str">
        <f>IF(Bevetel!F187&lt;&gt;0,Bevetel!F187,"")</f>
        <v/>
      </c>
      <c r="G187" s="38" t="str">
        <f>IF(Bevetel!G187&lt;&gt;0,Bevetel!G187,"")</f>
        <v/>
      </c>
      <c r="H187" s="38" t="str">
        <f>IF(Bevetel!H187&lt;&gt;0,Bevetel!H187,"")</f>
        <v/>
      </c>
      <c r="I187" s="38">
        <f>Bevetel!I187</f>
        <v>0</v>
      </c>
      <c r="J187" s="105" t="str">
        <f>Bevetel!J187</f>
        <v/>
      </c>
      <c r="K187" s="106" t="str">
        <f>Bevetel!K187</f>
        <v/>
      </c>
      <c r="L187" s="106" t="str">
        <f>Bevetel!L187</f>
        <v/>
      </c>
      <c r="M187" s="107"/>
      <c r="Q187" s="1">
        <f>VLOOKUP(G187,Keszlet!$C$5:$E$205,3,FALSE)</f>
        <v>0</v>
      </c>
      <c r="T187" s="1" t="str">
        <f t="shared" si="15"/>
        <v>0</v>
      </c>
      <c r="U187" s="1">
        <f t="shared" si="16"/>
        <v>0</v>
      </c>
      <c r="W187" s="6">
        <f t="shared" si="17"/>
        <v>0</v>
      </c>
      <c r="X187" s="6">
        <f t="shared" si="20"/>
        <v>55153</v>
      </c>
      <c r="Y187" s="1">
        <f t="shared" si="18"/>
        <v>996</v>
      </c>
      <c r="Z187" s="1">
        <f>IF(COUNTIF($Y$6:Y187,Y187)=1,Y187,Y187+COUNTIF($Y$5:Y186,Y187))</f>
        <v>1177</v>
      </c>
      <c r="AD187" s="1" t="str">
        <f t="shared" si="19"/>
        <v/>
      </c>
      <c r="BA187" s="1">
        <f>IF(W187&lt;=Leltar_iv!$Y$1,I187,0)</f>
        <v>0</v>
      </c>
    </row>
    <row r="188" spans="1:53" s="1" customFormat="1" hidden="1" x14ac:dyDescent="0.25">
      <c r="A188" s="18">
        <f>IF(COUNTIF($Y$6:Y188,Y188)=1,Y188,Y188+COUNTIF($Y$5:Y187,Y188))</f>
        <v>1178</v>
      </c>
      <c r="B188" s="1">
        <f>IF(AND(Kisero_iv!$N$2=C188,Kisero_iv!$K$5=$B$2,SUM(I188:L192)&lt;&gt;0,$B$4=YEAR(W188)),B187+1,0)</f>
        <v>0</v>
      </c>
      <c r="C188" s="1">
        <f>IF(YEAR(W187)&lt;&gt;YEAR(W188),1,IF(Bevetel!T188&lt;&gt;0,C187+1,C187))</f>
        <v>183</v>
      </c>
      <c r="D188" s="102" t="str">
        <f>Bevetel!D188</f>
        <v/>
      </c>
      <c r="E188" s="42">
        <f>Bevetel!E188</f>
        <v>0</v>
      </c>
      <c r="F188" s="38" t="str">
        <f>IF(Bevetel!F188&lt;&gt;0,Bevetel!F188,"")</f>
        <v/>
      </c>
      <c r="G188" s="38" t="str">
        <f>IF(Bevetel!G188&lt;&gt;0,Bevetel!G188,"")</f>
        <v/>
      </c>
      <c r="H188" s="38" t="str">
        <f>IF(Bevetel!H188&lt;&gt;0,Bevetel!H188,"")</f>
        <v/>
      </c>
      <c r="I188" s="38">
        <f>Bevetel!I188</f>
        <v>0</v>
      </c>
      <c r="J188" s="105" t="str">
        <f>Bevetel!J188</f>
        <v/>
      </c>
      <c r="K188" s="106" t="str">
        <f>Bevetel!K188</f>
        <v/>
      </c>
      <c r="L188" s="106" t="str">
        <f>Bevetel!L188</f>
        <v/>
      </c>
      <c r="M188" s="107"/>
      <c r="Q188" s="1">
        <f>VLOOKUP(G188,Keszlet!$C$5:$E$205,3,FALSE)</f>
        <v>0</v>
      </c>
      <c r="T188" s="1" t="str">
        <f t="shared" si="15"/>
        <v>0</v>
      </c>
      <c r="U188" s="1">
        <f t="shared" si="16"/>
        <v>0</v>
      </c>
      <c r="W188" s="6">
        <f t="shared" si="17"/>
        <v>0</v>
      </c>
      <c r="X188" s="6">
        <f t="shared" si="20"/>
        <v>55153</v>
      </c>
      <c r="Y188" s="1">
        <f t="shared" si="18"/>
        <v>996</v>
      </c>
      <c r="Z188" s="1">
        <f>IF(COUNTIF($Y$6:Y188,Y188)=1,Y188,Y188+COUNTIF($Y$5:Y187,Y188))</f>
        <v>1178</v>
      </c>
      <c r="AD188" s="1" t="str">
        <f t="shared" si="19"/>
        <v/>
      </c>
      <c r="BA188" s="1">
        <f>IF(W188&lt;=Leltar_iv!$Y$1,I188,0)</f>
        <v>0</v>
      </c>
    </row>
    <row r="189" spans="1:53" s="1" customFormat="1" hidden="1" x14ac:dyDescent="0.25">
      <c r="A189" s="18">
        <f>IF(COUNTIF($Y$6:Y189,Y189)=1,Y189,Y189+COUNTIF($Y$5:Y188,Y189))</f>
        <v>1179</v>
      </c>
      <c r="B189" s="1">
        <f>IF(AND(Kisero_iv!$N$2=C189,Kisero_iv!$K$5=$B$2,SUM(I189:L193)&lt;&gt;0,$B$4=YEAR(W189)),B188+1,0)</f>
        <v>0</v>
      </c>
      <c r="C189" s="1">
        <f>IF(YEAR(W188)&lt;&gt;YEAR(W189),1,IF(Bevetel!T189&lt;&gt;0,C188+1,C188))</f>
        <v>184</v>
      </c>
      <c r="D189" s="102" t="str">
        <f>Bevetel!D189</f>
        <v/>
      </c>
      <c r="E189" s="42">
        <f>Bevetel!E189</f>
        <v>0</v>
      </c>
      <c r="F189" s="38" t="str">
        <f>IF(Bevetel!F189&lt;&gt;0,Bevetel!F189,"")</f>
        <v/>
      </c>
      <c r="G189" s="38" t="str">
        <f>IF(Bevetel!G189&lt;&gt;0,Bevetel!G189,"")</f>
        <v/>
      </c>
      <c r="H189" s="38" t="str">
        <f>IF(Bevetel!H189&lt;&gt;0,Bevetel!H189,"")</f>
        <v/>
      </c>
      <c r="I189" s="38">
        <f>Bevetel!I189</f>
        <v>0</v>
      </c>
      <c r="J189" s="105" t="str">
        <f>Bevetel!J189</f>
        <v/>
      </c>
      <c r="K189" s="106" t="str">
        <f>Bevetel!K189</f>
        <v/>
      </c>
      <c r="L189" s="106" t="str">
        <f>Bevetel!L189</f>
        <v/>
      </c>
      <c r="M189" s="107"/>
      <c r="Q189" s="1">
        <f>VLOOKUP(G189,Keszlet!$C$5:$E$205,3,FALSE)</f>
        <v>0</v>
      </c>
      <c r="T189" s="1" t="str">
        <f t="shared" si="15"/>
        <v>0</v>
      </c>
      <c r="U189" s="1">
        <f t="shared" si="16"/>
        <v>0</v>
      </c>
      <c r="W189" s="6">
        <f t="shared" si="17"/>
        <v>0</v>
      </c>
      <c r="X189" s="6">
        <f t="shared" si="20"/>
        <v>55153</v>
      </c>
      <c r="Y189" s="1">
        <f t="shared" si="18"/>
        <v>996</v>
      </c>
      <c r="Z189" s="1">
        <f>IF(COUNTIF($Y$6:Y189,Y189)=1,Y189,Y189+COUNTIF($Y$5:Y188,Y189))</f>
        <v>1179</v>
      </c>
      <c r="AD189" s="1" t="str">
        <f t="shared" si="19"/>
        <v/>
      </c>
      <c r="BA189" s="1">
        <f>IF(W189&lt;=Leltar_iv!$Y$1,I189,0)</f>
        <v>0</v>
      </c>
    </row>
    <row r="190" spans="1:53" s="1" customFormat="1" hidden="1" x14ac:dyDescent="0.25">
      <c r="A190" s="18">
        <f>IF(COUNTIF($Y$6:Y190,Y190)=1,Y190,Y190+COUNTIF($Y$5:Y189,Y190))</f>
        <v>1180</v>
      </c>
      <c r="B190" s="1">
        <f>IF(AND(Kisero_iv!$N$2=C190,Kisero_iv!$K$5=$B$2,SUM(I190:L194)&lt;&gt;0,$B$4=YEAR(W190)),B189+1,0)</f>
        <v>0</v>
      </c>
      <c r="C190" s="1">
        <f>IF(YEAR(W189)&lt;&gt;YEAR(W190),1,IF(Bevetel!T190&lt;&gt;0,C189+1,C189))</f>
        <v>185</v>
      </c>
      <c r="D190" s="102" t="str">
        <f>Bevetel!D190</f>
        <v/>
      </c>
      <c r="E190" s="42">
        <f>Bevetel!E190</f>
        <v>0</v>
      </c>
      <c r="F190" s="38" t="str">
        <f>IF(Bevetel!F190&lt;&gt;0,Bevetel!F190,"")</f>
        <v/>
      </c>
      <c r="G190" s="38" t="str">
        <f>IF(Bevetel!G190&lt;&gt;0,Bevetel!G190,"")</f>
        <v/>
      </c>
      <c r="H190" s="38" t="str">
        <f>IF(Bevetel!H190&lt;&gt;0,Bevetel!H190,"")</f>
        <v/>
      </c>
      <c r="I190" s="38">
        <f>Bevetel!I190</f>
        <v>0</v>
      </c>
      <c r="J190" s="105" t="str">
        <f>Bevetel!J190</f>
        <v/>
      </c>
      <c r="K190" s="106" t="str">
        <f>Bevetel!K190</f>
        <v/>
      </c>
      <c r="L190" s="106" t="str">
        <f>Bevetel!L190</f>
        <v/>
      </c>
      <c r="M190" s="107"/>
      <c r="Q190" s="1">
        <f>VLOOKUP(G190,Keszlet!$C$5:$E$205,3,FALSE)</f>
        <v>0</v>
      </c>
      <c r="T190" s="1" t="str">
        <f t="shared" si="15"/>
        <v>0</v>
      </c>
      <c r="U190" s="1">
        <f t="shared" si="16"/>
        <v>0</v>
      </c>
      <c r="W190" s="6">
        <f t="shared" si="17"/>
        <v>0</v>
      </c>
      <c r="X190" s="6">
        <f t="shared" si="20"/>
        <v>55153</v>
      </c>
      <c r="Y190" s="1">
        <f t="shared" si="18"/>
        <v>996</v>
      </c>
      <c r="Z190" s="1">
        <f>IF(COUNTIF($Y$6:Y190,Y190)=1,Y190,Y190+COUNTIF($Y$5:Y189,Y190))</f>
        <v>1180</v>
      </c>
      <c r="AD190" s="1" t="str">
        <f t="shared" si="19"/>
        <v/>
      </c>
      <c r="BA190" s="1">
        <f>IF(W190&lt;=Leltar_iv!$Y$1,I190,0)</f>
        <v>0</v>
      </c>
    </row>
    <row r="191" spans="1:53" s="1" customFormat="1" hidden="1" x14ac:dyDescent="0.25">
      <c r="A191" s="18">
        <f>IF(COUNTIF($Y$6:Y191,Y191)=1,Y191,Y191+COUNTIF($Y$5:Y190,Y191))</f>
        <v>1181</v>
      </c>
      <c r="B191" s="1">
        <f>IF(AND(Kisero_iv!$N$2=C191,Kisero_iv!$K$5=$B$2,SUM(I191:L195)&lt;&gt;0,$B$4=YEAR(W191)),B190+1,0)</f>
        <v>0</v>
      </c>
      <c r="C191" s="1">
        <f>IF(YEAR(W190)&lt;&gt;YEAR(W191),1,IF(Bevetel!T191&lt;&gt;0,C190+1,C190))</f>
        <v>186</v>
      </c>
      <c r="D191" s="102" t="str">
        <f>Bevetel!D191</f>
        <v/>
      </c>
      <c r="E191" s="42">
        <f>Bevetel!E191</f>
        <v>0</v>
      </c>
      <c r="F191" s="38" t="str">
        <f>IF(Bevetel!F191&lt;&gt;0,Bevetel!F191,"")</f>
        <v/>
      </c>
      <c r="G191" s="38" t="str">
        <f>IF(Bevetel!G191&lt;&gt;0,Bevetel!G191,"")</f>
        <v/>
      </c>
      <c r="H191" s="38" t="str">
        <f>IF(Bevetel!H191&lt;&gt;0,Bevetel!H191,"")</f>
        <v/>
      </c>
      <c r="I191" s="38">
        <f>Bevetel!I191</f>
        <v>0</v>
      </c>
      <c r="J191" s="105" t="str">
        <f>Bevetel!J191</f>
        <v/>
      </c>
      <c r="K191" s="106" t="str">
        <f>Bevetel!K191</f>
        <v/>
      </c>
      <c r="L191" s="106" t="str">
        <f>Bevetel!L191</f>
        <v/>
      </c>
      <c r="M191" s="107"/>
      <c r="Q191" s="1">
        <f>VLOOKUP(G191,Keszlet!$C$5:$E$205,3,FALSE)</f>
        <v>0</v>
      </c>
      <c r="T191" s="1" t="str">
        <f t="shared" si="15"/>
        <v>0</v>
      </c>
      <c r="U191" s="1">
        <f t="shared" si="16"/>
        <v>0</v>
      </c>
      <c r="W191" s="6">
        <f t="shared" si="17"/>
        <v>0</v>
      </c>
      <c r="X191" s="6">
        <f t="shared" si="20"/>
        <v>55153</v>
      </c>
      <c r="Y191" s="1">
        <f t="shared" si="18"/>
        <v>996</v>
      </c>
      <c r="Z191" s="1">
        <f>IF(COUNTIF($Y$6:Y191,Y191)=1,Y191,Y191+COUNTIF($Y$5:Y190,Y191))</f>
        <v>1181</v>
      </c>
      <c r="AD191" s="1" t="str">
        <f t="shared" si="19"/>
        <v/>
      </c>
      <c r="BA191" s="1">
        <f>IF(W191&lt;=Leltar_iv!$Y$1,I191,0)</f>
        <v>0</v>
      </c>
    </row>
    <row r="192" spans="1:53" s="1" customFormat="1" hidden="1" x14ac:dyDescent="0.25">
      <c r="A192" s="18">
        <f>IF(COUNTIF($Y$6:Y192,Y192)=1,Y192,Y192+COUNTIF($Y$5:Y191,Y192))</f>
        <v>1182</v>
      </c>
      <c r="B192" s="1">
        <f>IF(AND(Kisero_iv!$N$2=C192,Kisero_iv!$K$5=$B$2,SUM(I192:L196)&lt;&gt;0,$B$4=YEAR(W192)),B191+1,0)</f>
        <v>0</v>
      </c>
      <c r="C192" s="1">
        <f>IF(YEAR(W191)&lt;&gt;YEAR(W192),1,IF(Bevetel!T192&lt;&gt;0,C191+1,C191))</f>
        <v>187</v>
      </c>
      <c r="D192" s="102" t="str">
        <f>Bevetel!D192</f>
        <v/>
      </c>
      <c r="E192" s="42">
        <f>Bevetel!E192</f>
        <v>0</v>
      </c>
      <c r="F192" s="38" t="str">
        <f>IF(Bevetel!F192&lt;&gt;0,Bevetel!F192,"")</f>
        <v/>
      </c>
      <c r="G192" s="38" t="str">
        <f>IF(Bevetel!G192&lt;&gt;0,Bevetel!G192,"")</f>
        <v/>
      </c>
      <c r="H192" s="38" t="str">
        <f>IF(Bevetel!H192&lt;&gt;0,Bevetel!H192,"")</f>
        <v/>
      </c>
      <c r="I192" s="38">
        <f>Bevetel!I192</f>
        <v>0</v>
      </c>
      <c r="J192" s="105" t="str">
        <f>Bevetel!J192</f>
        <v/>
      </c>
      <c r="K192" s="106" t="str">
        <f>Bevetel!K192</f>
        <v/>
      </c>
      <c r="L192" s="106" t="str">
        <f>Bevetel!L192</f>
        <v/>
      </c>
      <c r="M192" s="107"/>
      <c r="Q192" s="1">
        <f>VLOOKUP(G192,Keszlet!$C$5:$E$205,3,FALSE)</f>
        <v>0</v>
      </c>
      <c r="T192" s="1" t="str">
        <f t="shared" si="15"/>
        <v>0</v>
      </c>
      <c r="U192" s="1">
        <f t="shared" si="16"/>
        <v>0</v>
      </c>
      <c r="W192" s="6">
        <f t="shared" si="17"/>
        <v>0</v>
      </c>
      <c r="X192" s="6">
        <f t="shared" si="20"/>
        <v>55153</v>
      </c>
      <c r="Y192" s="1">
        <f t="shared" si="18"/>
        <v>996</v>
      </c>
      <c r="Z192" s="1">
        <f>IF(COUNTIF($Y$6:Y192,Y192)=1,Y192,Y192+COUNTIF($Y$5:Y191,Y192))</f>
        <v>1182</v>
      </c>
      <c r="AD192" s="1" t="str">
        <f t="shared" si="19"/>
        <v/>
      </c>
      <c r="BA192" s="1">
        <f>IF(W192&lt;=Leltar_iv!$Y$1,I192,0)</f>
        <v>0</v>
      </c>
    </row>
    <row r="193" spans="1:53" s="1" customFormat="1" hidden="1" x14ac:dyDescent="0.25">
      <c r="A193" s="18">
        <f>IF(COUNTIF($Y$6:Y193,Y193)=1,Y193,Y193+COUNTIF($Y$5:Y192,Y193))</f>
        <v>1183</v>
      </c>
      <c r="B193" s="1">
        <f>IF(AND(Kisero_iv!$N$2=C193,Kisero_iv!$K$5=$B$2,SUM(I193:L197)&lt;&gt;0,$B$4=YEAR(W193)),B192+1,0)</f>
        <v>0</v>
      </c>
      <c r="C193" s="1">
        <f>IF(YEAR(W192)&lt;&gt;YEAR(W193),1,IF(Bevetel!T193&lt;&gt;0,C192+1,C192))</f>
        <v>188</v>
      </c>
      <c r="D193" s="102" t="str">
        <f>Bevetel!D193</f>
        <v/>
      </c>
      <c r="E193" s="42">
        <f>Bevetel!E193</f>
        <v>0</v>
      </c>
      <c r="F193" s="38" t="str">
        <f>IF(Bevetel!F193&lt;&gt;0,Bevetel!F193,"")</f>
        <v/>
      </c>
      <c r="G193" s="38" t="str">
        <f>IF(Bevetel!G193&lt;&gt;0,Bevetel!G193,"")</f>
        <v/>
      </c>
      <c r="H193" s="38" t="str">
        <f>IF(Bevetel!H193&lt;&gt;0,Bevetel!H193,"")</f>
        <v/>
      </c>
      <c r="I193" s="38">
        <f>Bevetel!I193</f>
        <v>0</v>
      </c>
      <c r="J193" s="105" t="str">
        <f>Bevetel!J193</f>
        <v/>
      </c>
      <c r="K193" s="106" t="str">
        <f>Bevetel!K193</f>
        <v/>
      </c>
      <c r="L193" s="106" t="str">
        <f>Bevetel!L193</f>
        <v/>
      </c>
      <c r="M193" s="107"/>
      <c r="Q193" s="1">
        <f>VLOOKUP(G193,Keszlet!$C$5:$E$205,3,FALSE)</f>
        <v>0</v>
      </c>
      <c r="T193" s="1" t="str">
        <f t="shared" si="15"/>
        <v>0</v>
      </c>
      <c r="U193" s="1">
        <f t="shared" si="16"/>
        <v>0</v>
      </c>
      <c r="W193" s="6">
        <f t="shared" si="17"/>
        <v>0</v>
      </c>
      <c r="X193" s="6">
        <f t="shared" si="20"/>
        <v>55153</v>
      </c>
      <c r="Y193" s="1">
        <f t="shared" si="18"/>
        <v>996</v>
      </c>
      <c r="Z193" s="1">
        <f>IF(COUNTIF($Y$6:Y193,Y193)=1,Y193,Y193+COUNTIF($Y$5:Y192,Y193))</f>
        <v>1183</v>
      </c>
      <c r="AD193" s="1" t="str">
        <f t="shared" si="19"/>
        <v/>
      </c>
      <c r="BA193" s="1">
        <f>IF(W193&lt;=Leltar_iv!$Y$1,I193,0)</f>
        <v>0</v>
      </c>
    </row>
    <row r="194" spans="1:53" s="1" customFormat="1" hidden="1" x14ac:dyDescent="0.25">
      <c r="A194" s="18">
        <f>IF(COUNTIF($Y$6:Y194,Y194)=1,Y194,Y194+COUNTIF($Y$5:Y193,Y194))</f>
        <v>1184</v>
      </c>
      <c r="B194" s="1">
        <f>IF(AND(Kisero_iv!$N$2=C194,Kisero_iv!$K$5=$B$2,SUM(I194:L198)&lt;&gt;0,$B$4=YEAR(W194)),B193+1,0)</f>
        <v>0</v>
      </c>
      <c r="C194" s="1">
        <f>IF(YEAR(W193)&lt;&gt;YEAR(W194),1,IF(Bevetel!T194&lt;&gt;0,C193+1,C193))</f>
        <v>189</v>
      </c>
      <c r="D194" s="102" t="str">
        <f>Bevetel!D194</f>
        <v/>
      </c>
      <c r="E194" s="42">
        <f>Bevetel!E194</f>
        <v>0</v>
      </c>
      <c r="F194" s="38" t="str">
        <f>IF(Bevetel!F194&lt;&gt;0,Bevetel!F194,"")</f>
        <v/>
      </c>
      <c r="G194" s="38" t="str">
        <f>IF(Bevetel!G194&lt;&gt;0,Bevetel!G194,"")</f>
        <v/>
      </c>
      <c r="H194" s="38" t="str">
        <f>IF(Bevetel!H194&lt;&gt;0,Bevetel!H194,"")</f>
        <v/>
      </c>
      <c r="I194" s="38">
        <f>Bevetel!I194</f>
        <v>0</v>
      </c>
      <c r="J194" s="105" t="str">
        <f>Bevetel!J194</f>
        <v/>
      </c>
      <c r="K194" s="106" t="str">
        <f>Bevetel!K194</f>
        <v/>
      </c>
      <c r="L194" s="106" t="str">
        <f>Bevetel!L194</f>
        <v/>
      </c>
      <c r="M194" s="107"/>
      <c r="Q194" s="1">
        <f>VLOOKUP(G194,Keszlet!$C$5:$E$205,3,FALSE)</f>
        <v>0</v>
      </c>
      <c r="T194" s="1" t="str">
        <f t="shared" si="15"/>
        <v>0</v>
      </c>
      <c r="U194" s="1">
        <f t="shared" si="16"/>
        <v>0</v>
      </c>
      <c r="W194" s="6">
        <f t="shared" si="17"/>
        <v>0</v>
      </c>
      <c r="X194" s="6">
        <f t="shared" si="20"/>
        <v>55153</v>
      </c>
      <c r="Y194" s="1">
        <f t="shared" si="18"/>
        <v>996</v>
      </c>
      <c r="Z194" s="1">
        <f>IF(COUNTIF($Y$6:Y194,Y194)=1,Y194,Y194+COUNTIF($Y$5:Y193,Y194))</f>
        <v>1184</v>
      </c>
      <c r="AD194" s="1" t="str">
        <f t="shared" si="19"/>
        <v/>
      </c>
      <c r="BA194" s="1">
        <f>IF(W194&lt;=Leltar_iv!$Y$1,I194,0)</f>
        <v>0</v>
      </c>
    </row>
    <row r="195" spans="1:53" s="1" customFormat="1" hidden="1" x14ac:dyDescent="0.25">
      <c r="A195" s="18">
        <f>IF(COUNTIF($Y$6:Y195,Y195)=1,Y195,Y195+COUNTIF($Y$5:Y194,Y195))</f>
        <v>1185</v>
      </c>
      <c r="B195" s="1">
        <f>IF(AND(Kisero_iv!$N$2=C195,Kisero_iv!$K$5=$B$2,SUM(I195:L199)&lt;&gt;0,$B$4=YEAR(W195)),B194+1,0)</f>
        <v>0</v>
      </c>
      <c r="C195" s="1">
        <f>IF(YEAR(W194)&lt;&gt;YEAR(W195),1,IF(Bevetel!T195&lt;&gt;0,C194+1,C194))</f>
        <v>190</v>
      </c>
      <c r="D195" s="102" t="str">
        <f>Bevetel!D195</f>
        <v/>
      </c>
      <c r="E195" s="42">
        <f>Bevetel!E195</f>
        <v>0</v>
      </c>
      <c r="F195" s="38" t="str">
        <f>IF(Bevetel!F195&lt;&gt;0,Bevetel!F195,"")</f>
        <v/>
      </c>
      <c r="G195" s="38" t="str">
        <f>IF(Bevetel!G195&lt;&gt;0,Bevetel!G195,"")</f>
        <v/>
      </c>
      <c r="H195" s="38" t="str">
        <f>IF(Bevetel!H195&lt;&gt;0,Bevetel!H195,"")</f>
        <v/>
      </c>
      <c r="I195" s="38">
        <f>Bevetel!I195</f>
        <v>0</v>
      </c>
      <c r="J195" s="105" t="str">
        <f>Bevetel!J195</f>
        <v/>
      </c>
      <c r="K195" s="106" t="str">
        <f>Bevetel!K195</f>
        <v/>
      </c>
      <c r="L195" s="106" t="str">
        <f>Bevetel!L195</f>
        <v/>
      </c>
      <c r="M195" s="107"/>
      <c r="Q195" s="1">
        <f>VLOOKUP(G195,Keszlet!$C$5:$E$205,3,FALSE)</f>
        <v>0</v>
      </c>
      <c r="T195" s="1" t="str">
        <f t="shared" si="15"/>
        <v>0</v>
      </c>
      <c r="U195" s="1">
        <f t="shared" si="16"/>
        <v>0</v>
      </c>
      <c r="W195" s="6">
        <f t="shared" si="17"/>
        <v>0</v>
      </c>
      <c r="X195" s="6">
        <f t="shared" si="20"/>
        <v>55153</v>
      </c>
      <c r="Y195" s="1">
        <f t="shared" si="18"/>
        <v>996</v>
      </c>
      <c r="Z195" s="1">
        <f>IF(COUNTIF($Y$6:Y195,Y195)=1,Y195,Y195+COUNTIF($Y$5:Y194,Y195))</f>
        <v>1185</v>
      </c>
      <c r="AD195" s="1" t="str">
        <f t="shared" si="19"/>
        <v/>
      </c>
      <c r="BA195" s="1">
        <f>IF(W195&lt;=Leltar_iv!$Y$1,I195,0)</f>
        <v>0</v>
      </c>
    </row>
    <row r="196" spans="1:53" s="1" customFormat="1" hidden="1" x14ac:dyDescent="0.25">
      <c r="A196" s="18">
        <f>IF(COUNTIF($Y$6:Y196,Y196)=1,Y196,Y196+COUNTIF($Y$5:Y195,Y196))</f>
        <v>1186</v>
      </c>
      <c r="B196" s="1">
        <f>IF(AND(Kisero_iv!$N$2=C196,Kisero_iv!$K$5=$B$2,SUM(I196:L200)&lt;&gt;0,$B$4=YEAR(W196)),B195+1,0)</f>
        <v>0</v>
      </c>
      <c r="C196" s="1">
        <f>IF(YEAR(W195)&lt;&gt;YEAR(W196),1,IF(Bevetel!T196&lt;&gt;0,C195+1,C195))</f>
        <v>191</v>
      </c>
      <c r="D196" s="102" t="str">
        <f>Bevetel!D196</f>
        <v/>
      </c>
      <c r="E196" s="42">
        <f>Bevetel!E196</f>
        <v>0</v>
      </c>
      <c r="F196" s="38" t="str">
        <f>IF(Bevetel!F196&lt;&gt;0,Bevetel!F196,"")</f>
        <v/>
      </c>
      <c r="G196" s="38" t="str">
        <f>IF(Bevetel!G196&lt;&gt;0,Bevetel!G196,"")</f>
        <v/>
      </c>
      <c r="H196" s="38" t="str">
        <f>IF(Bevetel!H196&lt;&gt;0,Bevetel!H196,"")</f>
        <v/>
      </c>
      <c r="I196" s="38">
        <f>Bevetel!I196</f>
        <v>0</v>
      </c>
      <c r="J196" s="105" t="str">
        <f>Bevetel!J196</f>
        <v/>
      </c>
      <c r="K196" s="106" t="str">
        <f>Bevetel!K196</f>
        <v/>
      </c>
      <c r="L196" s="106" t="str">
        <f>Bevetel!L196</f>
        <v/>
      </c>
      <c r="M196" s="107"/>
      <c r="Q196" s="1">
        <f>VLOOKUP(G196,Keszlet!$C$5:$E$205,3,FALSE)</f>
        <v>0</v>
      </c>
      <c r="T196" s="1" t="str">
        <f t="shared" si="15"/>
        <v>0</v>
      </c>
      <c r="U196" s="1">
        <f t="shared" si="16"/>
        <v>0</v>
      </c>
      <c r="W196" s="6">
        <f t="shared" si="17"/>
        <v>0</v>
      </c>
      <c r="X196" s="6">
        <f t="shared" si="20"/>
        <v>55153</v>
      </c>
      <c r="Y196" s="1">
        <f t="shared" si="18"/>
        <v>996</v>
      </c>
      <c r="Z196" s="1">
        <f>IF(COUNTIF($Y$6:Y196,Y196)=1,Y196,Y196+COUNTIF($Y$5:Y195,Y196))</f>
        <v>1186</v>
      </c>
      <c r="AD196" s="1" t="str">
        <f t="shared" si="19"/>
        <v/>
      </c>
      <c r="BA196" s="1">
        <f>IF(W196&lt;=Leltar_iv!$Y$1,I196,0)</f>
        <v>0</v>
      </c>
    </row>
    <row r="197" spans="1:53" s="1" customFormat="1" hidden="1" x14ac:dyDescent="0.25">
      <c r="A197" s="18">
        <f>IF(COUNTIF($Y$6:Y197,Y197)=1,Y197,Y197+COUNTIF($Y$5:Y196,Y197))</f>
        <v>1187</v>
      </c>
      <c r="B197" s="1">
        <f>IF(AND(Kisero_iv!$N$2=C197,Kisero_iv!$K$5=$B$2,SUM(I197:L201)&lt;&gt;0,$B$4=YEAR(W197)),B196+1,0)</f>
        <v>0</v>
      </c>
      <c r="C197" s="1">
        <f>IF(YEAR(W196)&lt;&gt;YEAR(W197),1,IF(Bevetel!T197&lt;&gt;0,C196+1,C196))</f>
        <v>192</v>
      </c>
      <c r="D197" s="102" t="str">
        <f>Bevetel!D197</f>
        <v/>
      </c>
      <c r="E197" s="42">
        <f>Bevetel!E197</f>
        <v>0</v>
      </c>
      <c r="F197" s="38" t="str">
        <f>IF(Bevetel!F197&lt;&gt;0,Bevetel!F197,"")</f>
        <v/>
      </c>
      <c r="G197" s="38" t="str">
        <f>IF(Bevetel!G197&lt;&gt;0,Bevetel!G197,"")</f>
        <v/>
      </c>
      <c r="H197" s="38" t="str">
        <f>IF(Bevetel!H197&lt;&gt;0,Bevetel!H197,"")</f>
        <v/>
      </c>
      <c r="I197" s="38">
        <f>Bevetel!I197</f>
        <v>0</v>
      </c>
      <c r="J197" s="105" t="str">
        <f>Bevetel!J197</f>
        <v/>
      </c>
      <c r="K197" s="106" t="str">
        <f>Bevetel!K197</f>
        <v/>
      </c>
      <c r="L197" s="106" t="str">
        <f>Bevetel!L197</f>
        <v/>
      </c>
      <c r="M197" s="107"/>
      <c r="Q197" s="1">
        <f>VLOOKUP(G197,Keszlet!$C$5:$E$205,3,FALSE)</f>
        <v>0</v>
      </c>
      <c r="T197" s="1" t="str">
        <f t="shared" si="15"/>
        <v>0</v>
      </c>
      <c r="U197" s="1">
        <f t="shared" si="16"/>
        <v>0</v>
      </c>
      <c r="W197" s="6">
        <f t="shared" si="17"/>
        <v>0</v>
      </c>
      <c r="X197" s="6">
        <f t="shared" si="20"/>
        <v>55153</v>
      </c>
      <c r="Y197" s="1">
        <f t="shared" si="18"/>
        <v>996</v>
      </c>
      <c r="Z197" s="1">
        <f>IF(COUNTIF($Y$6:Y197,Y197)=1,Y197,Y197+COUNTIF($Y$5:Y196,Y197))</f>
        <v>1187</v>
      </c>
      <c r="AD197" s="1" t="str">
        <f t="shared" si="19"/>
        <v/>
      </c>
      <c r="BA197" s="1">
        <f>IF(W197&lt;=Leltar_iv!$Y$1,I197,0)</f>
        <v>0</v>
      </c>
    </row>
    <row r="198" spans="1:53" s="1" customFormat="1" hidden="1" x14ac:dyDescent="0.25">
      <c r="A198" s="18">
        <f>IF(COUNTIF($Y$6:Y198,Y198)=1,Y198,Y198+COUNTIF($Y$5:Y197,Y198))</f>
        <v>1188</v>
      </c>
      <c r="B198" s="1">
        <f>IF(AND(Kisero_iv!$N$2=C198,Kisero_iv!$K$5=$B$2,SUM(I198:L202)&lt;&gt;0,$B$4=YEAR(W198)),B197+1,0)</f>
        <v>0</v>
      </c>
      <c r="C198" s="1">
        <f>IF(YEAR(W197)&lt;&gt;YEAR(W198),1,IF(Bevetel!T198&lt;&gt;0,C197+1,C197))</f>
        <v>193</v>
      </c>
      <c r="D198" s="102" t="str">
        <f>Bevetel!D198</f>
        <v/>
      </c>
      <c r="E198" s="42">
        <f>Bevetel!E198</f>
        <v>0</v>
      </c>
      <c r="F198" s="38" t="str">
        <f>IF(Bevetel!F198&lt;&gt;0,Bevetel!F198,"")</f>
        <v/>
      </c>
      <c r="G198" s="38" t="str">
        <f>IF(Bevetel!G198&lt;&gt;0,Bevetel!G198,"")</f>
        <v/>
      </c>
      <c r="H198" s="38" t="str">
        <f>IF(Bevetel!H198&lt;&gt;0,Bevetel!H198,"")</f>
        <v/>
      </c>
      <c r="I198" s="38">
        <f>Bevetel!I198</f>
        <v>0</v>
      </c>
      <c r="J198" s="105" t="str">
        <f>Bevetel!J198</f>
        <v/>
      </c>
      <c r="K198" s="106" t="str">
        <f>Bevetel!K198</f>
        <v/>
      </c>
      <c r="L198" s="106" t="str">
        <f>Bevetel!L198</f>
        <v/>
      </c>
      <c r="M198" s="107"/>
      <c r="Q198" s="1">
        <f>VLOOKUP(G198,Keszlet!$C$5:$E$205,3,FALSE)</f>
        <v>0</v>
      </c>
      <c r="T198" s="1" t="str">
        <f t="shared" si="15"/>
        <v>0</v>
      </c>
      <c r="U198" s="1">
        <f t="shared" si="16"/>
        <v>0</v>
      </c>
      <c r="W198" s="6">
        <f t="shared" si="17"/>
        <v>0</v>
      </c>
      <c r="X198" s="6">
        <f>IF(G198=q,W198,$X$1)</f>
        <v>55153</v>
      </c>
      <c r="Y198" s="1">
        <f t="shared" si="18"/>
        <v>996</v>
      </c>
      <c r="Z198" s="1">
        <f>IF(COUNTIF($Y$6:Y198,Y198)=1,Y198,Y198+COUNTIF($Y$5:Y197,Y198))</f>
        <v>1188</v>
      </c>
      <c r="AD198" s="1" t="str">
        <f t="shared" si="19"/>
        <v/>
      </c>
      <c r="BA198" s="1">
        <f>IF(W198&lt;=Leltar_iv!$Y$1,I198,0)</f>
        <v>0</v>
      </c>
    </row>
    <row r="199" spans="1:53" s="1" customFormat="1" hidden="1" x14ac:dyDescent="0.25">
      <c r="A199" s="18">
        <f>IF(COUNTIF($Y$6:Y199,Y199)=1,Y199,Y199+COUNTIF($Y$5:Y198,Y199))</f>
        <v>1189</v>
      </c>
      <c r="B199" s="1">
        <f>IF(AND(Kisero_iv!$N$2=C199,Kisero_iv!$K$5=$B$2,SUM(I199:L203)&lt;&gt;0,$B$4=YEAR(W199)),B198+1,0)</f>
        <v>0</v>
      </c>
      <c r="C199" s="1">
        <f>IF(YEAR(W198)&lt;&gt;YEAR(W199),1,IF(Bevetel!T199&lt;&gt;0,C198+1,C198))</f>
        <v>194</v>
      </c>
      <c r="D199" s="102" t="str">
        <f>Bevetel!D199</f>
        <v/>
      </c>
      <c r="E199" s="42">
        <f>Bevetel!E199</f>
        <v>0</v>
      </c>
      <c r="F199" s="38" t="str">
        <f>IF(Bevetel!F199&lt;&gt;0,Bevetel!F199,"")</f>
        <v/>
      </c>
      <c r="G199" s="38" t="str">
        <f>IF(Bevetel!G199&lt;&gt;0,Bevetel!G199,"")</f>
        <v/>
      </c>
      <c r="H199" s="38" t="str">
        <f>IF(Bevetel!H199&lt;&gt;0,Bevetel!H199,"")</f>
        <v/>
      </c>
      <c r="I199" s="38">
        <f>Bevetel!I199</f>
        <v>0</v>
      </c>
      <c r="J199" s="105" t="str">
        <f>Bevetel!J199</f>
        <v/>
      </c>
      <c r="K199" s="106" t="str">
        <f>Bevetel!K199</f>
        <v/>
      </c>
      <c r="L199" s="106" t="str">
        <f>Bevetel!L199</f>
        <v/>
      </c>
      <c r="M199" s="107"/>
      <c r="Q199" s="1">
        <f>VLOOKUP(G199,Keszlet!$C$5:$E$205,3,FALSE)</f>
        <v>0</v>
      </c>
      <c r="T199" s="1" t="str">
        <f t="shared" ref="T199:T200" si="21">IF(OR(E199&lt;&gt;0,COUNTIF(T194:T198,0)=5,F199&lt;&gt;"",SUM(L199:L219)=0),E199&amp;F199,0)</f>
        <v>0</v>
      </c>
      <c r="U199" s="1">
        <f>IF(F199&lt;&gt;"",F199,U198)</f>
        <v>0</v>
      </c>
      <c r="W199" s="6">
        <f>IF(E199&lt;&gt;0,E199,W198)</f>
        <v>0</v>
      </c>
      <c r="X199" s="6">
        <f>IF(G199=q,W199,$X$1)</f>
        <v>55153</v>
      </c>
      <c r="Y199" s="1">
        <f>RANK(X199,$X$6:$X$10000,1)</f>
        <v>996</v>
      </c>
      <c r="Z199" s="1">
        <f>IF(COUNTIF($Y$6:Y199,Y199)=1,Y199,Y199+COUNTIF($Y$5:Y198,Y199))</f>
        <v>1189</v>
      </c>
      <c r="AD199" s="1" t="str">
        <f t="shared" ref="AD199:AD200" si="22">IF(AND(C198&lt;&gt;C199,SUM(L199:L219)&lt;&gt;0,$B$4=YEAR(W199)),C199,"")</f>
        <v/>
      </c>
      <c r="BA199" s="1">
        <f>IF(W199&lt;=Leltar_iv!$Y$1,I199,0)</f>
        <v>0</v>
      </c>
    </row>
    <row r="200" spans="1:53" s="1" customFormat="1" hidden="1" x14ac:dyDescent="0.25">
      <c r="A200" s="18">
        <f>IF(COUNTIF($Y$6:Y200,Y200)=1,Y200,Y200+COUNTIF($Y$5:Y199,Y200))</f>
        <v>1190</v>
      </c>
      <c r="B200" s="1">
        <f>IF(AND(Kisero_iv!$N$2=C200,Kisero_iv!$K$5=$B$2,SUM(I200:L204)&lt;&gt;0,$B$4=YEAR(W200)),B199+1,0)</f>
        <v>0</v>
      </c>
      <c r="C200" s="1">
        <f>IF(YEAR(W199)&lt;&gt;YEAR(W200),1,IF(Bevetel!T200&lt;&gt;0,C199+1,C199))</f>
        <v>195</v>
      </c>
      <c r="D200" s="102" t="str">
        <f>Bevetel!D200</f>
        <v/>
      </c>
      <c r="E200" s="42">
        <f>Bevetel!E200</f>
        <v>0</v>
      </c>
      <c r="F200" s="38" t="str">
        <f>IF(Bevetel!F200&lt;&gt;0,Bevetel!F200,"")</f>
        <v/>
      </c>
      <c r="G200" s="38" t="str">
        <f>IF(Bevetel!G200&lt;&gt;0,Bevetel!G200,"")</f>
        <v/>
      </c>
      <c r="H200" s="38" t="str">
        <f>IF(Bevetel!H200&lt;&gt;0,Bevetel!H200,"")</f>
        <v/>
      </c>
      <c r="I200" s="38">
        <f>Bevetel!I200</f>
        <v>0</v>
      </c>
      <c r="J200" s="105" t="str">
        <f>Bevetel!J200</f>
        <v/>
      </c>
      <c r="K200" s="106" t="str">
        <f>Bevetel!K200</f>
        <v/>
      </c>
      <c r="L200" s="106" t="str">
        <f>Bevetel!L200</f>
        <v/>
      </c>
      <c r="M200" s="107"/>
      <c r="Q200" s="1">
        <f>VLOOKUP(G200,Keszlet!$C$5:$E$205,3,FALSE)</f>
        <v>0</v>
      </c>
      <c r="T200" s="1" t="str">
        <f t="shared" si="21"/>
        <v>0</v>
      </c>
      <c r="U200" s="1">
        <f>IF(F200&lt;&gt;"",F200,U199)</f>
        <v>0</v>
      </c>
      <c r="W200" s="6">
        <f>IF(E200&lt;&gt;0,E200,W199)</f>
        <v>0</v>
      </c>
      <c r="X200" s="6">
        <f>IF(G200=q,W200,$X$1)</f>
        <v>55153</v>
      </c>
      <c r="Y200" s="1">
        <f>RANK(X200,$X$6:$X$10000,1)</f>
        <v>996</v>
      </c>
      <c r="Z200" s="1">
        <f>IF(COUNTIF($Y$6:Y200,Y200)=1,Y200,Y200+COUNTIF($Y$5:Y199,Y200))</f>
        <v>1190</v>
      </c>
      <c r="AD200" s="1" t="str">
        <f t="shared" si="22"/>
        <v/>
      </c>
    </row>
    <row r="201" spans="1:53" s="1" customFormat="1" hidden="1" x14ac:dyDescent="0.25">
      <c r="A201" s="18"/>
      <c r="D201" s="102"/>
      <c r="E201" s="43"/>
      <c r="F201" s="38"/>
      <c r="G201" s="38"/>
      <c r="H201" s="38"/>
      <c r="I201" s="38"/>
      <c r="J201" s="105"/>
      <c r="K201" s="106"/>
      <c r="L201" s="106"/>
      <c r="M201" s="107"/>
      <c r="W201" s="6"/>
      <c r="X201" s="6"/>
    </row>
    <row r="202" spans="1:53" s="1" customFormat="1" hidden="1" x14ac:dyDescent="0.25">
      <c r="A202" s="18"/>
      <c r="D202" s="102"/>
      <c r="E202" s="43"/>
      <c r="F202" s="38"/>
      <c r="G202" s="38"/>
      <c r="H202" s="38"/>
      <c r="I202" s="38"/>
      <c r="J202" s="105"/>
      <c r="K202" s="106"/>
      <c r="L202" s="106"/>
      <c r="M202" s="107"/>
      <c r="W202" s="6"/>
      <c r="X202" s="6"/>
    </row>
    <row r="203" spans="1:53" s="1" customFormat="1" hidden="1" x14ac:dyDescent="0.25">
      <c r="A203" s="18"/>
      <c r="D203" s="102"/>
      <c r="E203" s="43"/>
      <c r="F203" s="38"/>
      <c r="G203" s="38"/>
      <c r="H203" s="38"/>
      <c r="I203" s="38"/>
      <c r="J203" s="105"/>
      <c r="K203" s="106"/>
      <c r="L203" s="106"/>
      <c r="M203" s="107"/>
      <c r="W203" s="6"/>
      <c r="X203" s="6"/>
    </row>
    <row r="204" spans="1:53" s="1" customFormat="1" hidden="1" x14ac:dyDescent="0.25">
      <c r="A204" s="18"/>
      <c r="D204" s="102"/>
      <c r="E204" s="43"/>
      <c r="F204" s="38"/>
      <c r="G204" s="38"/>
      <c r="H204" s="38"/>
      <c r="I204" s="38"/>
      <c r="J204" s="105"/>
      <c r="K204" s="106"/>
      <c r="L204" s="106"/>
      <c r="M204" s="107"/>
      <c r="W204" s="6"/>
      <c r="X204" s="6"/>
    </row>
    <row r="205" spans="1:53" s="1" customFormat="1" hidden="1" x14ac:dyDescent="0.25">
      <c r="A205" s="18"/>
      <c r="D205" s="102"/>
      <c r="E205" s="43"/>
      <c r="F205" s="38"/>
      <c r="G205" s="38"/>
      <c r="H205" s="38"/>
      <c r="I205" s="38"/>
      <c r="J205" s="105"/>
      <c r="K205" s="106"/>
      <c r="L205" s="106"/>
      <c r="M205" s="107"/>
      <c r="W205" s="6"/>
      <c r="X205" s="6"/>
    </row>
    <row r="206" spans="1:53" s="1" customFormat="1" hidden="1" x14ac:dyDescent="0.25">
      <c r="A206" s="18"/>
      <c r="D206" s="102"/>
      <c r="E206" s="43"/>
      <c r="F206" s="38"/>
      <c r="G206" s="38"/>
      <c r="H206" s="38"/>
      <c r="I206" s="38"/>
      <c r="J206" s="105"/>
      <c r="K206" s="106"/>
      <c r="L206" s="106"/>
      <c r="M206" s="107"/>
      <c r="W206" s="6"/>
      <c r="X206" s="6"/>
    </row>
    <row r="207" spans="1:53" s="1" customFormat="1" hidden="1" x14ac:dyDescent="0.25">
      <c r="A207" s="18"/>
      <c r="D207" s="102"/>
      <c r="E207" s="43"/>
      <c r="F207" s="38"/>
      <c r="G207" s="38"/>
      <c r="H207" s="38"/>
      <c r="I207" s="38"/>
      <c r="J207" s="105"/>
      <c r="K207" s="106"/>
      <c r="L207" s="106"/>
      <c r="M207" s="107"/>
      <c r="W207" s="6"/>
      <c r="X207" s="6"/>
    </row>
    <row r="208" spans="1:53" s="1" customFormat="1" hidden="1" x14ac:dyDescent="0.25">
      <c r="A208" s="18"/>
      <c r="D208" s="102"/>
      <c r="E208" s="43"/>
      <c r="F208" s="38"/>
      <c r="G208" s="38"/>
      <c r="H208" s="38"/>
      <c r="I208" s="38"/>
      <c r="J208" s="105"/>
      <c r="K208" s="106"/>
      <c r="L208" s="106"/>
      <c r="M208" s="107"/>
      <c r="W208" s="6"/>
      <c r="X208" s="6"/>
    </row>
    <row r="209" spans="1:24" s="1" customFormat="1" hidden="1" x14ac:dyDescent="0.25">
      <c r="A209" s="18"/>
      <c r="D209" s="102"/>
      <c r="E209" s="43"/>
      <c r="F209" s="38"/>
      <c r="G209" s="38"/>
      <c r="H209" s="38"/>
      <c r="I209" s="38"/>
      <c r="J209" s="105"/>
      <c r="K209" s="106"/>
      <c r="L209" s="106"/>
      <c r="M209" s="107"/>
      <c r="W209" s="6"/>
      <c r="X209" s="6"/>
    </row>
    <row r="210" spans="1:24" s="1" customFormat="1" hidden="1" x14ac:dyDescent="0.25">
      <c r="A210" s="18"/>
      <c r="D210" s="102"/>
      <c r="E210" s="43"/>
      <c r="F210" s="38"/>
      <c r="G210" s="38"/>
      <c r="H210" s="38"/>
      <c r="I210" s="38"/>
      <c r="J210" s="105"/>
      <c r="K210" s="106"/>
      <c r="L210" s="106"/>
      <c r="M210" s="107"/>
      <c r="W210" s="6"/>
      <c r="X210" s="6"/>
    </row>
    <row r="211" spans="1:24" s="1" customFormat="1" hidden="1" x14ac:dyDescent="0.25">
      <c r="A211" s="18"/>
      <c r="D211" s="102"/>
      <c r="E211" s="43"/>
      <c r="F211" s="38"/>
      <c r="G211" s="38"/>
      <c r="H211" s="38"/>
      <c r="I211" s="38"/>
      <c r="J211" s="105"/>
      <c r="K211" s="106"/>
      <c r="L211" s="106"/>
      <c r="M211" s="107"/>
      <c r="W211" s="6"/>
      <c r="X211" s="6"/>
    </row>
    <row r="212" spans="1:24" s="1" customFormat="1" hidden="1" x14ac:dyDescent="0.25">
      <c r="A212" s="18"/>
      <c r="D212" s="102"/>
      <c r="E212" s="43"/>
      <c r="F212" s="38"/>
      <c r="G212" s="38"/>
      <c r="H212" s="38"/>
      <c r="I212" s="38"/>
      <c r="J212" s="105"/>
      <c r="K212" s="106"/>
      <c r="L212" s="106"/>
      <c r="M212" s="107"/>
      <c r="W212" s="6"/>
      <c r="X212" s="6"/>
    </row>
    <row r="213" spans="1:24" s="1" customFormat="1" hidden="1" x14ac:dyDescent="0.25">
      <c r="A213" s="18"/>
      <c r="D213" s="102"/>
      <c r="E213" s="43"/>
      <c r="F213" s="38"/>
      <c r="G213" s="38"/>
      <c r="H213" s="38"/>
      <c r="I213" s="38"/>
      <c r="J213" s="105"/>
      <c r="K213" s="106"/>
      <c r="L213" s="106"/>
      <c r="M213" s="107"/>
      <c r="W213" s="6"/>
      <c r="X213" s="6"/>
    </row>
    <row r="214" spans="1:24" s="1" customFormat="1" hidden="1" x14ac:dyDescent="0.25">
      <c r="A214" s="18"/>
      <c r="D214" s="102"/>
      <c r="E214" s="43"/>
      <c r="F214" s="38"/>
      <c r="G214" s="38"/>
      <c r="H214" s="38"/>
      <c r="I214" s="38"/>
      <c r="J214" s="105"/>
      <c r="K214" s="106"/>
      <c r="L214" s="106"/>
      <c r="M214" s="107"/>
      <c r="W214" s="6"/>
      <c r="X214" s="6"/>
    </row>
    <row r="215" spans="1:24" s="1" customFormat="1" hidden="1" x14ac:dyDescent="0.25">
      <c r="A215" s="18"/>
      <c r="D215" s="102"/>
      <c r="E215" s="43"/>
      <c r="F215" s="38"/>
      <c r="G215" s="38"/>
      <c r="H215" s="38"/>
      <c r="I215" s="38"/>
      <c r="J215" s="105"/>
      <c r="K215" s="106"/>
      <c r="L215" s="106"/>
      <c r="M215" s="107"/>
      <c r="W215" s="6"/>
      <c r="X215" s="6"/>
    </row>
    <row r="216" spans="1:24" s="1" customFormat="1" hidden="1" x14ac:dyDescent="0.25">
      <c r="A216" s="18"/>
      <c r="D216" s="102"/>
      <c r="E216" s="43"/>
      <c r="F216" s="38"/>
      <c r="G216" s="38"/>
      <c r="H216" s="38"/>
      <c r="I216" s="38"/>
      <c r="J216" s="105"/>
      <c r="K216" s="106"/>
      <c r="L216" s="106"/>
      <c r="M216" s="107"/>
      <c r="W216" s="6"/>
      <c r="X216" s="6"/>
    </row>
    <row r="217" spans="1:24" s="1" customFormat="1" hidden="1" x14ac:dyDescent="0.25">
      <c r="A217" s="18"/>
      <c r="D217" s="102"/>
      <c r="E217" s="43"/>
      <c r="F217" s="38"/>
      <c r="G217" s="38"/>
      <c r="H217" s="38"/>
      <c r="I217" s="38"/>
      <c r="J217" s="105"/>
      <c r="K217" s="106"/>
      <c r="L217" s="106"/>
      <c r="M217" s="107"/>
      <c r="W217" s="6"/>
      <c r="X217" s="6"/>
    </row>
    <row r="218" spans="1:24" s="1" customFormat="1" hidden="1" x14ac:dyDescent="0.25">
      <c r="A218" s="18"/>
      <c r="D218" s="102"/>
      <c r="E218" s="43"/>
      <c r="F218" s="38"/>
      <c r="G218" s="38"/>
      <c r="H218" s="38"/>
      <c r="I218" s="38"/>
      <c r="J218" s="105"/>
      <c r="K218" s="106"/>
      <c r="L218" s="106"/>
      <c r="M218" s="107"/>
      <c r="W218" s="6"/>
      <c r="X218" s="6"/>
    </row>
    <row r="219" spans="1:24" s="1" customFormat="1" hidden="1" x14ac:dyDescent="0.25">
      <c r="A219" s="18"/>
      <c r="D219" s="102"/>
      <c r="E219" s="43"/>
      <c r="F219" s="38"/>
      <c r="G219" s="38"/>
      <c r="H219" s="38"/>
      <c r="I219" s="38"/>
      <c r="J219" s="105"/>
      <c r="K219" s="106"/>
      <c r="L219" s="106"/>
      <c r="M219" s="107"/>
      <c r="W219" s="6"/>
      <c r="X219" s="6"/>
    </row>
    <row r="220" spans="1:24" s="1" customFormat="1" hidden="1" x14ac:dyDescent="0.25">
      <c r="A220" s="18"/>
      <c r="D220" s="102"/>
      <c r="E220" s="43"/>
      <c r="F220" s="38"/>
      <c r="G220" s="38"/>
      <c r="H220" s="38"/>
      <c r="I220" s="38"/>
      <c r="J220" s="105"/>
      <c r="K220" s="106"/>
      <c r="L220" s="106"/>
      <c r="M220" s="107"/>
      <c r="W220" s="6"/>
      <c r="X220" s="6"/>
    </row>
    <row r="221" spans="1:24" s="1" customFormat="1" hidden="1" x14ac:dyDescent="0.25">
      <c r="A221" s="18"/>
      <c r="D221" s="102"/>
      <c r="E221" s="43"/>
      <c r="F221" s="38"/>
      <c r="G221" s="38"/>
      <c r="H221" s="38"/>
      <c r="I221" s="38"/>
      <c r="J221" s="105"/>
      <c r="K221" s="106"/>
      <c r="L221" s="106"/>
      <c r="M221" s="107"/>
      <c r="W221" s="6"/>
      <c r="X221" s="6"/>
    </row>
    <row r="222" spans="1:24" s="1" customFormat="1" hidden="1" x14ac:dyDescent="0.25">
      <c r="A222" s="18"/>
      <c r="D222" s="102"/>
      <c r="E222" s="43"/>
      <c r="F222" s="38"/>
      <c r="G222" s="38"/>
      <c r="H222" s="38"/>
      <c r="I222" s="38"/>
      <c r="J222" s="105"/>
      <c r="K222" s="106"/>
      <c r="L222" s="106"/>
      <c r="M222" s="107"/>
      <c r="W222" s="6"/>
      <c r="X222" s="6"/>
    </row>
    <row r="223" spans="1:24" s="1" customFormat="1" hidden="1" x14ac:dyDescent="0.25">
      <c r="A223" s="18"/>
      <c r="D223" s="102"/>
      <c r="E223" s="43"/>
      <c r="F223" s="38"/>
      <c r="G223" s="38"/>
      <c r="H223" s="38"/>
      <c r="I223" s="38"/>
      <c r="J223" s="105"/>
      <c r="K223" s="106"/>
      <c r="L223" s="106"/>
      <c r="M223" s="107"/>
      <c r="W223" s="6"/>
      <c r="X223" s="6"/>
    </row>
    <row r="224" spans="1:24" s="1" customFormat="1" hidden="1" x14ac:dyDescent="0.25">
      <c r="A224" s="18"/>
      <c r="D224" s="102"/>
      <c r="E224" s="43"/>
      <c r="F224" s="38"/>
      <c r="G224" s="38"/>
      <c r="H224" s="38"/>
      <c r="I224" s="38"/>
      <c r="J224" s="105"/>
      <c r="K224" s="106"/>
      <c r="L224" s="106"/>
      <c r="M224" s="107"/>
      <c r="W224" s="6"/>
      <c r="X224" s="6"/>
    </row>
    <row r="225" spans="1:24" s="1" customFormat="1" hidden="1" x14ac:dyDescent="0.25">
      <c r="A225" s="18"/>
      <c r="D225" s="102"/>
      <c r="E225" s="43"/>
      <c r="F225" s="38"/>
      <c r="G225" s="38"/>
      <c r="H225" s="38"/>
      <c r="I225" s="38"/>
      <c r="J225" s="105"/>
      <c r="K225" s="106"/>
      <c r="L225" s="106"/>
      <c r="M225" s="107"/>
      <c r="W225" s="6"/>
      <c r="X225" s="6"/>
    </row>
    <row r="226" spans="1:24" s="1" customFormat="1" hidden="1" x14ac:dyDescent="0.25">
      <c r="A226" s="18"/>
      <c r="D226" s="102"/>
      <c r="E226" s="43"/>
      <c r="F226" s="38"/>
      <c r="G226" s="38"/>
      <c r="H226" s="38"/>
      <c r="I226" s="38"/>
      <c r="J226" s="105"/>
      <c r="K226" s="106"/>
      <c r="L226" s="106"/>
      <c r="M226" s="107"/>
      <c r="W226" s="6"/>
      <c r="X226" s="6"/>
    </row>
    <row r="227" spans="1:24" s="1" customFormat="1" hidden="1" x14ac:dyDescent="0.25">
      <c r="A227" s="18"/>
      <c r="D227" s="102"/>
      <c r="E227" s="43"/>
      <c r="F227" s="38"/>
      <c r="G227" s="38"/>
      <c r="H227" s="38"/>
      <c r="I227" s="38"/>
      <c r="J227" s="105"/>
      <c r="K227" s="106"/>
      <c r="L227" s="106"/>
      <c r="M227" s="107"/>
      <c r="W227" s="6"/>
      <c r="X227" s="6"/>
    </row>
    <row r="228" spans="1:24" s="1" customFormat="1" hidden="1" x14ac:dyDescent="0.25">
      <c r="A228" s="18"/>
      <c r="D228" s="102"/>
      <c r="E228" s="43"/>
      <c r="F228" s="38"/>
      <c r="G228" s="38"/>
      <c r="H228" s="38"/>
      <c r="I228" s="38"/>
      <c r="J228" s="105"/>
      <c r="K228" s="106"/>
      <c r="L228" s="106"/>
      <c r="M228" s="107"/>
      <c r="W228" s="6"/>
      <c r="X228" s="6"/>
    </row>
    <row r="229" spans="1:24" s="1" customFormat="1" hidden="1" x14ac:dyDescent="0.25">
      <c r="A229" s="18"/>
      <c r="D229" s="102"/>
      <c r="E229" s="43"/>
      <c r="F229" s="38"/>
      <c r="G229" s="38"/>
      <c r="H229" s="38"/>
      <c r="I229" s="38"/>
      <c r="J229" s="105"/>
      <c r="K229" s="106"/>
      <c r="L229" s="106"/>
      <c r="M229" s="107"/>
      <c r="W229" s="6"/>
      <c r="X229" s="6"/>
    </row>
    <row r="230" spans="1:24" s="1" customFormat="1" hidden="1" x14ac:dyDescent="0.25">
      <c r="A230" s="18"/>
      <c r="D230" s="102"/>
      <c r="E230" s="43"/>
      <c r="F230" s="38"/>
      <c r="G230" s="38"/>
      <c r="H230" s="38"/>
      <c r="I230" s="38"/>
      <c r="J230" s="105"/>
      <c r="K230" s="106"/>
      <c r="L230" s="106"/>
      <c r="M230" s="107"/>
      <c r="W230" s="6"/>
      <c r="X230" s="6"/>
    </row>
    <row r="231" spans="1:24" s="1" customFormat="1" hidden="1" x14ac:dyDescent="0.25">
      <c r="A231" s="18"/>
      <c r="D231" s="102"/>
      <c r="E231" s="43"/>
      <c r="F231" s="38"/>
      <c r="G231" s="38"/>
      <c r="H231" s="38"/>
      <c r="I231" s="38"/>
      <c r="J231" s="105"/>
      <c r="K231" s="106"/>
      <c r="L231" s="106"/>
      <c r="M231" s="107"/>
      <c r="W231" s="6"/>
      <c r="X231" s="6"/>
    </row>
    <row r="232" spans="1:24" s="1" customFormat="1" hidden="1" x14ac:dyDescent="0.25">
      <c r="A232" s="18"/>
      <c r="D232" s="102"/>
      <c r="E232" s="43"/>
      <c r="F232" s="38"/>
      <c r="G232" s="38"/>
      <c r="H232" s="38"/>
      <c r="I232" s="38"/>
      <c r="J232" s="105"/>
      <c r="K232" s="106"/>
      <c r="L232" s="106"/>
      <c r="M232" s="107"/>
      <c r="W232" s="6"/>
      <c r="X232" s="6"/>
    </row>
    <row r="233" spans="1:24" s="1" customFormat="1" hidden="1" x14ac:dyDescent="0.25">
      <c r="A233" s="18"/>
      <c r="D233" s="102"/>
      <c r="E233" s="43"/>
      <c r="F233" s="38"/>
      <c r="G233" s="38"/>
      <c r="H233" s="38"/>
      <c r="I233" s="38"/>
      <c r="J233" s="105"/>
      <c r="K233" s="106"/>
      <c r="L233" s="106"/>
      <c r="M233" s="107"/>
      <c r="W233" s="6"/>
      <c r="X233" s="6"/>
    </row>
    <row r="234" spans="1:24" s="1" customFormat="1" hidden="1" x14ac:dyDescent="0.25">
      <c r="A234" s="18"/>
      <c r="D234" s="102"/>
      <c r="E234" s="43"/>
      <c r="F234" s="38"/>
      <c r="G234" s="38"/>
      <c r="H234" s="38"/>
      <c r="I234" s="38"/>
      <c r="J234" s="105"/>
      <c r="K234" s="106"/>
      <c r="L234" s="106"/>
      <c r="M234" s="107"/>
      <c r="W234" s="6"/>
      <c r="X234" s="6"/>
    </row>
    <row r="235" spans="1:24" s="1" customFormat="1" hidden="1" x14ac:dyDescent="0.25">
      <c r="A235" s="18"/>
      <c r="D235" s="102"/>
      <c r="E235" s="43"/>
      <c r="F235" s="38"/>
      <c r="G235" s="38"/>
      <c r="H235" s="38"/>
      <c r="I235" s="38"/>
      <c r="J235" s="105"/>
      <c r="K235" s="106"/>
      <c r="L235" s="106"/>
      <c r="M235" s="107"/>
      <c r="W235" s="6"/>
      <c r="X235" s="6"/>
    </row>
    <row r="236" spans="1:24" s="1" customFormat="1" hidden="1" x14ac:dyDescent="0.25">
      <c r="A236" s="18"/>
      <c r="D236" s="102"/>
      <c r="E236" s="43"/>
      <c r="F236" s="38"/>
      <c r="G236" s="38"/>
      <c r="H236" s="38"/>
      <c r="I236" s="38"/>
      <c r="J236" s="105"/>
      <c r="K236" s="106"/>
      <c r="L236" s="106"/>
      <c r="M236" s="107"/>
      <c r="W236" s="6"/>
      <c r="X236" s="6"/>
    </row>
    <row r="237" spans="1:24" s="1" customFormat="1" hidden="1" x14ac:dyDescent="0.25">
      <c r="A237" s="18"/>
      <c r="D237" s="102"/>
      <c r="E237" s="43"/>
      <c r="F237" s="38"/>
      <c r="G237" s="38"/>
      <c r="H237" s="38"/>
      <c r="I237" s="38"/>
      <c r="J237" s="105"/>
      <c r="K237" s="106"/>
      <c r="L237" s="106"/>
      <c r="M237" s="107"/>
      <c r="W237" s="6"/>
      <c r="X237" s="6"/>
    </row>
    <row r="238" spans="1:24" s="1" customFormat="1" hidden="1" x14ac:dyDescent="0.25">
      <c r="A238" s="18"/>
      <c r="D238" s="102"/>
      <c r="E238" s="43"/>
      <c r="F238" s="38"/>
      <c r="G238" s="38"/>
      <c r="H238" s="38"/>
      <c r="I238" s="38"/>
      <c r="J238" s="105"/>
      <c r="K238" s="106"/>
      <c r="L238" s="106"/>
      <c r="M238" s="107"/>
      <c r="W238" s="6"/>
      <c r="X238" s="6"/>
    </row>
    <row r="239" spans="1:24" s="1" customFormat="1" hidden="1" x14ac:dyDescent="0.25">
      <c r="A239" s="18"/>
      <c r="D239" s="102"/>
      <c r="E239" s="43"/>
      <c r="F239" s="38"/>
      <c r="G239" s="38"/>
      <c r="H239" s="38"/>
      <c r="I239" s="38"/>
      <c r="J239" s="105"/>
      <c r="K239" s="106"/>
      <c r="L239" s="106"/>
      <c r="M239" s="107"/>
      <c r="W239" s="6"/>
      <c r="X239" s="6"/>
    </row>
    <row r="240" spans="1:24" s="1" customFormat="1" hidden="1" x14ac:dyDescent="0.25">
      <c r="A240" s="18"/>
      <c r="D240" s="102"/>
      <c r="E240" s="43"/>
      <c r="F240" s="38"/>
      <c r="G240" s="38"/>
      <c r="H240" s="38"/>
      <c r="I240" s="38"/>
      <c r="J240" s="105"/>
      <c r="K240" s="106"/>
      <c r="L240" s="106"/>
      <c r="M240" s="107"/>
      <c r="W240" s="6"/>
      <c r="X240" s="6"/>
    </row>
    <row r="241" spans="1:24" s="1" customFormat="1" hidden="1" x14ac:dyDescent="0.25">
      <c r="A241" s="18"/>
      <c r="D241" s="102"/>
      <c r="E241" s="43"/>
      <c r="F241" s="38"/>
      <c r="G241" s="38"/>
      <c r="H241" s="38"/>
      <c r="I241" s="38"/>
      <c r="J241" s="105"/>
      <c r="K241" s="106"/>
      <c r="L241" s="106"/>
      <c r="M241" s="107"/>
      <c r="W241" s="6"/>
      <c r="X241" s="6"/>
    </row>
    <row r="242" spans="1:24" s="1" customFormat="1" hidden="1" x14ac:dyDescent="0.25">
      <c r="A242" s="18"/>
      <c r="D242" s="102"/>
      <c r="E242" s="43"/>
      <c r="F242" s="38"/>
      <c r="G242" s="38"/>
      <c r="H242" s="38"/>
      <c r="I242" s="38"/>
      <c r="J242" s="105"/>
      <c r="K242" s="106"/>
      <c r="L242" s="106"/>
      <c r="M242" s="107"/>
      <c r="W242" s="6"/>
      <c r="X242" s="6"/>
    </row>
    <row r="243" spans="1:24" s="1" customFormat="1" hidden="1" x14ac:dyDescent="0.25">
      <c r="A243" s="18"/>
      <c r="D243" s="102"/>
      <c r="E243" s="43"/>
      <c r="F243" s="38"/>
      <c r="G243" s="38"/>
      <c r="H243" s="38"/>
      <c r="I243" s="38"/>
      <c r="J243" s="105"/>
      <c r="K243" s="106"/>
      <c r="L243" s="106"/>
      <c r="M243" s="107"/>
      <c r="W243" s="6"/>
      <c r="X243" s="6"/>
    </row>
    <row r="244" spans="1:24" s="1" customFormat="1" hidden="1" x14ac:dyDescent="0.25">
      <c r="A244" s="18"/>
      <c r="D244" s="102"/>
      <c r="E244" s="43"/>
      <c r="F244" s="38"/>
      <c r="G244" s="38"/>
      <c r="H244" s="38"/>
      <c r="I244" s="38"/>
      <c r="J244" s="105"/>
      <c r="K244" s="106"/>
      <c r="L244" s="106"/>
      <c r="M244" s="107"/>
      <c r="W244" s="6"/>
      <c r="X244" s="6"/>
    </row>
    <row r="245" spans="1:24" s="1" customFormat="1" hidden="1" x14ac:dyDescent="0.25">
      <c r="A245" s="18"/>
      <c r="D245" s="102"/>
      <c r="E245" s="43"/>
      <c r="F245" s="38"/>
      <c r="G245" s="38"/>
      <c r="H245" s="38"/>
      <c r="I245" s="38"/>
      <c r="J245" s="105"/>
      <c r="K245" s="106"/>
      <c r="L245" s="106"/>
      <c r="M245" s="107"/>
      <c r="W245" s="6"/>
      <c r="X245" s="6"/>
    </row>
    <row r="246" spans="1:24" s="1" customFormat="1" hidden="1" x14ac:dyDescent="0.25">
      <c r="A246" s="18"/>
      <c r="D246" s="102"/>
      <c r="E246" s="43"/>
      <c r="F246" s="38"/>
      <c r="G246" s="38"/>
      <c r="H246" s="38"/>
      <c r="I246" s="38"/>
      <c r="J246" s="105"/>
      <c r="K246" s="106"/>
      <c r="L246" s="106"/>
      <c r="M246" s="107"/>
      <c r="W246" s="6"/>
      <c r="X246" s="6"/>
    </row>
    <row r="247" spans="1:24" s="1" customFormat="1" hidden="1" x14ac:dyDescent="0.25">
      <c r="A247" s="18"/>
      <c r="D247" s="102"/>
      <c r="E247" s="43"/>
      <c r="F247" s="38"/>
      <c r="G247" s="38"/>
      <c r="H247" s="38"/>
      <c r="I247" s="38"/>
      <c r="J247" s="105"/>
      <c r="K247" s="106"/>
      <c r="L247" s="106"/>
      <c r="M247" s="107"/>
      <c r="W247" s="6"/>
      <c r="X247" s="6"/>
    </row>
    <row r="248" spans="1:24" s="1" customFormat="1" hidden="1" x14ac:dyDescent="0.25">
      <c r="A248" s="18"/>
      <c r="D248" s="102"/>
      <c r="E248" s="43"/>
      <c r="F248" s="38"/>
      <c r="G248" s="38"/>
      <c r="H248" s="38"/>
      <c r="I248" s="38"/>
      <c r="J248" s="105"/>
      <c r="K248" s="106"/>
      <c r="L248" s="106"/>
      <c r="M248" s="107"/>
      <c r="W248" s="6"/>
      <c r="X248" s="6"/>
    </row>
    <row r="249" spans="1:24" s="1" customFormat="1" hidden="1" x14ac:dyDescent="0.25">
      <c r="A249" s="18"/>
      <c r="D249" s="102"/>
      <c r="E249" s="43"/>
      <c r="F249" s="38"/>
      <c r="G249" s="38"/>
      <c r="H249" s="38"/>
      <c r="I249" s="38"/>
      <c r="J249" s="105"/>
      <c r="K249" s="106"/>
      <c r="L249" s="106"/>
      <c r="M249" s="107"/>
      <c r="W249" s="6"/>
      <c r="X249" s="6"/>
    </row>
    <row r="250" spans="1:24" s="1" customFormat="1" hidden="1" x14ac:dyDescent="0.25">
      <c r="A250" s="18"/>
      <c r="D250" s="102"/>
      <c r="E250" s="43"/>
      <c r="F250" s="38"/>
      <c r="G250" s="38"/>
      <c r="H250" s="38"/>
      <c r="I250" s="38"/>
      <c r="J250" s="105"/>
      <c r="K250" s="106"/>
      <c r="L250" s="106"/>
      <c r="M250" s="107"/>
      <c r="W250" s="6"/>
      <c r="X250" s="6"/>
    </row>
    <row r="251" spans="1:24" s="1" customFormat="1" hidden="1" x14ac:dyDescent="0.25">
      <c r="A251" s="18"/>
      <c r="D251" s="102"/>
      <c r="E251" s="43"/>
      <c r="F251" s="38"/>
      <c r="G251" s="38"/>
      <c r="H251" s="38"/>
      <c r="I251" s="38"/>
      <c r="J251" s="105"/>
      <c r="K251" s="106"/>
      <c r="L251" s="106"/>
      <c r="M251" s="107"/>
      <c r="W251" s="6"/>
      <c r="X251" s="6"/>
    </row>
    <row r="252" spans="1:24" s="1" customFormat="1" hidden="1" x14ac:dyDescent="0.25">
      <c r="A252" s="18"/>
      <c r="D252" s="102"/>
      <c r="E252" s="43"/>
      <c r="F252" s="38"/>
      <c r="G252" s="38"/>
      <c r="H252" s="38"/>
      <c r="I252" s="38"/>
      <c r="J252" s="105"/>
      <c r="K252" s="106"/>
      <c r="L252" s="106"/>
      <c r="M252" s="107"/>
      <c r="W252" s="6"/>
      <c r="X252" s="6"/>
    </row>
    <row r="253" spans="1:24" s="1" customFormat="1" hidden="1" x14ac:dyDescent="0.25">
      <c r="A253" s="18"/>
      <c r="D253" s="102"/>
      <c r="E253" s="43"/>
      <c r="F253" s="38"/>
      <c r="G253" s="38"/>
      <c r="H253" s="38"/>
      <c r="I253" s="38"/>
      <c r="J253" s="105"/>
      <c r="K253" s="106"/>
      <c r="L253" s="106"/>
      <c r="M253" s="107"/>
      <c r="W253" s="6"/>
      <c r="X253" s="6"/>
    </row>
    <row r="254" spans="1:24" s="1" customFormat="1" hidden="1" x14ac:dyDescent="0.25">
      <c r="A254" s="18"/>
      <c r="D254" s="102"/>
      <c r="E254" s="43"/>
      <c r="F254" s="38"/>
      <c r="G254" s="38"/>
      <c r="H254" s="38"/>
      <c r="I254" s="38"/>
      <c r="J254" s="105"/>
      <c r="K254" s="106"/>
      <c r="L254" s="106"/>
      <c r="M254" s="107"/>
      <c r="W254" s="6"/>
      <c r="X254" s="6"/>
    </row>
    <row r="255" spans="1:24" s="1" customFormat="1" hidden="1" x14ac:dyDescent="0.25">
      <c r="A255" s="18"/>
      <c r="D255" s="102"/>
      <c r="E255" s="43"/>
      <c r="F255" s="38"/>
      <c r="G255" s="38"/>
      <c r="H255" s="38"/>
      <c r="I255" s="38"/>
      <c r="J255" s="105"/>
      <c r="K255" s="106"/>
      <c r="L255" s="106"/>
      <c r="M255" s="107"/>
      <c r="W255" s="6"/>
      <c r="X255" s="6"/>
    </row>
    <row r="256" spans="1:24" s="1" customFormat="1" hidden="1" x14ac:dyDescent="0.25">
      <c r="A256" s="18"/>
      <c r="D256" s="102"/>
      <c r="E256" s="43"/>
      <c r="F256" s="38"/>
      <c r="G256" s="38"/>
      <c r="H256" s="38"/>
      <c r="I256" s="38"/>
      <c r="J256" s="105"/>
      <c r="K256" s="106"/>
      <c r="L256" s="106"/>
      <c r="M256" s="107"/>
      <c r="W256" s="6"/>
      <c r="X256" s="6"/>
    </row>
    <row r="257" spans="1:24" s="1" customFormat="1" hidden="1" x14ac:dyDescent="0.25">
      <c r="A257" s="18"/>
      <c r="D257" s="102"/>
      <c r="E257" s="43"/>
      <c r="F257" s="38"/>
      <c r="G257" s="38"/>
      <c r="H257" s="38"/>
      <c r="I257" s="38"/>
      <c r="J257" s="105"/>
      <c r="K257" s="106"/>
      <c r="L257" s="106"/>
      <c r="M257" s="107"/>
      <c r="W257" s="6"/>
      <c r="X257" s="6"/>
    </row>
    <row r="258" spans="1:24" s="1" customFormat="1" hidden="1" x14ac:dyDescent="0.25">
      <c r="A258" s="18"/>
      <c r="D258" s="102"/>
      <c r="E258" s="43"/>
      <c r="F258" s="38"/>
      <c r="G258" s="38"/>
      <c r="H258" s="38"/>
      <c r="I258" s="38"/>
      <c r="J258" s="105"/>
      <c r="K258" s="106"/>
      <c r="L258" s="106"/>
      <c r="M258" s="107"/>
      <c r="W258" s="6"/>
      <c r="X258" s="6"/>
    </row>
    <row r="259" spans="1:24" s="1" customFormat="1" hidden="1" x14ac:dyDescent="0.25">
      <c r="A259" s="18"/>
      <c r="D259" s="102"/>
      <c r="E259" s="43"/>
      <c r="F259" s="38"/>
      <c r="G259" s="38"/>
      <c r="H259" s="38"/>
      <c r="I259" s="38"/>
      <c r="J259" s="105"/>
      <c r="K259" s="106"/>
      <c r="L259" s="106"/>
      <c r="M259" s="107"/>
      <c r="W259" s="6"/>
      <c r="X259" s="6"/>
    </row>
    <row r="260" spans="1:24" s="1" customFormat="1" hidden="1" x14ac:dyDescent="0.25">
      <c r="A260" s="18"/>
      <c r="D260" s="102"/>
      <c r="E260" s="43"/>
      <c r="F260" s="38"/>
      <c r="G260" s="38"/>
      <c r="H260" s="38"/>
      <c r="I260" s="38"/>
      <c r="J260" s="105"/>
      <c r="K260" s="106"/>
      <c r="L260" s="106"/>
      <c r="M260" s="107"/>
      <c r="W260" s="6"/>
      <c r="X260" s="6"/>
    </row>
    <row r="261" spans="1:24" s="1" customFormat="1" hidden="1" x14ac:dyDescent="0.25">
      <c r="A261" s="18"/>
      <c r="D261" s="102"/>
      <c r="E261" s="43"/>
      <c r="F261" s="38"/>
      <c r="G261" s="38"/>
      <c r="H261" s="38"/>
      <c r="I261" s="38"/>
      <c r="J261" s="105"/>
      <c r="K261" s="106"/>
      <c r="L261" s="106"/>
      <c r="M261" s="107"/>
      <c r="W261" s="6"/>
      <c r="X261" s="6"/>
    </row>
    <row r="262" spans="1:24" s="1" customFormat="1" hidden="1" x14ac:dyDescent="0.25">
      <c r="A262" s="18"/>
      <c r="D262" s="102"/>
      <c r="E262" s="43"/>
      <c r="F262" s="38"/>
      <c r="G262" s="38"/>
      <c r="H262" s="38"/>
      <c r="I262" s="38"/>
      <c r="J262" s="105"/>
      <c r="K262" s="106"/>
      <c r="L262" s="106"/>
      <c r="M262" s="107"/>
      <c r="W262" s="6"/>
      <c r="X262" s="6"/>
    </row>
    <row r="263" spans="1:24" s="1" customFormat="1" hidden="1" x14ac:dyDescent="0.25">
      <c r="A263" s="18"/>
      <c r="D263" s="102"/>
      <c r="E263" s="43"/>
      <c r="F263" s="38"/>
      <c r="G263" s="38"/>
      <c r="H263" s="38"/>
      <c r="I263" s="38"/>
      <c r="J263" s="105"/>
      <c r="K263" s="106"/>
      <c r="L263" s="106"/>
      <c r="M263" s="107"/>
      <c r="W263" s="6"/>
      <c r="X263" s="6"/>
    </row>
    <row r="264" spans="1:24" s="1" customFormat="1" hidden="1" x14ac:dyDescent="0.25">
      <c r="A264" s="18"/>
      <c r="D264" s="102"/>
      <c r="E264" s="43"/>
      <c r="F264" s="38"/>
      <c r="G264" s="38"/>
      <c r="H264" s="38"/>
      <c r="I264" s="38"/>
      <c r="J264" s="105"/>
      <c r="K264" s="106"/>
      <c r="L264" s="106"/>
      <c r="M264" s="107"/>
      <c r="W264" s="6"/>
      <c r="X264" s="6"/>
    </row>
    <row r="265" spans="1:24" s="1" customFormat="1" hidden="1" x14ac:dyDescent="0.25">
      <c r="A265" s="18"/>
      <c r="D265" s="102"/>
      <c r="E265" s="43"/>
      <c r="F265" s="38"/>
      <c r="G265" s="38"/>
      <c r="H265" s="38"/>
      <c r="I265" s="38"/>
      <c r="J265" s="105"/>
      <c r="K265" s="106"/>
      <c r="L265" s="106"/>
      <c r="M265" s="107"/>
      <c r="W265" s="6"/>
      <c r="X265" s="6"/>
    </row>
    <row r="266" spans="1:24" s="1" customFormat="1" hidden="1" x14ac:dyDescent="0.25">
      <c r="A266" s="18"/>
      <c r="D266" s="102"/>
      <c r="E266" s="43"/>
      <c r="F266" s="38"/>
      <c r="G266" s="38"/>
      <c r="H266" s="38"/>
      <c r="I266" s="38"/>
      <c r="J266" s="105"/>
      <c r="K266" s="106"/>
      <c r="L266" s="106"/>
      <c r="M266" s="107"/>
      <c r="W266" s="6"/>
      <c r="X266" s="6"/>
    </row>
    <row r="267" spans="1:24" s="1" customFormat="1" hidden="1" x14ac:dyDescent="0.25">
      <c r="A267" s="18"/>
      <c r="D267" s="102"/>
      <c r="E267" s="43"/>
      <c r="F267" s="38"/>
      <c r="G267" s="38"/>
      <c r="H267" s="38"/>
      <c r="I267" s="38"/>
      <c r="J267" s="105"/>
      <c r="K267" s="106"/>
      <c r="L267" s="106"/>
      <c r="M267" s="107"/>
      <c r="W267" s="6"/>
      <c r="X267" s="6"/>
    </row>
    <row r="268" spans="1:24" s="1" customFormat="1" hidden="1" x14ac:dyDescent="0.25">
      <c r="A268" s="18"/>
      <c r="D268" s="102"/>
      <c r="E268" s="43"/>
      <c r="F268" s="38"/>
      <c r="G268" s="38"/>
      <c r="H268" s="38"/>
      <c r="I268" s="38"/>
      <c r="J268" s="105"/>
      <c r="K268" s="106"/>
      <c r="L268" s="106"/>
      <c r="M268" s="107"/>
      <c r="W268" s="6"/>
      <c r="X268" s="6"/>
    </row>
    <row r="269" spans="1:24" s="1" customFormat="1" hidden="1" x14ac:dyDescent="0.25">
      <c r="A269" s="18"/>
      <c r="D269" s="102"/>
      <c r="E269" s="43"/>
      <c r="F269" s="38"/>
      <c r="G269" s="38"/>
      <c r="H269" s="38"/>
      <c r="I269" s="38"/>
      <c r="J269" s="105"/>
      <c r="K269" s="106"/>
      <c r="L269" s="106"/>
      <c r="M269" s="107"/>
      <c r="W269" s="6"/>
      <c r="X269" s="6"/>
    </row>
    <row r="270" spans="1:24" s="1" customFormat="1" hidden="1" x14ac:dyDescent="0.25">
      <c r="A270" s="18"/>
      <c r="D270" s="102"/>
      <c r="E270" s="43"/>
      <c r="F270" s="38"/>
      <c r="G270" s="38"/>
      <c r="H270" s="38"/>
      <c r="I270" s="38"/>
      <c r="J270" s="105"/>
      <c r="K270" s="106"/>
      <c r="L270" s="106"/>
      <c r="M270" s="107"/>
      <c r="W270" s="6"/>
      <c r="X270" s="6"/>
    </row>
    <row r="271" spans="1:24" s="1" customFormat="1" hidden="1" x14ac:dyDescent="0.25">
      <c r="A271" s="18"/>
      <c r="D271" s="102"/>
      <c r="E271" s="43"/>
      <c r="F271" s="38"/>
      <c r="G271" s="38"/>
      <c r="H271" s="38"/>
      <c r="I271" s="38"/>
      <c r="J271" s="105"/>
      <c r="K271" s="106"/>
      <c r="L271" s="106"/>
      <c r="M271" s="107"/>
      <c r="W271" s="6"/>
      <c r="X271" s="6"/>
    </row>
    <row r="272" spans="1:24" s="1" customFormat="1" hidden="1" x14ac:dyDescent="0.25">
      <c r="A272" s="18"/>
      <c r="D272" s="102"/>
      <c r="E272" s="43"/>
      <c r="F272" s="38"/>
      <c r="G272" s="38"/>
      <c r="H272" s="38"/>
      <c r="I272" s="38"/>
      <c r="J272" s="105"/>
      <c r="K272" s="106"/>
      <c r="L272" s="106"/>
      <c r="M272" s="107"/>
      <c r="W272" s="6"/>
      <c r="X272" s="6"/>
    </row>
    <row r="273" spans="1:24" s="1" customFormat="1" hidden="1" x14ac:dyDescent="0.25">
      <c r="A273" s="18"/>
      <c r="D273" s="102"/>
      <c r="E273" s="43"/>
      <c r="F273" s="38"/>
      <c r="G273" s="38"/>
      <c r="H273" s="38"/>
      <c r="I273" s="38"/>
      <c r="J273" s="105"/>
      <c r="K273" s="106"/>
      <c r="L273" s="106"/>
      <c r="M273" s="107"/>
      <c r="W273" s="6"/>
      <c r="X273" s="6"/>
    </row>
    <row r="274" spans="1:24" s="1" customFormat="1" hidden="1" x14ac:dyDescent="0.25">
      <c r="A274" s="18"/>
      <c r="D274" s="102"/>
      <c r="E274" s="43"/>
      <c r="F274" s="38"/>
      <c r="G274" s="38"/>
      <c r="H274" s="38"/>
      <c r="I274" s="38"/>
      <c r="J274" s="105"/>
      <c r="K274" s="106"/>
      <c r="L274" s="106"/>
      <c r="M274" s="107"/>
      <c r="W274" s="6"/>
      <c r="X274" s="6"/>
    </row>
    <row r="275" spans="1:24" s="1" customFormat="1" hidden="1" x14ac:dyDescent="0.25">
      <c r="A275" s="18"/>
      <c r="D275" s="102"/>
      <c r="E275" s="43"/>
      <c r="F275" s="38"/>
      <c r="G275" s="38"/>
      <c r="H275" s="38"/>
      <c r="I275" s="38"/>
      <c r="J275" s="105"/>
      <c r="K275" s="106"/>
      <c r="L275" s="106"/>
      <c r="M275" s="107"/>
      <c r="W275" s="6"/>
      <c r="X275" s="6"/>
    </row>
    <row r="276" spans="1:24" s="1" customFormat="1" hidden="1" x14ac:dyDescent="0.25">
      <c r="A276" s="18"/>
      <c r="D276" s="102"/>
      <c r="E276" s="43"/>
      <c r="F276" s="38"/>
      <c r="G276" s="38"/>
      <c r="H276" s="38"/>
      <c r="I276" s="38"/>
      <c r="J276" s="105"/>
      <c r="K276" s="106"/>
      <c r="L276" s="106"/>
      <c r="M276" s="107"/>
      <c r="W276" s="6"/>
      <c r="X276" s="6"/>
    </row>
    <row r="277" spans="1:24" s="1" customFormat="1" hidden="1" x14ac:dyDescent="0.25">
      <c r="A277" s="18"/>
      <c r="D277" s="102"/>
      <c r="E277" s="43"/>
      <c r="F277" s="38"/>
      <c r="G277" s="38"/>
      <c r="H277" s="38"/>
      <c r="I277" s="38"/>
      <c r="J277" s="105"/>
      <c r="K277" s="106"/>
      <c r="L277" s="106"/>
      <c r="M277" s="107"/>
      <c r="W277" s="6"/>
      <c r="X277" s="6"/>
    </row>
    <row r="278" spans="1:24" s="1" customFormat="1" hidden="1" x14ac:dyDescent="0.25">
      <c r="A278" s="18"/>
      <c r="D278" s="102"/>
      <c r="E278" s="43"/>
      <c r="F278" s="38"/>
      <c r="G278" s="38"/>
      <c r="H278" s="38"/>
      <c r="I278" s="38"/>
      <c r="J278" s="105"/>
      <c r="K278" s="106"/>
      <c r="L278" s="106"/>
      <c r="M278" s="107"/>
      <c r="W278" s="6"/>
      <c r="X278" s="6"/>
    </row>
    <row r="279" spans="1:24" s="1" customFormat="1" hidden="1" x14ac:dyDescent="0.25">
      <c r="A279" s="18"/>
      <c r="D279" s="102"/>
      <c r="E279" s="43"/>
      <c r="F279" s="38"/>
      <c r="G279" s="38"/>
      <c r="H279" s="38"/>
      <c r="I279" s="38"/>
      <c r="J279" s="105"/>
      <c r="K279" s="106"/>
      <c r="L279" s="106"/>
      <c r="M279" s="107"/>
      <c r="W279" s="6"/>
      <c r="X279" s="6"/>
    </row>
    <row r="280" spans="1:24" s="1" customFormat="1" hidden="1" x14ac:dyDescent="0.25">
      <c r="A280" s="18"/>
      <c r="D280" s="102"/>
      <c r="E280" s="43"/>
      <c r="F280" s="38"/>
      <c r="G280" s="38"/>
      <c r="H280" s="38"/>
      <c r="I280" s="38"/>
      <c r="J280" s="105"/>
      <c r="K280" s="106"/>
      <c r="L280" s="106"/>
      <c r="M280" s="107"/>
      <c r="W280" s="6"/>
      <c r="X280" s="6"/>
    </row>
    <row r="281" spans="1:24" s="1" customFormat="1" hidden="1" x14ac:dyDescent="0.25">
      <c r="A281" s="18"/>
      <c r="D281" s="102"/>
      <c r="E281" s="43"/>
      <c r="F281" s="38"/>
      <c r="G281" s="38"/>
      <c r="H281" s="38"/>
      <c r="I281" s="38"/>
      <c r="J281" s="105"/>
      <c r="K281" s="106"/>
      <c r="L281" s="106"/>
      <c r="M281" s="107"/>
      <c r="W281" s="6"/>
      <c r="X281" s="6"/>
    </row>
    <row r="282" spans="1:24" s="1" customFormat="1" hidden="1" x14ac:dyDescent="0.25">
      <c r="A282" s="18"/>
      <c r="D282" s="102"/>
      <c r="E282" s="43"/>
      <c r="F282" s="38"/>
      <c r="G282" s="38"/>
      <c r="H282" s="38"/>
      <c r="I282" s="38"/>
      <c r="J282" s="105"/>
      <c r="K282" s="106"/>
      <c r="L282" s="106"/>
      <c r="M282" s="107"/>
      <c r="W282" s="6"/>
      <c r="X282" s="6"/>
    </row>
    <row r="283" spans="1:24" s="1" customFormat="1" hidden="1" x14ac:dyDescent="0.25">
      <c r="A283" s="18"/>
      <c r="D283" s="102"/>
      <c r="E283" s="43"/>
      <c r="F283" s="38"/>
      <c r="G283" s="38"/>
      <c r="H283" s="38"/>
      <c r="I283" s="38"/>
      <c r="J283" s="105"/>
      <c r="K283" s="106"/>
      <c r="L283" s="106"/>
      <c r="M283" s="107"/>
      <c r="W283" s="6"/>
      <c r="X283" s="6"/>
    </row>
    <row r="284" spans="1:24" s="1" customFormat="1" hidden="1" x14ac:dyDescent="0.25">
      <c r="A284" s="18"/>
      <c r="D284" s="102"/>
      <c r="E284" s="43"/>
      <c r="F284" s="38"/>
      <c r="G284" s="38"/>
      <c r="H284" s="38"/>
      <c r="I284" s="38"/>
      <c r="J284" s="105"/>
      <c r="K284" s="106"/>
      <c r="L284" s="106"/>
      <c r="M284" s="107"/>
      <c r="W284" s="6"/>
      <c r="X284" s="6"/>
    </row>
    <row r="285" spans="1:24" s="1" customFormat="1" hidden="1" x14ac:dyDescent="0.25">
      <c r="A285" s="18"/>
      <c r="D285" s="102"/>
      <c r="E285" s="43"/>
      <c r="F285" s="38"/>
      <c r="G285" s="38"/>
      <c r="H285" s="38"/>
      <c r="I285" s="38"/>
      <c r="J285" s="105"/>
      <c r="K285" s="106"/>
      <c r="L285" s="106"/>
      <c r="M285" s="107"/>
      <c r="W285" s="6"/>
      <c r="X285" s="6"/>
    </row>
    <row r="286" spans="1:24" s="1" customFormat="1" hidden="1" x14ac:dyDescent="0.25">
      <c r="A286" s="18"/>
      <c r="D286" s="102"/>
      <c r="E286" s="43"/>
      <c r="F286" s="38"/>
      <c r="G286" s="38"/>
      <c r="H286" s="38"/>
      <c r="I286" s="38"/>
      <c r="J286" s="105"/>
      <c r="K286" s="106"/>
      <c r="L286" s="106"/>
      <c r="M286" s="107"/>
      <c r="W286" s="6"/>
      <c r="X286" s="6"/>
    </row>
    <row r="287" spans="1:24" s="1" customFormat="1" hidden="1" x14ac:dyDescent="0.25">
      <c r="A287" s="18"/>
      <c r="D287" s="102"/>
      <c r="E287" s="43"/>
      <c r="F287" s="38"/>
      <c r="G287" s="38"/>
      <c r="H287" s="38"/>
      <c r="I287" s="38"/>
      <c r="J287" s="105"/>
      <c r="K287" s="106"/>
      <c r="L287" s="106"/>
      <c r="M287" s="107"/>
      <c r="W287" s="6"/>
      <c r="X287" s="6"/>
    </row>
    <row r="288" spans="1:24" s="1" customFormat="1" hidden="1" x14ac:dyDescent="0.25">
      <c r="A288" s="18"/>
      <c r="D288" s="102"/>
      <c r="E288" s="43"/>
      <c r="F288" s="38"/>
      <c r="G288" s="38"/>
      <c r="H288" s="38"/>
      <c r="I288" s="38"/>
      <c r="J288" s="105"/>
      <c r="K288" s="106"/>
      <c r="L288" s="106"/>
      <c r="M288" s="107"/>
      <c r="W288" s="6"/>
      <c r="X288" s="6"/>
    </row>
    <row r="289" spans="1:24" s="1" customFormat="1" hidden="1" x14ac:dyDescent="0.25">
      <c r="A289" s="18"/>
      <c r="D289" s="102"/>
      <c r="E289" s="43"/>
      <c r="F289" s="38"/>
      <c r="G289" s="38"/>
      <c r="H289" s="38"/>
      <c r="I289" s="38"/>
      <c r="J289" s="105"/>
      <c r="K289" s="106"/>
      <c r="L289" s="106"/>
      <c r="M289" s="107"/>
      <c r="W289" s="6"/>
      <c r="X289" s="6"/>
    </row>
    <row r="290" spans="1:24" s="1" customFormat="1" hidden="1" x14ac:dyDescent="0.25">
      <c r="A290" s="18"/>
      <c r="D290" s="102"/>
      <c r="E290" s="43"/>
      <c r="F290" s="38"/>
      <c r="G290" s="38"/>
      <c r="H290" s="38"/>
      <c r="I290" s="38"/>
      <c r="J290" s="105"/>
      <c r="K290" s="106"/>
      <c r="L290" s="106"/>
      <c r="M290" s="107"/>
      <c r="W290" s="6"/>
      <c r="X290" s="6"/>
    </row>
    <row r="291" spans="1:24" s="1" customFormat="1" hidden="1" x14ac:dyDescent="0.25">
      <c r="A291" s="18"/>
      <c r="D291" s="102"/>
      <c r="E291" s="43"/>
      <c r="F291" s="38"/>
      <c r="G291" s="38"/>
      <c r="H291" s="38"/>
      <c r="I291" s="38"/>
      <c r="J291" s="105"/>
      <c r="K291" s="106"/>
      <c r="L291" s="106"/>
      <c r="M291" s="107"/>
      <c r="W291" s="6"/>
      <c r="X291" s="6"/>
    </row>
    <row r="292" spans="1:24" s="1" customFormat="1" hidden="1" x14ac:dyDescent="0.25">
      <c r="A292" s="18"/>
      <c r="D292" s="102"/>
      <c r="E292" s="43"/>
      <c r="F292" s="38"/>
      <c r="G292" s="38"/>
      <c r="H292" s="38"/>
      <c r="I292" s="38"/>
      <c r="J292" s="105"/>
      <c r="K292" s="106"/>
      <c r="L292" s="106"/>
      <c r="M292" s="107"/>
      <c r="W292" s="6"/>
      <c r="X292" s="6"/>
    </row>
    <row r="293" spans="1:24" s="1" customFormat="1" hidden="1" x14ac:dyDescent="0.25">
      <c r="A293" s="18"/>
      <c r="D293" s="102"/>
      <c r="E293" s="43"/>
      <c r="F293" s="38"/>
      <c r="G293" s="38"/>
      <c r="H293" s="38"/>
      <c r="I293" s="38"/>
      <c r="J293" s="105"/>
      <c r="K293" s="106"/>
      <c r="L293" s="106"/>
      <c r="M293" s="107"/>
      <c r="W293" s="6"/>
      <c r="X293" s="6"/>
    </row>
    <row r="294" spans="1:24" s="1" customFormat="1" hidden="1" x14ac:dyDescent="0.25">
      <c r="A294" s="18"/>
      <c r="D294" s="102"/>
      <c r="E294" s="43"/>
      <c r="F294" s="38"/>
      <c r="G294" s="38"/>
      <c r="H294" s="38"/>
      <c r="I294" s="38"/>
      <c r="J294" s="105"/>
      <c r="K294" s="106"/>
      <c r="L294" s="106"/>
      <c r="M294" s="107"/>
      <c r="W294" s="6"/>
      <c r="X294" s="6"/>
    </row>
    <row r="295" spans="1:24" s="1" customFormat="1" hidden="1" x14ac:dyDescent="0.25">
      <c r="A295" s="18"/>
      <c r="D295" s="102"/>
      <c r="E295" s="43"/>
      <c r="F295" s="38"/>
      <c r="G295" s="38"/>
      <c r="H295" s="38"/>
      <c r="I295" s="38"/>
      <c r="J295" s="105"/>
      <c r="K295" s="106"/>
      <c r="L295" s="106"/>
      <c r="M295" s="107"/>
      <c r="W295" s="6"/>
      <c r="X295" s="6"/>
    </row>
    <row r="296" spans="1:24" s="1" customFormat="1" hidden="1" x14ac:dyDescent="0.25">
      <c r="A296" s="18"/>
      <c r="D296" s="102"/>
      <c r="E296" s="43"/>
      <c r="F296" s="38"/>
      <c r="G296" s="38"/>
      <c r="H296" s="38"/>
      <c r="I296" s="38"/>
      <c r="J296" s="105"/>
      <c r="K296" s="106"/>
      <c r="L296" s="106"/>
      <c r="M296" s="107"/>
      <c r="W296" s="6"/>
      <c r="X296" s="6"/>
    </row>
    <row r="297" spans="1:24" s="1" customFormat="1" hidden="1" x14ac:dyDescent="0.25">
      <c r="A297" s="18"/>
      <c r="D297" s="102"/>
      <c r="E297" s="43"/>
      <c r="F297" s="38"/>
      <c r="G297" s="38"/>
      <c r="H297" s="38"/>
      <c r="I297" s="38"/>
      <c r="J297" s="105"/>
      <c r="K297" s="106"/>
      <c r="L297" s="106"/>
      <c r="M297" s="107"/>
      <c r="W297" s="6"/>
      <c r="X297" s="6"/>
    </row>
    <row r="298" spans="1:24" s="1" customFormat="1" hidden="1" x14ac:dyDescent="0.25">
      <c r="A298" s="18"/>
      <c r="D298" s="102"/>
      <c r="E298" s="43"/>
      <c r="F298" s="38"/>
      <c r="G298" s="38"/>
      <c r="H298" s="38"/>
      <c r="I298" s="38"/>
      <c r="J298" s="105"/>
      <c r="K298" s="106"/>
      <c r="L298" s="106"/>
      <c r="M298" s="107"/>
      <c r="W298" s="6"/>
      <c r="X298" s="6"/>
    </row>
    <row r="299" spans="1:24" s="1" customFormat="1" hidden="1" x14ac:dyDescent="0.25">
      <c r="A299" s="18"/>
      <c r="D299" s="102"/>
      <c r="E299" s="43"/>
      <c r="F299" s="38"/>
      <c r="G299" s="38"/>
      <c r="H299" s="38"/>
      <c r="I299" s="38"/>
      <c r="J299" s="105"/>
      <c r="K299" s="106"/>
      <c r="L299" s="106"/>
      <c r="M299" s="107"/>
      <c r="W299" s="6"/>
      <c r="X299" s="6"/>
    </row>
    <row r="300" spans="1:24" s="1" customFormat="1" hidden="1" x14ac:dyDescent="0.25">
      <c r="A300" s="18"/>
      <c r="D300" s="102"/>
      <c r="E300" s="43"/>
      <c r="F300" s="38"/>
      <c r="G300" s="38"/>
      <c r="H300" s="38"/>
      <c r="I300" s="38"/>
      <c r="J300" s="105"/>
      <c r="K300" s="106"/>
      <c r="L300" s="106"/>
      <c r="M300" s="107"/>
      <c r="W300" s="6"/>
      <c r="X300" s="6"/>
    </row>
    <row r="301" spans="1:24" s="1" customFormat="1" hidden="1" x14ac:dyDescent="0.25">
      <c r="A301" s="18"/>
      <c r="D301" s="102"/>
      <c r="E301" s="43"/>
      <c r="F301" s="38"/>
      <c r="G301" s="38"/>
      <c r="H301" s="38"/>
      <c r="I301" s="38"/>
      <c r="J301" s="105"/>
      <c r="K301" s="106"/>
      <c r="L301" s="106"/>
      <c r="M301" s="107"/>
      <c r="W301" s="6"/>
      <c r="X301" s="6"/>
    </row>
    <row r="302" spans="1:24" s="1" customFormat="1" hidden="1" x14ac:dyDescent="0.25">
      <c r="A302" s="18"/>
      <c r="D302" s="102"/>
      <c r="E302" s="43"/>
      <c r="F302" s="38"/>
      <c r="G302" s="38"/>
      <c r="H302" s="38"/>
      <c r="I302" s="38"/>
      <c r="J302" s="105"/>
      <c r="K302" s="106"/>
      <c r="L302" s="106"/>
      <c r="M302" s="107"/>
      <c r="W302" s="6"/>
      <c r="X302" s="6"/>
    </row>
    <row r="303" spans="1:24" s="1" customFormat="1" hidden="1" x14ac:dyDescent="0.25">
      <c r="A303" s="18"/>
      <c r="D303" s="102"/>
      <c r="E303" s="43"/>
      <c r="F303" s="38"/>
      <c r="G303" s="38"/>
      <c r="H303" s="38"/>
      <c r="I303" s="38"/>
      <c r="J303" s="105"/>
      <c r="K303" s="106"/>
      <c r="L303" s="106"/>
      <c r="M303" s="107"/>
      <c r="W303" s="6"/>
      <c r="X303" s="6"/>
    </row>
    <row r="304" spans="1:24" s="1" customFormat="1" hidden="1" x14ac:dyDescent="0.25">
      <c r="A304" s="18"/>
      <c r="D304" s="102"/>
      <c r="E304" s="43"/>
      <c r="F304" s="38"/>
      <c r="G304" s="38"/>
      <c r="H304" s="38"/>
      <c r="I304" s="38"/>
      <c r="J304" s="105"/>
      <c r="K304" s="106"/>
      <c r="L304" s="106"/>
      <c r="M304" s="107"/>
      <c r="W304" s="6"/>
      <c r="X304" s="6"/>
    </row>
    <row r="305" spans="1:24" s="1" customFormat="1" hidden="1" x14ac:dyDescent="0.25">
      <c r="A305" s="18"/>
      <c r="D305" s="102"/>
      <c r="E305" s="43"/>
      <c r="F305" s="38"/>
      <c r="G305" s="38"/>
      <c r="H305" s="38"/>
      <c r="I305" s="38"/>
      <c r="J305" s="105"/>
      <c r="K305" s="106"/>
      <c r="L305" s="106"/>
      <c r="M305" s="107"/>
      <c r="W305" s="6"/>
      <c r="X305" s="6"/>
    </row>
    <row r="306" spans="1:24" s="1" customFormat="1" hidden="1" x14ac:dyDescent="0.25">
      <c r="A306" s="18"/>
      <c r="D306" s="102"/>
      <c r="E306" s="43"/>
      <c r="F306" s="38"/>
      <c r="G306" s="38"/>
      <c r="H306" s="38"/>
      <c r="I306" s="38"/>
      <c r="J306" s="105"/>
      <c r="K306" s="106"/>
      <c r="L306" s="106"/>
      <c r="M306" s="107"/>
      <c r="W306" s="6"/>
      <c r="X306" s="6"/>
    </row>
    <row r="307" spans="1:24" s="1" customFormat="1" hidden="1" x14ac:dyDescent="0.25">
      <c r="A307" s="18"/>
      <c r="D307" s="102"/>
      <c r="E307" s="43"/>
      <c r="F307" s="38"/>
      <c r="G307" s="38"/>
      <c r="H307" s="38"/>
      <c r="I307" s="38"/>
      <c r="J307" s="105"/>
      <c r="K307" s="106"/>
      <c r="L307" s="106"/>
      <c r="M307" s="107"/>
      <c r="W307" s="6"/>
      <c r="X307" s="6"/>
    </row>
    <row r="308" spans="1:24" s="1" customFormat="1" hidden="1" x14ac:dyDescent="0.25">
      <c r="A308" s="18"/>
      <c r="D308" s="102"/>
      <c r="E308" s="43"/>
      <c r="F308" s="38"/>
      <c r="G308" s="38"/>
      <c r="H308" s="38"/>
      <c r="I308" s="38"/>
      <c r="J308" s="105"/>
      <c r="K308" s="106"/>
      <c r="L308" s="106"/>
      <c r="M308" s="107"/>
      <c r="W308" s="6"/>
      <c r="X308" s="6"/>
    </row>
    <row r="309" spans="1:24" s="1" customFormat="1" hidden="1" x14ac:dyDescent="0.25">
      <c r="A309" s="18"/>
      <c r="D309" s="102"/>
      <c r="E309" s="43"/>
      <c r="F309" s="38"/>
      <c r="G309" s="38"/>
      <c r="H309" s="38"/>
      <c r="I309" s="38"/>
      <c r="J309" s="105"/>
      <c r="K309" s="106"/>
      <c r="L309" s="106"/>
      <c r="M309" s="107"/>
      <c r="W309" s="6"/>
      <c r="X309" s="6"/>
    </row>
    <row r="310" spans="1:24" s="1" customFormat="1" hidden="1" x14ac:dyDescent="0.25">
      <c r="A310" s="18"/>
      <c r="D310" s="102"/>
      <c r="E310" s="43"/>
      <c r="F310" s="38"/>
      <c r="G310" s="38"/>
      <c r="H310" s="38"/>
      <c r="I310" s="38"/>
      <c r="J310" s="105"/>
      <c r="K310" s="106"/>
      <c r="L310" s="106"/>
      <c r="M310" s="107"/>
      <c r="W310" s="6"/>
      <c r="X310" s="6"/>
    </row>
    <row r="311" spans="1:24" s="1" customFormat="1" hidden="1" x14ac:dyDescent="0.25">
      <c r="A311" s="18"/>
      <c r="D311" s="102"/>
      <c r="E311" s="43"/>
      <c r="F311" s="38"/>
      <c r="G311" s="38"/>
      <c r="H311" s="38"/>
      <c r="I311" s="38"/>
      <c r="J311" s="105"/>
      <c r="K311" s="106"/>
      <c r="L311" s="106"/>
      <c r="M311" s="107"/>
      <c r="W311" s="6"/>
      <c r="X311" s="6"/>
    </row>
    <row r="312" spans="1:24" s="1" customFormat="1" hidden="1" x14ac:dyDescent="0.25">
      <c r="A312" s="18"/>
      <c r="D312" s="102"/>
      <c r="E312" s="43"/>
      <c r="F312" s="38"/>
      <c r="G312" s="38"/>
      <c r="H312" s="38"/>
      <c r="I312" s="38"/>
      <c r="J312" s="105"/>
      <c r="K312" s="106"/>
      <c r="L312" s="106"/>
      <c r="M312" s="107"/>
      <c r="W312" s="6"/>
      <c r="X312" s="6"/>
    </row>
    <row r="313" spans="1:24" s="1" customFormat="1" hidden="1" x14ac:dyDescent="0.25">
      <c r="A313" s="18"/>
      <c r="D313" s="102"/>
      <c r="E313" s="43"/>
      <c r="F313" s="38"/>
      <c r="G313" s="38"/>
      <c r="H313" s="38"/>
      <c r="I313" s="38"/>
      <c r="J313" s="105"/>
      <c r="K313" s="106"/>
      <c r="L313" s="106"/>
      <c r="M313" s="107"/>
      <c r="W313" s="6"/>
      <c r="X313" s="6"/>
    </row>
    <row r="314" spans="1:24" s="1" customFormat="1" hidden="1" x14ac:dyDescent="0.25">
      <c r="A314" s="18"/>
      <c r="D314" s="102"/>
      <c r="E314" s="43"/>
      <c r="F314" s="38"/>
      <c r="G314" s="38"/>
      <c r="H314" s="38"/>
      <c r="I314" s="38"/>
      <c r="J314" s="105"/>
      <c r="K314" s="106"/>
      <c r="L314" s="106"/>
      <c r="M314" s="107"/>
      <c r="W314" s="6"/>
      <c r="X314" s="6"/>
    </row>
    <row r="315" spans="1:24" s="1" customFormat="1" hidden="1" x14ac:dyDescent="0.25">
      <c r="A315" s="18"/>
      <c r="D315" s="102"/>
      <c r="E315" s="43"/>
      <c r="F315" s="38"/>
      <c r="G315" s="38"/>
      <c r="H315" s="38"/>
      <c r="I315" s="38"/>
      <c r="J315" s="105"/>
      <c r="K315" s="106"/>
      <c r="L315" s="106"/>
      <c r="M315" s="107"/>
      <c r="W315" s="6"/>
      <c r="X315" s="6"/>
    </row>
    <row r="316" spans="1:24" s="1" customFormat="1" hidden="1" x14ac:dyDescent="0.25">
      <c r="A316" s="18"/>
      <c r="D316" s="102"/>
      <c r="E316" s="43"/>
      <c r="F316" s="38"/>
      <c r="G316" s="38"/>
      <c r="H316" s="38"/>
      <c r="I316" s="38"/>
      <c r="J316" s="105"/>
      <c r="K316" s="106"/>
      <c r="L316" s="106"/>
      <c r="M316" s="107"/>
      <c r="W316" s="6"/>
      <c r="X316" s="6"/>
    </row>
    <row r="317" spans="1:24" s="1" customFormat="1" hidden="1" x14ac:dyDescent="0.25">
      <c r="A317" s="18"/>
      <c r="D317" s="102"/>
      <c r="E317" s="43"/>
      <c r="F317" s="38"/>
      <c r="G317" s="38"/>
      <c r="H317" s="38"/>
      <c r="I317" s="38"/>
      <c r="J317" s="105"/>
      <c r="K317" s="106"/>
      <c r="L317" s="106"/>
      <c r="M317" s="107"/>
      <c r="W317" s="6"/>
      <c r="X317" s="6"/>
    </row>
    <row r="318" spans="1:24" s="1" customFormat="1" hidden="1" x14ac:dyDescent="0.25">
      <c r="A318" s="18"/>
      <c r="D318" s="102"/>
      <c r="E318" s="43"/>
      <c r="F318" s="38"/>
      <c r="G318" s="38"/>
      <c r="H318" s="38"/>
      <c r="I318" s="38"/>
      <c r="J318" s="105"/>
      <c r="K318" s="106"/>
      <c r="L318" s="106"/>
      <c r="M318" s="107"/>
      <c r="W318" s="6"/>
      <c r="X318" s="6"/>
    </row>
    <row r="319" spans="1:24" s="1" customFormat="1" hidden="1" x14ac:dyDescent="0.25">
      <c r="A319" s="18"/>
      <c r="D319" s="102"/>
      <c r="E319" s="43"/>
      <c r="F319" s="38"/>
      <c r="G319" s="38"/>
      <c r="H319" s="38"/>
      <c r="I319" s="38"/>
      <c r="J319" s="105"/>
      <c r="K319" s="106"/>
      <c r="L319" s="106"/>
      <c r="M319" s="107"/>
      <c r="W319" s="6"/>
      <c r="X319" s="6"/>
    </row>
    <row r="320" spans="1:24" s="1" customFormat="1" hidden="1" x14ac:dyDescent="0.25">
      <c r="A320" s="18"/>
      <c r="D320" s="102"/>
      <c r="E320" s="43"/>
      <c r="F320" s="38"/>
      <c r="G320" s="38"/>
      <c r="H320" s="38"/>
      <c r="I320" s="38"/>
      <c r="J320" s="105"/>
      <c r="K320" s="106"/>
      <c r="L320" s="106"/>
      <c r="M320" s="107"/>
      <c r="W320" s="6"/>
      <c r="X320" s="6"/>
    </row>
    <row r="321" spans="1:24" s="1" customFormat="1" hidden="1" x14ac:dyDescent="0.25">
      <c r="A321" s="18"/>
      <c r="D321" s="102"/>
      <c r="E321" s="43"/>
      <c r="F321" s="38"/>
      <c r="G321" s="38"/>
      <c r="H321" s="38"/>
      <c r="I321" s="38"/>
      <c r="J321" s="105"/>
      <c r="K321" s="106"/>
      <c r="L321" s="106"/>
      <c r="M321" s="107"/>
      <c r="W321" s="6"/>
      <c r="X321" s="6"/>
    </row>
    <row r="322" spans="1:24" s="1" customFormat="1" hidden="1" x14ac:dyDescent="0.25">
      <c r="A322" s="18"/>
      <c r="D322" s="102"/>
      <c r="E322" s="43"/>
      <c r="F322" s="38"/>
      <c r="G322" s="38"/>
      <c r="H322" s="38"/>
      <c r="I322" s="38"/>
      <c r="J322" s="105"/>
      <c r="K322" s="106"/>
      <c r="L322" s="106"/>
      <c r="M322" s="107"/>
      <c r="W322" s="6"/>
      <c r="X322" s="6"/>
    </row>
    <row r="323" spans="1:24" s="1" customFormat="1" hidden="1" x14ac:dyDescent="0.25">
      <c r="A323" s="18"/>
      <c r="D323" s="102"/>
      <c r="E323" s="43"/>
      <c r="F323" s="38"/>
      <c r="G323" s="38"/>
      <c r="H323" s="38"/>
      <c r="I323" s="38"/>
      <c r="J323" s="105"/>
      <c r="K323" s="106"/>
      <c r="L323" s="106"/>
      <c r="M323" s="107"/>
      <c r="W323" s="6"/>
      <c r="X323" s="6"/>
    </row>
    <row r="324" spans="1:24" s="1" customFormat="1" hidden="1" x14ac:dyDescent="0.25">
      <c r="A324" s="18"/>
      <c r="D324" s="102"/>
      <c r="E324" s="43"/>
      <c r="F324" s="38"/>
      <c r="G324" s="38"/>
      <c r="H324" s="38"/>
      <c r="I324" s="38"/>
      <c r="J324" s="105"/>
      <c r="K324" s="106"/>
      <c r="L324" s="106"/>
      <c r="M324" s="107"/>
      <c r="W324" s="6"/>
      <c r="X324" s="6"/>
    </row>
    <row r="325" spans="1:24" s="1" customFormat="1" hidden="1" x14ac:dyDescent="0.25">
      <c r="A325" s="18"/>
      <c r="D325" s="102"/>
      <c r="E325" s="43"/>
      <c r="F325" s="38"/>
      <c r="G325" s="38"/>
      <c r="H325" s="38"/>
      <c r="I325" s="38"/>
      <c r="J325" s="105"/>
      <c r="K325" s="106"/>
      <c r="L325" s="106"/>
      <c r="M325" s="107"/>
      <c r="W325" s="6"/>
      <c r="X325" s="6"/>
    </row>
    <row r="326" spans="1:24" s="1" customFormat="1" hidden="1" x14ac:dyDescent="0.25">
      <c r="A326" s="18"/>
      <c r="D326" s="102"/>
      <c r="E326" s="43"/>
      <c r="F326" s="38"/>
      <c r="G326" s="38"/>
      <c r="H326" s="38"/>
      <c r="I326" s="38"/>
      <c r="J326" s="105"/>
      <c r="K326" s="106"/>
      <c r="L326" s="106"/>
      <c r="M326" s="107"/>
      <c r="W326" s="6"/>
      <c r="X326" s="6"/>
    </row>
    <row r="327" spans="1:24" s="1" customFormat="1" hidden="1" x14ac:dyDescent="0.25">
      <c r="A327" s="18"/>
      <c r="D327" s="102"/>
      <c r="E327" s="43"/>
      <c r="F327" s="38"/>
      <c r="G327" s="38"/>
      <c r="H327" s="38"/>
      <c r="I327" s="38"/>
      <c r="J327" s="105"/>
      <c r="K327" s="106"/>
      <c r="L327" s="106"/>
      <c r="M327" s="107"/>
      <c r="W327" s="6"/>
      <c r="X327" s="6"/>
    </row>
    <row r="328" spans="1:24" s="1" customFormat="1" hidden="1" x14ac:dyDescent="0.25">
      <c r="A328" s="18"/>
      <c r="D328" s="102"/>
      <c r="E328" s="43"/>
      <c r="F328" s="38"/>
      <c r="G328" s="38"/>
      <c r="H328" s="38"/>
      <c r="I328" s="38"/>
      <c r="J328" s="105"/>
      <c r="K328" s="106"/>
      <c r="L328" s="106"/>
      <c r="M328" s="107"/>
      <c r="W328" s="6"/>
      <c r="X328" s="6"/>
    </row>
    <row r="329" spans="1:24" s="1" customFormat="1" hidden="1" x14ac:dyDescent="0.25">
      <c r="A329" s="18"/>
      <c r="D329" s="102"/>
      <c r="E329" s="43"/>
      <c r="F329" s="38"/>
      <c r="G329" s="38"/>
      <c r="H329" s="38"/>
      <c r="I329" s="38"/>
      <c r="J329" s="105"/>
      <c r="K329" s="106"/>
      <c r="L329" s="106"/>
      <c r="M329" s="107"/>
      <c r="W329" s="6"/>
      <c r="X329" s="6"/>
    </row>
    <row r="330" spans="1:24" s="1" customFormat="1" hidden="1" x14ac:dyDescent="0.25">
      <c r="A330" s="18"/>
      <c r="D330" s="102"/>
      <c r="E330" s="43"/>
      <c r="F330" s="38"/>
      <c r="G330" s="38"/>
      <c r="H330" s="38"/>
      <c r="I330" s="38"/>
      <c r="J330" s="105"/>
      <c r="K330" s="106"/>
      <c r="L330" s="106"/>
      <c r="M330" s="107"/>
      <c r="W330" s="6"/>
      <c r="X330" s="6"/>
    </row>
    <row r="331" spans="1:24" s="1" customFormat="1" hidden="1" x14ac:dyDescent="0.25">
      <c r="A331" s="18"/>
      <c r="D331" s="102"/>
      <c r="E331" s="43"/>
      <c r="F331" s="38"/>
      <c r="G331" s="38"/>
      <c r="H331" s="38"/>
      <c r="I331" s="38"/>
      <c r="J331" s="105"/>
      <c r="K331" s="106"/>
      <c r="L331" s="106"/>
      <c r="M331" s="107"/>
      <c r="W331" s="6"/>
      <c r="X331" s="6"/>
    </row>
    <row r="332" spans="1:24" s="1" customFormat="1" hidden="1" x14ac:dyDescent="0.25">
      <c r="A332" s="18"/>
      <c r="D332" s="102"/>
      <c r="E332" s="43"/>
      <c r="F332" s="38"/>
      <c r="G332" s="38"/>
      <c r="H332" s="38"/>
      <c r="I332" s="38"/>
      <c r="J332" s="105"/>
      <c r="K332" s="106"/>
      <c r="L332" s="106"/>
      <c r="M332" s="107"/>
      <c r="W332" s="6"/>
      <c r="X332" s="6"/>
    </row>
    <row r="333" spans="1:24" s="1" customFormat="1" hidden="1" x14ac:dyDescent="0.25">
      <c r="A333" s="18"/>
      <c r="D333" s="102"/>
      <c r="E333" s="43"/>
      <c r="F333" s="38"/>
      <c r="G333" s="38"/>
      <c r="H333" s="38"/>
      <c r="I333" s="38"/>
      <c r="J333" s="105"/>
      <c r="K333" s="106"/>
      <c r="L333" s="106"/>
      <c r="M333" s="107"/>
      <c r="W333" s="6"/>
      <c r="X333" s="6"/>
    </row>
    <row r="334" spans="1:24" s="1" customFormat="1" hidden="1" x14ac:dyDescent="0.25">
      <c r="A334" s="18"/>
      <c r="D334" s="102"/>
      <c r="E334" s="43"/>
      <c r="F334" s="38"/>
      <c r="G334" s="38"/>
      <c r="H334" s="38"/>
      <c r="I334" s="38"/>
      <c r="J334" s="105"/>
      <c r="K334" s="106"/>
      <c r="L334" s="106"/>
      <c r="M334" s="107"/>
      <c r="W334" s="6"/>
      <c r="X334" s="6"/>
    </row>
    <row r="335" spans="1:24" s="1" customFormat="1" hidden="1" x14ac:dyDescent="0.25">
      <c r="A335" s="18"/>
      <c r="D335" s="102"/>
      <c r="E335" s="43"/>
      <c r="F335" s="38"/>
      <c r="G335" s="38"/>
      <c r="H335" s="38"/>
      <c r="I335" s="38"/>
      <c r="J335" s="105"/>
      <c r="K335" s="106"/>
      <c r="L335" s="106"/>
      <c r="M335" s="107"/>
      <c r="W335" s="6"/>
      <c r="X335" s="6"/>
    </row>
    <row r="336" spans="1:24" s="1" customFormat="1" hidden="1" x14ac:dyDescent="0.25">
      <c r="A336" s="18"/>
      <c r="D336" s="102"/>
      <c r="E336" s="43"/>
      <c r="F336" s="38"/>
      <c r="G336" s="38"/>
      <c r="H336" s="38"/>
      <c r="I336" s="38"/>
      <c r="J336" s="105"/>
      <c r="K336" s="106"/>
      <c r="L336" s="106"/>
      <c r="M336" s="107"/>
      <c r="W336" s="6"/>
      <c r="X336" s="6"/>
    </row>
    <row r="337" spans="1:24" s="1" customFormat="1" hidden="1" x14ac:dyDescent="0.25">
      <c r="A337" s="18"/>
      <c r="D337" s="102"/>
      <c r="E337" s="43"/>
      <c r="F337" s="38"/>
      <c r="G337" s="38"/>
      <c r="H337" s="38"/>
      <c r="I337" s="38"/>
      <c r="J337" s="105"/>
      <c r="K337" s="106"/>
      <c r="L337" s="106"/>
      <c r="M337" s="107"/>
      <c r="W337" s="6"/>
      <c r="X337" s="6"/>
    </row>
    <row r="338" spans="1:24" s="1" customFormat="1" hidden="1" x14ac:dyDescent="0.25">
      <c r="A338" s="18"/>
      <c r="D338" s="102"/>
      <c r="E338" s="43"/>
      <c r="F338" s="38"/>
      <c r="G338" s="38"/>
      <c r="H338" s="38"/>
      <c r="I338" s="38"/>
      <c r="J338" s="105"/>
      <c r="K338" s="106"/>
      <c r="L338" s="106"/>
      <c r="M338" s="107"/>
      <c r="W338" s="6"/>
      <c r="X338" s="6"/>
    </row>
    <row r="339" spans="1:24" s="1" customFormat="1" hidden="1" x14ac:dyDescent="0.25">
      <c r="A339" s="18"/>
      <c r="D339" s="102"/>
      <c r="E339" s="43"/>
      <c r="F339" s="38"/>
      <c r="G339" s="38"/>
      <c r="H339" s="38"/>
      <c r="I339" s="38"/>
      <c r="J339" s="105"/>
      <c r="K339" s="106"/>
      <c r="L339" s="106"/>
      <c r="M339" s="107"/>
      <c r="W339" s="6"/>
      <c r="X339" s="6"/>
    </row>
    <row r="340" spans="1:24" s="1" customFormat="1" hidden="1" x14ac:dyDescent="0.25">
      <c r="A340" s="18"/>
      <c r="D340" s="102"/>
      <c r="E340" s="43"/>
      <c r="F340" s="38"/>
      <c r="G340" s="38"/>
      <c r="H340" s="38"/>
      <c r="I340" s="38"/>
      <c r="J340" s="105"/>
      <c r="K340" s="106"/>
      <c r="L340" s="106"/>
      <c r="M340" s="107"/>
      <c r="W340" s="6"/>
      <c r="X340" s="6"/>
    </row>
    <row r="341" spans="1:24" s="1" customFormat="1" hidden="1" x14ac:dyDescent="0.25">
      <c r="A341" s="18"/>
      <c r="D341" s="102"/>
      <c r="E341" s="43"/>
      <c r="F341" s="38"/>
      <c r="G341" s="38"/>
      <c r="H341" s="38"/>
      <c r="I341" s="38"/>
      <c r="J341" s="105"/>
      <c r="K341" s="106"/>
      <c r="L341" s="106"/>
      <c r="M341" s="107"/>
      <c r="W341" s="6"/>
      <c r="X341" s="6"/>
    </row>
    <row r="342" spans="1:24" s="1" customFormat="1" hidden="1" x14ac:dyDescent="0.25">
      <c r="A342" s="18"/>
      <c r="D342" s="102"/>
      <c r="E342" s="43"/>
      <c r="F342" s="38"/>
      <c r="G342" s="38"/>
      <c r="H342" s="38"/>
      <c r="I342" s="38"/>
      <c r="J342" s="105"/>
      <c r="K342" s="106"/>
      <c r="L342" s="106"/>
      <c r="M342" s="107"/>
      <c r="W342" s="6"/>
      <c r="X342" s="6"/>
    </row>
    <row r="343" spans="1:24" s="1" customFormat="1" hidden="1" x14ac:dyDescent="0.25">
      <c r="A343" s="18"/>
      <c r="D343" s="102"/>
      <c r="E343" s="43"/>
      <c r="F343" s="38"/>
      <c r="G343" s="38"/>
      <c r="H343" s="38"/>
      <c r="I343" s="38"/>
      <c r="J343" s="105"/>
      <c r="K343" s="106"/>
      <c r="L343" s="106"/>
      <c r="M343" s="107"/>
      <c r="W343" s="6"/>
      <c r="X343" s="6"/>
    </row>
    <row r="344" spans="1:24" s="1" customFormat="1" hidden="1" x14ac:dyDescent="0.25">
      <c r="A344" s="18"/>
      <c r="D344" s="102"/>
      <c r="E344" s="43"/>
      <c r="F344" s="38"/>
      <c r="G344" s="38"/>
      <c r="H344" s="38"/>
      <c r="I344" s="38"/>
      <c r="J344" s="105"/>
      <c r="K344" s="106"/>
      <c r="L344" s="106"/>
      <c r="M344" s="107"/>
      <c r="W344" s="6"/>
      <c r="X344" s="6"/>
    </row>
    <row r="345" spans="1:24" s="1" customFormat="1" hidden="1" x14ac:dyDescent="0.25">
      <c r="A345" s="18"/>
      <c r="D345" s="102"/>
      <c r="E345" s="43"/>
      <c r="F345" s="38"/>
      <c r="G345" s="38"/>
      <c r="H345" s="38"/>
      <c r="I345" s="38"/>
      <c r="J345" s="105"/>
      <c r="K345" s="106"/>
      <c r="L345" s="106"/>
      <c r="M345" s="107"/>
      <c r="W345" s="6"/>
      <c r="X345" s="6"/>
    </row>
    <row r="346" spans="1:24" s="1" customFormat="1" hidden="1" x14ac:dyDescent="0.25">
      <c r="A346" s="18"/>
      <c r="D346" s="102"/>
      <c r="E346" s="43"/>
      <c r="F346" s="38"/>
      <c r="G346" s="38"/>
      <c r="H346" s="38"/>
      <c r="I346" s="38"/>
      <c r="J346" s="105"/>
      <c r="K346" s="106"/>
      <c r="L346" s="106"/>
      <c r="M346" s="107"/>
      <c r="W346" s="6"/>
      <c r="X346" s="6"/>
    </row>
    <row r="347" spans="1:24" s="1" customFormat="1" hidden="1" x14ac:dyDescent="0.25">
      <c r="A347" s="18"/>
      <c r="D347" s="102"/>
      <c r="E347" s="43"/>
      <c r="F347" s="38"/>
      <c r="G347" s="38"/>
      <c r="H347" s="38"/>
      <c r="I347" s="38"/>
      <c r="J347" s="105"/>
      <c r="K347" s="106"/>
      <c r="L347" s="106"/>
      <c r="M347" s="107"/>
      <c r="W347" s="6"/>
      <c r="X347" s="6"/>
    </row>
    <row r="348" spans="1:24" s="1" customFormat="1" hidden="1" x14ac:dyDescent="0.25">
      <c r="A348" s="18"/>
      <c r="D348" s="102"/>
      <c r="E348" s="43"/>
      <c r="F348" s="38"/>
      <c r="G348" s="38"/>
      <c r="H348" s="38"/>
      <c r="I348" s="38"/>
      <c r="J348" s="105"/>
      <c r="K348" s="106"/>
      <c r="L348" s="106"/>
      <c r="M348" s="107"/>
      <c r="W348" s="6"/>
      <c r="X348" s="6"/>
    </row>
    <row r="349" spans="1:24" s="1" customFormat="1" hidden="1" x14ac:dyDescent="0.25">
      <c r="A349" s="18"/>
      <c r="D349" s="102"/>
      <c r="E349" s="43"/>
      <c r="F349" s="38"/>
      <c r="G349" s="38"/>
      <c r="H349" s="38"/>
      <c r="I349" s="38"/>
      <c r="J349" s="105"/>
      <c r="K349" s="106"/>
      <c r="L349" s="106"/>
      <c r="M349" s="107"/>
      <c r="W349" s="6"/>
      <c r="X349" s="6"/>
    </row>
    <row r="350" spans="1:24" s="1" customFormat="1" hidden="1" x14ac:dyDescent="0.25">
      <c r="A350" s="18"/>
      <c r="D350" s="102"/>
      <c r="E350" s="43"/>
      <c r="F350" s="38"/>
      <c r="G350" s="38"/>
      <c r="H350" s="38"/>
      <c r="I350" s="38"/>
      <c r="J350" s="105"/>
      <c r="K350" s="106"/>
      <c r="L350" s="106"/>
      <c r="M350" s="107"/>
      <c r="W350" s="6"/>
      <c r="X350" s="6"/>
    </row>
    <row r="351" spans="1:24" s="1" customFormat="1" hidden="1" x14ac:dyDescent="0.25">
      <c r="A351" s="18"/>
      <c r="D351" s="102"/>
      <c r="E351" s="43"/>
      <c r="F351" s="38"/>
      <c r="G351" s="38"/>
      <c r="H351" s="38"/>
      <c r="I351" s="38"/>
      <c r="J351" s="105"/>
      <c r="K351" s="106"/>
      <c r="L351" s="106"/>
      <c r="M351" s="107"/>
      <c r="W351" s="6"/>
      <c r="X351" s="6"/>
    </row>
    <row r="352" spans="1:24" s="1" customFormat="1" hidden="1" x14ac:dyDescent="0.25">
      <c r="A352" s="18"/>
      <c r="D352" s="102"/>
      <c r="E352" s="43"/>
      <c r="F352" s="38"/>
      <c r="G352" s="38"/>
      <c r="H352" s="38"/>
      <c r="I352" s="38"/>
      <c r="J352" s="105"/>
      <c r="K352" s="106"/>
      <c r="L352" s="106"/>
      <c r="M352" s="107"/>
      <c r="W352" s="6"/>
      <c r="X352" s="6"/>
    </row>
    <row r="353" spans="1:24" s="1" customFormat="1" hidden="1" x14ac:dyDescent="0.25">
      <c r="A353" s="18"/>
      <c r="D353" s="102"/>
      <c r="E353" s="43"/>
      <c r="F353" s="38"/>
      <c r="G353" s="38"/>
      <c r="H353" s="38"/>
      <c r="I353" s="38"/>
      <c r="J353" s="105"/>
      <c r="K353" s="106"/>
      <c r="L353" s="106"/>
      <c r="M353" s="107"/>
      <c r="W353" s="6"/>
      <c r="X353" s="6"/>
    </row>
    <row r="354" spans="1:24" s="1" customFormat="1" hidden="1" x14ac:dyDescent="0.25">
      <c r="A354" s="18"/>
      <c r="D354" s="102"/>
      <c r="E354" s="43"/>
      <c r="F354" s="38"/>
      <c r="G354" s="38"/>
      <c r="H354" s="38"/>
      <c r="I354" s="38"/>
      <c r="J354" s="105"/>
      <c r="K354" s="106"/>
      <c r="L354" s="106"/>
      <c r="M354" s="107"/>
      <c r="W354" s="6"/>
      <c r="X354" s="6"/>
    </row>
    <row r="355" spans="1:24" s="1" customFormat="1" hidden="1" x14ac:dyDescent="0.25">
      <c r="A355" s="18"/>
      <c r="D355" s="102"/>
      <c r="E355" s="43"/>
      <c r="F355" s="38"/>
      <c r="G355" s="38"/>
      <c r="H355" s="38"/>
      <c r="I355" s="38"/>
      <c r="J355" s="105"/>
      <c r="K355" s="106"/>
      <c r="L355" s="106"/>
      <c r="M355" s="107"/>
      <c r="W355" s="6"/>
      <c r="X355" s="6"/>
    </row>
    <row r="356" spans="1:24" s="1" customFormat="1" hidden="1" x14ac:dyDescent="0.25">
      <c r="A356" s="18"/>
      <c r="D356" s="102"/>
      <c r="E356" s="43"/>
      <c r="F356" s="38"/>
      <c r="G356" s="38"/>
      <c r="H356" s="38"/>
      <c r="I356" s="38"/>
      <c r="J356" s="105"/>
      <c r="K356" s="106"/>
      <c r="L356" s="106"/>
      <c r="M356" s="107"/>
      <c r="W356" s="6"/>
      <c r="X356" s="6"/>
    </row>
    <row r="357" spans="1:24" s="1" customFormat="1" hidden="1" x14ac:dyDescent="0.25">
      <c r="A357" s="18"/>
      <c r="D357" s="102"/>
      <c r="E357" s="43"/>
      <c r="F357" s="38"/>
      <c r="G357" s="38"/>
      <c r="H357" s="38"/>
      <c r="I357" s="38"/>
      <c r="J357" s="105"/>
      <c r="K357" s="106"/>
      <c r="L357" s="106"/>
      <c r="M357" s="107"/>
      <c r="W357" s="6"/>
      <c r="X357" s="6"/>
    </row>
    <row r="358" spans="1:24" s="1" customFormat="1" hidden="1" x14ac:dyDescent="0.25">
      <c r="A358" s="18"/>
      <c r="D358" s="102"/>
      <c r="E358" s="43"/>
      <c r="F358" s="38"/>
      <c r="G358" s="38"/>
      <c r="H358" s="38"/>
      <c r="I358" s="38"/>
      <c r="J358" s="105"/>
      <c r="K358" s="106"/>
      <c r="L358" s="106"/>
      <c r="M358" s="107"/>
      <c r="W358" s="6"/>
      <c r="X358" s="6"/>
    </row>
    <row r="359" spans="1:24" s="1" customFormat="1" hidden="1" x14ac:dyDescent="0.25">
      <c r="A359" s="18"/>
      <c r="D359" s="102"/>
      <c r="E359" s="43"/>
      <c r="F359" s="38"/>
      <c r="G359" s="38"/>
      <c r="H359" s="38"/>
      <c r="I359" s="38"/>
      <c r="J359" s="105"/>
      <c r="K359" s="106"/>
      <c r="L359" s="106"/>
      <c r="M359" s="107"/>
      <c r="W359" s="6"/>
      <c r="X359" s="6"/>
    </row>
    <row r="360" spans="1:24" s="1" customFormat="1" hidden="1" x14ac:dyDescent="0.25">
      <c r="A360" s="18"/>
      <c r="D360" s="102"/>
      <c r="E360" s="43"/>
      <c r="F360" s="38"/>
      <c r="G360" s="38"/>
      <c r="H360" s="38"/>
      <c r="I360" s="38"/>
      <c r="J360" s="105"/>
      <c r="K360" s="106"/>
      <c r="L360" s="106"/>
      <c r="M360" s="107"/>
      <c r="W360" s="6"/>
      <c r="X360" s="6"/>
    </row>
    <row r="361" spans="1:24" s="1" customFormat="1" hidden="1" x14ac:dyDescent="0.25">
      <c r="A361" s="18"/>
      <c r="D361" s="102"/>
      <c r="E361" s="43"/>
      <c r="F361" s="38"/>
      <c r="G361" s="38"/>
      <c r="H361" s="38"/>
      <c r="I361" s="38"/>
      <c r="J361" s="105"/>
      <c r="K361" s="106"/>
      <c r="L361" s="106"/>
      <c r="M361" s="107"/>
      <c r="W361" s="6"/>
      <c r="X361" s="6"/>
    </row>
    <row r="362" spans="1:24" s="1" customFormat="1" hidden="1" x14ac:dyDescent="0.25">
      <c r="A362" s="18"/>
      <c r="D362" s="102"/>
      <c r="E362" s="43"/>
      <c r="F362" s="38"/>
      <c r="G362" s="38"/>
      <c r="H362" s="38"/>
      <c r="I362" s="38"/>
      <c r="J362" s="105"/>
      <c r="K362" s="106"/>
      <c r="L362" s="106"/>
      <c r="M362" s="107"/>
      <c r="W362" s="6"/>
      <c r="X362" s="6"/>
    </row>
    <row r="363" spans="1:24" s="1" customFormat="1" hidden="1" x14ac:dyDescent="0.25">
      <c r="A363" s="18"/>
      <c r="D363" s="102"/>
      <c r="E363" s="43"/>
      <c r="F363" s="38"/>
      <c r="G363" s="38"/>
      <c r="H363" s="38"/>
      <c r="I363" s="38"/>
      <c r="J363" s="105"/>
      <c r="K363" s="106"/>
      <c r="L363" s="106"/>
      <c r="M363" s="107"/>
      <c r="W363" s="6"/>
      <c r="X363" s="6"/>
    </row>
    <row r="364" spans="1:24" s="1" customFormat="1" hidden="1" x14ac:dyDescent="0.25">
      <c r="A364" s="18"/>
      <c r="D364" s="102"/>
      <c r="E364" s="43"/>
      <c r="F364" s="38"/>
      <c r="G364" s="38"/>
      <c r="H364" s="38"/>
      <c r="I364" s="38"/>
      <c r="J364" s="105"/>
      <c r="K364" s="106"/>
      <c r="L364" s="106"/>
      <c r="M364" s="107"/>
      <c r="W364" s="6"/>
      <c r="X364" s="6"/>
    </row>
    <row r="365" spans="1:24" s="1" customFormat="1" hidden="1" x14ac:dyDescent="0.25">
      <c r="A365" s="18"/>
      <c r="D365" s="102"/>
      <c r="E365" s="43"/>
      <c r="F365" s="38"/>
      <c r="G365" s="38"/>
      <c r="H365" s="38"/>
      <c r="I365" s="38"/>
      <c r="J365" s="105"/>
      <c r="K365" s="106"/>
      <c r="L365" s="106"/>
      <c r="M365" s="107"/>
      <c r="W365" s="6"/>
      <c r="X365" s="6"/>
    </row>
    <row r="366" spans="1:24" s="1" customFormat="1" hidden="1" x14ac:dyDescent="0.25">
      <c r="A366" s="18"/>
      <c r="D366" s="102"/>
      <c r="E366" s="43"/>
      <c r="F366" s="38"/>
      <c r="G366" s="38"/>
      <c r="H366" s="38"/>
      <c r="I366" s="38"/>
      <c r="J366" s="105"/>
      <c r="K366" s="106"/>
      <c r="L366" s="106"/>
      <c r="M366" s="107"/>
      <c r="W366" s="6"/>
      <c r="X366" s="6"/>
    </row>
    <row r="367" spans="1:24" s="1" customFormat="1" hidden="1" x14ac:dyDescent="0.25">
      <c r="A367" s="18"/>
      <c r="D367" s="102"/>
      <c r="E367" s="43"/>
      <c r="F367" s="38"/>
      <c r="G367" s="38"/>
      <c r="H367" s="38"/>
      <c r="I367" s="38"/>
      <c r="J367" s="105"/>
      <c r="K367" s="106"/>
      <c r="L367" s="106"/>
      <c r="M367" s="107"/>
      <c r="W367" s="6"/>
      <c r="X367" s="6"/>
    </row>
    <row r="368" spans="1:24" s="1" customFormat="1" hidden="1" x14ac:dyDescent="0.25">
      <c r="A368" s="18"/>
      <c r="D368" s="102"/>
      <c r="E368" s="43"/>
      <c r="F368" s="38"/>
      <c r="G368" s="38"/>
      <c r="H368" s="38"/>
      <c r="I368" s="38"/>
      <c r="J368" s="105"/>
      <c r="K368" s="106"/>
      <c r="L368" s="106"/>
      <c r="M368" s="107"/>
      <c r="W368" s="6"/>
      <c r="X368" s="6"/>
    </row>
    <row r="369" spans="1:24" s="1" customFormat="1" hidden="1" x14ac:dyDescent="0.25">
      <c r="A369" s="18"/>
      <c r="D369" s="102"/>
      <c r="E369" s="43"/>
      <c r="F369" s="38"/>
      <c r="G369" s="38"/>
      <c r="H369" s="38"/>
      <c r="I369" s="38"/>
      <c r="J369" s="105"/>
      <c r="K369" s="106"/>
      <c r="L369" s="106"/>
      <c r="M369" s="107"/>
      <c r="W369" s="6"/>
      <c r="X369" s="6"/>
    </row>
    <row r="370" spans="1:24" s="1" customFormat="1" hidden="1" x14ac:dyDescent="0.25">
      <c r="A370" s="18"/>
      <c r="D370" s="102"/>
      <c r="E370" s="43"/>
      <c r="F370" s="38"/>
      <c r="G370" s="38"/>
      <c r="H370" s="38"/>
      <c r="I370" s="38"/>
      <c r="J370" s="105"/>
      <c r="K370" s="106"/>
      <c r="L370" s="106"/>
      <c r="M370" s="107"/>
      <c r="W370" s="6"/>
      <c r="X370" s="6"/>
    </row>
    <row r="371" spans="1:24" s="1" customFormat="1" hidden="1" x14ac:dyDescent="0.25">
      <c r="A371" s="18"/>
      <c r="D371" s="102"/>
      <c r="E371" s="43"/>
      <c r="F371" s="38"/>
      <c r="G371" s="38"/>
      <c r="H371" s="38"/>
      <c r="I371" s="38"/>
      <c r="J371" s="105"/>
      <c r="K371" s="106"/>
      <c r="L371" s="106"/>
      <c r="M371" s="107"/>
      <c r="W371" s="6"/>
      <c r="X371" s="6"/>
    </row>
    <row r="372" spans="1:24" s="1" customFormat="1" hidden="1" x14ac:dyDescent="0.25">
      <c r="A372" s="18"/>
      <c r="D372" s="102"/>
      <c r="E372" s="43"/>
      <c r="F372" s="38"/>
      <c r="G372" s="38"/>
      <c r="H372" s="38"/>
      <c r="I372" s="38"/>
      <c r="J372" s="105"/>
      <c r="K372" s="106"/>
      <c r="L372" s="106"/>
      <c r="M372" s="107"/>
      <c r="W372" s="6"/>
      <c r="X372" s="6"/>
    </row>
    <row r="373" spans="1:24" s="1" customFormat="1" hidden="1" x14ac:dyDescent="0.25">
      <c r="A373" s="18"/>
      <c r="D373" s="102"/>
      <c r="E373" s="43"/>
      <c r="F373" s="38"/>
      <c r="G373" s="38"/>
      <c r="H373" s="38"/>
      <c r="I373" s="38"/>
      <c r="J373" s="105"/>
      <c r="K373" s="106"/>
      <c r="L373" s="106"/>
      <c r="M373" s="107"/>
      <c r="W373" s="6"/>
      <c r="X373" s="6"/>
    </row>
    <row r="374" spans="1:24" s="1" customFormat="1" hidden="1" x14ac:dyDescent="0.25">
      <c r="A374" s="18"/>
      <c r="D374" s="102"/>
      <c r="E374" s="43"/>
      <c r="F374" s="38"/>
      <c r="G374" s="38"/>
      <c r="H374" s="38"/>
      <c r="I374" s="38"/>
      <c r="J374" s="105"/>
      <c r="K374" s="106"/>
      <c r="L374" s="106"/>
      <c r="M374" s="107"/>
      <c r="W374" s="6"/>
      <c r="X374" s="6"/>
    </row>
    <row r="375" spans="1:24" s="1" customFormat="1" hidden="1" x14ac:dyDescent="0.25">
      <c r="A375" s="18"/>
      <c r="D375" s="102"/>
      <c r="E375" s="43"/>
      <c r="F375" s="38"/>
      <c r="G375" s="38"/>
      <c r="H375" s="38"/>
      <c r="I375" s="38"/>
      <c r="J375" s="105"/>
      <c r="K375" s="106"/>
      <c r="L375" s="106"/>
      <c r="M375" s="107"/>
      <c r="W375" s="6"/>
      <c r="X375" s="6"/>
    </row>
    <row r="376" spans="1:24" s="1" customFormat="1" hidden="1" x14ac:dyDescent="0.25">
      <c r="A376" s="18"/>
      <c r="D376" s="102"/>
      <c r="E376" s="43"/>
      <c r="F376" s="38"/>
      <c r="G376" s="38"/>
      <c r="H376" s="38"/>
      <c r="I376" s="38"/>
      <c r="J376" s="105"/>
      <c r="K376" s="106"/>
      <c r="L376" s="106"/>
      <c r="M376" s="107"/>
      <c r="W376" s="6"/>
      <c r="X376" s="6"/>
    </row>
    <row r="377" spans="1:24" s="1" customFormat="1" hidden="1" x14ac:dyDescent="0.25">
      <c r="A377" s="18"/>
      <c r="D377" s="102"/>
      <c r="E377" s="43"/>
      <c r="F377" s="38"/>
      <c r="G377" s="38"/>
      <c r="H377" s="38"/>
      <c r="I377" s="38"/>
      <c r="J377" s="105"/>
      <c r="K377" s="106"/>
      <c r="L377" s="106"/>
      <c r="M377" s="107"/>
      <c r="W377" s="6"/>
      <c r="X377" s="6"/>
    </row>
    <row r="378" spans="1:24" s="1" customFormat="1" hidden="1" x14ac:dyDescent="0.25">
      <c r="A378" s="18"/>
      <c r="D378" s="102"/>
      <c r="E378" s="43"/>
      <c r="F378" s="38"/>
      <c r="G378" s="38"/>
      <c r="H378" s="38"/>
      <c r="I378" s="38"/>
      <c r="J378" s="105"/>
      <c r="K378" s="106"/>
      <c r="L378" s="106"/>
      <c r="M378" s="107"/>
      <c r="W378" s="6"/>
      <c r="X378" s="6"/>
    </row>
    <row r="379" spans="1:24" s="1" customFormat="1" hidden="1" x14ac:dyDescent="0.25">
      <c r="A379" s="18"/>
      <c r="D379" s="102"/>
      <c r="E379" s="43"/>
      <c r="F379" s="38"/>
      <c r="G379" s="38"/>
      <c r="H379" s="38"/>
      <c r="I379" s="38"/>
      <c r="J379" s="105"/>
      <c r="K379" s="106"/>
      <c r="L379" s="106"/>
      <c r="M379" s="107"/>
      <c r="W379" s="6"/>
      <c r="X379" s="6"/>
    </row>
    <row r="380" spans="1:24" s="1" customFormat="1" hidden="1" x14ac:dyDescent="0.25">
      <c r="A380" s="18"/>
      <c r="D380" s="102"/>
      <c r="E380" s="43"/>
      <c r="F380" s="38"/>
      <c r="G380" s="38"/>
      <c r="H380" s="38"/>
      <c r="I380" s="38"/>
      <c r="J380" s="105"/>
      <c r="K380" s="106"/>
      <c r="L380" s="106"/>
      <c r="M380" s="107"/>
      <c r="W380" s="6"/>
      <c r="X380" s="6"/>
    </row>
    <row r="381" spans="1:24" s="1" customFormat="1" hidden="1" x14ac:dyDescent="0.25">
      <c r="A381" s="18"/>
      <c r="D381" s="102"/>
      <c r="E381" s="43"/>
      <c r="F381" s="38"/>
      <c r="G381" s="38"/>
      <c r="H381" s="38"/>
      <c r="I381" s="38"/>
      <c r="J381" s="105"/>
      <c r="K381" s="106"/>
      <c r="L381" s="106"/>
      <c r="M381" s="107"/>
      <c r="W381" s="6"/>
      <c r="X381" s="6"/>
    </row>
    <row r="382" spans="1:24" s="1" customFormat="1" hidden="1" x14ac:dyDescent="0.25">
      <c r="A382" s="18"/>
      <c r="D382" s="102"/>
      <c r="E382" s="43"/>
      <c r="F382" s="38"/>
      <c r="G382" s="38"/>
      <c r="H382" s="38"/>
      <c r="I382" s="38"/>
      <c r="J382" s="105"/>
      <c r="K382" s="106"/>
      <c r="L382" s="106"/>
      <c r="M382" s="107"/>
      <c r="W382" s="6"/>
      <c r="X382" s="6"/>
    </row>
    <row r="383" spans="1:24" s="1" customFormat="1" hidden="1" x14ac:dyDescent="0.25">
      <c r="A383" s="18"/>
      <c r="D383" s="102"/>
      <c r="E383" s="43"/>
      <c r="F383" s="38"/>
      <c r="G383" s="38"/>
      <c r="H383" s="38"/>
      <c r="I383" s="38"/>
      <c r="J383" s="105"/>
      <c r="K383" s="106"/>
      <c r="L383" s="106"/>
      <c r="M383" s="107"/>
      <c r="W383" s="6"/>
      <c r="X383" s="6"/>
    </row>
    <row r="384" spans="1:24" s="1" customFormat="1" hidden="1" x14ac:dyDescent="0.25">
      <c r="A384" s="18"/>
      <c r="D384" s="102"/>
      <c r="E384" s="43"/>
      <c r="F384" s="38"/>
      <c r="G384" s="38"/>
      <c r="H384" s="38"/>
      <c r="I384" s="38"/>
      <c r="J384" s="105"/>
      <c r="K384" s="106"/>
      <c r="L384" s="106"/>
      <c r="M384" s="107"/>
      <c r="W384" s="6"/>
      <c r="X384" s="6"/>
    </row>
    <row r="385" spans="1:24" s="1" customFormat="1" hidden="1" x14ac:dyDescent="0.25">
      <c r="A385" s="18"/>
      <c r="D385" s="102"/>
      <c r="E385" s="43"/>
      <c r="F385" s="38"/>
      <c r="G385" s="38"/>
      <c r="H385" s="38"/>
      <c r="I385" s="38"/>
      <c r="J385" s="105"/>
      <c r="K385" s="106"/>
      <c r="L385" s="106"/>
      <c r="M385" s="107"/>
      <c r="W385" s="6"/>
      <c r="X385" s="6"/>
    </row>
    <row r="386" spans="1:24" s="1" customFormat="1" hidden="1" x14ac:dyDescent="0.25">
      <c r="A386" s="18"/>
      <c r="D386" s="102"/>
      <c r="E386" s="43"/>
      <c r="F386" s="38"/>
      <c r="G386" s="38"/>
      <c r="H386" s="38"/>
      <c r="I386" s="38"/>
      <c r="J386" s="105"/>
      <c r="K386" s="106"/>
      <c r="L386" s="106"/>
      <c r="M386" s="107"/>
      <c r="W386" s="6"/>
      <c r="X386" s="6"/>
    </row>
    <row r="387" spans="1:24" s="1" customFormat="1" hidden="1" x14ac:dyDescent="0.25">
      <c r="A387" s="18"/>
      <c r="D387" s="102"/>
      <c r="E387" s="43"/>
      <c r="F387" s="38"/>
      <c r="G387" s="38"/>
      <c r="H387" s="38"/>
      <c r="I387" s="38"/>
      <c r="J387" s="105"/>
      <c r="K387" s="106"/>
      <c r="L387" s="106"/>
      <c r="M387" s="107"/>
      <c r="W387" s="6"/>
      <c r="X387" s="6"/>
    </row>
    <row r="388" spans="1:24" s="1" customFormat="1" hidden="1" x14ac:dyDescent="0.25">
      <c r="A388" s="18"/>
      <c r="D388" s="102"/>
      <c r="E388" s="43"/>
      <c r="F388" s="38"/>
      <c r="G388" s="38"/>
      <c r="H388" s="38"/>
      <c r="I388" s="38"/>
      <c r="J388" s="105"/>
      <c r="K388" s="106"/>
      <c r="L388" s="106"/>
      <c r="M388" s="107"/>
      <c r="W388" s="6"/>
      <c r="X388" s="6"/>
    </row>
    <row r="389" spans="1:24" s="1" customFormat="1" hidden="1" x14ac:dyDescent="0.25">
      <c r="A389" s="18"/>
      <c r="D389" s="102"/>
      <c r="E389" s="43"/>
      <c r="F389" s="38"/>
      <c r="G389" s="38"/>
      <c r="H389" s="38"/>
      <c r="I389" s="38"/>
      <c r="J389" s="105"/>
      <c r="K389" s="106"/>
      <c r="L389" s="106"/>
      <c r="M389" s="107"/>
      <c r="W389" s="6"/>
      <c r="X389" s="6"/>
    </row>
    <row r="390" spans="1:24" s="1" customFormat="1" hidden="1" x14ac:dyDescent="0.25">
      <c r="A390" s="18"/>
      <c r="D390" s="102"/>
      <c r="E390" s="43"/>
      <c r="F390" s="38"/>
      <c r="G390" s="38"/>
      <c r="H390" s="38"/>
      <c r="I390" s="38"/>
      <c r="J390" s="105"/>
      <c r="K390" s="106"/>
      <c r="L390" s="106"/>
      <c r="M390" s="107"/>
      <c r="W390" s="6"/>
      <c r="X390" s="6"/>
    </row>
    <row r="391" spans="1:24" s="1" customFormat="1" hidden="1" x14ac:dyDescent="0.25">
      <c r="A391" s="18"/>
      <c r="D391" s="102"/>
      <c r="E391" s="43"/>
      <c r="F391" s="38"/>
      <c r="G391" s="38"/>
      <c r="H391" s="38"/>
      <c r="I391" s="38"/>
      <c r="J391" s="105"/>
      <c r="K391" s="106"/>
      <c r="L391" s="106"/>
      <c r="M391" s="107"/>
      <c r="W391" s="6"/>
      <c r="X391" s="6"/>
    </row>
    <row r="392" spans="1:24" s="1" customFormat="1" hidden="1" x14ac:dyDescent="0.25">
      <c r="A392" s="18"/>
      <c r="D392" s="102"/>
      <c r="E392" s="43"/>
      <c r="F392" s="38"/>
      <c r="G392" s="38"/>
      <c r="H392" s="38"/>
      <c r="I392" s="38"/>
      <c r="J392" s="105"/>
      <c r="K392" s="106"/>
      <c r="L392" s="106"/>
      <c r="M392" s="107"/>
      <c r="W392" s="6"/>
      <c r="X392" s="6"/>
    </row>
    <row r="393" spans="1:24" s="1" customFormat="1" hidden="1" x14ac:dyDescent="0.25">
      <c r="A393" s="18"/>
      <c r="D393" s="102"/>
      <c r="E393" s="43"/>
      <c r="F393" s="38"/>
      <c r="G393" s="38"/>
      <c r="H393" s="38"/>
      <c r="I393" s="38"/>
      <c r="J393" s="105"/>
      <c r="K393" s="106"/>
      <c r="L393" s="106"/>
      <c r="M393" s="107"/>
      <c r="W393" s="6"/>
      <c r="X393" s="6"/>
    </row>
    <row r="394" spans="1:24" s="1" customFormat="1" hidden="1" x14ac:dyDescent="0.25">
      <c r="A394" s="18"/>
      <c r="D394" s="102"/>
      <c r="E394" s="43"/>
      <c r="F394" s="38"/>
      <c r="G394" s="38"/>
      <c r="H394" s="38"/>
      <c r="I394" s="38"/>
      <c r="J394" s="105"/>
      <c r="K394" s="106"/>
      <c r="L394" s="106"/>
      <c r="M394" s="107"/>
      <c r="W394" s="6"/>
      <c r="X394" s="6"/>
    </row>
    <row r="395" spans="1:24" s="1" customFormat="1" hidden="1" x14ac:dyDescent="0.25">
      <c r="A395" s="18"/>
      <c r="D395" s="102"/>
      <c r="E395" s="43"/>
      <c r="F395" s="38"/>
      <c r="G395" s="38"/>
      <c r="H395" s="38"/>
      <c r="I395" s="38"/>
      <c r="J395" s="105"/>
      <c r="K395" s="106"/>
      <c r="L395" s="106"/>
      <c r="M395" s="107"/>
      <c r="W395" s="6"/>
      <c r="X395" s="6"/>
    </row>
    <row r="396" spans="1:24" s="1" customFormat="1" hidden="1" x14ac:dyDescent="0.25">
      <c r="A396" s="18"/>
      <c r="D396" s="102"/>
      <c r="E396" s="43"/>
      <c r="F396" s="38"/>
      <c r="G396" s="38"/>
      <c r="H396" s="38"/>
      <c r="I396" s="38"/>
      <c r="J396" s="105"/>
      <c r="K396" s="106"/>
      <c r="L396" s="106"/>
      <c r="M396" s="107"/>
      <c r="W396" s="6"/>
      <c r="X396" s="6"/>
    </row>
    <row r="397" spans="1:24" s="1" customFormat="1" hidden="1" x14ac:dyDescent="0.25">
      <c r="A397" s="18"/>
      <c r="D397" s="102"/>
      <c r="E397" s="43"/>
      <c r="F397" s="38"/>
      <c r="G397" s="38"/>
      <c r="H397" s="38"/>
      <c r="I397" s="38"/>
      <c r="J397" s="105"/>
      <c r="K397" s="106"/>
      <c r="L397" s="106"/>
      <c r="M397" s="107"/>
      <c r="W397" s="6"/>
      <c r="X397" s="6"/>
    </row>
    <row r="398" spans="1:24" s="1" customFormat="1" hidden="1" x14ac:dyDescent="0.25">
      <c r="A398" s="18"/>
      <c r="D398" s="102"/>
      <c r="E398" s="43"/>
      <c r="F398" s="38"/>
      <c r="G398" s="38"/>
      <c r="H398" s="38"/>
      <c r="I398" s="38"/>
      <c r="J398" s="105"/>
      <c r="K398" s="106"/>
      <c r="L398" s="106"/>
      <c r="M398" s="107"/>
      <c r="W398" s="6"/>
      <c r="X398" s="6"/>
    </row>
    <row r="399" spans="1:24" s="1" customFormat="1" hidden="1" x14ac:dyDescent="0.25">
      <c r="A399" s="18"/>
      <c r="D399" s="102"/>
      <c r="E399" s="43"/>
      <c r="F399" s="38"/>
      <c r="G399" s="38"/>
      <c r="H399" s="38"/>
      <c r="I399" s="38"/>
      <c r="J399" s="105"/>
      <c r="K399" s="106"/>
      <c r="L399" s="106"/>
      <c r="M399" s="107"/>
      <c r="W399" s="6"/>
      <c r="X399" s="6"/>
    </row>
    <row r="400" spans="1:24" s="1" customFormat="1" hidden="1" x14ac:dyDescent="0.25">
      <c r="A400" s="18"/>
      <c r="D400" s="102"/>
      <c r="E400" s="43"/>
      <c r="F400" s="38"/>
      <c r="G400" s="38"/>
      <c r="H400" s="38"/>
      <c r="I400" s="38"/>
      <c r="J400" s="105"/>
      <c r="K400" s="106"/>
      <c r="L400" s="106"/>
      <c r="M400" s="107"/>
      <c r="W400" s="6"/>
      <c r="X400" s="6"/>
    </row>
    <row r="401" spans="1:24" s="1" customFormat="1" hidden="1" x14ac:dyDescent="0.25">
      <c r="A401" s="18"/>
      <c r="D401" s="102"/>
      <c r="E401" s="43"/>
      <c r="F401" s="38"/>
      <c r="G401" s="38"/>
      <c r="H401" s="38"/>
      <c r="I401" s="38"/>
      <c r="J401" s="105"/>
      <c r="K401" s="106"/>
      <c r="L401" s="106"/>
      <c r="M401" s="107"/>
      <c r="W401" s="6"/>
      <c r="X401" s="6"/>
    </row>
    <row r="402" spans="1:24" s="1" customFormat="1" hidden="1" x14ac:dyDescent="0.25">
      <c r="A402" s="18"/>
      <c r="D402" s="102"/>
      <c r="E402" s="43"/>
      <c r="F402" s="38"/>
      <c r="G402" s="38"/>
      <c r="H402" s="38"/>
      <c r="I402" s="38"/>
      <c r="J402" s="105"/>
      <c r="K402" s="106"/>
      <c r="L402" s="106"/>
      <c r="M402" s="107"/>
      <c r="W402" s="6"/>
      <c r="X402" s="6"/>
    </row>
    <row r="403" spans="1:24" s="1" customFormat="1" hidden="1" x14ac:dyDescent="0.25">
      <c r="A403" s="18"/>
      <c r="D403" s="102"/>
      <c r="E403" s="43"/>
      <c r="F403" s="38"/>
      <c r="G403" s="38"/>
      <c r="H403" s="38"/>
      <c r="I403" s="38"/>
      <c r="J403" s="105"/>
      <c r="K403" s="106"/>
      <c r="L403" s="106"/>
      <c r="M403" s="107"/>
      <c r="W403" s="6"/>
      <c r="X403" s="6"/>
    </row>
    <row r="404" spans="1:24" s="1" customFormat="1" hidden="1" x14ac:dyDescent="0.25">
      <c r="A404" s="18"/>
      <c r="D404" s="102"/>
      <c r="E404" s="43"/>
      <c r="F404" s="38"/>
      <c r="G404" s="38"/>
      <c r="H404" s="38"/>
      <c r="I404" s="38"/>
      <c r="J404" s="105"/>
      <c r="K404" s="106"/>
      <c r="L404" s="106"/>
      <c r="M404" s="107"/>
      <c r="W404" s="6"/>
      <c r="X404" s="6"/>
    </row>
    <row r="405" spans="1:24" s="1" customFormat="1" hidden="1" x14ac:dyDescent="0.25">
      <c r="A405" s="18"/>
      <c r="D405" s="102"/>
      <c r="E405" s="43"/>
      <c r="F405" s="38"/>
      <c r="G405" s="38"/>
      <c r="H405" s="38"/>
      <c r="I405" s="38"/>
      <c r="J405" s="105"/>
      <c r="K405" s="106"/>
      <c r="L405" s="106"/>
      <c r="M405" s="107"/>
      <c r="W405" s="6"/>
      <c r="X405" s="6"/>
    </row>
    <row r="406" spans="1:24" s="1" customFormat="1" hidden="1" x14ac:dyDescent="0.25">
      <c r="A406" s="18"/>
      <c r="D406" s="102"/>
      <c r="E406" s="43"/>
      <c r="F406" s="38"/>
      <c r="G406" s="38"/>
      <c r="H406" s="38"/>
      <c r="I406" s="38"/>
      <c r="J406" s="105"/>
      <c r="K406" s="106"/>
      <c r="L406" s="106"/>
      <c r="M406" s="107"/>
      <c r="W406" s="6"/>
      <c r="X406" s="6"/>
    </row>
    <row r="407" spans="1:24" s="1" customFormat="1" hidden="1" x14ac:dyDescent="0.25">
      <c r="A407" s="18"/>
      <c r="D407" s="102"/>
      <c r="E407" s="43"/>
      <c r="F407" s="38"/>
      <c r="G407" s="38"/>
      <c r="H407" s="38"/>
      <c r="I407" s="38"/>
      <c r="J407" s="105"/>
      <c r="K407" s="106"/>
      <c r="L407" s="106"/>
      <c r="M407" s="107"/>
      <c r="W407" s="6"/>
      <c r="X407" s="6"/>
    </row>
    <row r="408" spans="1:24" s="1" customFormat="1" hidden="1" x14ac:dyDescent="0.25">
      <c r="A408" s="18"/>
      <c r="D408" s="102"/>
      <c r="E408" s="43"/>
      <c r="F408" s="38"/>
      <c r="G408" s="38"/>
      <c r="H408" s="38"/>
      <c r="I408" s="38"/>
      <c r="J408" s="105"/>
      <c r="K408" s="106"/>
      <c r="L408" s="106"/>
      <c r="M408" s="107"/>
      <c r="W408" s="6"/>
      <c r="X408" s="6"/>
    </row>
    <row r="409" spans="1:24" s="1" customFormat="1" hidden="1" x14ac:dyDescent="0.25">
      <c r="A409" s="18"/>
      <c r="D409" s="102"/>
      <c r="E409" s="43"/>
      <c r="F409" s="38"/>
      <c r="G409" s="38"/>
      <c r="H409" s="38"/>
      <c r="I409" s="38"/>
      <c r="J409" s="105"/>
      <c r="K409" s="106"/>
      <c r="L409" s="106"/>
      <c r="M409" s="107"/>
      <c r="W409" s="6"/>
      <c r="X409" s="6"/>
    </row>
    <row r="410" spans="1:24" s="1" customFormat="1" hidden="1" x14ac:dyDescent="0.25">
      <c r="A410" s="18"/>
      <c r="D410" s="102"/>
      <c r="E410" s="43"/>
      <c r="F410" s="38"/>
      <c r="G410" s="38"/>
      <c r="H410" s="38"/>
      <c r="I410" s="38"/>
      <c r="J410" s="105"/>
      <c r="K410" s="106"/>
      <c r="L410" s="106"/>
      <c r="M410" s="107"/>
      <c r="W410" s="6"/>
      <c r="X410" s="6"/>
    </row>
    <row r="411" spans="1:24" s="1" customFormat="1" hidden="1" x14ac:dyDescent="0.25">
      <c r="A411" s="18"/>
      <c r="D411" s="102"/>
      <c r="E411" s="43"/>
      <c r="F411" s="38"/>
      <c r="G411" s="38"/>
      <c r="H411" s="38"/>
      <c r="I411" s="38"/>
      <c r="J411" s="105"/>
      <c r="K411" s="106"/>
      <c r="L411" s="106"/>
      <c r="M411" s="107"/>
      <c r="W411" s="6"/>
      <c r="X411" s="6"/>
    </row>
    <row r="412" spans="1:24" s="1" customFormat="1" hidden="1" x14ac:dyDescent="0.25">
      <c r="A412" s="18"/>
      <c r="D412" s="102"/>
      <c r="E412" s="43"/>
      <c r="F412" s="38"/>
      <c r="G412" s="38"/>
      <c r="H412" s="38"/>
      <c r="I412" s="38"/>
      <c r="J412" s="105"/>
      <c r="K412" s="106"/>
      <c r="L412" s="106"/>
      <c r="M412" s="107"/>
      <c r="W412" s="6"/>
      <c r="X412" s="6"/>
    </row>
    <row r="413" spans="1:24" s="1" customFormat="1" hidden="1" x14ac:dyDescent="0.25">
      <c r="A413" s="18"/>
      <c r="D413" s="102"/>
      <c r="E413" s="43"/>
      <c r="F413" s="38"/>
      <c r="G413" s="38"/>
      <c r="H413" s="38"/>
      <c r="I413" s="38"/>
      <c r="J413" s="105"/>
      <c r="K413" s="106"/>
      <c r="L413" s="106"/>
      <c r="M413" s="107"/>
      <c r="W413" s="6"/>
      <c r="X413" s="6"/>
    </row>
    <row r="414" spans="1:24" s="1" customFormat="1" hidden="1" x14ac:dyDescent="0.25">
      <c r="A414" s="18"/>
      <c r="D414" s="102"/>
      <c r="E414" s="43"/>
      <c r="F414" s="38"/>
      <c r="G414" s="38"/>
      <c r="H414" s="38"/>
      <c r="I414" s="38"/>
      <c r="J414" s="105"/>
      <c r="K414" s="106"/>
      <c r="L414" s="106"/>
      <c r="M414" s="107"/>
      <c r="W414" s="6"/>
      <c r="X414" s="6"/>
    </row>
    <row r="415" spans="1:24" s="1" customFormat="1" hidden="1" x14ac:dyDescent="0.25">
      <c r="A415" s="18"/>
      <c r="D415" s="102"/>
      <c r="E415" s="43"/>
      <c r="F415" s="38"/>
      <c r="G415" s="38"/>
      <c r="H415" s="38"/>
      <c r="I415" s="38"/>
      <c r="J415" s="105"/>
      <c r="K415" s="106"/>
      <c r="L415" s="106"/>
      <c r="M415" s="107"/>
      <c r="W415" s="6"/>
      <c r="X415" s="6"/>
    </row>
    <row r="416" spans="1:24" s="1" customFormat="1" hidden="1" x14ac:dyDescent="0.25">
      <c r="A416" s="18"/>
      <c r="D416" s="102"/>
      <c r="E416" s="43"/>
      <c r="F416" s="38"/>
      <c r="G416" s="38"/>
      <c r="H416" s="38"/>
      <c r="I416" s="38"/>
      <c r="J416" s="105"/>
      <c r="K416" s="106"/>
      <c r="L416" s="106"/>
      <c r="M416" s="107"/>
      <c r="W416" s="6"/>
      <c r="X416" s="6"/>
    </row>
    <row r="417" spans="1:24" s="1" customFormat="1" hidden="1" x14ac:dyDescent="0.25">
      <c r="A417" s="18"/>
      <c r="D417" s="102"/>
      <c r="E417" s="43"/>
      <c r="F417" s="38"/>
      <c r="G417" s="38"/>
      <c r="H417" s="38"/>
      <c r="I417" s="38"/>
      <c r="J417" s="105"/>
      <c r="K417" s="106"/>
      <c r="L417" s="106"/>
      <c r="M417" s="107"/>
      <c r="W417" s="6"/>
      <c r="X417" s="6"/>
    </row>
    <row r="418" spans="1:24" s="1" customFormat="1" hidden="1" x14ac:dyDescent="0.25">
      <c r="A418" s="18"/>
      <c r="D418" s="102"/>
      <c r="E418" s="43"/>
      <c r="F418" s="38"/>
      <c r="G418" s="38"/>
      <c r="H418" s="38"/>
      <c r="I418" s="38"/>
      <c r="J418" s="105"/>
      <c r="K418" s="106"/>
      <c r="L418" s="106"/>
      <c r="M418" s="107"/>
      <c r="W418" s="6"/>
      <c r="X418" s="6"/>
    </row>
    <row r="419" spans="1:24" s="1" customFormat="1" hidden="1" x14ac:dyDescent="0.25">
      <c r="A419" s="18"/>
      <c r="D419" s="102"/>
      <c r="E419" s="43"/>
      <c r="F419" s="38"/>
      <c r="G419" s="38"/>
      <c r="H419" s="38"/>
      <c r="I419" s="38"/>
      <c r="J419" s="105"/>
      <c r="K419" s="106"/>
      <c r="L419" s="106"/>
      <c r="M419" s="107"/>
      <c r="W419" s="6"/>
      <c r="X419" s="6"/>
    </row>
    <row r="420" spans="1:24" s="1" customFormat="1" hidden="1" x14ac:dyDescent="0.25">
      <c r="A420" s="18"/>
      <c r="D420" s="102"/>
      <c r="E420" s="43"/>
      <c r="F420" s="38"/>
      <c r="G420" s="38"/>
      <c r="H420" s="38"/>
      <c r="I420" s="38"/>
      <c r="J420" s="105"/>
      <c r="K420" s="106"/>
      <c r="L420" s="106"/>
      <c r="M420" s="107"/>
      <c r="W420" s="6"/>
      <c r="X420" s="6"/>
    </row>
    <row r="421" spans="1:24" s="1" customFormat="1" hidden="1" x14ac:dyDescent="0.25">
      <c r="A421" s="18"/>
      <c r="D421" s="102"/>
      <c r="E421" s="43"/>
      <c r="F421" s="38"/>
      <c r="G421" s="38"/>
      <c r="H421" s="38"/>
      <c r="I421" s="38"/>
      <c r="J421" s="105"/>
      <c r="K421" s="106"/>
      <c r="L421" s="106"/>
      <c r="M421" s="107"/>
      <c r="W421" s="6"/>
      <c r="X421" s="6"/>
    </row>
    <row r="422" spans="1:24" s="1" customFormat="1" hidden="1" x14ac:dyDescent="0.25">
      <c r="A422" s="18"/>
      <c r="D422" s="102"/>
      <c r="E422" s="43"/>
      <c r="F422" s="38"/>
      <c r="G422" s="38"/>
      <c r="H422" s="38"/>
      <c r="I422" s="38"/>
      <c r="J422" s="105"/>
      <c r="K422" s="106"/>
      <c r="L422" s="106"/>
      <c r="M422" s="107"/>
      <c r="W422" s="6"/>
      <c r="X422" s="6"/>
    </row>
    <row r="423" spans="1:24" s="1" customFormat="1" hidden="1" x14ac:dyDescent="0.25">
      <c r="A423" s="18"/>
      <c r="D423" s="102"/>
      <c r="E423" s="43"/>
      <c r="F423" s="38"/>
      <c r="G423" s="38"/>
      <c r="H423" s="38"/>
      <c r="I423" s="38"/>
      <c r="J423" s="105"/>
      <c r="K423" s="106"/>
      <c r="L423" s="106"/>
      <c r="M423" s="107"/>
      <c r="W423" s="6"/>
      <c r="X423" s="6"/>
    </row>
    <row r="424" spans="1:24" s="1" customFormat="1" hidden="1" x14ac:dyDescent="0.25">
      <c r="A424" s="18"/>
      <c r="D424" s="102"/>
      <c r="E424" s="43"/>
      <c r="F424" s="38"/>
      <c r="G424" s="38"/>
      <c r="H424" s="38"/>
      <c r="I424" s="38"/>
      <c r="J424" s="105"/>
      <c r="K424" s="106"/>
      <c r="L424" s="106"/>
      <c r="M424" s="107"/>
      <c r="W424" s="6"/>
      <c r="X424" s="6"/>
    </row>
    <row r="425" spans="1:24" s="1" customFormat="1" hidden="1" x14ac:dyDescent="0.25">
      <c r="A425" s="18"/>
      <c r="D425" s="102"/>
      <c r="E425" s="43"/>
      <c r="F425" s="38"/>
      <c r="G425" s="38"/>
      <c r="H425" s="38"/>
      <c r="I425" s="38"/>
      <c r="J425" s="105"/>
      <c r="K425" s="106"/>
      <c r="L425" s="106"/>
      <c r="M425" s="107"/>
      <c r="W425" s="6"/>
      <c r="X425" s="6"/>
    </row>
    <row r="426" spans="1:24" s="1" customFormat="1" hidden="1" x14ac:dyDescent="0.25">
      <c r="A426" s="18"/>
      <c r="D426" s="102"/>
      <c r="E426" s="43"/>
      <c r="F426" s="38"/>
      <c r="G426" s="38"/>
      <c r="H426" s="38"/>
      <c r="I426" s="38"/>
      <c r="J426" s="105"/>
      <c r="K426" s="106"/>
      <c r="L426" s="106"/>
      <c r="M426" s="107"/>
      <c r="W426" s="6"/>
      <c r="X426" s="6"/>
    </row>
    <row r="427" spans="1:24" s="1" customFormat="1" hidden="1" x14ac:dyDescent="0.25">
      <c r="A427" s="18"/>
      <c r="D427" s="102"/>
      <c r="E427" s="43"/>
      <c r="F427" s="38"/>
      <c r="G427" s="38"/>
      <c r="H427" s="38"/>
      <c r="I427" s="38"/>
      <c r="J427" s="105"/>
      <c r="K427" s="106"/>
      <c r="L427" s="106"/>
      <c r="M427" s="107"/>
      <c r="W427" s="6"/>
      <c r="X427" s="6"/>
    </row>
    <row r="428" spans="1:24" s="1" customFormat="1" hidden="1" x14ac:dyDescent="0.25">
      <c r="A428" s="18"/>
      <c r="D428" s="102"/>
      <c r="E428" s="43"/>
      <c r="F428" s="38"/>
      <c r="G428" s="38"/>
      <c r="H428" s="38"/>
      <c r="I428" s="38"/>
      <c r="J428" s="105"/>
      <c r="K428" s="106"/>
      <c r="L428" s="106"/>
      <c r="M428" s="107"/>
      <c r="W428" s="6"/>
      <c r="X428" s="6"/>
    </row>
    <row r="429" spans="1:24" s="1" customFormat="1" hidden="1" x14ac:dyDescent="0.25">
      <c r="A429" s="18"/>
      <c r="D429" s="102"/>
      <c r="E429" s="43"/>
      <c r="F429" s="38"/>
      <c r="G429" s="38"/>
      <c r="H429" s="38"/>
      <c r="I429" s="38"/>
      <c r="J429" s="105"/>
      <c r="K429" s="106"/>
      <c r="L429" s="106"/>
      <c r="M429" s="107"/>
      <c r="W429" s="6"/>
      <c r="X429" s="6"/>
    </row>
    <row r="430" spans="1:24" s="1" customFormat="1" hidden="1" x14ac:dyDescent="0.25">
      <c r="A430" s="18"/>
      <c r="D430" s="102"/>
      <c r="E430" s="43"/>
      <c r="F430" s="38"/>
      <c r="G430" s="38"/>
      <c r="H430" s="38"/>
      <c r="I430" s="38"/>
      <c r="J430" s="105"/>
      <c r="K430" s="106"/>
      <c r="L430" s="106"/>
      <c r="M430" s="107"/>
      <c r="W430" s="6"/>
      <c r="X430" s="6"/>
    </row>
    <row r="431" spans="1:24" s="1" customFormat="1" hidden="1" x14ac:dyDescent="0.25">
      <c r="A431" s="18"/>
      <c r="D431" s="102"/>
      <c r="E431" s="43"/>
      <c r="F431" s="38"/>
      <c r="G431" s="38"/>
      <c r="H431" s="38"/>
      <c r="I431" s="38"/>
      <c r="J431" s="105"/>
      <c r="K431" s="106"/>
      <c r="L431" s="106"/>
      <c r="M431" s="107"/>
      <c r="W431" s="6"/>
      <c r="X431" s="6"/>
    </row>
    <row r="432" spans="1:24" s="1" customFormat="1" hidden="1" x14ac:dyDescent="0.25">
      <c r="A432" s="18"/>
      <c r="D432" s="102"/>
      <c r="E432" s="43"/>
      <c r="F432" s="38"/>
      <c r="G432" s="38"/>
      <c r="H432" s="38"/>
      <c r="I432" s="38"/>
      <c r="J432" s="105"/>
      <c r="K432" s="106"/>
      <c r="L432" s="106"/>
      <c r="M432" s="107"/>
      <c r="W432" s="6"/>
      <c r="X432" s="6"/>
    </row>
    <row r="433" spans="1:24" s="1" customFormat="1" hidden="1" x14ac:dyDescent="0.25">
      <c r="A433" s="18"/>
      <c r="D433" s="102"/>
      <c r="E433" s="43"/>
      <c r="F433" s="38"/>
      <c r="G433" s="38"/>
      <c r="H433" s="38"/>
      <c r="I433" s="38"/>
      <c r="J433" s="105"/>
      <c r="K433" s="106"/>
      <c r="L433" s="106"/>
      <c r="M433" s="107"/>
      <c r="W433" s="6"/>
      <c r="X433" s="6"/>
    </row>
    <row r="434" spans="1:24" s="1" customFormat="1" hidden="1" x14ac:dyDescent="0.25">
      <c r="A434" s="18"/>
      <c r="D434" s="102"/>
      <c r="E434" s="43"/>
      <c r="F434" s="38"/>
      <c r="G434" s="38"/>
      <c r="H434" s="38"/>
      <c r="I434" s="38"/>
      <c r="J434" s="105"/>
      <c r="K434" s="106"/>
      <c r="L434" s="106"/>
      <c r="M434" s="107"/>
      <c r="W434" s="6"/>
      <c r="X434" s="6"/>
    </row>
    <row r="435" spans="1:24" s="1" customFormat="1" hidden="1" x14ac:dyDescent="0.25">
      <c r="A435" s="18"/>
      <c r="D435" s="102"/>
      <c r="E435" s="43"/>
      <c r="F435" s="38"/>
      <c r="G435" s="38"/>
      <c r="H435" s="38"/>
      <c r="I435" s="38"/>
      <c r="J435" s="105"/>
      <c r="K435" s="106"/>
      <c r="L435" s="106"/>
      <c r="M435" s="107"/>
      <c r="W435" s="6"/>
      <c r="X435" s="6"/>
    </row>
    <row r="436" spans="1:24" s="1" customFormat="1" hidden="1" x14ac:dyDescent="0.25">
      <c r="A436" s="18"/>
      <c r="D436" s="102"/>
      <c r="E436" s="43"/>
      <c r="F436" s="38"/>
      <c r="G436" s="38"/>
      <c r="H436" s="38"/>
      <c r="I436" s="38"/>
      <c r="J436" s="105"/>
      <c r="K436" s="106"/>
      <c r="L436" s="106"/>
      <c r="M436" s="107"/>
      <c r="W436" s="6"/>
      <c r="X436" s="6"/>
    </row>
    <row r="437" spans="1:24" s="1" customFormat="1" hidden="1" x14ac:dyDescent="0.25">
      <c r="A437" s="18"/>
      <c r="D437" s="102"/>
      <c r="E437" s="43"/>
      <c r="F437" s="38"/>
      <c r="G437" s="38"/>
      <c r="H437" s="38"/>
      <c r="I437" s="38"/>
      <c r="J437" s="105"/>
      <c r="K437" s="106"/>
      <c r="L437" s="106"/>
      <c r="M437" s="107"/>
      <c r="W437" s="6"/>
      <c r="X437" s="6"/>
    </row>
    <row r="438" spans="1:24" s="1" customFormat="1" hidden="1" x14ac:dyDescent="0.25">
      <c r="A438" s="18"/>
      <c r="D438" s="102"/>
      <c r="E438" s="43"/>
      <c r="F438" s="38"/>
      <c r="G438" s="38"/>
      <c r="H438" s="38"/>
      <c r="I438" s="38"/>
      <c r="J438" s="105"/>
      <c r="K438" s="106"/>
      <c r="L438" s="106"/>
      <c r="M438" s="107"/>
      <c r="W438" s="6"/>
      <c r="X438" s="6"/>
    </row>
    <row r="439" spans="1:24" s="1" customFormat="1" hidden="1" x14ac:dyDescent="0.25">
      <c r="A439" s="18"/>
      <c r="D439" s="102"/>
      <c r="E439" s="43"/>
      <c r="F439" s="38"/>
      <c r="G439" s="38"/>
      <c r="H439" s="38"/>
      <c r="I439" s="38"/>
      <c r="J439" s="105"/>
      <c r="K439" s="106"/>
      <c r="L439" s="106"/>
      <c r="M439" s="107"/>
      <c r="W439" s="6"/>
      <c r="X439" s="6"/>
    </row>
    <row r="440" spans="1:24" s="1" customFormat="1" hidden="1" x14ac:dyDescent="0.25">
      <c r="A440" s="18"/>
      <c r="D440" s="102"/>
      <c r="E440" s="43"/>
      <c r="F440" s="38"/>
      <c r="G440" s="38"/>
      <c r="H440" s="38"/>
      <c r="I440" s="38"/>
      <c r="J440" s="105"/>
      <c r="K440" s="106"/>
      <c r="L440" s="106"/>
      <c r="M440" s="107"/>
      <c r="W440" s="6"/>
      <c r="X440" s="6"/>
    </row>
    <row r="441" spans="1:24" s="1" customFormat="1" hidden="1" x14ac:dyDescent="0.25">
      <c r="A441" s="18"/>
      <c r="D441" s="102"/>
      <c r="E441" s="43"/>
      <c r="F441" s="38"/>
      <c r="G441" s="38"/>
      <c r="H441" s="38"/>
      <c r="I441" s="38"/>
      <c r="J441" s="105"/>
      <c r="K441" s="106"/>
      <c r="L441" s="106"/>
      <c r="M441" s="107"/>
      <c r="W441" s="6"/>
      <c r="X441" s="6"/>
    </row>
    <row r="442" spans="1:24" s="1" customFormat="1" hidden="1" x14ac:dyDescent="0.25">
      <c r="A442" s="18"/>
      <c r="D442" s="102"/>
      <c r="E442" s="43"/>
      <c r="F442" s="38"/>
      <c r="G442" s="38"/>
      <c r="H442" s="38"/>
      <c r="I442" s="38"/>
      <c r="J442" s="105"/>
      <c r="K442" s="106"/>
      <c r="L442" s="106"/>
      <c r="M442" s="107"/>
      <c r="W442" s="6"/>
      <c r="X442" s="6"/>
    </row>
    <row r="443" spans="1:24" s="1" customFormat="1" hidden="1" x14ac:dyDescent="0.25">
      <c r="A443" s="18"/>
      <c r="D443" s="102"/>
      <c r="E443" s="43"/>
      <c r="F443" s="38"/>
      <c r="G443" s="38"/>
      <c r="H443" s="38"/>
      <c r="I443" s="38"/>
      <c r="J443" s="105"/>
      <c r="K443" s="106"/>
      <c r="L443" s="106"/>
      <c r="M443" s="107"/>
      <c r="W443" s="6"/>
      <c r="X443" s="6"/>
    </row>
    <row r="444" spans="1:24" s="1" customFormat="1" hidden="1" x14ac:dyDescent="0.25">
      <c r="A444" s="18"/>
      <c r="D444" s="102"/>
      <c r="E444" s="43"/>
      <c r="F444" s="38"/>
      <c r="G444" s="38"/>
      <c r="H444" s="38"/>
      <c r="I444" s="38"/>
      <c r="J444" s="105"/>
      <c r="K444" s="106"/>
      <c r="L444" s="106"/>
      <c r="M444" s="107"/>
      <c r="W444" s="6"/>
      <c r="X444" s="6"/>
    </row>
    <row r="445" spans="1:24" s="1" customFormat="1" hidden="1" x14ac:dyDescent="0.25">
      <c r="A445" s="18"/>
      <c r="D445" s="102"/>
      <c r="E445" s="43"/>
      <c r="F445" s="38"/>
      <c r="G445" s="38"/>
      <c r="H445" s="38"/>
      <c r="I445" s="38"/>
      <c r="J445" s="105"/>
      <c r="K445" s="106"/>
      <c r="L445" s="106"/>
      <c r="M445" s="107"/>
      <c r="W445" s="6"/>
      <c r="X445" s="6"/>
    </row>
    <row r="446" spans="1:24" s="1" customFormat="1" hidden="1" x14ac:dyDescent="0.25">
      <c r="A446" s="18"/>
      <c r="D446" s="102"/>
      <c r="E446" s="43"/>
      <c r="F446" s="38"/>
      <c r="G446" s="38"/>
      <c r="H446" s="38"/>
      <c r="I446" s="38"/>
      <c r="J446" s="105"/>
      <c r="K446" s="106"/>
      <c r="L446" s="106"/>
      <c r="M446" s="107"/>
      <c r="W446" s="6"/>
      <c r="X446" s="6"/>
    </row>
    <row r="447" spans="1:24" s="1" customFormat="1" hidden="1" x14ac:dyDescent="0.25">
      <c r="A447" s="18"/>
      <c r="D447" s="102"/>
      <c r="E447" s="43"/>
      <c r="F447" s="38"/>
      <c r="G447" s="38"/>
      <c r="H447" s="38"/>
      <c r="I447" s="38"/>
      <c r="J447" s="105"/>
      <c r="K447" s="106"/>
      <c r="L447" s="106"/>
      <c r="M447" s="107"/>
      <c r="W447" s="6"/>
      <c r="X447" s="6"/>
    </row>
    <row r="448" spans="1:24" s="1" customFormat="1" hidden="1" x14ac:dyDescent="0.25">
      <c r="A448" s="18"/>
      <c r="D448" s="102"/>
      <c r="E448" s="43"/>
      <c r="F448" s="38"/>
      <c r="G448" s="38"/>
      <c r="H448" s="38"/>
      <c r="I448" s="38"/>
      <c r="J448" s="105"/>
      <c r="K448" s="106"/>
      <c r="L448" s="106"/>
      <c r="M448" s="107"/>
      <c r="W448" s="6"/>
      <c r="X448" s="6"/>
    </row>
    <row r="449" spans="1:24" s="1" customFormat="1" hidden="1" x14ac:dyDescent="0.25">
      <c r="A449" s="18"/>
      <c r="D449" s="102"/>
      <c r="E449" s="43"/>
      <c r="F449" s="38"/>
      <c r="G449" s="38"/>
      <c r="H449" s="38"/>
      <c r="I449" s="38"/>
      <c r="J449" s="105"/>
      <c r="K449" s="106"/>
      <c r="L449" s="106"/>
      <c r="M449" s="107"/>
      <c r="W449" s="6"/>
      <c r="X449" s="6"/>
    </row>
    <row r="450" spans="1:24" s="1" customFormat="1" hidden="1" x14ac:dyDescent="0.25">
      <c r="A450" s="18"/>
      <c r="D450" s="102"/>
      <c r="E450" s="43"/>
      <c r="F450" s="38"/>
      <c r="G450" s="38"/>
      <c r="H450" s="38"/>
      <c r="I450" s="38"/>
      <c r="J450" s="105"/>
      <c r="K450" s="106"/>
      <c r="L450" s="106"/>
      <c r="M450" s="107"/>
      <c r="W450" s="6"/>
      <c r="X450" s="6"/>
    </row>
    <row r="451" spans="1:24" s="1" customFormat="1" hidden="1" x14ac:dyDescent="0.25">
      <c r="A451" s="18"/>
      <c r="D451" s="102"/>
      <c r="E451" s="43"/>
      <c r="F451" s="38"/>
      <c r="G451" s="38"/>
      <c r="H451" s="38"/>
      <c r="I451" s="38"/>
      <c r="J451" s="105"/>
      <c r="K451" s="106"/>
      <c r="L451" s="106"/>
      <c r="M451" s="107"/>
      <c r="W451" s="6"/>
      <c r="X451" s="6"/>
    </row>
    <row r="452" spans="1:24" s="1" customFormat="1" hidden="1" x14ac:dyDescent="0.25">
      <c r="A452" s="18"/>
      <c r="D452" s="102"/>
      <c r="E452" s="43"/>
      <c r="F452" s="38"/>
      <c r="G452" s="38"/>
      <c r="H452" s="38"/>
      <c r="I452" s="38"/>
      <c r="J452" s="105"/>
      <c r="K452" s="106"/>
      <c r="L452" s="106"/>
      <c r="M452" s="107"/>
      <c r="W452" s="6"/>
      <c r="X452" s="6"/>
    </row>
    <row r="453" spans="1:24" s="1" customFormat="1" hidden="1" x14ac:dyDescent="0.25">
      <c r="A453" s="18"/>
      <c r="D453" s="102"/>
      <c r="E453" s="43"/>
      <c r="F453" s="38"/>
      <c r="G453" s="38"/>
      <c r="H453" s="38"/>
      <c r="I453" s="38"/>
      <c r="J453" s="105"/>
      <c r="K453" s="106"/>
      <c r="L453" s="106"/>
      <c r="M453" s="107"/>
      <c r="W453" s="6"/>
      <c r="X453" s="6"/>
    </row>
    <row r="454" spans="1:24" s="1" customFormat="1" hidden="1" x14ac:dyDescent="0.25">
      <c r="A454" s="18"/>
      <c r="D454" s="102"/>
      <c r="E454" s="43"/>
      <c r="F454" s="38"/>
      <c r="G454" s="38"/>
      <c r="H454" s="38"/>
      <c r="I454" s="38"/>
      <c r="J454" s="105"/>
      <c r="K454" s="106"/>
      <c r="L454" s="106"/>
      <c r="M454" s="107"/>
      <c r="W454" s="6"/>
      <c r="X454" s="6"/>
    </row>
    <row r="455" spans="1:24" s="1" customFormat="1" hidden="1" x14ac:dyDescent="0.25">
      <c r="A455" s="18"/>
      <c r="D455" s="102"/>
      <c r="E455" s="43"/>
      <c r="F455" s="38"/>
      <c r="G455" s="38"/>
      <c r="H455" s="38"/>
      <c r="I455" s="38"/>
      <c r="J455" s="105"/>
      <c r="K455" s="106"/>
      <c r="L455" s="106"/>
      <c r="M455" s="107"/>
      <c r="W455" s="6"/>
      <c r="X455" s="6"/>
    </row>
    <row r="456" spans="1:24" s="1" customFormat="1" hidden="1" x14ac:dyDescent="0.25">
      <c r="A456" s="18"/>
      <c r="D456" s="102"/>
      <c r="E456" s="43"/>
      <c r="F456" s="38"/>
      <c r="G456" s="38"/>
      <c r="H456" s="38"/>
      <c r="I456" s="38"/>
      <c r="J456" s="105"/>
      <c r="K456" s="106"/>
      <c r="L456" s="106"/>
      <c r="M456" s="107"/>
      <c r="W456" s="6"/>
      <c r="X456" s="6"/>
    </row>
    <row r="457" spans="1:24" s="1" customFormat="1" hidden="1" x14ac:dyDescent="0.25">
      <c r="A457" s="18"/>
      <c r="D457" s="102"/>
      <c r="E457" s="43"/>
      <c r="F457" s="38"/>
      <c r="G457" s="38"/>
      <c r="H457" s="38"/>
      <c r="I457" s="38"/>
      <c r="J457" s="105"/>
      <c r="K457" s="106"/>
      <c r="L457" s="106"/>
      <c r="M457" s="107"/>
      <c r="W457" s="6"/>
      <c r="X457" s="6"/>
    </row>
    <row r="458" spans="1:24" s="1" customFormat="1" hidden="1" x14ac:dyDescent="0.25">
      <c r="A458" s="18"/>
      <c r="D458" s="102"/>
      <c r="E458" s="43"/>
      <c r="F458" s="38"/>
      <c r="G458" s="38"/>
      <c r="H458" s="38"/>
      <c r="I458" s="38"/>
      <c r="J458" s="105"/>
      <c r="K458" s="106"/>
      <c r="L458" s="106"/>
      <c r="M458" s="107"/>
      <c r="W458" s="6"/>
      <c r="X458" s="6"/>
    </row>
    <row r="459" spans="1:24" s="1" customFormat="1" hidden="1" x14ac:dyDescent="0.25">
      <c r="A459" s="18"/>
      <c r="D459" s="102"/>
      <c r="E459" s="43"/>
      <c r="F459" s="38"/>
      <c r="G459" s="38"/>
      <c r="H459" s="38"/>
      <c r="I459" s="38"/>
      <c r="J459" s="105"/>
      <c r="K459" s="106"/>
      <c r="L459" s="106"/>
      <c r="M459" s="107"/>
      <c r="W459" s="6"/>
      <c r="X459" s="6"/>
    </row>
    <row r="460" spans="1:24" s="1" customFormat="1" hidden="1" x14ac:dyDescent="0.25">
      <c r="A460" s="18"/>
      <c r="D460" s="102"/>
      <c r="E460" s="43"/>
      <c r="F460" s="38"/>
      <c r="G460" s="38"/>
      <c r="H460" s="38"/>
      <c r="I460" s="38"/>
      <c r="J460" s="105"/>
      <c r="K460" s="106"/>
      <c r="L460" s="106"/>
      <c r="M460" s="107"/>
      <c r="W460" s="6"/>
      <c r="X460" s="6"/>
    </row>
    <row r="461" spans="1:24" s="1" customFormat="1" hidden="1" x14ac:dyDescent="0.25">
      <c r="A461" s="18"/>
      <c r="D461" s="102"/>
      <c r="E461" s="43"/>
      <c r="F461" s="38"/>
      <c r="G461" s="38"/>
      <c r="H461" s="38"/>
      <c r="I461" s="38"/>
      <c r="J461" s="105"/>
      <c r="K461" s="106"/>
      <c r="L461" s="106"/>
      <c r="M461" s="107"/>
      <c r="W461" s="6"/>
      <c r="X461" s="6"/>
    </row>
    <row r="462" spans="1:24" s="1" customFormat="1" hidden="1" x14ac:dyDescent="0.25">
      <c r="A462" s="18"/>
      <c r="D462" s="102"/>
      <c r="E462" s="43"/>
      <c r="F462" s="38"/>
      <c r="G462" s="38"/>
      <c r="H462" s="38"/>
      <c r="I462" s="38"/>
      <c r="J462" s="105"/>
      <c r="K462" s="106"/>
      <c r="L462" s="106"/>
      <c r="M462" s="107"/>
      <c r="W462" s="6"/>
      <c r="X462" s="6"/>
    </row>
    <row r="463" spans="1:24" s="1" customFormat="1" hidden="1" x14ac:dyDescent="0.25">
      <c r="A463" s="18"/>
      <c r="D463" s="102"/>
      <c r="E463" s="43"/>
      <c r="F463" s="38"/>
      <c r="G463" s="38"/>
      <c r="H463" s="38"/>
      <c r="I463" s="38"/>
      <c r="J463" s="105"/>
      <c r="K463" s="106"/>
      <c r="L463" s="106"/>
      <c r="M463" s="107"/>
      <c r="W463" s="6"/>
      <c r="X463" s="6"/>
    </row>
    <row r="464" spans="1:24" s="1" customFormat="1" hidden="1" x14ac:dyDescent="0.25">
      <c r="A464" s="18"/>
      <c r="D464" s="102"/>
      <c r="E464" s="43"/>
      <c r="F464" s="38"/>
      <c r="G464" s="38"/>
      <c r="H464" s="38"/>
      <c r="I464" s="38"/>
      <c r="J464" s="105"/>
      <c r="K464" s="106"/>
      <c r="L464" s="106"/>
      <c r="M464" s="107"/>
      <c r="W464" s="6"/>
      <c r="X464" s="6"/>
    </row>
    <row r="465" spans="1:24" s="1" customFormat="1" hidden="1" x14ac:dyDescent="0.25">
      <c r="A465" s="18"/>
      <c r="D465" s="102"/>
      <c r="E465" s="43"/>
      <c r="F465" s="38"/>
      <c r="G465" s="38"/>
      <c r="H465" s="38"/>
      <c r="I465" s="38"/>
      <c r="J465" s="105"/>
      <c r="K465" s="106"/>
      <c r="L465" s="106"/>
      <c r="M465" s="107"/>
      <c r="W465" s="6"/>
      <c r="X465" s="6"/>
    </row>
    <row r="466" spans="1:24" s="1" customFormat="1" hidden="1" x14ac:dyDescent="0.25">
      <c r="A466" s="18"/>
      <c r="D466" s="102"/>
      <c r="E466" s="43"/>
      <c r="F466" s="38"/>
      <c r="G466" s="38"/>
      <c r="H466" s="38"/>
      <c r="I466" s="38"/>
      <c r="J466" s="105"/>
      <c r="K466" s="106"/>
      <c r="L466" s="106"/>
      <c r="M466" s="107"/>
      <c r="W466" s="6"/>
      <c r="X466" s="6"/>
    </row>
    <row r="467" spans="1:24" s="1" customFormat="1" hidden="1" x14ac:dyDescent="0.25">
      <c r="A467" s="18"/>
      <c r="D467" s="102"/>
      <c r="E467" s="43"/>
      <c r="F467" s="38"/>
      <c r="G467" s="38"/>
      <c r="H467" s="38"/>
      <c r="I467" s="38"/>
      <c r="J467" s="105"/>
      <c r="K467" s="106"/>
      <c r="L467" s="106"/>
      <c r="M467" s="107"/>
      <c r="W467" s="6"/>
      <c r="X467" s="6"/>
    </row>
    <row r="468" spans="1:24" s="1" customFormat="1" hidden="1" x14ac:dyDescent="0.25">
      <c r="A468" s="18"/>
      <c r="D468" s="102"/>
      <c r="E468" s="43"/>
      <c r="F468" s="38"/>
      <c r="G468" s="38"/>
      <c r="H468" s="38"/>
      <c r="I468" s="38"/>
      <c r="J468" s="105"/>
      <c r="K468" s="106"/>
      <c r="L468" s="106"/>
      <c r="M468" s="107"/>
      <c r="W468" s="6"/>
      <c r="X468" s="6"/>
    </row>
    <row r="469" spans="1:24" s="1" customFormat="1" hidden="1" x14ac:dyDescent="0.25">
      <c r="A469" s="18"/>
      <c r="D469" s="102"/>
      <c r="E469" s="43"/>
      <c r="F469" s="38"/>
      <c r="G469" s="38"/>
      <c r="H469" s="38"/>
      <c r="I469" s="38"/>
      <c r="J469" s="105"/>
      <c r="K469" s="106"/>
      <c r="L469" s="106"/>
      <c r="M469" s="107"/>
      <c r="W469" s="6"/>
      <c r="X469" s="6"/>
    </row>
    <row r="470" spans="1:24" s="1" customFormat="1" hidden="1" x14ac:dyDescent="0.25">
      <c r="A470" s="18"/>
      <c r="D470" s="102"/>
      <c r="E470" s="43"/>
      <c r="F470" s="38"/>
      <c r="G470" s="38"/>
      <c r="H470" s="38"/>
      <c r="I470" s="38"/>
      <c r="J470" s="105"/>
      <c r="K470" s="106"/>
      <c r="L470" s="106"/>
      <c r="M470" s="107"/>
      <c r="W470" s="6"/>
      <c r="X470" s="6"/>
    </row>
    <row r="471" spans="1:24" s="1" customFormat="1" hidden="1" x14ac:dyDescent="0.25">
      <c r="A471" s="18"/>
      <c r="D471" s="102"/>
      <c r="E471" s="43"/>
      <c r="F471" s="38"/>
      <c r="G471" s="38"/>
      <c r="H471" s="38"/>
      <c r="I471" s="38"/>
      <c r="J471" s="105"/>
      <c r="K471" s="106"/>
      <c r="L471" s="106"/>
      <c r="M471" s="107"/>
      <c r="W471" s="6"/>
      <c r="X471" s="6"/>
    </row>
    <row r="472" spans="1:24" s="1" customFormat="1" hidden="1" x14ac:dyDescent="0.25">
      <c r="A472" s="18"/>
      <c r="D472" s="102"/>
      <c r="E472" s="43"/>
      <c r="F472" s="38"/>
      <c r="G472" s="38"/>
      <c r="H472" s="38"/>
      <c r="I472" s="38"/>
      <c r="J472" s="105"/>
      <c r="K472" s="106"/>
      <c r="L472" s="106"/>
      <c r="M472" s="107"/>
      <c r="W472" s="6"/>
      <c r="X472" s="6"/>
    </row>
    <row r="473" spans="1:24" s="1" customFormat="1" hidden="1" x14ac:dyDescent="0.25">
      <c r="A473" s="18"/>
      <c r="D473" s="102"/>
      <c r="E473" s="43"/>
      <c r="F473" s="38"/>
      <c r="G473" s="38"/>
      <c r="H473" s="38"/>
      <c r="I473" s="38"/>
      <c r="J473" s="105"/>
      <c r="K473" s="106"/>
      <c r="L473" s="106"/>
      <c r="M473" s="107"/>
      <c r="W473" s="6"/>
      <c r="X473" s="6"/>
    </row>
    <row r="474" spans="1:24" s="1" customFormat="1" hidden="1" x14ac:dyDescent="0.25">
      <c r="A474" s="18"/>
      <c r="D474" s="102"/>
      <c r="E474" s="43"/>
      <c r="F474" s="38"/>
      <c r="G474" s="38"/>
      <c r="H474" s="38"/>
      <c r="I474" s="38"/>
      <c r="J474" s="105"/>
      <c r="K474" s="106"/>
      <c r="L474" s="106"/>
      <c r="M474" s="107"/>
      <c r="W474" s="6"/>
      <c r="X474" s="6"/>
    </row>
    <row r="475" spans="1:24" s="1" customFormat="1" hidden="1" x14ac:dyDescent="0.25">
      <c r="A475" s="18"/>
      <c r="D475" s="102"/>
      <c r="E475" s="43"/>
      <c r="F475" s="38"/>
      <c r="G475" s="38"/>
      <c r="H475" s="38"/>
      <c r="I475" s="38"/>
      <c r="J475" s="105"/>
      <c r="K475" s="106"/>
      <c r="L475" s="106"/>
      <c r="M475" s="107"/>
      <c r="W475" s="6"/>
      <c r="X475" s="6"/>
    </row>
    <row r="476" spans="1:24" s="1" customFormat="1" hidden="1" x14ac:dyDescent="0.25">
      <c r="A476" s="18"/>
      <c r="D476" s="102"/>
      <c r="E476" s="43"/>
      <c r="F476" s="38"/>
      <c r="G476" s="38"/>
      <c r="H476" s="38"/>
      <c r="I476" s="38"/>
      <c r="J476" s="105"/>
      <c r="K476" s="106"/>
      <c r="L476" s="106"/>
      <c r="M476" s="107"/>
      <c r="W476" s="6"/>
      <c r="X476" s="6"/>
    </row>
    <row r="477" spans="1:24" s="1" customFormat="1" hidden="1" x14ac:dyDescent="0.25">
      <c r="A477" s="18"/>
      <c r="D477" s="102"/>
      <c r="E477" s="43"/>
      <c r="F477" s="38"/>
      <c r="G477" s="38"/>
      <c r="H477" s="38"/>
      <c r="I477" s="38"/>
      <c r="J477" s="105"/>
      <c r="K477" s="106"/>
      <c r="L477" s="106"/>
      <c r="M477" s="107"/>
      <c r="W477" s="6"/>
      <c r="X477" s="6"/>
    </row>
    <row r="478" spans="1:24" s="1" customFormat="1" hidden="1" x14ac:dyDescent="0.25">
      <c r="A478" s="18"/>
      <c r="D478" s="102"/>
      <c r="E478" s="43"/>
      <c r="F478" s="38"/>
      <c r="G478" s="38"/>
      <c r="H478" s="38"/>
      <c r="I478" s="38"/>
      <c r="J478" s="105"/>
      <c r="K478" s="106"/>
      <c r="L478" s="106"/>
      <c r="M478" s="107"/>
      <c r="W478" s="6"/>
      <c r="X478" s="6"/>
    </row>
    <row r="479" spans="1:24" s="1" customFormat="1" hidden="1" x14ac:dyDescent="0.25">
      <c r="A479" s="18"/>
      <c r="D479" s="102"/>
      <c r="E479" s="43"/>
      <c r="F479" s="38"/>
      <c r="G479" s="38"/>
      <c r="H479" s="38"/>
      <c r="I479" s="38"/>
      <c r="J479" s="105"/>
      <c r="K479" s="106"/>
      <c r="L479" s="106"/>
      <c r="M479" s="107"/>
      <c r="W479" s="6"/>
      <c r="X479" s="6"/>
    </row>
    <row r="480" spans="1:24" s="1" customFormat="1" hidden="1" x14ac:dyDescent="0.25">
      <c r="A480" s="18"/>
      <c r="D480" s="102"/>
      <c r="E480" s="43"/>
      <c r="F480" s="38"/>
      <c r="G480" s="38"/>
      <c r="H480" s="38"/>
      <c r="I480" s="38"/>
      <c r="J480" s="105"/>
      <c r="K480" s="106"/>
      <c r="L480" s="106"/>
      <c r="M480" s="107"/>
      <c r="W480" s="6"/>
      <c r="X480" s="6"/>
    </row>
    <row r="481" spans="1:24" s="1" customFormat="1" hidden="1" x14ac:dyDescent="0.25">
      <c r="A481" s="18"/>
      <c r="D481" s="102"/>
      <c r="E481" s="43"/>
      <c r="F481" s="38"/>
      <c r="G481" s="38"/>
      <c r="H481" s="38"/>
      <c r="I481" s="38"/>
      <c r="J481" s="105"/>
      <c r="K481" s="106"/>
      <c r="L481" s="106"/>
      <c r="M481" s="107"/>
      <c r="W481" s="6"/>
      <c r="X481" s="6"/>
    </row>
    <row r="482" spans="1:24" s="1" customFormat="1" hidden="1" x14ac:dyDescent="0.25">
      <c r="A482" s="18"/>
      <c r="D482" s="102"/>
      <c r="E482" s="43"/>
      <c r="F482" s="38"/>
      <c r="G482" s="38"/>
      <c r="H482" s="38"/>
      <c r="I482" s="38"/>
      <c r="J482" s="105"/>
      <c r="K482" s="106"/>
      <c r="L482" s="106"/>
      <c r="M482" s="107"/>
      <c r="W482" s="6"/>
      <c r="X482" s="6"/>
    </row>
    <row r="483" spans="1:24" s="1" customFormat="1" hidden="1" x14ac:dyDescent="0.25">
      <c r="A483" s="18"/>
      <c r="D483" s="102"/>
      <c r="E483" s="43"/>
      <c r="F483" s="38"/>
      <c r="G483" s="38"/>
      <c r="H483" s="38"/>
      <c r="I483" s="38"/>
      <c r="J483" s="105"/>
      <c r="K483" s="106"/>
      <c r="L483" s="106"/>
      <c r="M483" s="107"/>
      <c r="W483" s="6"/>
      <c r="X483" s="6"/>
    </row>
    <row r="484" spans="1:24" s="1" customFormat="1" hidden="1" x14ac:dyDescent="0.25">
      <c r="A484" s="18"/>
      <c r="D484" s="102"/>
      <c r="E484" s="43"/>
      <c r="F484" s="38"/>
      <c r="G484" s="38"/>
      <c r="H484" s="38"/>
      <c r="I484" s="38"/>
      <c r="J484" s="105"/>
      <c r="K484" s="106"/>
      <c r="L484" s="106"/>
      <c r="M484" s="107"/>
      <c r="W484" s="6"/>
      <c r="X484" s="6"/>
    </row>
    <row r="485" spans="1:24" s="1" customFormat="1" hidden="1" x14ac:dyDescent="0.25">
      <c r="A485" s="18"/>
      <c r="D485" s="102"/>
      <c r="E485" s="43"/>
      <c r="F485" s="38"/>
      <c r="G485" s="38"/>
      <c r="H485" s="38"/>
      <c r="I485" s="38"/>
      <c r="J485" s="105"/>
      <c r="K485" s="106"/>
      <c r="L485" s="106"/>
      <c r="M485" s="107"/>
      <c r="W485" s="6"/>
      <c r="X485" s="6"/>
    </row>
    <row r="486" spans="1:24" s="1" customFormat="1" hidden="1" x14ac:dyDescent="0.25">
      <c r="A486" s="18"/>
      <c r="D486" s="102"/>
      <c r="E486" s="43"/>
      <c r="F486" s="38"/>
      <c r="G486" s="38"/>
      <c r="H486" s="38"/>
      <c r="I486" s="38"/>
      <c r="J486" s="105"/>
      <c r="K486" s="106"/>
      <c r="L486" s="106"/>
      <c r="M486" s="107"/>
      <c r="W486" s="6"/>
      <c r="X486" s="6"/>
    </row>
    <row r="487" spans="1:24" s="1" customFormat="1" hidden="1" x14ac:dyDescent="0.25">
      <c r="A487" s="18"/>
      <c r="D487" s="102"/>
      <c r="E487" s="43"/>
      <c r="F487" s="38"/>
      <c r="G487" s="38"/>
      <c r="H487" s="38"/>
      <c r="I487" s="38"/>
      <c r="J487" s="105"/>
      <c r="K487" s="106"/>
      <c r="L487" s="106"/>
      <c r="M487" s="107"/>
      <c r="W487" s="6"/>
      <c r="X487" s="6"/>
    </row>
    <row r="488" spans="1:24" s="1" customFormat="1" hidden="1" x14ac:dyDescent="0.25">
      <c r="A488" s="18"/>
      <c r="D488" s="102"/>
      <c r="E488" s="43"/>
      <c r="F488" s="38"/>
      <c r="G488" s="38"/>
      <c r="H488" s="38"/>
      <c r="I488" s="38"/>
      <c r="J488" s="105"/>
      <c r="K488" s="106"/>
      <c r="L488" s="106"/>
      <c r="M488" s="107"/>
      <c r="W488" s="6"/>
      <c r="X488" s="6"/>
    </row>
    <row r="489" spans="1:24" s="1" customFormat="1" hidden="1" x14ac:dyDescent="0.25">
      <c r="A489" s="18"/>
      <c r="D489" s="102"/>
      <c r="E489" s="43"/>
      <c r="F489" s="38"/>
      <c r="G489" s="38"/>
      <c r="H489" s="38"/>
      <c r="I489" s="38"/>
      <c r="J489" s="105"/>
      <c r="K489" s="106"/>
      <c r="L489" s="106"/>
      <c r="M489" s="107"/>
      <c r="W489" s="6"/>
      <c r="X489" s="6"/>
    </row>
    <row r="490" spans="1:24" s="1" customFormat="1" hidden="1" x14ac:dyDescent="0.25">
      <c r="A490" s="18"/>
      <c r="D490" s="102"/>
      <c r="E490" s="43"/>
      <c r="F490" s="38"/>
      <c r="G490" s="38"/>
      <c r="H490" s="38"/>
      <c r="I490" s="38"/>
      <c r="J490" s="105"/>
      <c r="K490" s="106"/>
      <c r="L490" s="106"/>
      <c r="M490" s="107"/>
      <c r="W490" s="6"/>
      <c r="X490" s="6"/>
    </row>
    <row r="491" spans="1:24" s="1" customFormat="1" hidden="1" x14ac:dyDescent="0.25">
      <c r="A491" s="18"/>
      <c r="D491" s="102"/>
      <c r="E491" s="43"/>
      <c r="F491" s="38"/>
      <c r="G491" s="38"/>
      <c r="H491" s="38"/>
      <c r="I491" s="38"/>
      <c r="J491" s="105"/>
      <c r="K491" s="106"/>
      <c r="L491" s="106"/>
      <c r="M491" s="107"/>
      <c r="W491" s="6"/>
      <c r="X491" s="6"/>
    </row>
    <row r="492" spans="1:24" s="1" customFormat="1" hidden="1" x14ac:dyDescent="0.25">
      <c r="A492" s="18"/>
      <c r="D492" s="102"/>
      <c r="E492" s="43"/>
      <c r="F492" s="38"/>
      <c r="G492" s="38"/>
      <c r="H492" s="38"/>
      <c r="I492" s="38"/>
      <c r="J492" s="105"/>
      <c r="K492" s="106"/>
      <c r="L492" s="106"/>
      <c r="M492" s="107"/>
      <c r="W492" s="6"/>
      <c r="X492" s="6"/>
    </row>
    <row r="493" spans="1:24" s="1" customFormat="1" hidden="1" x14ac:dyDescent="0.25">
      <c r="A493" s="18"/>
      <c r="D493" s="102"/>
      <c r="E493" s="43"/>
      <c r="F493" s="38"/>
      <c r="G493" s="38"/>
      <c r="H493" s="38"/>
      <c r="I493" s="38"/>
      <c r="J493" s="105"/>
      <c r="K493" s="106"/>
      <c r="L493" s="106"/>
      <c r="M493" s="107"/>
      <c r="W493" s="6"/>
      <c r="X493" s="6"/>
    </row>
    <row r="494" spans="1:24" s="1" customFormat="1" hidden="1" x14ac:dyDescent="0.25">
      <c r="A494" s="18"/>
      <c r="D494" s="102"/>
      <c r="E494" s="43"/>
      <c r="F494" s="38"/>
      <c r="G494" s="38"/>
      <c r="H494" s="38"/>
      <c r="I494" s="38"/>
      <c r="J494" s="105"/>
      <c r="K494" s="106"/>
      <c r="L494" s="106"/>
      <c r="M494" s="107"/>
      <c r="W494" s="6"/>
      <c r="X494" s="6"/>
    </row>
    <row r="495" spans="1:24" s="1" customFormat="1" hidden="1" x14ac:dyDescent="0.25">
      <c r="A495" s="18"/>
      <c r="D495" s="102"/>
      <c r="E495" s="43"/>
      <c r="F495" s="38"/>
      <c r="G495" s="38"/>
      <c r="H495" s="38"/>
      <c r="I495" s="38"/>
      <c r="J495" s="105"/>
      <c r="K495" s="106"/>
      <c r="L495" s="106"/>
      <c r="M495" s="107"/>
      <c r="W495" s="6"/>
      <c r="X495" s="6"/>
    </row>
    <row r="496" spans="1:24" s="1" customFormat="1" hidden="1" x14ac:dyDescent="0.25">
      <c r="A496" s="18"/>
      <c r="D496" s="102"/>
      <c r="E496" s="43"/>
      <c r="F496" s="38"/>
      <c r="G496" s="38"/>
      <c r="H496" s="38"/>
      <c r="I496" s="38"/>
      <c r="J496" s="105"/>
      <c r="K496" s="106"/>
      <c r="L496" s="106"/>
      <c r="M496" s="107"/>
      <c r="W496" s="6"/>
      <c r="X496" s="6"/>
    </row>
    <row r="497" spans="1:24" s="1" customFormat="1" hidden="1" x14ac:dyDescent="0.25">
      <c r="A497" s="18"/>
      <c r="D497" s="102"/>
      <c r="E497" s="43"/>
      <c r="F497" s="38"/>
      <c r="G497" s="38"/>
      <c r="H497" s="38"/>
      <c r="I497" s="38"/>
      <c r="J497" s="105"/>
      <c r="K497" s="106"/>
      <c r="L497" s="106"/>
      <c r="M497" s="107"/>
      <c r="W497" s="6"/>
      <c r="X497" s="6"/>
    </row>
    <row r="498" spans="1:24" s="1" customFormat="1" hidden="1" x14ac:dyDescent="0.25">
      <c r="A498" s="18"/>
      <c r="D498" s="102"/>
      <c r="E498" s="43"/>
      <c r="F498" s="38"/>
      <c r="G498" s="38"/>
      <c r="H498" s="38"/>
      <c r="I498" s="38"/>
      <c r="J498" s="105"/>
      <c r="K498" s="106"/>
      <c r="L498" s="106"/>
      <c r="M498" s="107"/>
      <c r="W498" s="6"/>
      <c r="X498" s="6"/>
    </row>
    <row r="499" spans="1:24" s="1" customFormat="1" hidden="1" x14ac:dyDescent="0.25">
      <c r="A499" s="18"/>
      <c r="D499" s="102"/>
      <c r="E499" s="43"/>
      <c r="F499" s="38"/>
      <c r="G499" s="38"/>
      <c r="H499" s="38"/>
      <c r="I499" s="38"/>
      <c r="J499" s="105"/>
      <c r="K499" s="106"/>
      <c r="L499" s="106"/>
      <c r="M499" s="107"/>
      <c r="W499" s="6"/>
      <c r="X499" s="6"/>
    </row>
    <row r="500" spans="1:24" s="1" customFormat="1" hidden="1" x14ac:dyDescent="0.25">
      <c r="A500" s="18"/>
      <c r="D500" s="102"/>
      <c r="E500" s="43"/>
      <c r="F500" s="38"/>
      <c r="G500" s="38"/>
      <c r="H500" s="38"/>
      <c r="I500" s="38"/>
      <c r="J500" s="105"/>
      <c r="K500" s="106"/>
      <c r="L500" s="106"/>
      <c r="M500" s="107"/>
      <c r="W500" s="6"/>
      <c r="X500" s="6"/>
    </row>
    <row r="501" spans="1:24" s="1" customFormat="1" hidden="1" x14ac:dyDescent="0.25">
      <c r="A501" s="18"/>
      <c r="D501" s="102"/>
      <c r="E501" s="43"/>
      <c r="F501" s="38"/>
      <c r="G501" s="38"/>
      <c r="H501" s="38"/>
      <c r="I501" s="38"/>
      <c r="J501" s="105"/>
      <c r="K501" s="106"/>
      <c r="L501" s="106"/>
      <c r="M501" s="107"/>
      <c r="W501" s="6"/>
      <c r="X501" s="6"/>
    </row>
    <row r="502" spans="1:24" s="1" customFormat="1" hidden="1" x14ac:dyDescent="0.25">
      <c r="A502" s="18"/>
      <c r="D502" s="102"/>
      <c r="E502" s="43"/>
      <c r="F502" s="38"/>
      <c r="G502" s="38"/>
      <c r="H502" s="38"/>
      <c r="I502" s="38"/>
      <c r="J502" s="105"/>
      <c r="K502" s="106"/>
      <c r="L502" s="106"/>
      <c r="M502" s="107"/>
      <c r="W502" s="6"/>
      <c r="X502" s="6"/>
    </row>
    <row r="503" spans="1:24" s="1" customFormat="1" hidden="1" x14ac:dyDescent="0.25">
      <c r="A503" s="18"/>
      <c r="D503" s="102"/>
      <c r="E503" s="43"/>
      <c r="F503" s="38"/>
      <c r="G503" s="38"/>
      <c r="H503" s="38"/>
      <c r="I503" s="38"/>
      <c r="J503" s="105"/>
      <c r="K503" s="106"/>
      <c r="L503" s="106"/>
      <c r="M503" s="107"/>
      <c r="W503" s="6"/>
      <c r="X503" s="6"/>
    </row>
    <row r="504" spans="1:24" s="1" customFormat="1" hidden="1" x14ac:dyDescent="0.25">
      <c r="A504" s="18"/>
      <c r="D504" s="102"/>
      <c r="E504" s="43"/>
      <c r="F504" s="38"/>
      <c r="G504" s="38"/>
      <c r="H504" s="38"/>
      <c r="I504" s="38"/>
      <c r="J504" s="105"/>
      <c r="K504" s="106"/>
      <c r="L504" s="106"/>
      <c r="M504" s="107"/>
      <c r="W504" s="6"/>
      <c r="X504" s="6"/>
    </row>
    <row r="505" spans="1:24" s="1" customFormat="1" hidden="1" x14ac:dyDescent="0.25">
      <c r="A505" s="18"/>
      <c r="D505" s="102"/>
      <c r="E505" s="43"/>
      <c r="F505" s="38"/>
      <c r="G505" s="38"/>
      <c r="H505" s="38"/>
      <c r="I505" s="38"/>
      <c r="J505" s="105"/>
      <c r="K505" s="106"/>
      <c r="L505" s="106"/>
      <c r="M505" s="107"/>
      <c r="W505" s="6"/>
      <c r="X505" s="6"/>
    </row>
    <row r="506" spans="1:24" s="1" customFormat="1" hidden="1" x14ac:dyDescent="0.25">
      <c r="A506" s="18"/>
      <c r="D506" s="102"/>
      <c r="E506" s="43"/>
      <c r="F506" s="38"/>
      <c r="G506" s="38"/>
      <c r="H506" s="38"/>
      <c r="I506" s="38"/>
      <c r="J506" s="105"/>
      <c r="K506" s="106"/>
      <c r="L506" s="106"/>
      <c r="M506" s="107"/>
      <c r="W506" s="6"/>
      <c r="X506" s="6"/>
    </row>
    <row r="507" spans="1:24" s="1" customFormat="1" hidden="1" x14ac:dyDescent="0.25">
      <c r="A507" s="18"/>
      <c r="D507" s="102"/>
      <c r="E507" s="43"/>
      <c r="F507" s="38"/>
      <c r="G507" s="38"/>
      <c r="H507" s="38"/>
      <c r="I507" s="38"/>
      <c r="J507" s="105"/>
      <c r="K507" s="106"/>
      <c r="L507" s="106"/>
      <c r="M507" s="107"/>
      <c r="W507" s="6"/>
      <c r="X507" s="6"/>
    </row>
    <row r="508" spans="1:24" s="1" customFormat="1" hidden="1" x14ac:dyDescent="0.25">
      <c r="A508" s="18"/>
      <c r="D508" s="102"/>
      <c r="E508" s="43"/>
      <c r="F508" s="38"/>
      <c r="G508" s="38"/>
      <c r="H508" s="38"/>
      <c r="I508" s="38"/>
      <c r="J508" s="105"/>
      <c r="K508" s="106"/>
      <c r="L508" s="106"/>
      <c r="M508" s="107"/>
      <c r="W508" s="6"/>
      <c r="X508" s="6"/>
    </row>
    <row r="509" spans="1:24" s="1" customFormat="1" hidden="1" x14ac:dyDescent="0.25">
      <c r="A509" s="18"/>
      <c r="D509" s="102"/>
      <c r="E509" s="43"/>
      <c r="F509" s="38"/>
      <c r="G509" s="38"/>
      <c r="H509" s="38"/>
      <c r="I509" s="38"/>
      <c r="J509" s="105"/>
      <c r="K509" s="106"/>
      <c r="L509" s="106"/>
      <c r="M509" s="107"/>
      <c r="W509" s="6"/>
      <c r="X509" s="6"/>
    </row>
    <row r="510" spans="1:24" s="1" customFormat="1" hidden="1" x14ac:dyDescent="0.25">
      <c r="A510" s="18"/>
      <c r="D510" s="102"/>
      <c r="E510" s="43"/>
      <c r="F510" s="38"/>
      <c r="G510" s="38"/>
      <c r="H510" s="38"/>
      <c r="I510" s="38"/>
      <c r="J510" s="105"/>
      <c r="K510" s="106"/>
      <c r="L510" s="106"/>
      <c r="M510" s="107"/>
      <c r="W510" s="6"/>
      <c r="X510" s="6"/>
    </row>
    <row r="511" spans="1:24" s="1" customFormat="1" hidden="1" x14ac:dyDescent="0.25">
      <c r="A511" s="18"/>
      <c r="D511" s="102"/>
      <c r="E511" s="43"/>
      <c r="F511" s="38"/>
      <c r="G511" s="38"/>
      <c r="H511" s="38"/>
      <c r="I511" s="38"/>
      <c r="J511" s="105"/>
      <c r="K511" s="106"/>
      <c r="L511" s="106"/>
      <c r="M511" s="107"/>
      <c r="W511" s="6"/>
      <c r="X511" s="6"/>
    </row>
    <row r="512" spans="1:24" s="1" customFormat="1" hidden="1" x14ac:dyDescent="0.25">
      <c r="A512" s="18"/>
      <c r="D512" s="102"/>
      <c r="E512" s="43"/>
      <c r="F512" s="38"/>
      <c r="G512" s="38"/>
      <c r="H512" s="38"/>
      <c r="I512" s="38"/>
      <c r="J512" s="105"/>
      <c r="K512" s="106"/>
      <c r="L512" s="106"/>
      <c r="M512" s="107"/>
      <c r="W512" s="6"/>
      <c r="X512" s="6"/>
    </row>
    <row r="513" spans="1:24" s="1" customFormat="1" hidden="1" x14ac:dyDescent="0.25">
      <c r="A513" s="18"/>
      <c r="D513" s="102"/>
      <c r="E513" s="43"/>
      <c r="F513" s="38"/>
      <c r="G513" s="38"/>
      <c r="H513" s="38"/>
      <c r="I513" s="38"/>
      <c r="J513" s="105"/>
      <c r="K513" s="106"/>
      <c r="L513" s="106"/>
      <c r="M513" s="107"/>
      <c r="W513" s="6"/>
      <c r="X513" s="6"/>
    </row>
    <row r="514" spans="1:24" s="1" customFormat="1" hidden="1" x14ac:dyDescent="0.25">
      <c r="A514" s="18"/>
      <c r="D514" s="102"/>
      <c r="E514" s="43"/>
      <c r="F514" s="38"/>
      <c r="G514" s="38"/>
      <c r="H514" s="38"/>
      <c r="I514" s="38"/>
      <c r="J514" s="105"/>
      <c r="K514" s="106"/>
      <c r="L514" s="106"/>
      <c r="M514" s="107"/>
      <c r="W514" s="6"/>
      <c r="X514" s="6"/>
    </row>
    <row r="515" spans="1:24" s="1" customFormat="1" hidden="1" x14ac:dyDescent="0.25">
      <c r="A515" s="18"/>
      <c r="D515" s="102"/>
      <c r="E515" s="43"/>
      <c r="F515" s="38"/>
      <c r="G515" s="38"/>
      <c r="H515" s="38"/>
      <c r="I515" s="38"/>
      <c r="J515" s="105"/>
      <c r="K515" s="106"/>
      <c r="L515" s="106"/>
      <c r="M515" s="107"/>
      <c r="W515" s="6"/>
      <c r="X515" s="6"/>
    </row>
    <row r="516" spans="1:24" s="1" customFormat="1" hidden="1" x14ac:dyDescent="0.25">
      <c r="A516" s="18"/>
      <c r="D516" s="102"/>
      <c r="E516" s="43"/>
      <c r="F516" s="38"/>
      <c r="G516" s="38"/>
      <c r="H516" s="38"/>
      <c r="I516" s="38"/>
      <c r="J516" s="105"/>
      <c r="K516" s="106"/>
      <c r="L516" s="106"/>
      <c r="M516" s="107"/>
      <c r="W516" s="6"/>
      <c r="X516" s="6"/>
    </row>
    <row r="517" spans="1:24" s="1" customFormat="1" hidden="1" x14ac:dyDescent="0.25">
      <c r="A517" s="18"/>
      <c r="D517" s="102"/>
      <c r="E517" s="43"/>
      <c r="F517" s="38"/>
      <c r="G517" s="38"/>
      <c r="H517" s="38"/>
      <c r="I517" s="38"/>
      <c r="J517" s="105"/>
      <c r="K517" s="106"/>
      <c r="L517" s="106"/>
      <c r="M517" s="107"/>
      <c r="W517" s="6"/>
      <c r="X517" s="6"/>
    </row>
    <row r="518" spans="1:24" s="1" customFormat="1" hidden="1" x14ac:dyDescent="0.25">
      <c r="A518" s="18"/>
      <c r="D518" s="102"/>
      <c r="E518" s="43"/>
      <c r="F518" s="38"/>
      <c r="G518" s="38"/>
      <c r="H518" s="38"/>
      <c r="I518" s="38"/>
      <c r="J518" s="105"/>
      <c r="K518" s="106"/>
      <c r="L518" s="106"/>
      <c r="M518" s="107"/>
      <c r="W518" s="6"/>
      <c r="X518" s="6"/>
    </row>
    <row r="519" spans="1:24" s="1" customFormat="1" hidden="1" x14ac:dyDescent="0.25">
      <c r="A519" s="18"/>
      <c r="D519" s="102"/>
      <c r="E519" s="43"/>
      <c r="F519" s="38"/>
      <c r="G519" s="38"/>
      <c r="H519" s="38"/>
      <c r="I519" s="38"/>
      <c r="J519" s="105"/>
      <c r="K519" s="106"/>
      <c r="L519" s="106"/>
      <c r="M519" s="107"/>
      <c r="W519" s="6"/>
      <c r="X519" s="6"/>
    </row>
    <row r="520" spans="1:24" s="1" customFormat="1" hidden="1" x14ac:dyDescent="0.25">
      <c r="A520" s="18"/>
      <c r="D520" s="102"/>
      <c r="E520" s="43"/>
      <c r="F520" s="38"/>
      <c r="G520" s="38"/>
      <c r="H520" s="38"/>
      <c r="I520" s="38"/>
      <c r="J520" s="105"/>
      <c r="K520" s="106"/>
      <c r="L520" s="106"/>
      <c r="M520" s="107"/>
      <c r="W520" s="6"/>
      <c r="X520" s="6"/>
    </row>
    <row r="521" spans="1:24" s="1" customFormat="1" hidden="1" x14ac:dyDescent="0.25">
      <c r="A521" s="18"/>
      <c r="D521" s="102"/>
      <c r="E521" s="43"/>
      <c r="F521" s="38"/>
      <c r="G521" s="38"/>
      <c r="H521" s="38"/>
      <c r="I521" s="38"/>
      <c r="J521" s="105"/>
      <c r="K521" s="106"/>
      <c r="L521" s="106"/>
      <c r="M521" s="107"/>
      <c r="W521" s="6"/>
      <c r="X521" s="6"/>
    </row>
    <row r="522" spans="1:24" s="1" customFormat="1" hidden="1" x14ac:dyDescent="0.25">
      <c r="A522" s="18"/>
      <c r="D522" s="102"/>
      <c r="E522" s="43"/>
      <c r="F522" s="38"/>
      <c r="G522" s="38"/>
      <c r="H522" s="38"/>
      <c r="I522" s="38"/>
      <c r="J522" s="105"/>
      <c r="K522" s="106"/>
      <c r="L522" s="106"/>
      <c r="M522" s="107"/>
      <c r="W522" s="6"/>
      <c r="X522" s="6"/>
    </row>
    <row r="523" spans="1:24" s="1" customFormat="1" hidden="1" x14ac:dyDescent="0.25">
      <c r="A523" s="18"/>
      <c r="D523" s="102"/>
      <c r="E523" s="43"/>
      <c r="F523" s="38"/>
      <c r="G523" s="38"/>
      <c r="H523" s="38"/>
      <c r="I523" s="38"/>
      <c r="J523" s="105"/>
      <c r="K523" s="106"/>
      <c r="L523" s="106"/>
      <c r="M523" s="107"/>
      <c r="W523" s="6"/>
      <c r="X523" s="6"/>
    </row>
    <row r="524" spans="1:24" s="1" customFormat="1" hidden="1" x14ac:dyDescent="0.25">
      <c r="A524" s="18"/>
      <c r="D524" s="102"/>
      <c r="E524" s="43"/>
      <c r="F524" s="38"/>
      <c r="G524" s="38"/>
      <c r="H524" s="38"/>
      <c r="I524" s="38"/>
      <c r="J524" s="105"/>
      <c r="K524" s="106"/>
      <c r="L524" s="106"/>
      <c r="M524" s="107"/>
      <c r="W524" s="6"/>
      <c r="X524" s="6"/>
    </row>
    <row r="525" spans="1:24" s="1" customFormat="1" hidden="1" x14ac:dyDescent="0.25">
      <c r="A525" s="18"/>
      <c r="D525" s="102"/>
      <c r="E525" s="43"/>
      <c r="F525" s="38"/>
      <c r="G525" s="38"/>
      <c r="H525" s="38"/>
      <c r="I525" s="38"/>
      <c r="J525" s="105"/>
      <c r="K525" s="106"/>
      <c r="L525" s="106"/>
      <c r="M525" s="107"/>
      <c r="W525" s="6"/>
      <c r="X525" s="6"/>
    </row>
    <row r="526" spans="1:24" s="1" customFormat="1" hidden="1" x14ac:dyDescent="0.25">
      <c r="A526" s="18"/>
      <c r="D526" s="102"/>
      <c r="E526" s="43"/>
      <c r="F526" s="38"/>
      <c r="G526" s="38"/>
      <c r="H526" s="38"/>
      <c r="I526" s="38"/>
      <c r="J526" s="105"/>
      <c r="K526" s="106"/>
      <c r="L526" s="106"/>
      <c r="M526" s="107"/>
      <c r="W526" s="6"/>
      <c r="X526" s="6"/>
    </row>
    <row r="527" spans="1:24" s="1" customFormat="1" hidden="1" x14ac:dyDescent="0.25">
      <c r="A527" s="18"/>
      <c r="D527" s="102"/>
      <c r="E527" s="43"/>
      <c r="F527" s="38"/>
      <c r="G527" s="38"/>
      <c r="H527" s="38"/>
      <c r="I527" s="38"/>
      <c r="J527" s="105"/>
      <c r="K527" s="106"/>
      <c r="L527" s="106"/>
      <c r="M527" s="107"/>
      <c r="W527" s="6"/>
      <c r="X527" s="6"/>
    </row>
    <row r="528" spans="1:24" s="1" customFormat="1" hidden="1" x14ac:dyDescent="0.25">
      <c r="A528" s="18"/>
      <c r="D528" s="102"/>
      <c r="E528" s="43"/>
      <c r="F528" s="38"/>
      <c r="G528" s="38"/>
      <c r="H528" s="38"/>
      <c r="I528" s="38"/>
      <c r="J528" s="105"/>
      <c r="K528" s="106"/>
      <c r="L528" s="106"/>
      <c r="M528" s="107"/>
      <c r="W528" s="6"/>
      <c r="X528" s="6"/>
    </row>
    <row r="529" spans="1:24" s="1" customFormat="1" hidden="1" x14ac:dyDescent="0.25">
      <c r="A529" s="18"/>
      <c r="D529" s="102"/>
      <c r="E529" s="43"/>
      <c r="F529" s="38"/>
      <c r="G529" s="38"/>
      <c r="H529" s="38"/>
      <c r="I529" s="38"/>
      <c r="J529" s="105"/>
      <c r="K529" s="106"/>
      <c r="L529" s="106"/>
      <c r="M529" s="107"/>
      <c r="W529" s="6"/>
      <c r="X529" s="6"/>
    </row>
    <row r="530" spans="1:24" s="1" customFormat="1" hidden="1" x14ac:dyDescent="0.25">
      <c r="A530" s="18"/>
      <c r="D530" s="102"/>
      <c r="E530" s="43"/>
      <c r="F530" s="38"/>
      <c r="G530" s="38"/>
      <c r="H530" s="38"/>
      <c r="I530" s="38"/>
      <c r="J530" s="105"/>
      <c r="K530" s="106"/>
      <c r="L530" s="106"/>
      <c r="M530" s="107"/>
      <c r="W530" s="6"/>
      <c r="X530" s="6"/>
    </row>
    <row r="531" spans="1:24" s="1" customFormat="1" hidden="1" x14ac:dyDescent="0.25">
      <c r="A531" s="18"/>
      <c r="D531" s="102"/>
      <c r="E531" s="43"/>
      <c r="F531" s="38"/>
      <c r="G531" s="38"/>
      <c r="H531" s="38"/>
      <c r="I531" s="38"/>
      <c r="J531" s="105"/>
      <c r="K531" s="106"/>
      <c r="L531" s="106"/>
      <c r="M531" s="107"/>
      <c r="W531" s="6"/>
      <c r="X531" s="6"/>
    </row>
    <row r="532" spans="1:24" s="1" customFormat="1" hidden="1" x14ac:dyDescent="0.25">
      <c r="A532" s="18"/>
      <c r="D532" s="102"/>
      <c r="E532" s="43"/>
      <c r="F532" s="38"/>
      <c r="G532" s="38"/>
      <c r="H532" s="38"/>
      <c r="I532" s="38"/>
      <c r="J532" s="105"/>
      <c r="K532" s="106"/>
      <c r="L532" s="106"/>
      <c r="M532" s="107"/>
      <c r="W532" s="6"/>
      <c r="X532" s="6"/>
    </row>
    <row r="533" spans="1:24" s="1" customFormat="1" hidden="1" x14ac:dyDescent="0.25">
      <c r="A533" s="18"/>
      <c r="D533" s="102"/>
      <c r="E533" s="43"/>
      <c r="F533" s="38"/>
      <c r="G533" s="38"/>
      <c r="H533" s="38"/>
      <c r="I533" s="38"/>
      <c r="J533" s="105"/>
      <c r="K533" s="106"/>
      <c r="L533" s="106"/>
      <c r="M533" s="107"/>
      <c r="W533" s="6"/>
      <c r="X533" s="6"/>
    </row>
    <row r="534" spans="1:24" s="1" customFormat="1" hidden="1" x14ac:dyDescent="0.25">
      <c r="A534" s="18"/>
      <c r="D534" s="102"/>
      <c r="E534" s="43"/>
      <c r="F534" s="38"/>
      <c r="G534" s="38"/>
      <c r="H534" s="38"/>
      <c r="I534" s="38"/>
      <c r="J534" s="105"/>
      <c r="K534" s="106"/>
      <c r="L534" s="106"/>
      <c r="M534" s="107"/>
      <c r="W534" s="6"/>
      <c r="X534" s="6"/>
    </row>
    <row r="535" spans="1:24" s="1" customFormat="1" hidden="1" x14ac:dyDescent="0.25">
      <c r="A535" s="18"/>
      <c r="D535" s="102"/>
      <c r="E535" s="43"/>
      <c r="F535" s="38"/>
      <c r="G535" s="38"/>
      <c r="H535" s="38"/>
      <c r="I535" s="38"/>
      <c r="J535" s="105"/>
      <c r="K535" s="106"/>
      <c r="L535" s="106"/>
      <c r="M535" s="107"/>
      <c r="W535" s="6"/>
      <c r="X535" s="6"/>
    </row>
    <row r="536" spans="1:24" s="1" customFormat="1" hidden="1" x14ac:dyDescent="0.25">
      <c r="A536" s="18"/>
      <c r="D536" s="102"/>
      <c r="E536" s="43"/>
      <c r="F536" s="38"/>
      <c r="G536" s="38"/>
      <c r="H536" s="38"/>
      <c r="I536" s="38"/>
      <c r="J536" s="105"/>
      <c r="K536" s="106"/>
      <c r="L536" s="106"/>
      <c r="M536" s="107"/>
      <c r="W536" s="6"/>
      <c r="X536" s="6"/>
    </row>
    <row r="537" spans="1:24" s="1" customFormat="1" hidden="1" x14ac:dyDescent="0.25">
      <c r="A537" s="18"/>
      <c r="D537" s="102"/>
      <c r="E537" s="43"/>
      <c r="F537" s="38"/>
      <c r="G537" s="38"/>
      <c r="H537" s="38"/>
      <c r="I537" s="38"/>
      <c r="J537" s="105"/>
      <c r="K537" s="106"/>
      <c r="L537" s="106"/>
      <c r="M537" s="107"/>
      <c r="W537" s="6"/>
      <c r="X537" s="6"/>
    </row>
    <row r="538" spans="1:24" s="1" customFormat="1" hidden="1" x14ac:dyDescent="0.25">
      <c r="A538" s="18"/>
      <c r="D538" s="102"/>
      <c r="E538" s="43"/>
      <c r="F538" s="38"/>
      <c r="G538" s="38"/>
      <c r="H538" s="38"/>
      <c r="I538" s="38"/>
      <c r="J538" s="105"/>
      <c r="K538" s="106"/>
      <c r="L538" s="106"/>
      <c r="M538" s="107"/>
      <c r="W538" s="6"/>
      <c r="X538" s="6"/>
    </row>
    <row r="539" spans="1:24" s="1" customFormat="1" hidden="1" x14ac:dyDescent="0.25">
      <c r="A539" s="18"/>
      <c r="D539" s="102"/>
      <c r="E539" s="43"/>
      <c r="F539" s="38"/>
      <c r="G539" s="38"/>
      <c r="H539" s="38"/>
      <c r="I539" s="38"/>
      <c r="J539" s="105"/>
      <c r="K539" s="106"/>
      <c r="L539" s="106"/>
      <c r="M539" s="107"/>
      <c r="W539" s="6"/>
      <c r="X539" s="6"/>
    </row>
    <row r="540" spans="1:24" s="1" customFormat="1" hidden="1" x14ac:dyDescent="0.25">
      <c r="A540" s="18"/>
      <c r="D540" s="102"/>
      <c r="E540" s="43"/>
      <c r="F540" s="38"/>
      <c r="G540" s="38"/>
      <c r="H540" s="38"/>
      <c r="I540" s="38"/>
      <c r="J540" s="105"/>
      <c r="K540" s="106"/>
      <c r="L540" s="106"/>
      <c r="M540" s="107"/>
      <c r="W540" s="6"/>
      <c r="X540" s="6"/>
    </row>
    <row r="541" spans="1:24" s="1" customFormat="1" hidden="1" x14ac:dyDescent="0.25">
      <c r="A541" s="18"/>
      <c r="D541" s="102"/>
      <c r="E541" s="43"/>
      <c r="F541" s="38"/>
      <c r="G541" s="38"/>
      <c r="H541" s="38"/>
      <c r="I541" s="38"/>
      <c r="J541" s="105"/>
      <c r="K541" s="106"/>
      <c r="L541" s="106"/>
      <c r="M541" s="107"/>
      <c r="W541" s="6"/>
      <c r="X541" s="6"/>
    </row>
    <row r="542" spans="1:24" s="1" customFormat="1" hidden="1" x14ac:dyDescent="0.25">
      <c r="A542" s="18"/>
      <c r="D542" s="102"/>
      <c r="E542" s="43"/>
      <c r="F542" s="38"/>
      <c r="G542" s="38"/>
      <c r="H542" s="38"/>
      <c r="I542" s="38"/>
      <c r="J542" s="105"/>
      <c r="K542" s="106"/>
      <c r="L542" s="106"/>
      <c r="M542" s="107"/>
      <c r="W542" s="6"/>
      <c r="X542" s="6"/>
    </row>
    <row r="543" spans="1:24" s="1" customFormat="1" hidden="1" x14ac:dyDescent="0.25">
      <c r="A543" s="18"/>
      <c r="D543" s="102"/>
      <c r="E543" s="43"/>
      <c r="F543" s="38"/>
      <c r="G543" s="38"/>
      <c r="H543" s="38"/>
      <c r="I543" s="38"/>
      <c r="J543" s="105"/>
      <c r="K543" s="106"/>
      <c r="L543" s="106"/>
      <c r="M543" s="107"/>
      <c r="W543" s="6"/>
      <c r="X543" s="6"/>
    </row>
    <row r="544" spans="1:24" s="1" customFormat="1" hidden="1" x14ac:dyDescent="0.25">
      <c r="A544" s="18"/>
      <c r="D544" s="102"/>
      <c r="E544" s="43"/>
      <c r="F544" s="38"/>
      <c r="G544" s="38"/>
      <c r="H544" s="38"/>
      <c r="I544" s="38"/>
      <c r="J544" s="105"/>
      <c r="K544" s="106"/>
      <c r="L544" s="106"/>
      <c r="M544" s="107"/>
      <c r="W544" s="6"/>
      <c r="X544" s="6"/>
    </row>
    <row r="545" spans="1:24" s="1" customFormat="1" hidden="1" x14ac:dyDescent="0.25">
      <c r="A545" s="18"/>
      <c r="D545" s="102"/>
      <c r="E545" s="43"/>
      <c r="F545" s="38"/>
      <c r="G545" s="38"/>
      <c r="H545" s="38"/>
      <c r="I545" s="38"/>
      <c r="J545" s="105"/>
      <c r="K545" s="106"/>
      <c r="L545" s="106"/>
      <c r="M545" s="107"/>
      <c r="W545" s="6"/>
      <c r="X545" s="6"/>
    </row>
    <row r="546" spans="1:24" s="1" customFormat="1" hidden="1" x14ac:dyDescent="0.25">
      <c r="A546" s="18"/>
      <c r="D546" s="102"/>
      <c r="E546" s="43"/>
      <c r="F546" s="38"/>
      <c r="G546" s="38"/>
      <c r="H546" s="38"/>
      <c r="I546" s="38"/>
      <c r="J546" s="105"/>
      <c r="K546" s="106"/>
      <c r="L546" s="106"/>
      <c r="M546" s="107"/>
      <c r="W546" s="6"/>
      <c r="X546" s="6"/>
    </row>
    <row r="547" spans="1:24" s="1" customFormat="1" hidden="1" x14ac:dyDescent="0.25">
      <c r="A547" s="18"/>
      <c r="D547" s="102"/>
      <c r="E547" s="43"/>
      <c r="F547" s="38"/>
      <c r="G547" s="38"/>
      <c r="H547" s="38"/>
      <c r="I547" s="38"/>
      <c r="J547" s="105"/>
      <c r="K547" s="106"/>
      <c r="L547" s="106"/>
      <c r="M547" s="107"/>
      <c r="W547" s="6"/>
      <c r="X547" s="6"/>
    </row>
    <row r="548" spans="1:24" s="1" customFormat="1" hidden="1" x14ac:dyDescent="0.25">
      <c r="A548" s="18"/>
      <c r="D548" s="102"/>
      <c r="E548" s="43"/>
      <c r="F548" s="38"/>
      <c r="G548" s="38"/>
      <c r="H548" s="38"/>
      <c r="I548" s="38"/>
      <c r="J548" s="105"/>
      <c r="K548" s="106"/>
      <c r="L548" s="106"/>
      <c r="M548" s="107"/>
      <c r="W548" s="6"/>
      <c r="X548" s="6"/>
    </row>
    <row r="549" spans="1:24" s="1" customFormat="1" hidden="1" x14ac:dyDescent="0.25">
      <c r="A549" s="18"/>
      <c r="D549" s="102"/>
      <c r="E549" s="43"/>
      <c r="F549" s="38"/>
      <c r="G549" s="38"/>
      <c r="H549" s="38"/>
      <c r="I549" s="38"/>
      <c r="J549" s="105"/>
      <c r="K549" s="106"/>
      <c r="L549" s="106"/>
      <c r="M549" s="107"/>
      <c r="W549" s="6"/>
      <c r="X549" s="6"/>
    </row>
    <row r="550" spans="1:24" s="1" customFormat="1" hidden="1" x14ac:dyDescent="0.25">
      <c r="A550" s="18"/>
      <c r="D550" s="102"/>
      <c r="E550" s="43"/>
      <c r="F550" s="38"/>
      <c r="G550" s="38"/>
      <c r="H550" s="38"/>
      <c r="I550" s="38"/>
      <c r="J550" s="105"/>
      <c r="K550" s="106"/>
      <c r="L550" s="106"/>
      <c r="M550" s="107"/>
      <c r="W550" s="6"/>
      <c r="X550" s="6"/>
    </row>
    <row r="551" spans="1:24" s="1" customFormat="1" hidden="1" x14ac:dyDescent="0.25">
      <c r="A551" s="18"/>
      <c r="D551" s="102"/>
      <c r="E551" s="43"/>
      <c r="F551" s="38"/>
      <c r="G551" s="38"/>
      <c r="H551" s="38"/>
      <c r="I551" s="38"/>
      <c r="J551" s="105"/>
      <c r="K551" s="106"/>
      <c r="L551" s="106"/>
      <c r="M551" s="107"/>
      <c r="W551" s="6"/>
      <c r="X551" s="6"/>
    </row>
    <row r="552" spans="1:24" s="1" customFormat="1" hidden="1" x14ac:dyDescent="0.25">
      <c r="A552" s="18"/>
      <c r="D552" s="102"/>
      <c r="E552" s="43"/>
      <c r="F552" s="38"/>
      <c r="G552" s="38"/>
      <c r="H552" s="38"/>
      <c r="I552" s="38"/>
      <c r="J552" s="105"/>
      <c r="K552" s="106"/>
      <c r="L552" s="106"/>
      <c r="M552" s="107"/>
      <c r="W552" s="6"/>
      <c r="X552" s="6"/>
    </row>
    <row r="553" spans="1:24" s="1" customFormat="1" hidden="1" x14ac:dyDescent="0.25">
      <c r="A553" s="18"/>
      <c r="D553" s="102"/>
      <c r="E553" s="43"/>
      <c r="F553" s="38"/>
      <c r="G553" s="38"/>
      <c r="H553" s="38"/>
      <c r="I553" s="38"/>
      <c r="J553" s="105"/>
      <c r="K553" s="106"/>
      <c r="L553" s="106"/>
      <c r="M553" s="107"/>
      <c r="W553" s="6"/>
      <c r="X553" s="6"/>
    </row>
    <row r="554" spans="1:24" s="1" customFormat="1" hidden="1" x14ac:dyDescent="0.25">
      <c r="A554" s="18"/>
      <c r="D554" s="102"/>
      <c r="E554" s="43"/>
      <c r="F554" s="38"/>
      <c r="G554" s="38"/>
      <c r="H554" s="38"/>
      <c r="I554" s="38"/>
      <c r="J554" s="105"/>
      <c r="K554" s="106"/>
      <c r="L554" s="106"/>
      <c r="M554" s="107"/>
      <c r="W554" s="6"/>
      <c r="X554" s="6"/>
    </row>
    <row r="555" spans="1:24" s="1" customFormat="1" hidden="1" x14ac:dyDescent="0.25">
      <c r="A555" s="18"/>
      <c r="D555" s="102"/>
      <c r="E555" s="43"/>
      <c r="F555" s="38"/>
      <c r="G555" s="38"/>
      <c r="H555" s="38"/>
      <c r="I555" s="38"/>
      <c r="J555" s="105"/>
      <c r="K555" s="106"/>
      <c r="L555" s="106"/>
      <c r="M555" s="107"/>
      <c r="W555" s="6"/>
      <c r="X555" s="6"/>
    </row>
    <row r="556" spans="1:24" s="1" customFormat="1" hidden="1" x14ac:dyDescent="0.25">
      <c r="A556" s="18"/>
      <c r="D556" s="102"/>
      <c r="E556" s="43"/>
      <c r="F556" s="38"/>
      <c r="G556" s="38"/>
      <c r="H556" s="38"/>
      <c r="I556" s="38"/>
      <c r="J556" s="105"/>
      <c r="K556" s="106"/>
      <c r="L556" s="106"/>
      <c r="M556" s="107"/>
      <c r="W556" s="6"/>
      <c r="X556" s="6"/>
    </row>
    <row r="557" spans="1:24" s="1" customFormat="1" hidden="1" x14ac:dyDescent="0.25">
      <c r="A557" s="18"/>
      <c r="D557" s="102"/>
      <c r="E557" s="43"/>
      <c r="F557" s="38"/>
      <c r="G557" s="38"/>
      <c r="H557" s="38"/>
      <c r="I557" s="38"/>
      <c r="J557" s="105"/>
      <c r="K557" s="106"/>
      <c r="L557" s="106"/>
      <c r="M557" s="107"/>
      <c r="W557" s="6"/>
      <c r="X557" s="6"/>
    </row>
    <row r="558" spans="1:24" s="1" customFormat="1" hidden="1" x14ac:dyDescent="0.25">
      <c r="A558" s="18"/>
      <c r="D558" s="102"/>
      <c r="E558" s="43"/>
      <c r="F558" s="38"/>
      <c r="G558" s="38"/>
      <c r="H558" s="38"/>
      <c r="I558" s="38"/>
      <c r="J558" s="105"/>
      <c r="K558" s="106"/>
      <c r="L558" s="106"/>
      <c r="M558" s="107"/>
      <c r="W558" s="6"/>
      <c r="X558" s="6"/>
    </row>
    <row r="559" spans="1:24" s="1" customFormat="1" hidden="1" x14ac:dyDescent="0.25">
      <c r="A559" s="18"/>
      <c r="D559" s="102"/>
      <c r="E559" s="43"/>
      <c r="F559" s="38"/>
      <c r="G559" s="38"/>
      <c r="H559" s="38"/>
      <c r="I559" s="38"/>
      <c r="J559" s="105"/>
      <c r="K559" s="106"/>
      <c r="L559" s="106"/>
      <c r="M559" s="107"/>
      <c r="W559" s="6"/>
      <c r="X559" s="6"/>
    </row>
    <row r="560" spans="1:24" s="1" customFormat="1" hidden="1" x14ac:dyDescent="0.25">
      <c r="A560" s="18"/>
      <c r="D560" s="102"/>
      <c r="E560" s="43"/>
      <c r="F560" s="38"/>
      <c r="G560" s="38"/>
      <c r="H560" s="38"/>
      <c r="I560" s="38"/>
      <c r="J560" s="105"/>
      <c r="K560" s="106"/>
      <c r="L560" s="106"/>
      <c r="M560" s="107"/>
      <c r="W560" s="6"/>
      <c r="X560" s="6"/>
    </row>
    <row r="561" spans="1:24" s="1" customFormat="1" hidden="1" x14ac:dyDescent="0.25">
      <c r="A561" s="18"/>
      <c r="D561" s="102"/>
      <c r="E561" s="43"/>
      <c r="F561" s="38"/>
      <c r="G561" s="38"/>
      <c r="H561" s="38"/>
      <c r="I561" s="38"/>
      <c r="J561" s="105"/>
      <c r="K561" s="106"/>
      <c r="L561" s="106"/>
      <c r="M561" s="107"/>
      <c r="W561" s="6"/>
      <c r="X561" s="6"/>
    </row>
    <row r="562" spans="1:24" s="1" customFormat="1" hidden="1" x14ac:dyDescent="0.25">
      <c r="A562" s="18"/>
      <c r="D562" s="102"/>
      <c r="E562" s="43"/>
      <c r="F562" s="38"/>
      <c r="G562" s="38"/>
      <c r="H562" s="38"/>
      <c r="I562" s="38"/>
      <c r="J562" s="105"/>
      <c r="K562" s="106"/>
      <c r="L562" s="106"/>
      <c r="M562" s="107"/>
      <c r="W562" s="6"/>
      <c r="X562" s="6"/>
    </row>
    <row r="563" spans="1:24" s="1" customFormat="1" hidden="1" x14ac:dyDescent="0.25">
      <c r="A563" s="18"/>
      <c r="D563" s="102"/>
      <c r="E563" s="43"/>
      <c r="F563" s="38"/>
      <c r="G563" s="38"/>
      <c r="H563" s="38"/>
      <c r="I563" s="38"/>
      <c r="J563" s="105"/>
      <c r="K563" s="106"/>
      <c r="L563" s="106"/>
      <c r="M563" s="107"/>
      <c r="W563" s="6"/>
      <c r="X563" s="6"/>
    </row>
    <row r="564" spans="1:24" s="1" customFormat="1" hidden="1" x14ac:dyDescent="0.25">
      <c r="A564" s="18"/>
      <c r="D564" s="102"/>
      <c r="E564" s="43"/>
      <c r="F564" s="38"/>
      <c r="G564" s="38"/>
      <c r="H564" s="38"/>
      <c r="I564" s="38"/>
      <c r="J564" s="105"/>
      <c r="K564" s="106"/>
      <c r="L564" s="106"/>
      <c r="M564" s="107"/>
      <c r="W564" s="6"/>
      <c r="X564" s="6"/>
    </row>
    <row r="565" spans="1:24" s="1" customFormat="1" hidden="1" x14ac:dyDescent="0.25">
      <c r="A565" s="18"/>
      <c r="D565" s="102"/>
      <c r="E565" s="43"/>
      <c r="F565" s="38"/>
      <c r="G565" s="38"/>
      <c r="H565" s="38"/>
      <c r="I565" s="38"/>
      <c r="J565" s="105"/>
      <c r="K565" s="106"/>
      <c r="L565" s="106"/>
      <c r="M565" s="107"/>
      <c r="W565" s="6"/>
      <c r="X565" s="6"/>
    </row>
    <row r="566" spans="1:24" s="1" customFormat="1" hidden="1" x14ac:dyDescent="0.25">
      <c r="A566" s="18"/>
      <c r="D566" s="102"/>
      <c r="E566" s="43"/>
      <c r="F566" s="38"/>
      <c r="G566" s="38"/>
      <c r="H566" s="38"/>
      <c r="I566" s="38"/>
      <c r="J566" s="105"/>
      <c r="K566" s="106"/>
      <c r="L566" s="106"/>
      <c r="M566" s="107"/>
      <c r="W566" s="6"/>
      <c r="X566" s="6"/>
    </row>
    <row r="567" spans="1:24" s="1" customFormat="1" hidden="1" x14ac:dyDescent="0.25">
      <c r="A567" s="18"/>
      <c r="D567" s="102"/>
      <c r="E567" s="43"/>
      <c r="F567" s="38"/>
      <c r="G567" s="38"/>
      <c r="H567" s="38"/>
      <c r="I567" s="38"/>
      <c r="J567" s="105"/>
      <c r="K567" s="106"/>
      <c r="L567" s="106"/>
      <c r="M567" s="107"/>
      <c r="W567" s="6"/>
      <c r="X567" s="6"/>
    </row>
    <row r="568" spans="1:24" s="1" customFormat="1" hidden="1" x14ac:dyDescent="0.25">
      <c r="A568" s="18"/>
      <c r="D568" s="102"/>
      <c r="E568" s="43"/>
      <c r="F568" s="38"/>
      <c r="G568" s="38"/>
      <c r="H568" s="38"/>
      <c r="I568" s="38"/>
      <c r="J568" s="105"/>
      <c r="K568" s="106"/>
      <c r="L568" s="106"/>
      <c r="M568" s="107"/>
      <c r="W568" s="6"/>
      <c r="X568" s="6"/>
    </row>
    <row r="569" spans="1:24" s="1" customFormat="1" hidden="1" x14ac:dyDescent="0.25">
      <c r="A569" s="18"/>
      <c r="D569" s="102"/>
      <c r="E569" s="43"/>
      <c r="F569" s="38"/>
      <c r="G569" s="38"/>
      <c r="H569" s="38"/>
      <c r="I569" s="38"/>
      <c r="J569" s="105"/>
      <c r="K569" s="106"/>
      <c r="L569" s="106"/>
      <c r="M569" s="107"/>
      <c r="W569" s="6"/>
      <c r="X569" s="6"/>
    </row>
    <row r="570" spans="1:24" s="1" customFormat="1" hidden="1" x14ac:dyDescent="0.25">
      <c r="A570" s="18"/>
      <c r="D570" s="102"/>
      <c r="E570" s="43"/>
      <c r="F570" s="38"/>
      <c r="G570" s="38"/>
      <c r="H570" s="38"/>
      <c r="I570" s="38"/>
      <c r="J570" s="105"/>
      <c r="K570" s="106"/>
      <c r="L570" s="106"/>
      <c r="M570" s="107"/>
      <c r="W570" s="6"/>
      <c r="X570" s="6"/>
    </row>
    <row r="571" spans="1:24" s="1" customFormat="1" hidden="1" x14ac:dyDescent="0.25">
      <c r="A571" s="18"/>
      <c r="D571" s="102"/>
      <c r="E571" s="43"/>
      <c r="F571" s="38"/>
      <c r="G571" s="38"/>
      <c r="H571" s="38"/>
      <c r="I571" s="38"/>
      <c r="J571" s="105"/>
      <c r="K571" s="106"/>
      <c r="L571" s="106"/>
      <c r="M571" s="107"/>
      <c r="W571" s="6"/>
      <c r="X571" s="6"/>
    </row>
    <row r="572" spans="1:24" s="1" customFormat="1" hidden="1" x14ac:dyDescent="0.25">
      <c r="A572" s="18"/>
      <c r="D572" s="102"/>
      <c r="E572" s="43"/>
      <c r="F572" s="38"/>
      <c r="G572" s="38"/>
      <c r="H572" s="38"/>
      <c r="I572" s="38"/>
      <c r="J572" s="105"/>
      <c r="K572" s="106"/>
      <c r="L572" s="106"/>
      <c r="M572" s="107"/>
      <c r="W572" s="6"/>
      <c r="X572" s="6"/>
    </row>
    <row r="573" spans="1:24" s="1" customFormat="1" hidden="1" x14ac:dyDescent="0.25">
      <c r="A573" s="18"/>
      <c r="D573" s="102"/>
      <c r="E573" s="43"/>
      <c r="F573" s="38"/>
      <c r="G573" s="38"/>
      <c r="H573" s="38"/>
      <c r="I573" s="38"/>
      <c r="J573" s="105"/>
      <c r="K573" s="106"/>
      <c r="L573" s="106"/>
      <c r="M573" s="107"/>
      <c r="W573" s="6"/>
      <c r="X573" s="6"/>
    </row>
    <row r="574" spans="1:24" s="1" customFormat="1" hidden="1" x14ac:dyDescent="0.25">
      <c r="A574" s="18"/>
      <c r="D574" s="102"/>
      <c r="E574" s="43"/>
      <c r="F574" s="38"/>
      <c r="G574" s="38"/>
      <c r="H574" s="38"/>
      <c r="I574" s="38"/>
      <c r="J574" s="105"/>
      <c r="K574" s="106"/>
      <c r="L574" s="106"/>
      <c r="M574" s="107"/>
      <c r="W574" s="6"/>
      <c r="X574" s="6"/>
    </row>
    <row r="575" spans="1:24" s="1" customFormat="1" hidden="1" x14ac:dyDescent="0.25">
      <c r="A575" s="18"/>
      <c r="D575" s="102"/>
      <c r="E575" s="43"/>
      <c r="F575" s="38"/>
      <c r="G575" s="38"/>
      <c r="H575" s="38"/>
      <c r="I575" s="38"/>
      <c r="J575" s="105"/>
      <c r="K575" s="106"/>
      <c r="L575" s="106"/>
      <c r="M575" s="107"/>
      <c r="W575" s="6"/>
      <c r="X575" s="6"/>
    </row>
    <row r="576" spans="1:24" s="1" customFormat="1" hidden="1" x14ac:dyDescent="0.25">
      <c r="A576" s="18"/>
      <c r="D576" s="102"/>
      <c r="E576" s="43"/>
      <c r="F576" s="38"/>
      <c r="G576" s="38"/>
      <c r="H576" s="38"/>
      <c r="I576" s="38"/>
      <c r="J576" s="105"/>
      <c r="K576" s="106"/>
      <c r="L576" s="106"/>
      <c r="M576" s="107"/>
      <c r="W576" s="6"/>
      <c r="X576" s="6"/>
    </row>
    <row r="577" spans="1:24" s="1" customFormat="1" hidden="1" x14ac:dyDescent="0.25">
      <c r="A577" s="18"/>
      <c r="D577" s="102"/>
      <c r="E577" s="43"/>
      <c r="F577" s="38"/>
      <c r="G577" s="38"/>
      <c r="H577" s="38"/>
      <c r="I577" s="38"/>
      <c r="J577" s="105"/>
      <c r="K577" s="106"/>
      <c r="L577" s="106"/>
      <c r="M577" s="107"/>
      <c r="W577" s="6"/>
      <c r="X577" s="6"/>
    </row>
    <row r="578" spans="1:24" s="1" customFormat="1" hidden="1" x14ac:dyDescent="0.25">
      <c r="A578" s="18"/>
      <c r="D578" s="102"/>
      <c r="E578" s="43"/>
      <c r="F578" s="38"/>
      <c r="G578" s="38"/>
      <c r="H578" s="38"/>
      <c r="I578" s="38"/>
      <c r="J578" s="105"/>
      <c r="K578" s="106"/>
      <c r="L578" s="106"/>
      <c r="M578" s="107"/>
      <c r="W578" s="6"/>
      <c r="X578" s="6"/>
    </row>
    <row r="579" spans="1:24" s="1" customFormat="1" hidden="1" x14ac:dyDescent="0.25">
      <c r="A579" s="18"/>
      <c r="D579" s="102"/>
      <c r="E579" s="43"/>
      <c r="F579" s="38"/>
      <c r="G579" s="38"/>
      <c r="H579" s="38"/>
      <c r="I579" s="38"/>
      <c r="J579" s="105"/>
      <c r="K579" s="106"/>
      <c r="L579" s="106"/>
      <c r="M579" s="107"/>
      <c r="W579" s="6"/>
      <c r="X579" s="6"/>
    </row>
    <row r="580" spans="1:24" s="1" customFormat="1" hidden="1" x14ac:dyDescent="0.25">
      <c r="A580" s="18"/>
      <c r="D580" s="102"/>
      <c r="E580" s="43"/>
      <c r="F580" s="38"/>
      <c r="G580" s="38"/>
      <c r="H580" s="38"/>
      <c r="I580" s="38"/>
      <c r="J580" s="105"/>
      <c r="K580" s="106"/>
      <c r="L580" s="106"/>
      <c r="M580" s="107"/>
      <c r="W580" s="6"/>
      <c r="X580" s="6"/>
    </row>
    <row r="581" spans="1:24" s="1" customFormat="1" hidden="1" x14ac:dyDescent="0.25">
      <c r="A581" s="18"/>
      <c r="D581" s="102"/>
      <c r="E581" s="43"/>
      <c r="F581" s="38"/>
      <c r="G581" s="38"/>
      <c r="H581" s="38"/>
      <c r="I581" s="38"/>
      <c r="J581" s="105"/>
      <c r="K581" s="106"/>
      <c r="L581" s="106"/>
      <c r="M581" s="107"/>
      <c r="W581" s="6"/>
      <c r="X581" s="6"/>
    </row>
    <row r="582" spans="1:24" s="1" customFormat="1" hidden="1" x14ac:dyDescent="0.25">
      <c r="A582" s="18"/>
      <c r="D582" s="102"/>
      <c r="E582" s="43"/>
      <c r="F582" s="38"/>
      <c r="G582" s="38"/>
      <c r="H582" s="38"/>
      <c r="I582" s="38"/>
      <c r="J582" s="105"/>
      <c r="K582" s="106"/>
      <c r="L582" s="106"/>
      <c r="M582" s="107"/>
      <c r="W582" s="6"/>
      <c r="X582" s="6"/>
    </row>
    <row r="583" spans="1:24" s="1" customFormat="1" hidden="1" x14ac:dyDescent="0.25">
      <c r="A583" s="18"/>
      <c r="D583" s="102"/>
      <c r="E583" s="43"/>
      <c r="F583" s="38"/>
      <c r="G583" s="38"/>
      <c r="H583" s="38"/>
      <c r="I583" s="38"/>
      <c r="J583" s="105"/>
      <c r="K583" s="106"/>
      <c r="L583" s="106"/>
      <c r="M583" s="107"/>
      <c r="W583" s="6"/>
      <c r="X583" s="6"/>
    </row>
    <row r="584" spans="1:24" s="1" customFormat="1" hidden="1" x14ac:dyDescent="0.25">
      <c r="A584" s="18"/>
      <c r="D584" s="102"/>
      <c r="E584" s="43"/>
      <c r="F584" s="38"/>
      <c r="G584" s="38"/>
      <c r="H584" s="38"/>
      <c r="I584" s="38"/>
      <c r="J584" s="105"/>
      <c r="K584" s="106"/>
      <c r="L584" s="106"/>
      <c r="M584" s="107"/>
      <c r="W584" s="6"/>
      <c r="X584" s="6"/>
    </row>
    <row r="585" spans="1:24" s="1" customFormat="1" hidden="1" x14ac:dyDescent="0.25">
      <c r="A585" s="18"/>
      <c r="D585" s="102"/>
      <c r="E585" s="43"/>
      <c r="F585" s="38"/>
      <c r="G585" s="38"/>
      <c r="H585" s="38"/>
      <c r="I585" s="38"/>
      <c r="J585" s="105"/>
      <c r="K585" s="106"/>
      <c r="L585" s="106"/>
      <c r="M585" s="107"/>
      <c r="W585" s="6"/>
      <c r="X585" s="6"/>
    </row>
    <row r="586" spans="1:24" s="1" customFormat="1" hidden="1" x14ac:dyDescent="0.25">
      <c r="A586" s="18"/>
      <c r="D586" s="102"/>
      <c r="E586" s="43"/>
      <c r="F586" s="38"/>
      <c r="G586" s="38"/>
      <c r="H586" s="38"/>
      <c r="I586" s="38"/>
      <c r="J586" s="105"/>
      <c r="K586" s="106"/>
      <c r="L586" s="106"/>
      <c r="M586" s="107"/>
      <c r="W586" s="6"/>
      <c r="X586" s="6"/>
    </row>
    <row r="587" spans="1:24" s="1" customFormat="1" hidden="1" x14ac:dyDescent="0.25">
      <c r="A587" s="18"/>
      <c r="D587" s="102"/>
      <c r="E587" s="43"/>
      <c r="F587" s="38"/>
      <c r="G587" s="38"/>
      <c r="H587" s="38"/>
      <c r="I587" s="38"/>
      <c r="J587" s="105"/>
      <c r="K587" s="106"/>
      <c r="L587" s="106"/>
      <c r="M587" s="107"/>
      <c r="W587" s="6"/>
      <c r="X587" s="6"/>
    </row>
    <row r="588" spans="1:24" s="1" customFormat="1" hidden="1" x14ac:dyDescent="0.25">
      <c r="A588" s="18"/>
      <c r="D588" s="102"/>
      <c r="E588" s="43"/>
      <c r="F588" s="38"/>
      <c r="G588" s="38"/>
      <c r="H588" s="38"/>
      <c r="I588" s="38"/>
      <c r="J588" s="105"/>
      <c r="K588" s="106"/>
      <c r="L588" s="106"/>
      <c r="M588" s="107"/>
      <c r="W588" s="6"/>
      <c r="X588" s="6"/>
    </row>
    <row r="589" spans="1:24" s="1" customFormat="1" hidden="1" x14ac:dyDescent="0.25">
      <c r="A589" s="18"/>
      <c r="D589" s="102"/>
      <c r="E589" s="43"/>
      <c r="F589" s="38"/>
      <c r="G589" s="38"/>
      <c r="H589" s="38"/>
      <c r="I589" s="38"/>
      <c r="J589" s="105"/>
      <c r="K589" s="106"/>
      <c r="L589" s="106"/>
      <c r="M589" s="107"/>
      <c r="W589" s="6"/>
      <c r="X589" s="6"/>
    </row>
    <row r="590" spans="1:24" s="1" customFormat="1" hidden="1" x14ac:dyDescent="0.25">
      <c r="A590" s="18"/>
      <c r="D590" s="102"/>
      <c r="E590" s="43"/>
      <c r="F590" s="38"/>
      <c r="G590" s="38"/>
      <c r="H590" s="38"/>
      <c r="I590" s="38"/>
      <c r="J590" s="105"/>
      <c r="K590" s="106"/>
      <c r="L590" s="106"/>
      <c r="M590" s="107"/>
      <c r="W590" s="6"/>
      <c r="X590" s="6"/>
    </row>
    <row r="591" spans="1:24" s="1" customFormat="1" hidden="1" x14ac:dyDescent="0.25">
      <c r="A591" s="18"/>
      <c r="D591" s="102"/>
      <c r="E591" s="43"/>
      <c r="F591" s="38"/>
      <c r="G591" s="38"/>
      <c r="H591" s="38"/>
      <c r="I591" s="38"/>
      <c r="J591" s="105"/>
      <c r="K591" s="106"/>
      <c r="L591" s="106"/>
      <c r="M591" s="107"/>
      <c r="W591" s="6"/>
      <c r="X591" s="6"/>
    </row>
    <row r="592" spans="1:24" s="1" customFormat="1" hidden="1" x14ac:dyDescent="0.25">
      <c r="A592" s="18"/>
      <c r="D592" s="102"/>
      <c r="E592" s="43"/>
      <c r="F592" s="38"/>
      <c r="G592" s="38"/>
      <c r="H592" s="38"/>
      <c r="I592" s="38"/>
      <c r="J592" s="105"/>
      <c r="K592" s="106"/>
      <c r="L592" s="106"/>
      <c r="M592" s="107"/>
      <c r="W592" s="6"/>
      <c r="X592" s="6"/>
    </row>
    <row r="593" spans="1:24" s="1" customFormat="1" hidden="1" x14ac:dyDescent="0.25">
      <c r="A593" s="18"/>
      <c r="D593" s="102"/>
      <c r="E593" s="43"/>
      <c r="F593" s="38"/>
      <c r="G593" s="38"/>
      <c r="H593" s="38"/>
      <c r="I593" s="38"/>
      <c r="J593" s="105"/>
      <c r="K593" s="106"/>
      <c r="L593" s="106"/>
      <c r="M593" s="107"/>
      <c r="W593" s="6"/>
      <c r="X593" s="6"/>
    </row>
    <row r="594" spans="1:24" s="1" customFormat="1" hidden="1" x14ac:dyDescent="0.25">
      <c r="A594" s="18"/>
      <c r="D594" s="102"/>
      <c r="E594" s="43"/>
      <c r="F594" s="38"/>
      <c r="G594" s="38"/>
      <c r="H594" s="38"/>
      <c r="I594" s="38"/>
      <c r="J594" s="105"/>
      <c r="K594" s="106"/>
      <c r="L594" s="106"/>
      <c r="M594" s="107"/>
      <c r="W594" s="6"/>
      <c r="X594" s="6"/>
    </row>
    <row r="595" spans="1:24" s="1" customFormat="1" hidden="1" x14ac:dyDescent="0.25">
      <c r="A595" s="18"/>
      <c r="D595" s="102"/>
      <c r="E595" s="43"/>
      <c r="F595" s="38"/>
      <c r="G595" s="38"/>
      <c r="H595" s="38"/>
      <c r="I595" s="38"/>
      <c r="J595" s="105"/>
      <c r="K595" s="106"/>
      <c r="L595" s="106"/>
      <c r="M595" s="107"/>
      <c r="W595" s="6"/>
      <c r="X595" s="6"/>
    </row>
    <row r="596" spans="1:24" s="1" customFormat="1" hidden="1" x14ac:dyDescent="0.25">
      <c r="A596" s="18"/>
      <c r="D596" s="102"/>
      <c r="E596" s="43"/>
      <c r="F596" s="38"/>
      <c r="G596" s="38"/>
      <c r="H596" s="38"/>
      <c r="I596" s="38"/>
      <c r="J596" s="105"/>
      <c r="K596" s="106"/>
      <c r="L596" s="106"/>
      <c r="M596" s="107"/>
      <c r="W596" s="6"/>
      <c r="X596" s="6"/>
    </row>
    <row r="597" spans="1:24" s="1" customFormat="1" hidden="1" x14ac:dyDescent="0.25">
      <c r="A597" s="18"/>
      <c r="D597" s="102"/>
      <c r="E597" s="43"/>
      <c r="F597" s="38"/>
      <c r="G597" s="38"/>
      <c r="H597" s="38"/>
      <c r="I597" s="38"/>
      <c r="J597" s="105"/>
      <c r="K597" s="106"/>
      <c r="L597" s="106"/>
      <c r="M597" s="107"/>
      <c r="W597" s="6"/>
      <c r="X597" s="6"/>
    </row>
    <row r="598" spans="1:24" s="1" customFormat="1" hidden="1" x14ac:dyDescent="0.25">
      <c r="A598" s="18"/>
      <c r="D598" s="102"/>
      <c r="E598" s="43"/>
      <c r="F598" s="38"/>
      <c r="G598" s="38"/>
      <c r="H598" s="38"/>
      <c r="I598" s="38"/>
      <c r="J598" s="105"/>
      <c r="K598" s="106"/>
      <c r="L598" s="106"/>
      <c r="M598" s="107"/>
      <c r="W598" s="6"/>
      <c r="X598" s="6"/>
    </row>
    <row r="599" spans="1:24" s="1" customFormat="1" hidden="1" x14ac:dyDescent="0.25">
      <c r="A599" s="18"/>
      <c r="D599" s="102"/>
      <c r="E599" s="43"/>
      <c r="F599" s="38"/>
      <c r="G599" s="38"/>
      <c r="H599" s="38"/>
      <c r="I599" s="38"/>
      <c r="J599" s="105"/>
      <c r="K599" s="106"/>
      <c r="L599" s="106"/>
      <c r="M599" s="107"/>
      <c r="W599" s="6"/>
      <c r="X599" s="6"/>
    </row>
    <row r="600" spans="1:24" s="1" customFormat="1" hidden="1" x14ac:dyDescent="0.25">
      <c r="A600" s="18"/>
      <c r="D600" s="102"/>
      <c r="E600" s="43"/>
      <c r="F600" s="38"/>
      <c r="G600" s="38"/>
      <c r="H600" s="38"/>
      <c r="I600" s="38"/>
      <c r="J600" s="105"/>
      <c r="K600" s="106"/>
      <c r="L600" s="106"/>
      <c r="M600" s="107"/>
      <c r="W600" s="6"/>
      <c r="X600" s="6"/>
    </row>
    <row r="601" spans="1:24" s="1" customFormat="1" hidden="1" x14ac:dyDescent="0.25">
      <c r="A601" s="18"/>
      <c r="D601" s="102"/>
      <c r="E601" s="43"/>
      <c r="F601" s="38"/>
      <c r="G601" s="38"/>
      <c r="H601" s="38"/>
      <c r="I601" s="38"/>
      <c r="J601" s="105"/>
      <c r="K601" s="106"/>
      <c r="L601" s="106"/>
      <c r="M601" s="107"/>
      <c r="W601" s="6"/>
      <c r="X601" s="6"/>
    </row>
    <row r="602" spans="1:24" s="1" customFormat="1" hidden="1" x14ac:dyDescent="0.25">
      <c r="A602" s="18"/>
      <c r="D602" s="102"/>
      <c r="E602" s="43"/>
      <c r="F602" s="38"/>
      <c r="G602" s="38"/>
      <c r="H602" s="38"/>
      <c r="I602" s="38"/>
      <c r="J602" s="105"/>
      <c r="K602" s="106"/>
      <c r="L602" s="106"/>
      <c r="M602" s="107"/>
      <c r="W602" s="6"/>
      <c r="X602" s="6"/>
    </row>
    <row r="603" spans="1:24" s="1" customFormat="1" hidden="1" x14ac:dyDescent="0.25">
      <c r="A603" s="18"/>
      <c r="D603" s="102"/>
      <c r="E603" s="43"/>
      <c r="F603" s="38"/>
      <c r="G603" s="38"/>
      <c r="H603" s="38"/>
      <c r="I603" s="38"/>
      <c r="J603" s="105"/>
      <c r="K603" s="106"/>
      <c r="L603" s="106"/>
      <c r="M603" s="107"/>
      <c r="W603" s="6"/>
      <c r="X603" s="6"/>
    </row>
    <row r="604" spans="1:24" s="1" customFormat="1" hidden="1" x14ac:dyDescent="0.25">
      <c r="A604" s="18"/>
      <c r="D604" s="102"/>
      <c r="E604" s="43"/>
      <c r="F604" s="38"/>
      <c r="G604" s="38"/>
      <c r="H604" s="38"/>
      <c r="I604" s="38"/>
      <c r="J604" s="105"/>
      <c r="K604" s="106"/>
      <c r="L604" s="106"/>
      <c r="M604" s="107"/>
      <c r="W604" s="6"/>
      <c r="X604" s="6"/>
    </row>
    <row r="605" spans="1:24" s="1" customFormat="1" hidden="1" x14ac:dyDescent="0.25">
      <c r="A605" s="18"/>
      <c r="D605" s="102"/>
      <c r="E605" s="43"/>
      <c r="F605" s="38"/>
      <c r="G605" s="38"/>
      <c r="H605" s="38"/>
      <c r="I605" s="38"/>
      <c r="J605" s="105"/>
      <c r="K605" s="106"/>
      <c r="L605" s="106"/>
      <c r="M605" s="107"/>
      <c r="W605" s="6"/>
      <c r="X605" s="6"/>
    </row>
    <row r="606" spans="1:24" s="1" customFormat="1" hidden="1" x14ac:dyDescent="0.25">
      <c r="A606" s="18"/>
      <c r="D606" s="102"/>
      <c r="E606" s="43"/>
      <c r="F606" s="38"/>
      <c r="G606" s="38"/>
      <c r="H606" s="38"/>
      <c r="I606" s="38"/>
      <c r="J606" s="105"/>
      <c r="K606" s="106"/>
      <c r="L606" s="106"/>
      <c r="M606" s="107"/>
      <c r="W606" s="6"/>
      <c r="X606" s="6"/>
    </row>
    <row r="607" spans="1:24" s="1" customFormat="1" hidden="1" x14ac:dyDescent="0.25">
      <c r="A607" s="18"/>
      <c r="D607" s="102"/>
      <c r="E607" s="43"/>
      <c r="F607" s="38"/>
      <c r="G607" s="38"/>
      <c r="H607" s="38"/>
      <c r="I607" s="38"/>
      <c r="J607" s="105"/>
      <c r="K607" s="106"/>
      <c r="L607" s="106"/>
      <c r="M607" s="107"/>
      <c r="W607" s="6"/>
      <c r="X607" s="6"/>
    </row>
    <row r="608" spans="1:24" s="1" customFormat="1" hidden="1" x14ac:dyDescent="0.25">
      <c r="A608" s="18"/>
      <c r="D608" s="102"/>
      <c r="E608" s="43"/>
      <c r="F608" s="38"/>
      <c r="G608" s="38"/>
      <c r="H608" s="38"/>
      <c r="I608" s="38"/>
      <c r="J608" s="105"/>
      <c r="K608" s="106"/>
      <c r="L608" s="106"/>
      <c r="M608" s="107"/>
      <c r="W608" s="6"/>
      <c r="X608" s="6"/>
    </row>
    <row r="609" spans="1:24" s="1" customFormat="1" hidden="1" x14ac:dyDescent="0.25">
      <c r="A609" s="18"/>
      <c r="D609" s="102"/>
      <c r="E609" s="43"/>
      <c r="F609" s="38"/>
      <c r="G609" s="38"/>
      <c r="H609" s="38"/>
      <c r="I609" s="38"/>
      <c r="J609" s="105"/>
      <c r="K609" s="106"/>
      <c r="L609" s="106"/>
      <c r="M609" s="107"/>
      <c r="W609" s="6"/>
      <c r="X609" s="6"/>
    </row>
    <row r="610" spans="1:24" s="1" customFormat="1" hidden="1" x14ac:dyDescent="0.25">
      <c r="A610" s="18"/>
      <c r="D610" s="102"/>
      <c r="E610" s="43"/>
      <c r="F610" s="38"/>
      <c r="G610" s="38"/>
      <c r="H610" s="38"/>
      <c r="I610" s="38"/>
      <c r="J610" s="105"/>
      <c r="K610" s="106"/>
      <c r="L610" s="106"/>
      <c r="M610" s="107"/>
      <c r="W610" s="6"/>
      <c r="X610" s="6"/>
    </row>
    <row r="611" spans="1:24" s="1" customFormat="1" hidden="1" x14ac:dyDescent="0.25">
      <c r="A611" s="18"/>
      <c r="D611" s="102"/>
      <c r="E611" s="43"/>
      <c r="F611" s="38"/>
      <c r="G611" s="38"/>
      <c r="H611" s="38"/>
      <c r="I611" s="38"/>
      <c r="J611" s="105"/>
      <c r="K611" s="106"/>
      <c r="L611" s="106"/>
      <c r="M611" s="107"/>
      <c r="W611" s="6"/>
      <c r="X611" s="6"/>
    </row>
    <row r="612" spans="1:24" s="1" customFormat="1" hidden="1" x14ac:dyDescent="0.25">
      <c r="A612" s="18"/>
      <c r="D612" s="102"/>
      <c r="E612" s="43"/>
      <c r="F612" s="38"/>
      <c r="G612" s="38"/>
      <c r="H612" s="38"/>
      <c r="I612" s="38"/>
      <c r="J612" s="105"/>
      <c r="K612" s="106"/>
      <c r="L612" s="106"/>
      <c r="M612" s="107"/>
      <c r="W612" s="6"/>
      <c r="X612" s="6"/>
    </row>
    <row r="613" spans="1:24" s="1" customFormat="1" hidden="1" x14ac:dyDescent="0.25">
      <c r="A613" s="18"/>
      <c r="D613" s="102"/>
      <c r="E613" s="43"/>
      <c r="F613" s="38"/>
      <c r="G613" s="38"/>
      <c r="H613" s="38"/>
      <c r="I613" s="38"/>
      <c r="J613" s="105"/>
      <c r="K613" s="106"/>
      <c r="L613" s="106"/>
      <c r="M613" s="107"/>
      <c r="W613" s="6"/>
      <c r="X613" s="6"/>
    </row>
    <row r="614" spans="1:24" s="1" customFormat="1" hidden="1" x14ac:dyDescent="0.25">
      <c r="A614" s="18"/>
      <c r="D614" s="102"/>
      <c r="E614" s="43"/>
      <c r="F614" s="38"/>
      <c r="G614" s="38"/>
      <c r="H614" s="38"/>
      <c r="I614" s="38"/>
      <c r="J614" s="105"/>
      <c r="K614" s="106"/>
      <c r="L614" s="106"/>
      <c r="M614" s="107"/>
      <c r="W614" s="6"/>
      <c r="X614" s="6"/>
    </row>
    <row r="615" spans="1:24" s="1" customFormat="1" hidden="1" x14ac:dyDescent="0.25">
      <c r="A615" s="18"/>
      <c r="D615" s="102"/>
      <c r="E615" s="43"/>
      <c r="F615" s="38"/>
      <c r="G615" s="38"/>
      <c r="H615" s="38"/>
      <c r="I615" s="38"/>
      <c r="J615" s="105"/>
      <c r="K615" s="106"/>
      <c r="L615" s="106"/>
      <c r="M615" s="107"/>
      <c r="W615" s="6"/>
      <c r="X615" s="6"/>
    </row>
    <row r="616" spans="1:24" s="1" customFormat="1" hidden="1" x14ac:dyDescent="0.25">
      <c r="A616" s="18"/>
      <c r="D616" s="102"/>
      <c r="E616" s="43"/>
      <c r="F616" s="38"/>
      <c r="G616" s="38"/>
      <c r="H616" s="38"/>
      <c r="I616" s="38"/>
      <c r="J616" s="105"/>
      <c r="K616" s="106"/>
      <c r="L616" s="106"/>
      <c r="M616" s="107"/>
      <c r="W616" s="6"/>
      <c r="X616" s="6"/>
    </row>
    <row r="617" spans="1:24" s="1" customFormat="1" hidden="1" x14ac:dyDescent="0.25">
      <c r="A617" s="18"/>
      <c r="D617" s="102"/>
      <c r="E617" s="43"/>
      <c r="F617" s="38"/>
      <c r="G617" s="38"/>
      <c r="H617" s="38"/>
      <c r="I617" s="38"/>
      <c r="J617" s="105"/>
      <c r="K617" s="106"/>
      <c r="L617" s="106"/>
      <c r="M617" s="107"/>
      <c r="W617" s="6"/>
      <c r="X617" s="6"/>
    </row>
    <row r="618" spans="1:24" s="1" customFormat="1" hidden="1" x14ac:dyDescent="0.25">
      <c r="A618" s="18"/>
      <c r="D618" s="102"/>
      <c r="E618" s="43"/>
      <c r="F618" s="38"/>
      <c r="G618" s="38"/>
      <c r="H618" s="38"/>
      <c r="I618" s="38"/>
      <c r="J618" s="105"/>
      <c r="K618" s="106"/>
      <c r="L618" s="106"/>
      <c r="M618" s="107"/>
      <c r="W618" s="6"/>
      <c r="X618" s="6"/>
    </row>
    <row r="619" spans="1:24" s="1" customFormat="1" hidden="1" x14ac:dyDescent="0.25">
      <c r="A619" s="18"/>
      <c r="D619" s="102"/>
      <c r="E619" s="43"/>
      <c r="F619" s="38"/>
      <c r="G619" s="38"/>
      <c r="H619" s="38"/>
      <c r="I619" s="38"/>
      <c r="J619" s="105"/>
      <c r="K619" s="106"/>
      <c r="L619" s="106"/>
      <c r="M619" s="107"/>
      <c r="W619" s="6"/>
      <c r="X619" s="6"/>
    </row>
    <row r="620" spans="1:24" s="1" customFormat="1" hidden="1" x14ac:dyDescent="0.25">
      <c r="A620" s="18"/>
      <c r="D620" s="102"/>
      <c r="E620" s="43"/>
      <c r="F620" s="38"/>
      <c r="G620" s="38"/>
      <c r="H620" s="38"/>
      <c r="I620" s="38"/>
      <c r="J620" s="105"/>
      <c r="K620" s="106"/>
      <c r="L620" s="106"/>
      <c r="M620" s="107"/>
      <c r="W620" s="6"/>
      <c r="X620" s="6"/>
    </row>
    <row r="621" spans="1:24" s="1" customFormat="1" hidden="1" x14ac:dyDescent="0.25">
      <c r="A621" s="18"/>
      <c r="D621" s="102"/>
      <c r="E621" s="43"/>
      <c r="F621" s="38"/>
      <c r="G621" s="38"/>
      <c r="H621" s="38"/>
      <c r="I621" s="38"/>
      <c r="J621" s="105"/>
      <c r="K621" s="106"/>
      <c r="L621" s="106"/>
      <c r="M621" s="107"/>
      <c r="W621" s="6"/>
      <c r="X621" s="6"/>
    </row>
    <row r="622" spans="1:24" s="1" customFormat="1" hidden="1" x14ac:dyDescent="0.25">
      <c r="A622" s="18"/>
      <c r="D622" s="102"/>
      <c r="E622" s="43"/>
      <c r="F622" s="38"/>
      <c r="G622" s="38"/>
      <c r="H622" s="38"/>
      <c r="I622" s="38"/>
      <c r="J622" s="105"/>
      <c r="K622" s="106"/>
      <c r="L622" s="106"/>
      <c r="M622" s="107"/>
      <c r="W622" s="6"/>
      <c r="X622" s="6"/>
    </row>
    <row r="623" spans="1:24" s="1" customFormat="1" hidden="1" x14ac:dyDescent="0.25">
      <c r="A623" s="18"/>
      <c r="D623" s="102"/>
      <c r="E623" s="43"/>
      <c r="F623" s="38"/>
      <c r="G623" s="38"/>
      <c r="H623" s="38"/>
      <c r="I623" s="38"/>
      <c r="J623" s="105"/>
      <c r="K623" s="106"/>
      <c r="L623" s="106"/>
      <c r="M623" s="107"/>
      <c r="W623" s="6"/>
      <c r="X623" s="6"/>
    </row>
    <row r="624" spans="1:24" s="1" customFormat="1" hidden="1" x14ac:dyDescent="0.25">
      <c r="A624" s="18"/>
      <c r="D624" s="102"/>
      <c r="E624" s="43"/>
      <c r="F624" s="38"/>
      <c r="G624" s="38"/>
      <c r="H624" s="38"/>
      <c r="I624" s="38"/>
      <c r="J624" s="105"/>
      <c r="K624" s="106"/>
      <c r="L624" s="106"/>
      <c r="M624" s="107"/>
      <c r="W624" s="6"/>
      <c r="X624" s="6"/>
    </row>
    <row r="625" spans="1:24" s="1" customFormat="1" hidden="1" x14ac:dyDescent="0.25">
      <c r="A625" s="18"/>
      <c r="D625" s="102"/>
      <c r="E625" s="43"/>
      <c r="F625" s="38"/>
      <c r="G625" s="38"/>
      <c r="H625" s="38"/>
      <c r="I625" s="38"/>
      <c r="J625" s="105"/>
      <c r="K625" s="106"/>
      <c r="L625" s="106"/>
      <c r="M625" s="107"/>
      <c r="W625" s="6"/>
      <c r="X625" s="6"/>
    </row>
    <row r="626" spans="1:24" s="1" customFormat="1" hidden="1" x14ac:dyDescent="0.25">
      <c r="A626" s="18"/>
      <c r="D626" s="102"/>
      <c r="E626" s="43"/>
      <c r="F626" s="38"/>
      <c r="G626" s="38"/>
      <c r="H626" s="38"/>
      <c r="I626" s="38"/>
      <c r="J626" s="105"/>
      <c r="K626" s="106"/>
      <c r="L626" s="106"/>
      <c r="M626" s="107"/>
      <c r="W626" s="6"/>
      <c r="X626" s="6"/>
    </row>
    <row r="627" spans="1:24" s="1" customFormat="1" hidden="1" x14ac:dyDescent="0.25">
      <c r="A627" s="18"/>
      <c r="D627" s="102"/>
      <c r="E627" s="43"/>
      <c r="F627" s="38"/>
      <c r="G627" s="38"/>
      <c r="H627" s="38"/>
      <c r="I627" s="38"/>
      <c r="J627" s="105"/>
      <c r="K627" s="106"/>
      <c r="L627" s="106"/>
      <c r="M627" s="107"/>
      <c r="W627" s="6"/>
      <c r="X627" s="6"/>
    </row>
    <row r="628" spans="1:24" s="1" customFormat="1" hidden="1" x14ac:dyDescent="0.25">
      <c r="A628" s="18"/>
      <c r="D628" s="102"/>
      <c r="E628" s="43"/>
      <c r="F628" s="38"/>
      <c r="G628" s="38"/>
      <c r="H628" s="38"/>
      <c r="I628" s="38"/>
      <c r="J628" s="105"/>
      <c r="K628" s="106"/>
      <c r="L628" s="106"/>
      <c r="M628" s="107"/>
      <c r="W628" s="6"/>
      <c r="X628" s="6"/>
    </row>
    <row r="629" spans="1:24" s="1" customFormat="1" hidden="1" x14ac:dyDescent="0.25">
      <c r="A629" s="18"/>
      <c r="D629" s="102"/>
      <c r="E629" s="43"/>
      <c r="F629" s="38"/>
      <c r="G629" s="38"/>
      <c r="H629" s="38"/>
      <c r="I629" s="38"/>
      <c r="J629" s="105"/>
      <c r="K629" s="106"/>
      <c r="L629" s="106"/>
      <c r="M629" s="107"/>
      <c r="W629" s="6"/>
      <c r="X629" s="6"/>
    </row>
    <row r="630" spans="1:24" s="1" customFormat="1" hidden="1" x14ac:dyDescent="0.25">
      <c r="A630" s="18"/>
      <c r="D630" s="102"/>
      <c r="E630" s="43"/>
      <c r="F630" s="38"/>
      <c r="G630" s="38"/>
      <c r="H630" s="38"/>
      <c r="I630" s="38"/>
      <c r="J630" s="105"/>
      <c r="K630" s="106"/>
      <c r="L630" s="106"/>
      <c r="M630" s="107"/>
      <c r="W630" s="6"/>
      <c r="X630" s="6"/>
    </row>
    <row r="631" spans="1:24" s="1" customFormat="1" hidden="1" x14ac:dyDescent="0.25">
      <c r="A631" s="18"/>
      <c r="D631" s="102"/>
      <c r="E631" s="43"/>
      <c r="F631" s="38"/>
      <c r="G631" s="38"/>
      <c r="H631" s="38"/>
      <c r="I631" s="38"/>
      <c r="J631" s="105"/>
      <c r="K631" s="106"/>
      <c r="L631" s="106"/>
      <c r="M631" s="107"/>
      <c r="W631" s="6"/>
      <c r="X631" s="6"/>
    </row>
    <row r="632" spans="1:24" s="1" customFormat="1" hidden="1" x14ac:dyDescent="0.25">
      <c r="A632" s="18"/>
      <c r="D632" s="102"/>
      <c r="E632" s="43"/>
      <c r="F632" s="38"/>
      <c r="G632" s="38"/>
      <c r="H632" s="38"/>
      <c r="I632" s="38"/>
      <c r="J632" s="105"/>
      <c r="K632" s="106"/>
      <c r="L632" s="106"/>
      <c r="M632" s="107"/>
      <c r="W632" s="6"/>
      <c r="X632" s="6"/>
    </row>
    <row r="633" spans="1:24" s="1" customFormat="1" hidden="1" x14ac:dyDescent="0.25">
      <c r="A633" s="18"/>
      <c r="D633" s="102"/>
      <c r="E633" s="43"/>
      <c r="F633" s="38"/>
      <c r="G633" s="38"/>
      <c r="H633" s="38"/>
      <c r="I633" s="38"/>
      <c r="J633" s="105"/>
      <c r="K633" s="106"/>
      <c r="L633" s="106"/>
      <c r="M633" s="107"/>
      <c r="W633" s="6"/>
      <c r="X633" s="6"/>
    </row>
    <row r="634" spans="1:24" s="1" customFormat="1" hidden="1" x14ac:dyDescent="0.25">
      <c r="A634" s="18"/>
      <c r="D634" s="102"/>
      <c r="E634" s="43"/>
      <c r="F634" s="38"/>
      <c r="G634" s="38"/>
      <c r="H634" s="38"/>
      <c r="I634" s="38"/>
      <c r="J634" s="105"/>
      <c r="K634" s="106"/>
      <c r="L634" s="106"/>
      <c r="M634" s="107"/>
      <c r="W634" s="6"/>
      <c r="X634" s="6"/>
    </row>
    <row r="635" spans="1:24" s="1" customFormat="1" hidden="1" x14ac:dyDescent="0.25">
      <c r="A635" s="18"/>
      <c r="D635" s="102"/>
      <c r="E635" s="43"/>
      <c r="F635" s="38"/>
      <c r="G635" s="38"/>
      <c r="H635" s="38"/>
      <c r="I635" s="38"/>
      <c r="J635" s="105"/>
      <c r="K635" s="106"/>
      <c r="L635" s="106"/>
      <c r="M635" s="107"/>
      <c r="W635" s="6"/>
      <c r="X635" s="6"/>
    </row>
    <row r="636" spans="1:24" s="1" customFormat="1" hidden="1" x14ac:dyDescent="0.25">
      <c r="A636" s="18"/>
      <c r="D636" s="102"/>
      <c r="E636" s="43"/>
      <c r="F636" s="38"/>
      <c r="G636" s="38"/>
      <c r="H636" s="38"/>
      <c r="I636" s="38"/>
      <c r="J636" s="105"/>
      <c r="K636" s="106"/>
      <c r="L636" s="106"/>
      <c r="M636" s="107"/>
      <c r="W636" s="6"/>
      <c r="X636" s="6"/>
    </row>
    <row r="637" spans="1:24" s="1" customFormat="1" hidden="1" x14ac:dyDescent="0.25">
      <c r="A637" s="18"/>
      <c r="D637" s="102"/>
      <c r="E637" s="43"/>
      <c r="F637" s="38"/>
      <c r="G637" s="38"/>
      <c r="H637" s="38"/>
      <c r="I637" s="38"/>
      <c r="J637" s="105"/>
      <c r="K637" s="106"/>
      <c r="L637" s="106"/>
      <c r="M637" s="107"/>
      <c r="W637" s="6"/>
      <c r="X637" s="6"/>
    </row>
    <row r="638" spans="1:24" s="1" customFormat="1" hidden="1" x14ac:dyDescent="0.25">
      <c r="A638" s="18"/>
      <c r="D638" s="102"/>
      <c r="E638" s="43"/>
      <c r="F638" s="38"/>
      <c r="G638" s="38"/>
      <c r="H638" s="38"/>
      <c r="I638" s="38"/>
      <c r="J638" s="105"/>
      <c r="K638" s="106"/>
      <c r="L638" s="106"/>
      <c r="M638" s="107"/>
      <c r="W638" s="6"/>
      <c r="X638" s="6"/>
    </row>
    <row r="639" spans="1:24" s="1" customFormat="1" hidden="1" x14ac:dyDescent="0.25">
      <c r="A639" s="18"/>
      <c r="D639" s="102"/>
      <c r="E639" s="43"/>
      <c r="F639" s="38"/>
      <c r="G639" s="38"/>
      <c r="H639" s="38"/>
      <c r="I639" s="38"/>
      <c r="J639" s="105"/>
      <c r="K639" s="106"/>
      <c r="L639" s="106"/>
      <c r="M639" s="107"/>
      <c r="W639" s="6"/>
      <c r="X639" s="6"/>
    </row>
    <row r="640" spans="1:24" s="1" customFormat="1" hidden="1" x14ac:dyDescent="0.25">
      <c r="A640" s="18"/>
      <c r="D640" s="102"/>
      <c r="E640" s="43"/>
      <c r="F640" s="38"/>
      <c r="G640" s="38"/>
      <c r="H640" s="38"/>
      <c r="I640" s="38"/>
      <c r="J640" s="105"/>
      <c r="K640" s="106"/>
      <c r="L640" s="106"/>
      <c r="M640" s="107"/>
      <c r="W640" s="6"/>
      <c r="X640" s="6"/>
    </row>
    <row r="641" spans="1:24" s="1" customFormat="1" hidden="1" x14ac:dyDescent="0.25">
      <c r="A641" s="18"/>
      <c r="D641" s="102"/>
      <c r="E641" s="43"/>
      <c r="F641" s="38"/>
      <c r="G641" s="38"/>
      <c r="H641" s="38"/>
      <c r="I641" s="38"/>
      <c r="J641" s="105"/>
      <c r="K641" s="106"/>
      <c r="L641" s="106"/>
      <c r="M641" s="107"/>
      <c r="W641" s="6"/>
      <c r="X641" s="6"/>
    </row>
    <row r="642" spans="1:24" s="1" customFormat="1" hidden="1" x14ac:dyDescent="0.25">
      <c r="A642" s="18"/>
      <c r="D642" s="102"/>
      <c r="E642" s="43"/>
      <c r="F642" s="38"/>
      <c r="G642" s="38"/>
      <c r="H642" s="38"/>
      <c r="I642" s="38"/>
      <c r="J642" s="105"/>
      <c r="K642" s="106"/>
      <c r="L642" s="106"/>
      <c r="M642" s="107"/>
      <c r="W642" s="6"/>
      <c r="X642" s="6"/>
    </row>
    <row r="643" spans="1:24" s="1" customFormat="1" hidden="1" x14ac:dyDescent="0.25">
      <c r="A643" s="18"/>
      <c r="D643" s="102"/>
      <c r="E643" s="43"/>
      <c r="F643" s="38"/>
      <c r="G643" s="38"/>
      <c r="H643" s="38"/>
      <c r="I643" s="38"/>
      <c r="J643" s="105"/>
      <c r="K643" s="106"/>
      <c r="L643" s="106"/>
      <c r="M643" s="107"/>
      <c r="W643" s="6"/>
      <c r="X643" s="6"/>
    </row>
    <row r="644" spans="1:24" s="1" customFormat="1" hidden="1" x14ac:dyDescent="0.25">
      <c r="A644" s="18"/>
      <c r="D644" s="102"/>
      <c r="E644" s="43"/>
      <c r="F644" s="38"/>
      <c r="G644" s="38"/>
      <c r="H644" s="38"/>
      <c r="I644" s="38"/>
      <c r="J644" s="105"/>
      <c r="K644" s="106"/>
      <c r="L644" s="106"/>
      <c r="M644" s="107"/>
      <c r="W644" s="6"/>
      <c r="X644" s="6"/>
    </row>
    <row r="645" spans="1:24" s="1" customFormat="1" hidden="1" x14ac:dyDescent="0.25">
      <c r="A645" s="18"/>
      <c r="D645" s="102"/>
      <c r="E645" s="43"/>
      <c r="F645" s="38"/>
      <c r="G645" s="38"/>
      <c r="H645" s="38"/>
      <c r="I645" s="38"/>
      <c r="J645" s="105"/>
      <c r="K645" s="106"/>
      <c r="L645" s="106"/>
      <c r="M645" s="107"/>
      <c r="W645" s="6"/>
      <c r="X645" s="6"/>
    </row>
    <row r="646" spans="1:24" s="1" customFormat="1" hidden="1" x14ac:dyDescent="0.25">
      <c r="A646" s="18"/>
      <c r="D646" s="102"/>
      <c r="E646" s="43"/>
      <c r="F646" s="38"/>
      <c r="G646" s="38"/>
      <c r="H646" s="38"/>
      <c r="I646" s="38"/>
      <c r="J646" s="105"/>
      <c r="K646" s="106"/>
      <c r="L646" s="106"/>
      <c r="M646" s="107"/>
      <c r="W646" s="6"/>
      <c r="X646" s="6"/>
    </row>
    <row r="647" spans="1:24" s="1" customFormat="1" hidden="1" x14ac:dyDescent="0.25">
      <c r="A647" s="18"/>
      <c r="D647" s="102"/>
      <c r="E647" s="43"/>
      <c r="F647" s="38"/>
      <c r="G647" s="38"/>
      <c r="H647" s="38"/>
      <c r="I647" s="38"/>
      <c r="J647" s="105"/>
      <c r="K647" s="106"/>
      <c r="L647" s="106"/>
      <c r="M647" s="107"/>
      <c r="W647" s="6"/>
      <c r="X647" s="6"/>
    </row>
    <row r="648" spans="1:24" s="1" customFormat="1" hidden="1" x14ac:dyDescent="0.25">
      <c r="A648" s="18"/>
      <c r="D648" s="102"/>
      <c r="E648" s="43"/>
      <c r="F648" s="38"/>
      <c r="G648" s="38"/>
      <c r="H648" s="38"/>
      <c r="I648" s="38"/>
      <c r="J648" s="105"/>
      <c r="K648" s="106"/>
      <c r="L648" s="106"/>
      <c r="M648" s="107"/>
      <c r="W648" s="6"/>
      <c r="X648" s="6"/>
    </row>
    <row r="649" spans="1:24" s="1" customFormat="1" hidden="1" x14ac:dyDescent="0.25">
      <c r="A649" s="18"/>
      <c r="D649" s="102"/>
      <c r="E649" s="43"/>
      <c r="F649" s="38"/>
      <c r="G649" s="38"/>
      <c r="H649" s="38"/>
      <c r="I649" s="38"/>
      <c r="J649" s="105"/>
      <c r="K649" s="106"/>
      <c r="L649" s="106"/>
      <c r="M649" s="107"/>
      <c r="W649" s="6"/>
      <c r="X649" s="6"/>
    </row>
    <row r="650" spans="1:24" s="1" customFormat="1" hidden="1" x14ac:dyDescent="0.25">
      <c r="A650" s="18"/>
      <c r="D650" s="102"/>
      <c r="E650" s="43"/>
      <c r="F650" s="38"/>
      <c r="G650" s="38"/>
      <c r="H650" s="38"/>
      <c r="I650" s="38"/>
      <c r="J650" s="105"/>
      <c r="K650" s="106"/>
      <c r="L650" s="106"/>
      <c r="M650" s="107"/>
      <c r="W650" s="6"/>
      <c r="X650" s="6"/>
    </row>
    <row r="651" spans="1:24" s="1" customFormat="1" hidden="1" x14ac:dyDescent="0.25">
      <c r="A651" s="18"/>
      <c r="D651" s="102"/>
      <c r="E651" s="43"/>
      <c r="F651" s="38"/>
      <c r="G651" s="38"/>
      <c r="H651" s="38"/>
      <c r="I651" s="38"/>
      <c r="J651" s="105"/>
      <c r="K651" s="106"/>
      <c r="L651" s="106"/>
      <c r="M651" s="107"/>
      <c r="W651" s="6"/>
      <c r="X651" s="6"/>
    </row>
    <row r="652" spans="1:24" s="1" customFormat="1" hidden="1" x14ac:dyDescent="0.25">
      <c r="A652" s="18"/>
      <c r="D652" s="102"/>
      <c r="E652" s="43"/>
      <c r="F652" s="38"/>
      <c r="G652" s="38"/>
      <c r="H652" s="38"/>
      <c r="I652" s="38"/>
      <c r="J652" s="105"/>
      <c r="K652" s="106"/>
      <c r="L652" s="106"/>
      <c r="M652" s="107"/>
      <c r="W652" s="6"/>
      <c r="X652" s="6"/>
    </row>
    <row r="653" spans="1:24" s="1" customFormat="1" hidden="1" x14ac:dyDescent="0.25">
      <c r="A653" s="18"/>
      <c r="D653" s="102"/>
      <c r="E653" s="43"/>
      <c r="F653" s="38"/>
      <c r="G653" s="38"/>
      <c r="H653" s="38"/>
      <c r="I653" s="38"/>
      <c r="J653" s="105"/>
      <c r="K653" s="106"/>
      <c r="L653" s="106"/>
      <c r="M653" s="107"/>
      <c r="W653" s="6"/>
      <c r="X653" s="6"/>
    </row>
    <row r="654" spans="1:24" s="1" customFormat="1" hidden="1" x14ac:dyDescent="0.25">
      <c r="A654" s="18"/>
      <c r="D654" s="102"/>
      <c r="E654" s="43"/>
      <c r="F654" s="38"/>
      <c r="G654" s="38"/>
      <c r="H654" s="38"/>
      <c r="I654" s="38"/>
      <c r="J654" s="105"/>
      <c r="K654" s="106"/>
      <c r="L654" s="106"/>
      <c r="M654" s="107"/>
      <c r="W654" s="6"/>
      <c r="X654" s="6"/>
    </row>
    <row r="655" spans="1:24" s="1" customFormat="1" hidden="1" x14ac:dyDescent="0.25">
      <c r="A655" s="18"/>
      <c r="D655" s="102"/>
      <c r="E655" s="43"/>
      <c r="F655" s="38"/>
      <c r="G655" s="38"/>
      <c r="H655" s="38"/>
      <c r="I655" s="38"/>
      <c r="J655" s="105"/>
      <c r="K655" s="106"/>
      <c r="L655" s="106"/>
      <c r="M655" s="107"/>
      <c r="W655" s="6"/>
      <c r="X655" s="6"/>
    </row>
    <row r="656" spans="1:24" s="1" customFormat="1" hidden="1" x14ac:dyDescent="0.25">
      <c r="A656" s="18"/>
      <c r="D656" s="102"/>
      <c r="E656" s="43"/>
      <c r="F656" s="38"/>
      <c r="G656" s="38"/>
      <c r="H656" s="38"/>
      <c r="I656" s="38"/>
      <c r="J656" s="105"/>
      <c r="K656" s="106"/>
      <c r="L656" s="106"/>
      <c r="M656" s="107"/>
      <c r="W656" s="6"/>
      <c r="X656" s="6"/>
    </row>
    <row r="657" spans="1:24" s="1" customFormat="1" hidden="1" x14ac:dyDescent="0.25">
      <c r="A657" s="18"/>
      <c r="D657" s="102"/>
      <c r="E657" s="43"/>
      <c r="F657" s="38"/>
      <c r="G657" s="38"/>
      <c r="H657" s="38"/>
      <c r="I657" s="38"/>
      <c r="J657" s="105"/>
      <c r="K657" s="106"/>
      <c r="L657" s="106"/>
      <c r="M657" s="107"/>
      <c r="W657" s="6"/>
      <c r="X657" s="6"/>
    </row>
    <row r="658" spans="1:24" s="1" customFormat="1" hidden="1" x14ac:dyDescent="0.25">
      <c r="A658" s="18"/>
      <c r="D658" s="102"/>
      <c r="E658" s="43"/>
      <c r="F658" s="38"/>
      <c r="G658" s="38"/>
      <c r="H658" s="38"/>
      <c r="I658" s="38"/>
      <c r="J658" s="105"/>
      <c r="K658" s="106"/>
      <c r="L658" s="106"/>
      <c r="M658" s="107"/>
      <c r="W658" s="6"/>
      <c r="X658" s="6"/>
    </row>
    <row r="659" spans="1:24" s="1" customFormat="1" hidden="1" x14ac:dyDescent="0.25">
      <c r="A659" s="18"/>
      <c r="D659" s="102"/>
      <c r="E659" s="43"/>
      <c r="F659" s="38"/>
      <c r="G659" s="38"/>
      <c r="H659" s="38"/>
      <c r="I659" s="38"/>
      <c r="J659" s="105"/>
      <c r="K659" s="106"/>
      <c r="L659" s="106"/>
      <c r="M659" s="107"/>
      <c r="W659" s="6"/>
      <c r="X659" s="6"/>
    </row>
    <row r="660" spans="1:24" s="1" customFormat="1" hidden="1" x14ac:dyDescent="0.25">
      <c r="A660" s="18"/>
      <c r="D660" s="102"/>
      <c r="E660" s="43"/>
      <c r="F660" s="38"/>
      <c r="G660" s="38"/>
      <c r="H660" s="38"/>
      <c r="I660" s="38"/>
      <c r="J660" s="105"/>
      <c r="K660" s="106"/>
      <c r="L660" s="106"/>
      <c r="M660" s="107"/>
      <c r="W660" s="6"/>
      <c r="X660" s="6"/>
    </row>
    <row r="661" spans="1:24" s="1" customFormat="1" hidden="1" x14ac:dyDescent="0.25">
      <c r="A661" s="18"/>
      <c r="D661" s="102"/>
      <c r="E661" s="43"/>
      <c r="F661" s="38"/>
      <c r="G661" s="38"/>
      <c r="H661" s="38"/>
      <c r="I661" s="38"/>
      <c r="J661" s="105"/>
      <c r="K661" s="106"/>
      <c r="L661" s="106"/>
      <c r="M661" s="107"/>
      <c r="W661" s="6"/>
      <c r="X661" s="6"/>
    </row>
    <row r="662" spans="1:24" s="1" customFormat="1" hidden="1" x14ac:dyDescent="0.25">
      <c r="A662" s="18"/>
      <c r="D662" s="102"/>
      <c r="E662" s="43"/>
      <c r="F662" s="38"/>
      <c r="G662" s="38"/>
      <c r="H662" s="38"/>
      <c r="I662" s="38"/>
      <c r="J662" s="105"/>
      <c r="K662" s="106"/>
      <c r="L662" s="106"/>
      <c r="M662" s="107"/>
      <c r="W662" s="6"/>
      <c r="X662" s="6"/>
    </row>
    <row r="663" spans="1:24" s="1" customFormat="1" hidden="1" x14ac:dyDescent="0.25">
      <c r="A663" s="18"/>
      <c r="D663" s="102"/>
      <c r="E663" s="43"/>
      <c r="F663" s="38"/>
      <c r="G663" s="38"/>
      <c r="H663" s="38"/>
      <c r="I663" s="38"/>
      <c r="J663" s="105"/>
      <c r="K663" s="106"/>
      <c r="L663" s="106"/>
      <c r="M663" s="107"/>
      <c r="W663" s="6"/>
      <c r="X663" s="6"/>
    </row>
    <row r="664" spans="1:24" s="1" customFormat="1" hidden="1" x14ac:dyDescent="0.25">
      <c r="A664" s="18"/>
      <c r="D664" s="102"/>
      <c r="E664" s="43"/>
      <c r="F664" s="38"/>
      <c r="G664" s="38"/>
      <c r="H664" s="38"/>
      <c r="I664" s="38"/>
      <c r="J664" s="105"/>
      <c r="K664" s="106"/>
      <c r="L664" s="106"/>
      <c r="M664" s="107"/>
      <c r="W664" s="6"/>
      <c r="X664" s="6"/>
    </row>
    <row r="665" spans="1:24" s="1" customFormat="1" hidden="1" x14ac:dyDescent="0.25">
      <c r="A665" s="18"/>
      <c r="D665" s="102"/>
      <c r="E665" s="43"/>
      <c r="F665" s="38"/>
      <c r="G665" s="38"/>
      <c r="H665" s="38"/>
      <c r="I665" s="38"/>
      <c r="J665" s="105"/>
      <c r="K665" s="106"/>
      <c r="L665" s="106"/>
      <c r="M665" s="107"/>
      <c r="W665" s="6"/>
      <c r="X665" s="6"/>
    </row>
    <row r="666" spans="1:24" s="1" customFormat="1" hidden="1" x14ac:dyDescent="0.25">
      <c r="A666" s="18"/>
      <c r="D666" s="102"/>
      <c r="E666" s="43"/>
      <c r="F666" s="38"/>
      <c r="G666" s="38"/>
      <c r="H666" s="38"/>
      <c r="I666" s="38"/>
      <c r="J666" s="105"/>
      <c r="K666" s="106"/>
      <c r="L666" s="106"/>
      <c r="M666" s="107"/>
      <c r="W666" s="6"/>
      <c r="X666" s="6"/>
    </row>
    <row r="667" spans="1:24" s="1" customFormat="1" hidden="1" x14ac:dyDescent="0.25">
      <c r="A667" s="18"/>
      <c r="D667" s="102"/>
      <c r="E667" s="43"/>
      <c r="F667" s="38"/>
      <c r="G667" s="38"/>
      <c r="H667" s="38"/>
      <c r="I667" s="38"/>
      <c r="J667" s="105"/>
      <c r="K667" s="106"/>
      <c r="L667" s="106"/>
      <c r="M667" s="107"/>
      <c r="W667" s="6"/>
      <c r="X667" s="6"/>
    </row>
    <row r="668" spans="1:24" s="1" customFormat="1" hidden="1" x14ac:dyDescent="0.25">
      <c r="A668" s="18"/>
      <c r="D668" s="102"/>
      <c r="E668" s="43"/>
      <c r="F668" s="38"/>
      <c r="G668" s="38"/>
      <c r="H668" s="38"/>
      <c r="I668" s="38"/>
      <c r="J668" s="105"/>
      <c r="K668" s="106"/>
      <c r="L668" s="106"/>
      <c r="M668" s="107"/>
      <c r="W668" s="6"/>
      <c r="X668" s="6"/>
    </row>
    <row r="669" spans="1:24" s="1" customFormat="1" hidden="1" x14ac:dyDescent="0.25">
      <c r="A669" s="18"/>
      <c r="D669" s="102"/>
      <c r="E669" s="43"/>
      <c r="F669" s="38"/>
      <c r="G669" s="38"/>
      <c r="H669" s="38"/>
      <c r="I669" s="38"/>
      <c r="J669" s="105"/>
      <c r="K669" s="106"/>
      <c r="L669" s="106"/>
      <c r="M669" s="107"/>
      <c r="W669" s="6"/>
      <c r="X669" s="6"/>
    </row>
    <row r="670" spans="1:24" s="1" customFormat="1" hidden="1" x14ac:dyDescent="0.25">
      <c r="A670" s="18"/>
      <c r="D670" s="102"/>
      <c r="E670" s="43"/>
      <c r="F670" s="38"/>
      <c r="G670" s="38"/>
      <c r="H670" s="38"/>
      <c r="I670" s="38"/>
      <c r="J670" s="105"/>
      <c r="K670" s="106"/>
      <c r="L670" s="106"/>
      <c r="M670" s="107"/>
      <c r="W670" s="6"/>
      <c r="X670" s="6"/>
    </row>
    <row r="671" spans="1:24" s="1" customFormat="1" hidden="1" x14ac:dyDescent="0.25">
      <c r="A671" s="18"/>
      <c r="D671" s="102"/>
      <c r="E671" s="43"/>
      <c r="F671" s="38"/>
      <c r="G671" s="38"/>
      <c r="H671" s="38"/>
      <c r="I671" s="38"/>
      <c r="J671" s="105"/>
      <c r="K671" s="106"/>
      <c r="L671" s="106"/>
      <c r="M671" s="107"/>
      <c r="W671" s="6"/>
      <c r="X671" s="6"/>
    </row>
    <row r="672" spans="1:24" s="1" customFormat="1" hidden="1" x14ac:dyDescent="0.25">
      <c r="A672" s="18"/>
      <c r="D672" s="102"/>
      <c r="E672" s="43"/>
      <c r="F672" s="38"/>
      <c r="G672" s="38"/>
      <c r="H672" s="38"/>
      <c r="I672" s="38"/>
      <c r="J672" s="105"/>
      <c r="K672" s="106"/>
      <c r="L672" s="106"/>
      <c r="M672" s="107"/>
      <c r="W672" s="6"/>
      <c r="X672" s="6"/>
    </row>
    <row r="673" spans="1:24" s="1" customFormat="1" hidden="1" x14ac:dyDescent="0.25">
      <c r="A673" s="18"/>
      <c r="D673" s="102"/>
      <c r="E673" s="43"/>
      <c r="F673" s="38"/>
      <c r="G673" s="38"/>
      <c r="H673" s="38"/>
      <c r="I673" s="38"/>
      <c r="J673" s="105"/>
      <c r="K673" s="106"/>
      <c r="L673" s="106"/>
      <c r="M673" s="107"/>
      <c r="W673" s="6"/>
      <c r="X673" s="6"/>
    </row>
    <row r="674" spans="1:24" s="1" customFormat="1" hidden="1" x14ac:dyDescent="0.25">
      <c r="A674" s="18"/>
      <c r="D674" s="102"/>
      <c r="E674" s="43"/>
      <c r="F674" s="38"/>
      <c r="G674" s="38"/>
      <c r="H674" s="38"/>
      <c r="I674" s="38"/>
      <c r="J674" s="105"/>
      <c r="K674" s="106"/>
      <c r="L674" s="106"/>
      <c r="M674" s="107"/>
      <c r="W674" s="6"/>
      <c r="X674" s="6"/>
    </row>
    <row r="675" spans="1:24" s="1" customFormat="1" hidden="1" x14ac:dyDescent="0.25">
      <c r="A675" s="18"/>
      <c r="D675" s="102"/>
      <c r="E675" s="43"/>
      <c r="F675" s="38"/>
      <c r="G675" s="38"/>
      <c r="H675" s="38"/>
      <c r="I675" s="38"/>
      <c r="J675" s="105"/>
      <c r="K675" s="106"/>
      <c r="L675" s="106"/>
      <c r="M675" s="107"/>
      <c r="W675" s="6"/>
      <c r="X675" s="6"/>
    </row>
    <row r="676" spans="1:24" s="1" customFormat="1" hidden="1" x14ac:dyDescent="0.25">
      <c r="A676" s="18"/>
      <c r="D676" s="102"/>
      <c r="E676" s="43"/>
      <c r="F676" s="38"/>
      <c r="G676" s="38"/>
      <c r="H676" s="38"/>
      <c r="I676" s="38"/>
      <c r="J676" s="105"/>
      <c r="K676" s="106"/>
      <c r="L676" s="106"/>
      <c r="M676" s="107"/>
      <c r="W676" s="6"/>
      <c r="X676" s="6"/>
    </row>
    <row r="677" spans="1:24" s="1" customFormat="1" hidden="1" x14ac:dyDescent="0.25">
      <c r="A677" s="18"/>
      <c r="D677" s="102"/>
      <c r="E677" s="43"/>
      <c r="F677" s="38"/>
      <c r="G677" s="38"/>
      <c r="H677" s="38"/>
      <c r="I677" s="38"/>
      <c r="J677" s="105"/>
      <c r="K677" s="106"/>
      <c r="L677" s="106"/>
      <c r="M677" s="107"/>
      <c r="W677" s="6"/>
      <c r="X677" s="6"/>
    </row>
    <row r="678" spans="1:24" s="1" customFormat="1" hidden="1" x14ac:dyDescent="0.25">
      <c r="A678" s="18"/>
      <c r="D678" s="102"/>
      <c r="E678" s="43"/>
      <c r="F678" s="38"/>
      <c r="G678" s="38"/>
      <c r="H678" s="38"/>
      <c r="I678" s="38"/>
      <c r="J678" s="105"/>
      <c r="K678" s="106"/>
      <c r="L678" s="106"/>
      <c r="M678" s="107"/>
      <c r="W678" s="6"/>
      <c r="X678" s="6"/>
    </row>
    <row r="679" spans="1:24" s="1" customFormat="1" hidden="1" x14ac:dyDescent="0.25">
      <c r="A679" s="18"/>
      <c r="D679" s="102"/>
      <c r="E679" s="43"/>
      <c r="F679" s="38"/>
      <c r="G679" s="38"/>
      <c r="H679" s="38"/>
      <c r="I679" s="38"/>
      <c r="J679" s="105"/>
      <c r="K679" s="106"/>
      <c r="L679" s="106"/>
      <c r="M679" s="107"/>
      <c r="W679" s="6"/>
      <c r="X679" s="6"/>
    </row>
    <row r="680" spans="1:24" s="1" customFormat="1" hidden="1" x14ac:dyDescent="0.25">
      <c r="A680" s="18"/>
      <c r="D680" s="102"/>
      <c r="E680" s="43"/>
      <c r="F680" s="38"/>
      <c r="G680" s="38"/>
      <c r="H680" s="38"/>
      <c r="I680" s="38"/>
      <c r="J680" s="105"/>
      <c r="K680" s="106"/>
      <c r="L680" s="106"/>
      <c r="M680" s="107"/>
      <c r="W680" s="6"/>
      <c r="X680" s="6"/>
    </row>
    <row r="681" spans="1:24" s="1" customFormat="1" hidden="1" x14ac:dyDescent="0.25">
      <c r="A681" s="18"/>
      <c r="D681" s="102"/>
      <c r="E681" s="43"/>
      <c r="F681" s="38"/>
      <c r="G681" s="38"/>
      <c r="H681" s="38"/>
      <c r="I681" s="38"/>
      <c r="J681" s="105"/>
      <c r="K681" s="106"/>
      <c r="L681" s="106"/>
      <c r="M681" s="107"/>
      <c r="W681" s="6"/>
      <c r="X681" s="6"/>
    </row>
    <row r="682" spans="1:24" s="1" customFormat="1" hidden="1" x14ac:dyDescent="0.25">
      <c r="A682" s="18"/>
      <c r="D682" s="102"/>
      <c r="E682" s="43"/>
      <c r="F682" s="38"/>
      <c r="G682" s="38"/>
      <c r="H682" s="38"/>
      <c r="I682" s="38"/>
      <c r="J682" s="105"/>
      <c r="K682" s="106"/>
      <c r="L682" s="106"/>
      <c r="M682" s="107"/>
      <c r="W682" s="6"/>
      <c r="X682" s="6"/>
    </row>
    <row r="683" spans="1:24" s="1" customFormat="1" hidden="1" x14ac:dyDescent="0.25">
      <c r="A683" s="18"/>
      <c r="D683" s="102"/>
      <c r="E683" s="43"/>
      <c r="F683" s="38"/>
      <c r="G683" s="38"/>
      <c r="H683" s="38"/>
      <c r="I683" s="38"/>
      <c r="J683" s="105"/>
      <c r="K683" s="106"/>
      <c r="L683" s="106"/>
      <c r="M683" s="107"/>
      <c r="W683" s="6"/>
      <c r="X683" s="6"/>
    </row>
    <row r="684" spans="1:24" s="1" customFormat="1" hidden="1" x14ac:dyDescent="0.25">
      <c r="A684" s="18"/>
      <c r="D684" s="102"/>
      <c r="E684" s="43"/>
      <c r="F684" s="38"/>
      <c r="G684" s="38"/>
      <c r="H684" s="38"/>
      <c r="I684" s="38"/>
      <c r="J684" s="105"/>
      <c r="K684" s="106"/>
      <c r="L684" s="106"/>
      <c r="M684" s="107"/>
      <c r="W684" s="6"/>
      <c r="X684" s="6"/>
    </row>
    <row r="685" spans="1:24" s="1" customFormat="1" hidden="1" x14ac:dyDescent="0.25">
      <c r="A685" s="18"/>
      <c r="D685" s="102"/>
      <c r="E685" s="43"/>
      <c r="F685" s="38"/>
      <c r="G685" s="38"/>
      <c r="H685" s="38"/>
      <c r="I685" s="38"/>
      <c r="J685" s="105"/>
      <c r="K685" s="106"/>
      <c r="L685" s="106"/>
      <c r="M685" s="107"/>
      <c r="W685" s="6"/>
      <c r="X685" s="6"/>
    </row>
    <row r="686" spans="1:24" s="1" customFormat="1" hidden="1" x14ac:dyDescent="0.25">
      <c r="A686" s="18"/>
      <c r="D686" s="102"/>
      <c r="E686" s="43"/>
      <c r="F686" s="38"/>
      <c r="G686" s="38"/>
      <c r="H686" s="38"/>
      <c r="I686" s="38"/>
      <c r="J686" s="105"/>
      <c r="K686" s="106"/>
      <c r="L686" s="106"/>
      <c r="M686" s="107"/>
      <c r="W686" s="6"/>
      <c r="X686" s="6"/>
    </row>
    <row r="687" spans="1:24" s="1" customFormat="1" hidden="1" x14ac:dyDescent="0.25">
      <c r="A687" s="18"/>
      <c r="D687" s="102"/>
      <c r="E687" s="43"/>
      <c r="F687" s="38"/>
      <c r="G687" s="38"/>
      <c r="H687" s="38"/>
      <c r="I687" s="38"/>
      <c r="J687" s="105"/>
      <c r="K687" s="106"/>
      <c r="L687" s="106"/>
      <c r="M687" s="107"/>
      <c r="W687" s="6"/>
      <c r="X687" s="6"/>
    </row>
    <row r="688" spans="1:24" s="1" customFormat="1" hidden="1" x14ac:dyDescent="0.25">
      <c r="A688" s="18"/>
      <c r="D688" s="102"/>
      <c r="E688" s="43"/>
      <c r="F688" s="38"/>
      <c r="G688" s="38"/>
      <c r="H688" s="38"/>
      <c r="I688" s="38"/>
      <c r="J688" s="105"/>
      <c r="K688" s="106"/>
      <c r="L688" s="106"/>
      <c r="M688" s="107"/>
      <c r="W688" s="6"/>
      <c r="X688" s="6"/>
    </row>
    <row r="689" spans="1:24" s="1" customFormat="1" hidden="1" x14ac:dyDescent="0.25">
      <c r="A689" s="18"/>
      <c r="D689" s="102"/>
      <c r="E689" s="43"/>
      <c r="F689" s="38"/>
      <c r="G689" s="38"/>
      <c r="H689" s="38"/>
      <c r="I689" s="38"/>
      <c r="J689" s="105"/>
      <c r="K689" s="106"/>
      <c r="L689" s="106"/>
      <c r="M689" s="107"/>
      <c r="W689" s="6"/>
      <c r="X689" s="6"/>
    </row>
    <row r="690" spans="1:24" s="1" customFormat="1" hidden="1" x14ac:dyDescent="0.25">
      <c r="A690" s="18"/>
      <c r="D690" s="102"/>
      <c r="E690" s="43"/>
      <c r="F690" s="38"/>
      <c r="G690" s="38"/>
      <c r="H690" s="38"/>
      <c r="I690" s="38"/>
      <c r="J690" s="105"/>
      <c r="K690" s="106"/>
      <c r="L690" s="106"/>
      <c r="M690" s="107"/>
      <c r="W690" s="6"/>
      <c r="X690" s="6"/>
    </row>
    <row r="691" spans="1:24" s="1" customFormat="1" hidden="1" x14ac:dyDescent="0.25">
      <c r="A691" s="18"/>
      <c r="D691" s="102"/>
      <c r="E691" s="43"/>
      <c r="F691" s="38"/>
      <c r="G691" s="38"/>
      <c r="H691" s="38"/>
      <c r="I691" s="38"/>
      <c r="J691" s="105"/>
      <c r="K691" s="106"/>
      <c r="L691" s="106"/>
      <c r="M691" s="107"/>
      <c r="W691" s="6"/>
      <c r="X691" s="6"/>
    </row>
    <row r="692" spans="1:24" s="1" customFormat="1" hidden="1" x14ac:dyDescent="0.25">
      <c r="A692" s="18"/>
      <c r="D692" s="102"/>
      <c r="E692" s="43"/>
      <c r="F692" s="38"/>
      <c r="G692" s="38"/>
      <c r="H692" s="38"/>
      <c r="I692" s="38"/>
      <c r="J692" s="105"/>
      <c r="K692" s="106"/>
      <c r="L692" s="106"/>
      <c r="M692" s="107"/>
      <c r="W692" s="6"/>
      <c r="X692" s="6"/>
    </row>
    <row r="693" spans="1:24" s="1" customFormat="1" hidden="1" x14ac:dyDescent="0.25">
      <c r="A693" s="18"/>
      <c r="D693" s="102"/>
      <c r="E693" s="43"/>
      <c r="F693" s="38"/>
      <c r="G693" s="38"/>
      <c r="H693" s="38"/>
      <c r="I693" s="38"/>
      <c r="J693" s="105"/>
      <c r="K693" s="106"/>
      <c r="L693" s="106"/>
      <c r="M693" s="107"/>
      <c r="W693" s="6"/>
      <c r="X693" s="6"/>
    </row>
    <row r="694" spans="1:24" s="1" customFormat="1" hidden="1" x14ac:dyDescent="0.25">
      <c r="A694" s="18"/>
      <c r="D694" s="102"/>
      <c r="E694" s="43"/>
      <c r="F694" s="38"/>
      <c r="G694" s="38"/>
      <c r="H694" s="38"/>
      <c r="I694" s="38"/>
      <c r="J694" s="105"/>
      <c r="K694" s="106"/>
      <c r="L694" s="106"/>
      <c r="M694" s="107"/>
      <c r="W694" s="6"/>
      <c r="X694" s="6"/>
    </row>
    <row r="695" spans="1:24" s="1" customFormat="1" hidden="1" x14ac:dyDescent="0.25">
      <c r="A695" s="18"/>
      <c r="D695" s="102"/>
      <c r="E695" s="43"/>
      <c r="F695" s="38"/>
      <c r="G695" s="38"/>
      <c r="H695" s="38"/>
      <c r="I695" s="38"/>
      <c r="J695" s="105"/>
      <c r="K695" s="106"/>
      <c r="L695" s="106"/>
      <c r="M695" s="107"/>
      <c r="W695" s="6"/>
      <c r="X695" s="6"/>
    </row>
    <row r="696" spans="1:24" s="1" customFormat="1" hidden="1" x14ac:dyDescent="0.25">
      <c r="A696" s="18"/>
      <c r="D696" s="102"/>
      <c r="E696" s="43"/>
      <c r="F696" s="38"/>
      <c r="G696" s="38"/>
      <c r="H696" s="38"/>
      <c r="I696" s="38"/>
      <c r="J696" s="105"/>
      <c r="K696" s="106"/>
      <c r="L696" s="106"/>
      <c r="M696" s="107"/>
      <c r="W696" s="6"/>
      <c r="X696" s="6"/>
    </row>
    <row r="697" spans="1:24" s="1" customFormat="1" hidden="1" x14ac:dyDescent="0.25">
      <c r="A697" s="18"/>
      <c r="D697" s="102"/>
      <c r="E697" s="43"/>
      <c r="F697" s="38"/>
      <c r="G697" s="38"/>
      <c r="H697" s="38"/>
      <c r="I697" s="38"/>
      <c r="J697" s="105"/>
      <c r="K697" s="106"/>
      <c r="L697" s="106"/>
      <c r="M697" s="107"/>
      <c r="W697" s="6"/>
      <c r="X697" s="6"/>
    </row>
    <row r="698" spans="1:24" s="1" customFormat="1" hidden="1" x14ac:dyDescent="0.25">
      <c r="A698" s="18"/>
      <c r="D698" s="102"/>
      <c r="E698" s="43"/>
      <c r="F698" s="38"/>
      <c r="G698" s="38"/>
      <c r="H698" s="38"/>
      <c r="I698" s="38"/>
      <c r="J698" s="105"/>
      <c r="K698" s="106"/>
      <c r="L698" s="106"/>
      <c r="M698" s="107"/>
      <c r="W698" s="6"/>
      <c r="X698" s="6"/>
    </row>
    <row r="699" spans="1:24" s="1" customFormat="1" hidden="1" x14ac:dyDescent="0.25">
      <c r="A699" s="18"/>
      <c r="D699" s="102"/>
      <c r="E699" s="43"/>
      <c r="F699" s="38"/>
      <c r="G699" s="38"/>
      <c r="H699" s="38"/>
      <c r="I699" s="38"/>
      <c r="J699" s="105"/>
      <c r="K699" s="106"/>
      <c r="L699" s="106"/>
      <c r="M699" s="107"/>
      <c r="W699" s="6"/>
      <c r="X699" s="6"/>
    </row>
    <row r="700" spans="1:24" s="1" customFormat="1" hidden="1" x14ac:dyDescent="0.25">
      <c r="A700" s="18"/>
      <c r="D700" s="102"/>
      <c r="E700" s="43"/>
      <c r="F700" s="38"/>
      <c r="G700" s="38"/>
      <c r="H700" s="38"/>
      <c r="I700" s="38"/>
      <c r="J700" s="105"/>
      <c r="K700" s="106"/>
      <c r="L700" s="106"/>
      <c r="M700" s="107"/>
      <c r="W700" s="6"/>
      <c r="X700" s="6"/>
    </row>
    <row r="701" spans="1:24" s="1" customFormat="1" hidden="1" x14ac:dyDescent="0.25">
      <c r="A701" s="18"/>
      <c r="D701" s="102"/>
      <c r="E701" s="43"/>
      <c r="F701" s="38"/>
      <c r="G701" s="38"/>
      <c r="H701" s="38"/>
      <c r="I701" s="38"/>
      <c r="J701" s="105"/>
      <c r="K701" s="106"/>
      <c r="L701" s="106"/>
      <c r="M701" s="107"/>
      <c r="W701" s="6"/>
      <c r="X701" s="6"/>
    </row>
    <row r="702" spans="1:24" s="1" customFormat="1" hidden="1" x14ac:dyDescent="0.25">
      <c r="A702" s="18"/>
      <c r="D702" s="102"/>
      <c r="E702" s="43"/>
      <c r="F702" s="38"/>
      <c r="G702" s="38"/>
      <c r="H702" s="38"/>
      <c r="I702" s="38"/>
      <c r="J702" s="105"/>
      <c r="K702" s="106"/>
      <c r="L702" s="106"/>
      <c r="M702" s="107"/>
      <c r="W702" s="6"/>
      <c r="X702" s="6"/>
    </row>
    <row r="703" spans="1:24" s="1" customFormat="1" hidden="1" x14ac:dyDescent="0.25">
      <c r="A703" s="18"/>
      <c r="D703" s="102"/>
      <c r="E703" s="43"/>
      <c r="F703" s="38"/>
      <c r="G703" s="38"/>
      <c r="H703" s="38"/>
      <c r="I703" s="38"/>
      <c r="J703" s="105"/>
      <c r="K703" s="106"/>
      <c r="L703" s="106"/>
      <c r="M703" s="107"/>
      <c r="W703" s="6"/>
      <c r="X703" s="6"/>
    </row>
    <row r="704" spans="1:24" s="1" customFormat="1" hidden="1" x14ac:dyDescent="0.25">
      <c r="A704" s="18"/>
      <c r="D704" s="102"/>
      <c r="E704" s="43"/>
      <c r="F704" s="38"/>
      <c r="G704" s="38"/>
      <c r="H704" s="38"/>
      <c r="I704" s="38"/>
      <c r="J704" s="105"/>
      <c r="K704" s="106"/>
      <c r="L704" s="106"/>
      <c r="M704" s="107"/>
      <c r="W704" s="6"/>
      <c r="X704" s="6"/>
    </row>
    <row r="705" spans="1:24" s="1" customFormat="1" hidden="1" x14ac:dyDescent="0.25">
      <c r="A705" s="18"/>
      <c r="D705" s="102"/>
      <c r="E705" s="43"/>
      <c r="F705" s="38"/>
      <c r="G705" s="38"/>
      <c r="H705" s="38"/>
      <c r="I705" s="38"/>
      <c r="J705" s="105"/>
      <c r="K705" s="106"/>
      <c r="L705" s="106"/>
      <c r="M705" s="107"/>
      <c r="W705" s="6"/>
      <c r="X705" s="6"/>
    </row>
    <row r="706" spans="1:24" s="1" customFormat="1" hidden="1" x14ac:dyDescent="0.25">
      <c r="A706" s="18"/>
      <c r="D706" s="102"/>
      <c r="E706" s="43"/>
      <c r="F706" s="38"/>
      <c r="G706" s="38"/>
      <c r="H706" s="38"/>
      <c r="I706" s="38"/>
      <c r="J706" s="105"/>
      <c r="K706" s="106"/>
      <c r="L706" s="106"/>
      <c r="M706" s="107"/>
      <c r="W706" s="6"/>
      <c r="X706" s="6"/>
    </row>
    <row r="707" spans="1:24" s="1" customFormat="1" hidden="1" x14ac:dyDescent="0.25">
      <c r="A707" s="18"/>
      <c r="D707" s="102"/>
      <c r="E707" s="43"/>
      <c r="F707" s="38"/>
      <c r="G707" s="38"/>
      <c r="H707" s="38"/>
      <c r="I707" s="38"/>
      <c r="J707" s="105"/>
      <c r="K707" s="106"/>
      <c r="L707" s="106"/>
      <c r="M707" s="107"/>
      <c r="W707" s="6"/>
      <c r="X707" s="6"/>
    </row>
    <row r="708" spans="1:24" s="1" customFormat="1" hidden="1" x14ac:dyDescent="0.25">
      <c r="A708" s="18"/>
      <c r="D708" s="102"/>
      <c r="E708" s="43"/>
      <c r="F708" s="38"/>
      <c r="G708" s="38"/>
      <c r="H708" s="38"/>
      <c r="I708" s="38"/>
      <c r="J708" s="105"/>
      <c r="K708" s="106"/>
      <c r="L708" s="106"/>
      <c r="M708" s="107"/>
      <c r="W708" s="6"/>
      <c r="X708" s="6"/>
    </row>
    <row r="709" spans="1:24" s="1" customFormat="1" hidden="1" x14ac:dyDescent="0.25">
      <c r="A709" s="18"/>
      <c r="D709" s="102"/>
      <c r="E709" s="43"/>
      <c r="F709" s="38"/>
      <c r="G709" s="38"/>
      <c r="H709" s="38"/>
      <c r="I709" s="38"/>
      <c r="J709" s="105"/>
      <c r="K709" s="106"/>
      <c r="L709" s="106"/>
      <c r="M709" s="107"/>
      <c r="W709" s="6"/>
      <c r="X709" s="6"/>
    </row>
    <row r="710" spans="1:24" s="1" customFormat="1" hidden="1" x14ac:dyDescent="0.25">
      <c r="A710" s="18"/>
      <c r="D710" s="102"/>
      <c r="E710" s="43"/>
      <c r="F710" s="38"/>
      <c r="G710" s="38"/>
      <c r="H710" s="38"/>
      <c r="I710" s="38"/>
      <c r="J710" s="105"/>
      <c r="K710" s="106"/>
      <c r="L710" s="106"/>
      <c r="M710" s="107"/>
      <c r="W710" s="6"/>
      <c r="X710" s="6"/>
    </row>
    <row r="711" spans="1:24" s="1" customFormat="1" hidden="1" x14ac:dyDescent="0.25">
      <c r="A711" s="18"/>
      <c r="D711" s="102"/>
      <c r="E711" s="43"/>
      <c r="F711" s="38"/>
      <c r="G711" s="38"/>
      <c r="H711" s="38"/>
      <c r="I711" s="38"/>
      <c r="J711" s="105"/>
      <c r="K711" s="106"/>
      <c r="L711" s="106"/>
      <c r="M711" s="107"/>
      <c r="W711" s="6"/>
      <c r="X711" s="6"/>
    </row>
    <row r="712" spans="1:24" s="1" customFormat="1" hidden="1" x14ac:dyDescent="0.25">
      <c r="A712" s="18"/>
      <c r="D712" s="102"/>
      <c r="E712" s="43"/>
      <c r="F712" s="38"/>
      <c r="G712" s="38"/>
      <c r="H712" s="38"/>
      <c r="I712" s="38"/>
      <c r="J712" s="105"/>
      <c r="K712" s="106"/>
      <c r="L712" s="106"/>
      <c r="M712" s="107"/>
      <c r="W712" s="6"/>
      <c r="X712" s="6"/>
    </row>
    <row r="713" spans="1:24" s="1" customFormat="1" hidden="1" x14ac:dyDescent="0.25">
      <c r="A713" s="18"/>
      <c r="D713" s="102"/>
      <c r="E713" s="43"/>
      <c r="F713" s="38"/>
      <c r="G713" s="38"/>
      <c r="H713" s="38"/>
      <c r="I713" s="38"/>
      <c r="J713" s="105"/>
      <c r="K713" s="106"/>
      <c r="L713" s="106"/>
      <c r="M713" s="107"/>
      <c r="W713" s="6"/>
      <c r="X713" s="6"/>
    </row>
    <row r="714" spans="1:24" s="1" customFormat="1" hidden="1" x14ac:dyDescent="0.25">
      <c r="A714" s="18"/>
      <c r="D714" s="102"/>
      <c r="E714" s="43"/>
      <c r="F714" s="38"/>
      <c r="G714" s="38"/>
      <c r="H714" s="38"/>
      <c r="I714" s="38"/>
      <c r="J714" s="105"/>
      <c r="K714" s="106"/>
      <c r="L714" s="106"/>
      <c r="M714" s="107"/>
      <c r="W714" s="6"/>
      <c r="X714" s="6"/>
    </row>
    <row r="715" spans="1:24" s="1" customFormat="1" hidden="1" x14ac:dyDescent="0.25">
      <c r="A715" s="18"/>
      <c r="D715" s="102"/>
      <c r="E715" s="43"/>
      <c r="F715" s="38"/>
      <c r="G715" s="38"/>
      <c r="H715" s="38"/>
      <c r="I715" s="38"/>
      <c r="J715" s="105"/>
      <c r="K715" s="106"/>
      <c r="L715" s="106"/>
      <c r="M715" s="107"/>
      <c r="W715" s="6"/>
      <c r="X715" s="6"/>
    </row>
    <row r="716" spans="1:24" s="1" customFormat="1" hidden="1" x14ac:dyDescent="0.25">
      <c r="A716" s="18"/>
      <c r="D716" s="102"/>
      <c r="E716" s="43"/>
      <c r="F716" s="38"/>
      <c r="G716" s="38"/>
      <c r="H716" s="38"/>
      <c r="I716" s="38"/>
      <c r="J716" s="105"/>
      <c r="K716" s="106"/>
      <c r="L716" s="106"/>
      <c r="M716" s="107"/>
      <c r="W716" s="6"/>
      <c r="X716" s="6"/>
    </row>
    <row r="717" spans="1:24" s="1" customFormat="1" hidden="1" x14ac:dyDescent="0.25">
      <c r="A717" s="18"/>
      <c r="D717" s="102"/>
      <c r="E717" s="43"/>
      <c r="F717" s="38"/>
      <c r="G717" s="38"/>
      <c r="H717" s="38"/>
      <c r="I717" s="38"/>
      <c r="J717" s="105"/>
      <c r="K717" s="106"/>
      <c r="L717" s="106"/>
      <c r="M717" s="107"/>
      <c r="W717" s="6"/>
      <c r="X717" s="6"/>
    </row>
    <row r="718" spans="1:24" s="1" customFormat="1" hidden="1" x14ac:dyDescent="0.25">
      <c r="A718" s="18"/>
      <c r="D718" s="102"/>
      <c r="E718" s="43"/>
      <c r="F718" s="38"/>
      <c r="G718" s="38"/>
      <c r="H718" s="38"/>
      <c r="I718" s="38"/>
      <c r="J718" s="105"/>
      <c r="K718" s="106"/>
      <c r="L718" s="106"/>
      <c r="M718" s="107"/>
      <c r="W718" s="6"/>
      <c r="X718" s="6"/>
    </row>
    <row r="719" spans="1:24" s="1" customFormat="1" hidden="1" x14ac:dyDescent="0.25">
      <c r="A719" s="18"/>
      <c r="D719" s="102"/>
      <c r="E719" s="43"/>
      <c r="F719" s="38"/>
      <c r="G719" s="38"/>
      <c r="H719" s="38"/>
      <c r="I719" s="38"/>
      <c r="J719" s="105"/>
      <c r="K719" s="106"/>
      <c r="L719" s="106"/>
      <c r="M719" s="107"/>
      <c r="W719" s="6"/>
      <c r="X719" s="6"/>
    </row>
    <row r="720" spans="1:24" s="1" customFormat="1" hidden="1" x14ac:dyDescent="0.25">
      <c r="A720" s="18"/>
      <c r="D720" s="102"/>
      <c r="E720" s="43"/>
      <c r="F720" s="38"/>
      <c r="G720" s="38"/>
      <c r="H720" s="38"/>
      <c r="I720" s="38"/>
      <c r="J720" s="105"/>
      <c r="K720" s="106"/>
      <c r="L720" s="106"/>
      <c r="M720" s="107"/>
      <c r="W720" s="6"/>
      <c r="X720" s="6"/>
    </row>
    <row r="721" spans="1:24" s="1" customFormat="1" hidden="1" x14ac:dyDescent="0.25">
      <c r="A721" s="18"/>
      <c r="D721" s="102"/>
      <c r="E721" s="43"/>
      <c r="F721" s="38"/>
      <c r="G721" s="38"/>
      <c r="H721" s="38"/>
      <c r="I721" s="38"/>
      <c r="J721" s="105"/>
      <c r="K721" s="106"/>
      <c r="L721" s="106"/>
      <c r="M721" s="107"/>
      <c r="W721" s="6"/>
      <c r="X721" s="6"/>
    </row>
    <row r="722" spans="1:24" s="1" customFormat="1" hidden="1" x14ac:dyDescent="0.25">
      <c r="A722" s="18"/>
      <c r="D722" s="102"/>
      <c r="E722" s="43"/>
      <c r="F722" s="38"/>
      <c r="G722" s="38"/>
      <c r="H722" s="38"/>
      <c r="I722" s="38"/>
      <c r="J722" s="105"/>
      <c r="K722" s="106"/>
      <c r="L722" s="106"/>
      <c r="M722" s="107"/>
      <c r="W722" s="6"/>
      <c r="X722" s="6"/>
    </row>
    <row r="723" spans="1:24" s="1" customFormat="1" hidden="1" x14ac:dyDescent="0.25">
      <c r="A723" s="18"/>
      <c r="D723" s="102"/>
      <c r="E723" s="43"/>
      <c r="F723" s="38"/>
      <c r="G723" s="38"/>
      <c r="H723" s="38"/>
      <c r="I723" s="38"/>
      <c r="J723" s="105"/>
      <c r="K723" s="106"/>
      <c r="L723" s="106"/>
      <c r="M723" s="107"/>
      <c r="W723" s="6"/>
      <c r="X723" s="6"/>
    </row>
    <row r="724" spans="1:24" s="1" customFormat="1" hidden="1" x14ac:dyDescent="0.25">
      <c r="A724" s="18"/>
      <c r="D724" s="102"/>
      <c r="E724" s="43"/>
      <c r="F724" s="38"/>
      <c r="G724" s="38"/>
      <c r="H724" s="38"/>
      <c r="I724" s="38"/>
      <c r="J724" s="105"/>
      <c r="K724" s="106"/>
      <c r="L724" s="106"/>
      <c r="M724" s="107"/>
      <c r="W724" s="6"/>
      <c r="X724" s="6"/>
    </row>
    <row r="725" spans="1:24" s="1" customFormat="1" hidden="1" x14ac:dyDescent="0.25">
      <c r="A725" s="18"/>
      <c r="D725" s="102"/>
      <c r="E725" s="43"/>
      <c r="F725" s="38"/>
      <c r="G725" s="38"/>
      <c r="H725" s="38"/>
      <c r="I725" s="38"/>
      <c r="J725" s="105"/>
      <c r="K725" s="106"/>
      <c r="L725" s="106"/>
      <c r="M725" s="107"/>
      <c r="W725" s="6"/>
      <c r="X725" s="6"/>
    </row>
    <row r="726" spans="1:24" s="1" customFormat="1" hidden="1" x14ac:dyDescent="0.25">
      <c r="A726" s="18"/>
      <c r="D726" s="102"/>
      <c r="E726" s="43"/>
      <c r="F726" s="38"/>
      <c r="G726" s="38"/>
      <c r="H726" s="38"/>
      <c r="I726" s="38"/>
      <c r="J726" s="105"/>
      <c r="K726" s="106"/>
      <c r="L726" s="106"/>
      <c r="M726" s="107"/>
      <c r="W726" s="6"/>
      <c r="X726" s="6"/>
    </row>
    <row r="727" spans="1:24" s="1" customFormat="1" hidden="1" x14ac:dyDescent="0.25">
      <c r="A727" s="18"/>
      <c r="D727" s="102"/>
      <c r="E727" s="43"/>
      <c r="F727" s="38"/>
      <c r="G727" s="38"/>
      <c r="H727" s="38"/>
      <c r="I727" s="38"/>
      <c r="J727" s="105"/>
      <c r="K727" s="106"/>
      <c r="L727" s="106"/>
      <c r="M727" s="107"/>
      <c r="W727" s="6"/>
      <c r="X727" s="6"/>
    </row>
    <row r="728" spans="1:24" s="1" customFormat="1" hidden="1" x14ac:dyDescent="0.25">
      <c r="A728" s="18"/>
      <c r="D728" s="102"/>
      <c r="E728" s="43"/>
      <c r="F728" s="38"/>
      <c r="G728" s="38"/>
      <c r="H728" s="38"/>
      <c r="I728" s="38"/>
      <c r="J728" s="105"/>
      <c r="K728" s="106"/>
      <c r="L728" s="106"/>
      <c r="M728" s="107"/>
      <c r="W728" s="6"/>
      <c r="X728" s="6"/>
    </row>
    <row r="729" spans="1:24" s="1" customFormat="1" hidden="1" x14ac:dyDescent="0.25">
      <c r="A729" s="18"/>
      <c r="D729" s="102"/>
      <c r="E729" s="43"/>
      <c r="F729" s="38"/>
      <c r="G729" s="38"/>
      <c r="H729" s="38"/>
      <c r="I729" s="38"/>
      <c r="J729" s="105"/>
      <c r="K729" s="106"/>
      <c r="L729" s="106"/>
      <c r="M729" s="107"/>
      <c r="W729" s="6"/>
      <c r="X729" s="6"/>
    </row>
    <row r="730" spans="1:24" s="1" customFormat="1" hidden="1" x14ac:dyDescent="0.25">
      <c r="A730" s="18"/>
      <c r="D730" s="102"/>
      <c r="E730" s="43"/>
      <c r="F730" s="38"/>
      <c r="G730" s="38"/>
      <c r="H730" s="38"/>
      <c r="I730" s="38"/>
      <c r="J730" s="105"/>
      <c r="K730" s="106"/>
      <c r="L730" s="106"/>
      <c r="M730" s="107"/>
      <c r="W730" s="6"/>
      <c r="X730" s="6"/>
    </row>
    <row r="731" spans="1:24" s="1" customFormat="1" hidden="1" x14ac:dyDescent="0.25">
      <c r="A731" s="18"/>
      <c r="D731" s="102"/>
      <c r="E731" s="43"/>
      <c r="F731" s="38"/>
      <c r="G731" s="38"/>
      <c r="H731" s="38"/>
      <c r="I731" s="38"/>
      <c r="J731" s="105"/>
      <c r="K731" s="106"/>
      <c r="L731" s="106"/>
      <c r="M731" s="107"/>
      <c r="W731" s="6"/>
      <c r="X731" s="6"/>
    </row>
    <row r="732" spans="1:24" s="1" customFormat="1" hidden="1" x14ac:dyDescent="0.25">
      <c r="A732" s="18"/>
      <c r="D732" s="102"/>
      <c r="E732" s="43"/>
      <c r="F732" s="38"/>
      <c r="G732" s="38"/>
      <c r="H732" s="38"/>
      <c r="I732" s="38"/>
      <c r="J732" s="105"/>
      <c r="K732" s="106"/>
      <c r="L732" s="106"/>
      <c r="M732" s="107"/>
      <c r="W732" s="6"/>
      <c r="X732" s="6"/>
    </row>
    <row r="733" spans="1:24" s="1" customFormat="1" hidden="1" x14ac:dyDescent="0.25">
      <c r="A733" s="18"/>
      <c r="D733" s="102"/>
      <c r="E733" s="43"/>
      <c r="F733" s="38"/>
      <c r="G733" s="38"/>
      <c r="H733" s="38"/>
      <c r="I733" s="38"/>
      <c r="J733" s="105"/>
      <c r="K733" s="106"/>
      <c r="L733" s="106"/>
      <c r="M733" s="107"/>
      <c r="W733" s="6"/>
      <c r="X733" s="6"/>
    </row>
    <row r="734" spans="1:24" s="1" customFormat="1" hidden="1" x14ac:dyDescent="0.25">
      <c r="A734" s="18"/>
      <c r="D734" s="102"/>
      <c r="E734" s="43"/>
      <c r="F734" s="38"/>
      <c r="G734" s="38"/>
      <c r="H734" s="38"/>
      <c r="I734" s="38"/>
      <c r="J734" s="105"/>
      <c r="K734" s="106"/>
      <c r="L734" s="106"/>
      <c r="M734" s="107"/>
      <c r="W734" s="6"/>
      <c r="X734" s="6"/>
    </row>
    <row r="735" spans="1:24" s="1" customFormat="1" hidden="1" x14ac:dyDescent="0.25">
      <c r="A735" s="18"/>
      <c r="D735" s="102"/>
      <c r="E735" s="43"/>
      <c r="F735" s="38"/>
      <c r="G735" s="38"/>
      <c r="H735" s="38"/>
      <c r="I735" s="38"/>
      <c r="J735" s="105"/>
      <c r="K735" s="106"/>
      <c r="L735" s="106"/>
      <c r="M735" s="107"/>
      <c r="W735" s="6"/>
      <c r="X735" s="6"/>
    </row>
    <row r="736" spans="1:24" s="1" customFormat="1" hidden="1" x14ac:dyDescent="0.25">
      <c r="A736" s="18"/>
      <c r="D736" s="102"/>
      <c r="E736" s="43"/>
      <c r="F736" s="38"/>
      <c r="G736" s="38"/>
      <c r="H736" s="38"/>
      <c r="I736" s="38"/>
      <c r="J736" s="105"/>
      <c r="K736" s="106"/>
      <c r="L736" s="106"/>
      <c r="M736" s="107"/>
      <c r="W736" s="6"/>
      <c r="X736" s="6"/>
    </row>
    <row r="737" spans="1:24" s="1" customFormat="1" hidden="1" x14ac:dyDescent="0.25">
      <c r="A737" s="18"/>
      <c r="D737" s="102"/>
      <c r="E737" s="43"/>
      <c r="F737" s="38"/>
      <c r="G737" s="38"/>
      <c r="H737" s="38"/>
      <c r="I737" s="38"/>
      <c r="J737" s="105"/>
      <c r="K737" s="106"/>
      <c r="L737" s="106"/>
      <c r="M737" s="107"/>
      <c r="W737" s="6"/>
      <c r="X737" s="6"/>
    </row>
    <row r="738" spans="1:24" s="1" customFormat="1" hidden="1" x14ac:dyDescent="0.25">
      <c r="A738" s="18"/>
      <c r="D738" s="102"/>
      <c r="E738" s="43"/>
      <c r="F738" s="38"/>
      <c r="G738" s="38"/>
      <c r="H738" s="38"/>
      <c r="I738" s="38"/>
      <c r="J738" s="105"/>
      <c r="K738" s="106"/>
      <c r="L738" s="106"/>
      <c r="M738" s="107"/>
      <c r="W738" s="6"/>
      <c r="X738" s="6"/>
    </row>
    <row r="739" spans="1:24" s="1" customFormat="1" hidden="1" x14ac:dyDescent="0.25">
      <c r="A739" s="18"/>
      <c r="D739" s="102"/>
      <c r="E739" s="43"/>
      <c r="F739" s="38"/>
      <c r="G739" s="38"/>
      <c r="H739" s="38"/>
      <c r="I739" s="38"/>
      <c r="J739" s="105"/>
      <c r="K739" s="106"/>
      <c r="L739" s="106"/>
      <c r="M739" s="107"/>
      <c r="W739" s="6"/>
      <c r="X739" s="6"/>
    </row>
    <row r="740" spans="1:24" s="1" customFormat="1" hidden="1" x14ac:dyDescent="0.25">
      <c r="A740" s="18"/>
      <c r="D740" s="102"/>
      <c r="E740" s="43"/>
      <c r="F740" s="38"/>
      <c r="G740" s="38"/>
      <c r="H740" s="38"/>
      <c r="I740" s="38"/>
      <c r="J740" s="105"/>
      <c r="K740" s="106"/>
      <c r="L740" s="106"/>
      <c r="M740" s="107"/>
      <c r="W740" s="6"/>
      <c r="X740" s="6"/>
    </row>
    <row r="741" spans="1:24" s="1" customFormat="1" hidden="1" x14ac:dyDescent="0.25">
      <c r="A741" s="18"/>
      <c r="D741" s="102"/>
      <c r="E741" s="43"/>
      <c r="F741" s="38"/>
      <c r="G741" s="38"/>
      <c r="H741" s="38"/>
      <c r="I741" s="38"/>
      <c r="J741" s="105"/>
      <c r="K741" s="106"/>
      <c r="L741" s="106"/>
      <c r="M741" s="107"/>
      <c r="W741" s="6"/>
      <c r="X741" s="6"/>
    </row>
    <row r="742" spans="1:24" s="1" customFormat="1" hidden="1" x14ac:dyDescent="0.25">
      <c r="A742" s="18"/>
      <c r="D742" s="102"/>
      <c r="E742" s="43"/>
      <c r="F742" s="38"/>
      <c r="G742" s="38"/>
      <c r="H742" s="38"/>
      <c r="I742" s="38"/>
      <c r="J742" s="105"/>
      <c r="K742" s="106"/>
      <c r="L742" s="106"/>
      <c r="M742" s="107"/>
      <c r="W742" s="6"/>
      <c r="X742" s="6"/>
    </row>
    <row r="743" spans="1:24" s="1" customFormat="1" hidden="1" x14ac:dyDescent="0.25">
      <c r="A743" s="18"/>
      <c r="D743" s="102"/>
      <c r="E743" s="43"/>
      <c r="F743" s="38"/>
      <c r="G743" s="38"/>
      <c r="H743" s="38"/>
      <c r="I743" s="38"/>
      <c r="J743" s="105"/>
      <c r="K743" s="106"/>
      <c r="L743" s="106"/>
      <c r="M743" s="107"/>
      <c r="W743" s="6"/>
      <c r="X743" s="6"/>
    </row>
    <row r="744" spans="1:24" s="1" customFormat="1" hidden="1" x14ac:dyDescent="0.25">
      <c r="A744" s="18"/>
      <c r="D744" s="102"/>
      <c r="E744" s="43"/>
      <c r="F744" s="38"/>
      <c r="G744" s="38"/>
      <c r="H744" s="38"/>
      <c r="I744" s="38"/>
      <c r="J744" s="105"/>
      <c r="K744" s="106"/>
      <c r="L744" s="106"/>
      <c r="M744" s="107"/>
      <c r="W744" s="6"/>
      <c r="X744" s="6"/>
    </row>
    <row r="745" spans="1:24" s="1" customFormat="1" hidden="1" x14ac:dyDescent="0.25">
      <c r="A745" s="18"/>
      <c r="D745" s="102"/>
      <c r="E745" s="43"/>
      <c r="F745" s="38"/>
      <c r="G745" s="38"/>
      <c r="H745" s="38"/>
      <c r="I745" s="38"/>
      <c r="J745" s="105"/>
      <c r="K745" s="106"/>
      <c r="L745" s="106"/>
      <c r="M745" s="107"/>
      <c r="W745" s="6"/>
      <c r="X745" s="6"/>
    </row>
    <row r="746" spans="1:24" s="1" customFormat="1" hidden="1" x14ac:dyDescent="0.25">
      <c r="A746" s="18"/>
      <c r="D746" s="102"/>
      <c r="E746" s="43"/>
      <c r="F746" s="38"/>
      <c r="G746" s="38"/>
      <c r="H746" s="38"/>
      <c r="I746" s="38"/>
      <c r="J746" s="105"/>
      <c r="K746" s="106"/>
      <c r="L746" s="106"/>
      <c r="M746" s="107"/>
      <c r="W746" s="6"/>
      <c r="X746" s="6"/>
    </row>
    <row r="747" spans="1:24" s="1" customFormat="1" hidden="1" x14ac:dyDescent="0.25">
      <c r="A747" s="18"/>
      <c r="D747" s="102"/>
      <c r="E747" s="43"/>
      <c r="F747" s="38"/>
      <c r="G747" s="38"/>
      <c r="H747" s="38"/>
      <c r="I747" s="38"/>
      <c r="J747" s="105"/>
      <c r="K747" s="106"/>
      <c r="L747" s="106"/>
      <c r="M747" s="107"/>
      <c r="W747" s="6"/>
      <c r="X747" s="6"/>
    </row>
    <row r="748" spans="1:24" s="1" customFormat="1" hidden="1" x14ac:dyDescent="0.25">
      <c r="A748" s="18"/>
      <c r="D748" s="102"/>
      <c r="E748" s="43"/>
      <c r="F748" s="38"/>
      <c r="G748" s="38"/>
      <c r="H748" s="38"/>
      <c r="I748" s="38"/>
      <c r="J748" s="105"/>
      <c r="K748" s="106"/>
      <c r="L748" s="106"/>
      <c r="M748" s="107"/>
      <c r="W748" s="6"/>
      <c r="X748" s="6"/>
    </row>
    <row r="749" spans="1:24" s="1" customFormat="1" hidden="1" x14ac:dyDescent="0.25">
      <c r="A749" s="18"/>
      <c r="D749" s="102"/>
      <c r="E749" s="43"/>
      <c r="F749" s="38"/>
      <c r="G749" s="38"/>
      <c r="H749" s="38"/>
      <c r="I749" s="38"/>
      <c r="J749" s="105"/>
      <c r="K749" s="106"/>
      <c r="L749" s="106"/>
      <c r="M749" s="107"/>
      <c r="W749" s="6"/>
      <c r="X749" s="6"/>
    </row>
    <row r="750" spans="1:24" s="1" customFormat="1" hidden="1" x14ac:dyDescent="0.25">
      <c r="A750" s="18"/>
      <c r="D750" s="102"/>
      <c r="E750" s="43"/>
      <c r="F750" s="38"/>
      <c r="G750" s="38"/>
      <c r="H750" s="38"/>
      <c r="I750" s="38"/>
      <c r="J750" s="105"/>
      <c r="K750" s="106"/>
      <c r="L750" s="106"/>
      <c r="M750" s="107"/>
      <c r="W750" s="6"/>
      <c r="X750" s="6"/>
    </row>
    <row r="751" spans="1:24" s="1" customFormat="1" hidden="1" x14ac:dyDescent="0.25">
      <c r="A751" s="18"/>
      <c r="D751" s="102"/>
      <c r="E751" s="43"/>
      <c r="F751" s="38"/>
      <c r="G751" s="38"/>
      <c r="H751" s="38"/>
      <c r="I751" s="38"/>
      <c r="J751" s="105"/>
      <c r="K751" s="106"/>
      <c r="L751" s="106"/>
      <c r="M751" s="107"/>
      <c r="W751" s="6"/>
      <c r="X751" s="6"/>
    </row>
    <row r="752" spans="1:24" s="1" customFormat="1" hidden="1" x14ac:dyDescent="0.25">
      <c r="A752" s="18"/>
      <c r="D752" s="102"/>
      <c r="E752" s="43"/>
      <c r="F752" s="38"/>
      <c r="G752" s="38"/>
      <c r="H752" s="38"/>
      <c r="I752" s="38"/>
      <c r="J752" s="105"/>
      <c r="K752" s="106"/>
      <c r="L752" s="106"/>
      <c r="M752" s="107"/>
      <c r="W752" s="6"/>
      <c r="X752" s="6"/>
    </row>
    <row r="753" spans="1:24" s="1" customFormat="1" hidden="1" x14ac:dyDescent="0.25">
      <c r="A753" s="18"/>
      <c r="D753" s="102"/>
      <c r="E753" s="43"/>
      <c r="F753" s="38"/>
      <c r="G753" s="38"/>
      <c r="H753" s="38"/>
      <c r="I753" s="38"/>
      <c r="J753" s="105"/>
      <c r="K753" s="106"/>
      <c r="L753" s="106"/>
      <c r="M753" s="107"/>
      <c r="W753" s="6"/>
      <c r="X753" s="6"/>
    </row>
    <row r="754" spans="1:24" s="1" customFormat="1" hidden="1" x14ac:dyDescent="0.25">
      <c r="A754" s="18"/>
      <c r="D754" s="102"/>
      <c r="E754" s="43"/>
      <c r="F754" s="38"/>
      <c r="G754" s="38"/>
      <c r="H754" s="38"/>
      <c r="I754" s="38"/>
      <c r="J754" s="105"/>
      <c r="K754" s="106"/>
      <c r="L754" s="106"/>
      <c r="M754" s="107"/>
      <c r="W754" s="6"/>
      <c r="X754" s="6"/>
    </row>
    <row r="755" spans="1:24" s="1" customFormat="1" hidden="1" x14ac:dyDescent="0.25">
      <c r="A755" s="18"/>
      <c r="D755" s="102"/>
      <c r="E755" s="43"/>
      <c r="F755" s="38"/>
      <c r="G755" s="38"/>
      <c r="H755" s="38"/>
      <c r="I755" s="38"/>
      <c r="J755" s="105"/>
      <c r="K755" s="106"/>
      <c r="L755" s="106"/>
      <c r="M755" s="107"/>
      <c r="W755" s="6"/>
      <c r="X755" s="6"/>
    </row>
    <row r="756" spans="1:24" s="1" customFormat="1" hidden="1" x14ac:dyDescent="0.25">
      <c r="A756" s="18"/>
      <c r="D756" s="102"/>
      <c r="E756" s="43"/>
      <c r="F756" s="38"/>
      <c r="G756" s="38"/>
      <c r="H756" s="38"/>
      <c r="I756" s="38"/>
      <c r="J756" s="105"/>
      <c r="K756" s="106"/>
      <c r="L756" s="106"/>
      <c r="M756" s="107"/>
      <c r="W756" s="6"/>
      <c r="X756" s="6"/>
    </row>
    <row r="757" spans="1:24" s="1" customFormat="1" hidden="1" x14ac:dyDescent="0.25">
      <c r="A757" s="18"/>
      <c r="D757" s="102"/>
      <c r="E757" s="43"/>
      <c r="F757" s="38"/>
      <c r="G757" s="38"/>
      <c r="H757" s="38"/>
      <c r="I757" s="38"/>
      <c r="J757" s="105"/>
      <c r="K757" s="106"/>
      <c r="L757" s="106"/>
      <c r="M757" s="107"/>
      <c r="W757" s="6"/>
      <c r="X757" s="6"/>
    </row>
    <row r="758" spans="1:24" s="1" customFormat="1" hidden="1" x14ac:dyDescent="0.25">
      <c r="A758" s="18"/>
      <c r="D758" s="102"/>
      <c r="E758" s="43"/>
      <c r="F758" s="38"/>
      <c r="G758" s="38"/>
      <c r="H758" s="38"/>
      <c r="I758" s="38"/>
      <c r="J758" s="105"/>
      <c r="K758" s="106"/>
      <c r="L758" s="106"/>
      <c r="M758" s="107"/>
      <c r="W758" s="6"/>
      <c r="X758" s="6"/>
    </row>
    <row r="759" spans="1:24" s="1" customFormat="1" hidden="1" x14ac:dyDescent="0.25">
      <c r="A759" s="18"/>
      <c r="D759" s="102"/>
      <c r="E759" s="43"/>
      <c r="F759" s="38"/>
      <c r="G759" s="38"/>
      <c r="H759" s="38"/>
      <c r="I759" s="38"/>
      <c r="J759" s="105"/>
      <c r="K759" s="106"/>
      <c r="L759" s="106"/>
      <c r="M759" s="107"/>
      <c r="W759" s="6"/>
      <c r="X759" s="6"/>
    </row>
    <row r="760" spans="1:24" s="1" customFormat="1" hidden="1" x14ac:dyDescent="0.25">
      <c r="A760" s="18"/>
      <c r="D760" s="102"/>
      <c r="E760" s="43"/>
      <c r="F760" s="38"/>
      <c r="G760" s="38"/>
      <c r="H760" s="38"/>
      <c r="I760" s="38"/>
      <c r="J760" s="105"/>
      <c r="K760" s="106"/>
      <c r="L760" s="106"/>
      <c r="M760" s="107"/>
      <c r="W760" s="6"/>
      <c r="X760" s="6"/>
    </row>
    <row r="761" spans="1:24" s="1" customFormat="1" hidden="1" x14ac:dyDescent="0.25">
      <c r="A761" s="18"/>
      <c r="D761" s="102"/>
      <c r="E761" s="43"/>
      <c r="F761" s="38"/>
      <c r="G761" s="38"/>
      <c r="H761" s="38"/>
      <c r="I761" s="38"/>
      <c r="J761" s="105"/>
      <c r="K761" s="106"/>
      <c r="L761" s="106"/>
      <c r="M761" s="107"/>
      <c r="W761" s="6"/>
      <c r="X761" s="6"/>
    </row>
    <row r="762" spans="1:24" s="1" customFormat="1" hidden="1" x14ac:dyDescent="0.25">
      <c r="A762" s="18"/>
      <c r="D762" s="102"/>
      <c r="E762" s="43"/>
      <c r="F762" s="38"/>
      <c r="G762" s="38"/>
      <c r="H762" s="38"/>
      <c r="I762" s="38"/>
      <c r="J762" s="105"/>
      <c r="K762" s="106"/>
      <c r="L762" s="106"/>
      <c r="M762" s="107"/>
      <c r="W762" s="6"/>
      <c r="X762" s="6"/>
    </row>
    <row r="763" spans="1:24" s="1" customFormat="1" hidden="1" x14ac:dyDescent="0.25">
      <c r="A763" s="18"/>
      <c r="D763" s="102"/>
      <c r="E763" s="43"/>
      <c r="F763" s="38"/>
      <c r="G763" s="38"/>
      <c r="H763" s="38"/>
      <c r="I763" s="38"/>
      <c r="J763" s="105"/>
      <c r="K763" s="106"/>
      <c r="L763" s="106"/>
      <c r="M763" s="107"/>
      <c r="W763" s="6"/>
      <c r="X763" s="6"/>
    </row>
    <row r="764" spans="1:24" s="1" customFormat="1" hidden="1" x14ac:dyDescent="0.25">
      <c r="A764" s="18"/>
      <c r="D764" s="102"/>
      <c r="E764" s="43"/>
      <c r="F764" s="38"/>
      <c r="G764" s="38"/>
      <c r="H764" s="38"/>
      <c r="I764" s="38"/>
      <c r="J764" s="105"/>
      <c r="K764" s="106"/>
      <c r="L764" s="106"/>
      <c r="M764" s="107"/>
      <c r="W764" s="6"/>
      <c r="X764" s="6"/>
    </row>
    <row r="765" spans="1:24" s="1" customFormat="1" hidden="1" x14ac:dyDescent="0.25">
      <c r="A765" s="18"/>
      <c r="D765" s="102"/>
      <c r="E765" s="43"/>
      <c r="F765" s="38"/>
      <c r="G765" s="38"/>
      <c r="H765" s="38"/>
      <c r="I765" s="38"/>
      <c r="J765" s="105"/>
      <c r="K765" s="106"/>
      <c r="L765" s="106"/>
      <c r="M765" s="107"/>
      <c r="W765" s="6"/>
      <c r="X765" s="6"/>
    </row>
    <row r="766" spans="1:24" s="1" customFormat="1" hidden="1" x14ac:dyDescent="0.25">
      <c r="A766" s="18"/>
      <c r="D766" s="102"/>
      <c r="E766" s="43"/>
      <c r="F766" s="38"/>
      <c r="G766" s="38"/>
      <c r="H766" s="38"/>
      <c r="I766" s="38"/>
      <c r="J766" s="105"/>
      <c r="K766" s="106"/>
      <c r="L766" s="106"/>
      <c r="M766" s="107"/>
      <c r="W766" s="6"/>
      <c r="X766" s="6"/>
    </row>
    <row r="767" spans="1:24" s="1" customFormat="1" hidden="1" x14ac:dyDescent="0.25">
      <c r="A767" s="18"/>
      <c r="D767" s="102"/>
      <c r="E767" s="43"/>
      <c r="F767" s="38"/>
      <c r="G767" s="38"/>
      <c r="H767" s="38"/>
      <c r="I767" s="38"/>
      <c r="J767" s="105"/>
      <c r="K767" s="106"/>
      <c r="L767" s="106"/>
      <c r="M767" s="107"/>
      <c r="W767" s="6"/>
      <c r="X767" s="6"/>
    </row>
    <row r="768" spans="1:24" s="1" customFormat="1" hidden="1" x14ac:dyDescent="0.25">
      <c r="A768" s="18"/>
      <c r="D768" s="102"/>
      <c r="E768" s="43"/>
      <c r="F768" s="38"/>
      <c r="G768" s="38"/>
      <c r="H768" s="38"/>
      <c r="I768" s="38"/>
      <c r="J768" s="105"/>
      <c r="K768" s="106"/>
      <c r="L768" s="106"/>
      <c r="M768" s="107"/>
      <c r="W768" s="6"/>
      <c r="X768" s="6"/>
    </row>
    <row r="769" spans="1:24" s="1" customFormat="1" hidden="1" x14ac:dyDescent="0.25">
      <c r="A769" s="18"/>
      <c r="D769" s="102"/>
      <c r="E769" s="43"/>
      <c r="F769" s="38"/>
      <c r="G769" s="38"/>
      <c r="H769" s="38"/>
      <c r="I769" s="38"/>
      <c r="J769" s="105"/>
      <c r="K769" s="106"/>
      <c r="L769" s="106"/>
      <c r="M769" s="107"/>
      <c r="W769" s="6"/>
      <c r="X769" s="6"/>
    </row>
    <row r="770" spans="1:24" s="1" customFormat="1" hidden="1" x14ac:dyDescent="0.25">
      <c r="A770" s="18"/>
      <c r="D770" s="102"/>
      <c r="E770" s="43"/>
      <c r="F770" s="38"/>
      <c r="G770" s="38"/>
      <c r="H770" s="38"/>
      <c r="I770" s="38"/>
      <c r="J770" s="105"/>
      <c r="K770" s="106"/>
      <c r="L770" s="106"/>
      <c r="M770" s="107"/>
      <c r="W770" s="6"/>
      <c r="X770" s="6"/>
    </row>
    <row r="771" spans="1:24" s="1" customFormat="1" hidden="1" x14ac:dyDescent="0.25">
      <c r="A771" s="18"/>
      <c r="D771" s="102"/>
      <c r="E771" s="43"/>
      <c r="F771" s="38"/>
      <c r="G771" s="38"/>
      <c r="H771" s="38"/>
      <c r="I771" s="38"/>
      <c r="J771" s="105"/>
      <c r="K771" s="106"/>
      <c r="L771" s="106"/>
      <c r="M771" s="107"/>
      <c r="W771" s="6"/>
      <c r="X771" s="6"/>
    </row>
    <row r="772" spans="1:24" s="1" customFormat="1" hidden="1" x14ac:dyDescent="0.25">
      <c r="A772" s="18"/>
      <c r="D772" s="102"/>
      <c r="E772" s="43"/>
      <c r="F772" s="38"/>
      <c r="G772" s="38"/>
      <c r="H772" s="38"/>
      <c r="I772" s="38"/>
      <c r="J772" s="105"/>
      <c r="K772" s="106"/>
      <c r="L772" s="106"/>
      <c r="M772" s="107"/>
      <c r="W772" s="6"/>
      <c r="X772" s="6"/>
    </row>
    <row r="773" spans="1:24" s="1" customFormat="1" hidden="1" x14ac:dyDescent="0.25">
      <c r="A773" s="18"/>
      <c r="D773" s="102"/>
      <c r="E773" s="43"/>
      <c r="F773" s="38"/>
      <c r="G773" s="38"/>
      <c r="H773" s="38"/>
      <c r="I773" s="38"/>
      <c r="J773" s="105"/>
      <c r="K773" s="106"/>
      <c r="L773" s="106"/>
      <c r="M773" s="107"/>
      <c r="W773" s="6"/>
      <c r="X773" s="6"/>
    </row>
    <row r="774" spans="1:24" s="1" customFormat="1" hidden="1" x14ac:dyDescent="0.25">
      <c r="A774" s="18"/>
      <c r="D774" s="102"/>
      <c r="E774" s="43"/>
      <c r="F774" s="38"/>
      <c r="G774" s="38"/>
      <c r="H774" s="38"/>
      <c r="I774" s="38"/>
      <c r="J774" s="105"/>
      <c r="K774" s="106"/>
      <c r="L774" s="106"/>
      <c r="M774" s="107"/>
      <c r="W774" s="6"/>
      <c r="X774" s="6"/>
    </row>
    <row r="775" spans="1:24" s="1" customFormat="1" hidden="1" x14ac:dyDescent="0.25">
      <c r="A775" s="18"/>
      <c r="D775" s="102"/>
      <c r="E775" s="43"/>
      <c r="F775" s="38"/>
      <c r="G775" s="38"/>
      <c r="H775" s="38"/>
      <c r="I775" s="38"/>
      <c r="J775" s="105"/>
      <c r="K775" s="106"/>
      <c r="L775" s="106"/>
      <c r="M775" s="107"/>
      <c r="W775" s="6"/>
      <c r="X775" s="6"/>
    </row>
    <row r="776" spans="1:24" s="1" customFormat="1" hidden="1" x14ac:dyDescent="0.25">
      <c r="A776" s="18"/>
      <c r="D776" s="102"/>
      <c r="E776" s="43"/>
      <c r="F776" s="38"/>
      <c r="G776" s="38"/>
      <c r="H776" s="38"/>
      <c r="I776" s="38"/>
      <c r="J776" s="105"/>
      <c r="K776" s="106"/>
      <c r="L776" s="106"/>
      <c r="M776" s="107"/>
      <c r="W776" s="6"/>
      <c r="X776" s="6"/>
    </row>
    <row r="777" spans="1:24" s="1" customFormat="1" hidden="1" x14ac:dyDescent="0.25">
      <c r="A777" s="18"/>
      <c r="D777" s="102"/>
      <c r="E777" s="43"/>
      <c r="F777" s="38"/>
      <c r="G777" s="38"/>
      <c r="H777" s="38"/>
      <c r="I777" s="38"/>
      <c r="J777" s="105"/>
      <c r="K777" s="106"/>
      <c r="L777" s="106"/>
      <c r="M777" s="107"/>
      <c r="W777" s="6"/>
      <c r="X777" s="6"/>
    </row>
    <row r="778" spans="1:24" s="1" customFormat="1" hidden="1" x14ac:dyDescent="0.25">
      <c r="A778" s="18"/>
      <c r="D778" s="102"/>
      <c r="E778" s="43"/>
      <c r="F778" s="38"/>
      <c r="G778" s="38"/>
      <c r="H778" s="38"/>
      <c r="I778" s="38"/>
      <c r="J778" s="105"/>
      <c r="K778" s="106"/>
      <c r="L778" s="106"/>
      <c r="M778" s="107"/>
      <c r="W778" s="6"/>
      <c r="X778" s="6"/>
    </row>
    <row r="779" spans="1:24" s="1" customFormat="1" hidden="1" x14ac:dyDescent="0.25">
      <c r="A779" s="18"/>
      <c r="D779" s="102"/>
      <c r="E779" s="43"/>
      <c r="F779" s="38"/>
      <c r="G779" s="38"/>
      <c r="H779" s="38"/>
      <c r="I779" s="38"/>
      <c r="J779" s="105"/>
      <c r="K779" s="106"/>
      <c r="L779" s="106"/>
      <c r="M779" s="107"/>
      <c r="W779" s="6"/>
      <c r="X779" s="6"/>
    </row>
    <row r="780" spans="1:24" s="1" customFormat="1" hidden="1" x14ac:dyDescent="0.25">
      <c r="A780" s="18"/>
      <c r="D780" s="102"/>
      <c r="E780" s="43"/>
      <c r="F780" s="38"/>
      <c r="G780" s="38"/>
      <c r="H780" s="38"/>
      <c r="I780" s="38"/>
      <c r="J780" s="105"/>
      <c r="K780" s="106"/>
      <c r="L780" s="106"/>
      <c r="M780" s="107"/>
      <c r="W780" s="6"/>
      <c r="X780" s="6"/>
    </row>
    <row r="781" spans="1:24" s="1" customFormat="1" hidden="1" x14ac:dyDescent="0.25">
      <c r="A781" s="18"/>
      <c r="D781" s="102"/>
      <c r="E781" s="43"/>
      <c r="F781" s="38"/>
      <c r="G781" s="38"/>
      <c r="H781" s="38"/>
      <c r="I781" s="38"/>
      <c r="J781" s="105"/>
      <c r="K781" s="106"/>
      <c r="L781" s="106"/>
      <c r="M781" s="107"/>
      <c r="W781" s="6"/>
      <c r="X781" s="6"/>
    </row>
    <row r="782" spans="1:24" s="1" customFormat="1" hidden="1" x14ac:dyDescent="0.25">
      <c r="A782" s="18"/>
      <c r="D782" s="102"/>
      <c r="E782" s="43"/>
      <c r="F782" s="38"/>
      <c r="G782" s="38"/>
      <c r="H782" s="38"/>
      <c r="I782" s="38"/>
      <c r="J782" s="105"/>
      <c r="K782" s="106"/>
      <c r="L782" s="106"/>
      <c r="M782" s="107"/>
      <c r="W782" s="6"/>
      <c r="X782" s="6"/>
    </row>
    <row r="783" spans="1:24" s="1" customFormat="1" hidden="1" x14ac:dyDescent="0.25">
      <c r="A783" s="18"/>
      <c r="D783" s="102"/>
      <c r="E783" s="43"/>
      <c r="F783" s="38"/>
      <c r="G783" s="38"/>
      <c r="H783" s="38"/>
      <c r="I783" s="38"/>
      <c r="J783" s="105"/>
      <c r="K783" s="106"/>
      <c r="L783" s="106"/>
      <c r="M783" s="107"/>
      <c r="W783" s="6"/>
      <c r="X783" s="6"/>
    </row>
    <row r="784" spans="1:24" s="1" customFormat="1" hidden="1" x14ac:dyDescent="0.25">
      <c r="A784" s="18"/>
      <c r="D784" s="102"/>
      <c r="E784" s="43"/>
      <c r="F784" s="38"/>
      <c r="G784" s="38"/>
      <c r="H784" s="38"/>
      <c r="I784" s="38"/>
      <c r="J784" s="105"/>
      <c r="K784" s="106"/>
      <c r="L784" s="106"/>
      <c r="M784" s="107"/>
      <c r="W784" s="6"/>
      <c r="X784" s="6"/>
    </row>
    <row r="785" spans="1:24" s="1" customFormat="1" hidden="1" x14ac:dyDescent="0.25">
      <c r="A785" s="18"/>
      <c r="D785" s="102"/>
      <c r="E785" s="43"/>
      <c r="F785" s="38"/>
      <c r="G785" s="38"/>
      <c r="H785" s="38"/>
      <c r="I785" s="38"/>
      <c r="J785" s="105"/>
      <c r="K785" s="106"/>
      <c r="L785" s="106"/>
      <c r="M785" s="107"/>
      <c r="W785" s="6"/>
      <c r="X785" s="6"/>
    </row>
    <row r="786" spans="1:24" s="1" customFormat="1" hidden="1" x14ac:dyDescent="0.25">
      <c r="A786" s="18"/>
      <c r="D786" s="102"/>
      <c r="E786" s="43"/>
      <c r="F786" s="38"/>
      <c r="G786" s="38"/>
      <c r="H786" s="38"/>
      <c r="I786" s="38"/>
      <c r="J786" s="105"/>
      <c r="K786" s="106"/>
      <c r="L786" s="106"/>
      <c r="M786" s="107"/>
      <c r="W786" s="6"/>
      <c r="X786" s="6"/>
    </row>
    <row r="787" spans="1:24" s="1" customFormat="1" hidden="1" x14ac:dyDescent="0.25">
      <c r="A787" s="18"/>
      <c r="D787" s="102"/>
      <c r="E787" s="43"/>
      <c r="F787" s="38"/>
      <c r="G787" s="38"/>
      <c r="H787" s="38"/>
      <c r="I787" s="38"/>
      <c r="J787" s="105"/>
      <c r="K787" s="106"/>
      <c r="L787" s="106"/>
      <c r="M787" s="107"/>
      <c r="W787" s="6"/>
      <c r="X787" s="6"/>
    </row>
    <row r="788" spans="1:24" s="1" customFormat="1" hidden="1" x14ac:dyDescent="0.25">
      <c r="A788" s="18"/>
      <c r="D788" s="102"/>
      <c r="E788" s="43"/>
      <c r="F788" s="38"/>
      <c r="G788" s="38"/>
      <c r="H788" s="38"/>
      <c r="I788" s="38"/>
      <c r="J788" s="105"/>
      <c r="K788" s="106"/>
      <c r="L788" s="106"/>
      <c r="M788" s="107"/>
      <c r="W788" s="6"/>
      <c r="X788" s="6"/>
    </row>
    <row r="789" spans="1:24" s="1" customFormat="1" hidden="1" x14ac:dyDescent="0.25">
      <c r="A789" s="18"/>
      <c r="D789" s="102"/>
      <c r="E789" s="43"/>
      <c r="F789" s="38"/>
      <c r="G789" s="38"/>
      <c r="H789" s="38"/>
      <c r="I789" s="38"/>
      <c r="J789" s="105"/>
      <c r="K789" s="106"/>
      <c r="L789" s="106"/>
      <c r="M789" s="107"/>
      <c r="W789" s="6"/>
      <c r="X789" s="6"/>
    </row>
    <row r="790" spans="1:24" s="1" customFormat="1" hidden="1" x14ac:dyDescent="0.25">
      <c r="A790" s="18"/>
      <c r="D790" s="102"/>
      <c r="E790" s="43"/>
      <c r="F790" s="38"/>
      <c r="G790" s="38"/>
      <c r="H790" s="38"/>
      <c r="I790" s="38"/>
      <c r="J790" s="105"/>
      <c r="K790" s="106"/>
      <c r="L790" s="106"/>
      <c r="M790" s="107"/>
      <c r="W790" s="6"/>
      <c r="X790" s="6"/>
    </row>
    <row r="791" spans="1:24" s="1" customFormat="1" hidden="1" x14ac:dyDescent="0.25">
      <c r="A791" s="18"/>
      <c r="D791" s="102"/>
      <c r="E791" s="43"/>
      <c r="F791" s="38"/>
      <c r="G791" s="38"/>
      <c r="H791" s="38"/>
      <c r="I791" s="38"/>
      <c r="J791" s="105"/>
      <c r="K791" s="106"/>
      <c r="L791" s="106"/>
      <c r="M791" s="107"/>
      <c r="W791" s="6"/>
      <c r="X791" s="6"/>
    </row>
    <row r="792" spans="1:24" s="1" customFormat="1" hidden="1" x14ac:dyDescent="0.25">
      <c r="A792" s="18"/>
      <c r="D792" s="102"/>
      <c r="E792" s="43"/>
      <c r="F792" s="38"/>
      <c r="G792" s="38"/>
      <c r="H792" s="38"/>
      <c r="I792" s="38"/>
      <c r="J792" s="105"/>
      <c r="K792" s="106"/>
      <c r="L792" s="106"/>
      <c r="M792" s="107"/>
      <c r="W792" s="6"/>
      <c r="X792" s="6"/>
    </row>
    <row r="793" spans="1:24" s="1" customFormat="1" hidden="1" x14ac:dyDescent="0.25">
      <c r="A793" s="18"/>
      <c r="D793" s="102"/>
      <c r="E793" s="43"/>
      <c r="F793" s="38"/>
      <c r="G793" s="38"/>
      <c r="H793" s="38"/>
      <c r="I793" s="38"/>
      <c r="J793" s="105"/>
      <c r="K793" s="106"/>
      <c r="L793" s="106"/>
      <c r="M793" s="107"/>
      <c r="W793" s="6"/>
      <c r="X793" s="6"/>
    </row>
    <row r="794" spans="1:24" s="1" customFormat="1" hidden="1" x14ac:dyDescent="0.25">
      <c r="A794" s="18"/>
      <c r="D794" s="102"/>
      <c r="E794" s="43"/>
      <c r="F794" s="38"/>
      <c r="G794" s="38"/>
      <c r="H794" s="38"/>
      <c r="I794" s="38"/>
      <c r="J794" s="105"/>
      <c r="K794" s="106"/>
      <c r="L794" s="106"/>
      <c r="M794" s="107"/>
      <c r="W794" s="6"/>
      <c r="X794" s="6"/>
    </row>
    <row r="795" spans="1:24" s="1" customFormat="1" hidden="1" x14ac:dyDescent="0.25">
      <c r="A795" s="18"/>
      <c r="D795" s="102"/>
      <c r="E795" s="43"/>
      <c r="F795" s="38"/>
      <c r="G795" s="38"/>
      <c r="H795" s="38"/>
      <c r="I795" s="38"/>
      <c r="J795" s="105"/>
      <c r="K795" s="106"/>
      <c r="L795" s="106"/>
      <c r="M795" s="107"/>
      <c r="W795" s="6"/>
      <c r="X795" s="6"/>
    </row>
    <row r="796" spans="1:24" s="1" customFormat="1" hidden="1" x14ac:dyDescent="0.25">
      <c r="A796" s="18"/>
      <c r="D796" s="102"/>
      <c r="E796" s="43"/>
      <c r="F796" s="38"/>
      <c r="G796" s="38"/>
      <c r="H796" s="38"/>
      <c r="I796" s="38"/>
      <c r="J796" s="105"/>
      <c r="K796" s="106"/>
      <c r="L796" s="106"/>
      <c r="M796" s="107"/>
      <c r="W796" s="6"/>
      <c r="X796" s="6"/>
    </row>
    <row r="797" spans="1:24" s="1" customFormat="1" hidden="1" x14ac:dyDescent="0.25">
      <c r="A797" s="18"/>
      <c r="D797" s="102"/>
      <c r="E797" s="43"/>
      <c r="F797" s="38"/>
      <c r="G797" s="38"/>
      <c r="H797" s="38"/>
      <c r="I797" s="38"/>
      <c r="J797" s="105"/>
      <c r="K797" s="106"/>
      <c r="L797" s="106"/>
      <c r="M797" s="107"/>
      <c r="W797" s="6"/>
      <c r="X797" s="6"/>
    </row>
    <row r="798" spans="1:24" s="1" customFormat="1" hidden="1" x14ac:dyDescent="0.25">
      <c r="A798" s="18"/>
      <c r="D798" s="102"/>
      <c r="E798" s="43"/>
      <c r="F798" s="38"/>
      <c r="G798" s="38"/>
      <c r="H798" s="38"/>
      <c r="I798" s="38"/>
      <c r="J798" s="105"/>
      <c r="K798" s="106"/>
      <c r="L798" s="106"/>
      <c r="M798" s="107"/>
      <c r="W798" s="6"/>
      <c r="X798" s="6"/>
    </row>
    <row r="799" spans="1:24" s="1" customFormat="1" hidden="1" x14ac:dyDescent="0.25">
      <c r="A799" s="18"/>
      <c r="D799" s="102"/>
      <c r="E799" s="43"/>
      <c r="F799" s="38"/>
      <c r="G799" s="38"/>
      <c r="H799" s="38"/>
      <c r="I799" s="38"/>
      <c r="J799" s="105"/>
      <c r="K799" s="106"/>
      <c r="L799" s="106"/>
      <c r="M799" s="107"/>
      <c r="W799" s="6"/>
      <c r="X799" s="6"/>
    </row>
    <row r="800" spans="1:24" s="1" customFormat="1" hidden="1" x14ac:dyDescent="0.25">
      <c r="A800" s="18"/>
      <c r="D800" s="102"/>
      <c r="E800" s="43"/>
      <c r="F800" s="38"/>
      <c r="G800" s="38"/>
      <c r="H800" s="38"/>
      <c r="I800" s="38"/>
      <c r="J800" s="105"/>
      <c r="K800" s="106"/>
      <c r="L800" s="106"/>
      <c r="M800" s="107"/>
      <c r="W800" s="6"/>
      <c r="X800" s="6"/>
    </row>
    <row r="801" spans="1:24" s="1" customFormat="1" hidden="1" x14ac:dyDescent="0.25">
      <c r="A801" s="18"/>
      <c r="D801" s="102"/>
      <c r="E801" s="43"/>
      <c r="F801" s="38"/>
      <c r="G801" s="38"/>
      <c r="H801" s="38"/>
      <c r="I801" s="38"/>
      <c r="J801" s="105"/>
      <c r="K801" s="106"/>
      <c r="L801" s="106"/>
      <c r="M801" s="107"/>
      <c r="W801" s="6"/>
      <c r="X801" s="6"/>
    </row>
    <row r="802" spans="1:24" s="1" customFormat="1" hidden="1" x14ac:dyDescent="0.25">
      <c r="A802" s="18"/>
      <c r="D802" s="102"/>
      <c r="E802" s="43"/>
      <c r="F802" s="38"/>
      <c r="G802" s="38"/>
      <c r="H802" s="38"/>
      <c r="I802" s="38"/>
      <c r="J802" s="105"/>
      <c r="K802" s="106"/>
      <c r="L802" s="106"/>
      <c r="M802" s="107"/>
      <c r="W802" s="6"/>
      <c r="X802" s="6"/>
    </row>
    <row r="803" spans="1:24" s="1" customFormat="1" hidden="1" x14ac:dyDescent="0.25">
      <c r="A803" s="18"/>
      <c r="D803" s="102"/>
      <c r="E803" s="43"/>
      <c r="F803" s="38"/>
      <c r="G803" s="38"/>
      <c r="H803" s="38"/>
      <c r="I803" s="38"/>
      <c r="J803" s="105"/>
      <c r="K803" s="106"/>
      <c r="L803" s="106"/>
      <c r="M803" s="107"/>
      <c r="W803" s="6"/>
      <c r="X803" s="6"/>
    </row>
    <row r="804" spans="1:24" s="1" customFormat="1" hidden="1" x14ac:dyDescent="0.25">
      <c r="A804" s="18"/>
      <c r="D804" s="102"/>
      <c r="E804" s="43"/>
      <c r="F804" s="38"/>
      <c r="G804" s="38"/>
      <c r="H804" s="38"/>
      <c r="I804" s="38"/>
      <c r="J804" s="105"/>
      <c r="K804" s="106"/>
      <c r="L804" s="106"/>
      <c r="M804" s="107"/>
      <c r="W804" s="6"/>
      <c r="X804" s="6"/>
    </row>
    <row r="805" spans="1:24" s="1" customFormat="1" hidden="1" x14ac:dyDescent="0.25">
      <c r="A805" s="18"/>
      <c r="D805" s="102"/>
      <c r="E805" s="43"/>
      <c r="F805" s="38"/>
      <c r="G805" s="38"/>
      <c r="H805" s="38"/>
      <c r="I805" s="38"/>
      <c r="J805" s="105"/>
      <c r="K805" s="106"/>
      <c r="L805" s="106"/>
      <c r="M805" s="107"/>
      <c r="W805" s="6"/>
      <c r="X805" s="6"/>
    </row>
    <row r="806" spans="1:24" s="1" customFormat="1" hidden="1" x14ac:dyDescent="0.25">
      <c r="A806" s="18"/>
      <c r="D806" s="102"/>
      <c r="E806" s="43"/>
      <c r="F806" s="38"/>
      <c r="G806" s="38"/>
      <c r="H806" s="38"/>
      <c r="I806" s="38"/>
      <c r="J806" s="105"/>
      <c r="K806" s="106"/>
      <c r="L806" s="106"/>
      <c r="M806" s="107"/>
      <c r="W806" s="6"/>
      <c r="X806" s="6"/>
    </row>
    <row r="807" spans="1:24" s="1" customFormat="1" hidden="1" x14ac:dyDescent="0.25">
      <c r="A807" s="18"/>
      <c r="D807" s="102"/>
      <c r="E807" s="43"/>
      <c r="F807" s="38"/>
      <c r="G807" s="38"/>
      <c r="H807" s="38"/>
      <c r="I807" s="38"/>
      <c r="J807" s="105"/>
      <c r="K807" s="106"/>
      <c r="L807" s="106"/>
      <c r="M807" s="107"/>
      <c r="W807" s="6"/>
      <c r="X807" s="6"/>
    </row>
    <row r="808" spans="1:24" s="1" customFormat="1" hidden="1" x14ac:dyDescent="0.25">
      <c r="A808" s="18"/>
      <c r="D808" s="102"/>
      <c r="E808" s="43"/>
      <c r="F808" s="38"/>
      <c r="G808" s="38"/>
      <c r="H808" s="38"/>
      <c r="I808" s="38"/>
      <c r="J808" s="105"/>
      <c r="K808" s="106"/>
      <c r="L808" s="106"/>
      <c r="M808" s="107"/>
      <c r="W808" s="6"/>
      <c r="X808" s="6"/>
    </row>
    <row r="809" spans="1:24" s="1" customFormat="1" hidden="1" x14ac:dyDescent="0.25">
      <c r="A809" s="18"/>
      <c r="D809" s="102"/>
      <c r="E809" s="43"/>
      <c r="F809" s="38"/>
      <c r="G809" s="38"/>
      <c r="H809" s="38"/>
      <c r="I809" s="38"/>
      <c r="J809" s="105"/>
      <c r="K809" s="106"/>
      <c r="L809" s="106"/>
      <c r="M809" s="107"/>
      <c r="W809" s="6"/>
      <c r="X809" s="6"/>
    </row>
    <row r="810" spans="1:24" s="1" customFormat="1" hidden="1" x14ac:dyDescent="0.25">
      <c r="A810" s="18"/>
      <c r="D810" s="102"/>
      <c r="E810" s="43"/>
      <c r="F810" s="38"/>
      <c r="G810" s="38"/>
      <c r="H810" s="38"/>
      <c r="I810" s="38"/>
      <c r="J810" s="105"/>
      <c r="K810" s="106"/>
      <c r="L810" s="106"/>
      <c r="M810" s="107"/>
      <c r="W810" s="6"/>
      <c r="X810" s="6"/>
    </row>
    <row r="811" spans="1:24" s="1" customFormat="1" hidden="1" x14ac:dyDescent="0.25">
      <c r="A811" s="18"/>
      <c r="D811" s="102"/>
      <c r="E811" s="43"/>
      <c r="F811" s="38"/>
      <c r="G811" s="38"/>
      <c r="H811" s="38"/>
      <c r="I811" s="38"/>
      <c r="J811" s="105"/>
      <c r="K811" s="106"/>
      <c r="L811" s="106"/>
      <c r="M811" s="107"/>
      <c r="W811" s="6"/>
      <c r="X811" s="6"/>
    </row>
    <row r="812" spans="1:24" s="1" customFormat="1" hidden="1" x14ac:dyDescent="0.25">
      <c r="A812" s="18"/>
      <c r="D812" s="102"/>
      <c r="E812" s="43"/>
      <c r="F812" s="38"/>
      <c r="G812" s="38"/>
      <c r="H812" s="38"/>
      <c r="I812" s="38"/>
      <c r="J812" s="105"/>
      <c r="K812" s="106"/>
      <c r="L812" s="106"/>
      <c r="M812" s="107"/>
      <c r="W812" s="6"/>
      <c r="X812" s="6"/>
    </row>
    <row r="813" spans="1:24" s="1" customFormat="1" hidden="1" x14ac:dyDescent="0.25">
      <c r="A813" s="18"/>
      <c r="D813" s="102"/>
      <c r="E813" s="43"/>
      <c r="F813" s="38"/>
      <c r="G813" s="38"/>
      <c r="H813" s="38"/>
      <c r="I813" s="38"/>
      <c r="J813" s="105"/>
      <c r="K813" s="106"/>
      <c r="L813" s="106"/>
      <c r="M813" s="107"/>
      <c r="W813" s="6"/>
      <c r="X813" s="6"/>
    </row>
    <row r="814" spans="1:24" s="1" customFormat="1" hidden="1" x14ac:dyDescent="0.25">
      <c r="A814" s="18"/>
      <c r="D814" s="102"/>
      <c r="E814" s="43"/>
      <c r="F814" s="38"/>
      <c r="G814" s="38"/>
      <c r="H814" s="38"/>
      <c r="I814" s="38"/>
      <c r="J814" s="105"/>
      <c r="K814" s="106"/>
      <c r="L814" s="106"/>
      <c r="M814" s="107"/>
      <c r="W814" s="6"/>
      <c r="X814" s="6"/>
    </row>
    <row r="815" spans="1:24" s="1" customFormat="1" hidden="1" x14ac:dyDescent="0.25">
      <c r="A815" s="18"/>
      <c r="D815" s="102"/>
      <c r="E815" s="43"/>
      <c r="F815" s="38"/>
      <c r="G815" s="38"/>
      <c r="H815" s="38"/>
      <c r="I815" s="38"/>
      <c r="J815" s="105"/>
      <c r="K815" s="106"/>
      <c r="L815" s="106"/>
      <c r="M815" s="107"/>
      <c r="W815" s="6"/>
      <c r="X815" s="6"/>
    </row>
    <row r="816" spans="1:24" s="1" customFormat="1" hidden="1" x14ac:dyDescent="0.25">
      <c r="A816" s="18"/>
      <c r="D816" s="102"/>
      <c r="E816" s="43"/>
      <c r="F816" s="38"/>
      <c r="G816" s="38"/>
      <c r="H816" s="38"/>
      <c r="I816" s="38"/>
      <c r="J816" s="105"/>
      <c r="K816" s="106"/>
      <c r="L816" s="106"/>
      <c r="M816" s="107"/>
      <c r="W816" s="6"/>
      <c r="X816" s="6"/>
    </row>
    <row r="817" spans="1:24" s="1" customFormat="1" hidden="1" x14ac:dyDescent="0.25">
      <c r="A817" s="18"/>
      <c r="D817" s="102"/>
      <c r="E817" s="43"/>
      <c r="F817" s="38"/>
      <c r="G817" s="38"/>
      <c r="H817" s="38"/>
      <c r="I817" s="38"/>
      <c r="J817" s="105"/>
      <c r="K817" s="106"/>
      <c r="L817" s="106"/>
      <c r="M817" s="107"/>
      <c r="W817" s="6"/>
      <c r="X817" s="6"/>
    </row>
    <row r="818" spans="1:24" s="1" customFormat="1" hidden="1" x14ac:dyDescent="0.25">
      <c r="A818" s="18"/>
      <c r="D818" s="102"/>
      <c r="E818" s="43"/>
      <c r="F818" s="38"/>
      <c r="G818" s="38"/>
      <c r="H818" s="38"/>
      <c r="I818" s="38"/>
      <c r="J818" s="105"/>
      <c r="K818" s="106"/>
      <c r="L818" s="106"/>
      <c r="M818" s="107"/>
      <c r="W818" s="6"/>
      <c r="X818" s="6"/>
    </row>
    <row r="819" spans="1:24" s="1" customFormat="1" hidden="1" x14ac:dyDescent="0.25">
      <c r="A819" s="18"/>
      <c r="D819" s="102"/>
      <c r="E819" s="43"/>
      <c r="F819" s="38"/>
      <c r="G819" s="38"/>
      <c r="H819" s="38"/>
      <c r="I819" s="38"/>
      <c r="J819" s="105"/>
      <c r="K819" s="106"/>
      <c r="L819" s="106"/>
      <c r="M819" s="107"/>
      <c r="W819" s="6"/>
      <c r="X819" s="6"/>
    </row>
    <row r="820" spans="1:24" s="1" customFormat="1" hidden="1" x14ac:dyDescent="0.25">
      <c r="A820" s="18"/>
      <c r="D820" s="102"/>
      <c r="E820" s="43"/>
      <c r="F820" s="38"/>
      <c r="G820" s="38"/>
      <c r="H820" s="38"/>
      <c r="I820" s="38"/>
      <c r="J820" s="105"/>
      <c r="K820" s="106"/>
      <c r="L820" s="106"/>
      <c r="M820" s="107"/>
      <c r="W820" s="6"/>
      <c r="X820" s="6"/>
    </row>
    <row r="821" spans="1:24" s="1" customFormat="1" hidden="1" x14ac:dyDescent="0.25">
      <c r="A821" s="18"/>
      <c r="D821" s="102"/>
      <c r="E821" s="43"/>
      <c r="F821" s="38"/>
      <c r="G821" s="38"/>
      <c r="H821" s="38"/>
      <c r="I821" s="38"/>
      <c r="J821" s="105"/>
      <c r="K821" s="106"/>
      <c r="L821" s="106"/>
      <c r="M821" s="107"/>
      <c r="W821" s="6"/>
      <c r="X821" s="6"/>
    </row>
    <row r="822" spans="1:24" s="1" customFormat="1" hidden="1" x14ac:dyDescent="0.25">
      <c r="A822" s="18"/>
      <c r="D822" s="102"/>
      <c r="E822" s="43"/>
      <c r="F822" s="38"/>
      <c r="G822" s="38"/>
      <c r="H822" s="38"/>
      <c r="I822" s="38"/>
      <c r="J822" s="105"/>
      <c r="K822" s="106"/>
      <c r="L822" s="106"/>
      <c r="M822" s="107"/>
      <c r="W822" s="6"/>
      <c r="X822" s="6"/>
    </row>
    <row r="823" spans="1:24" s="1" customFormat="1" hidden="1" x14ac:dyDescent="0.25">
      <c r="A823" s="18"/>
      <c r="D823" s="102"/>
      <c r="E823" s="43"/>
      <c r="F823" s="38"/>
      <c r="G823" s="38"/>
      <c r="H823" s="38"/>
      <c r="I823" s="38"/>
      <c r="J823" s="105"/>
      <c r="K823" s="106"/>
      <c r="L823" s="106"/>
      <c r="M823" s="107"/>
      <c r="W823" s="6"/>
      <c r="X823" s="6"/>
    </row>
    <row r="824" spans="1:24" s="1" customFormat="1" hidden="1" x14ac:dyDescent="0.25">
      <c r="A824" s="18"/>
      <c r="D824" s="102"/>
      <c r="E824" s="43"/>
      <c r="F824" s="38"/>
      <c r="G824" s="38"/>
      <c r="H824" s="38"/>
      <c r="I824" s="38"/>
      <c r="J824" s="105"/>
      <c r="K824" s="106"/>
      <c r="L824" s="106"/>
      <c r="M824" s="107"/>
      <c r="W824" s="6"/>
      <c r="X824" s="6"/>
    </row>
    <row r="825" spans="1:24" s="1" customFormat="1" hidden="1" x14ac:dyDescent="0.25">
      <c r="A825" s="18"/>
      <c r="D825" s="102"/>
      <c r="E825" s="43"/>
      <c r="F825" s="38"/>
      <c r="G825" s="38"/>
      <c r="H825" s="38"/>
      <c r="I825" s="38"/>
      <c r="J825" s="105"/>
      <c r="K825" s="106"/>
      <c r="L825" s="106"/>
      <c r="M825" s="107"/>
      <c r="W825" s="6"/>
      <c r="X825" s="6"/>
    </row>
    <row r="826" spans="1:24" s="1" customFormat="1" hidden="1" x14ac:dyDescent="0.25">
      <c r="A826" s="18"/>
      <c r="D826" s="102"/>
      <c r="E826" s="43"/>
      <c r="F826" s="38"/>
      <c r="G826" s="38"/>
      <c r="H826" s="38"/>
      <c r="I826" s="38"/>
      <c r="J826" s="105"/>
      <c r="K826" s="106"/>
      <c r="L826" s="106"/>
      <c r="M826" s="107"/>
      <c r="W826" s="6"/>
      <c r="X826" s="6"/>
    </row>
    <row r="827" spans="1:24" s="1" customFormat="1" hidden="1" x14ac:dyDescent="0.25">
      <c r="A827" s="18"/>
      <c r="D827" s="102"/>
      <c r="E827" s="43"/>
      <c r="F827" s="38"/>
      <c r="G827" s="38"/>
      <c r="H827" s="38"/>
      <c r="I827" s="38"/>
      <c r="J827" s="105"/>
      <c r="K827" s="106"/>
      <c r="L827" s="106"/>
      <c r="M827" s="107"/>
      <c r="W827" s="6"/>
      <c r="X827" s="6"/>
    </row>
    <row r="828" spans="1:24" s="1" customFormat="1" hidden="1" x14ac:dyDescent="0.25">
      <c r="A828" s="18"/>
      <c r="D828" s="102"/>
      <c r="E828" s="43"/>
      <c r="F828" s="38"/>
      <c r="G828" s="38"/>
      <c r="H828" s="38"/>
      <c r="I828" s="38"/>
      <c r="J828" s="105"/>
      <c r="K828" s="106"/>
      <c r="L828" s="106"/>
      <c r="M828" s="107"/>
      <c r="W828" s="6"/>
      <c r="X828" s="6"/>
    </row>
    <row r="829" spans="1:24" s="1" customFormat="1" hidden="1" x14ac:dyDescent="0.25">
      <c r="A829" s="18"/>
      <c r="D829" s="102"/>
      <c r="E829" s="43"/>
      <c r="F829" s="38"/>
      <c r="G829" s="38"/>
      <c r="H829" s="38"/>
      <c r="I829" s="38"/>
      <c r="J829" s="105"/>
      <c r="K829" s="106"/>
      <c r="L829" s="106"/>
      <c r="M829" s="107"/>
      <c r="W829" s="6"/>
      <c r="X829" s="6"/>
    </row>
    <row r="830" spans="1:24" s="1" customFormat="1" hidden="1" x14ac:dyDescent="0.25">
      <c r="A830" s="18"/>
      <c r="D830" s="102"/>
      <c r="E830" s="43"/>
      <c r="F830" s="38"/>
      <c r="G830" s="38"/>
      <c r="H830" s="38"/>
      <c r="I830" s="38"/>
      <c r="J830" s="105"/>
      <c r="K830" s="106"/>
      <c r="L830" s="106"/>
      <c r="M830" s="107"/>
      <c r="W830" s="6"/>
      <c r="X830" s="6"/>
    </row>
    <row r="831" spans="1:24" s="1" customFormat="1" hidden="1" x14ac:dyDescent="0.25">
      <c r="A831" s="18"/>
      <c r="D831" s="102"/>
      <c r="E831" s="43"/>
      <c r="F831" s="38"/>
      <c r="G831" s="38"/>
      <c r="H831" s="38"/>
      <c r="I831" s="38"/>
      <c r="J831" s="105"/>
      <c r="K831" s="106"/>
      <c r="L831" s="106"/>
      <c r="M831" s="107"/>
      <c r="W831" s="6"/>
      <c r="X831" s="6"/>
    </row>
    <row r="832" spans="1:24" s="1" customFormat="1" hidden="1" x14ac:dyDescent="0.25">
      <c r="A832" s="18"/>
      <c r="D832" s="102"/>
      <c r="E832" s="43"/>
      <c r="F832" s="38"/>
      <c r="G832" s="38"/>
      <c r="H832" s="38"/>
      <c r="I832" s="38"/>
      <c r="J832" s="105"/>
      <c r="K832" s="106"/>
      <c r="L832" s="106"/>
      <c r="M832" s="107"/>
      <c r="W832" s="6"/>
      <c r="X832" s="6"/>
    </row>
    <row r="833" spans="1:24" s="1" customFormat="1" hidden="1" x14ac:dyDescent="0.25">
      <c r="A833" s="18"/>
      <c r="D833" s="102"/>
      <c r="E833" s="43"/>
      <c r="F833" s="38"/>
      <c r="G833" s="38"/>
      <c r="H833" s="38"/>
      <c r="I833" s="38"/>
      <c r="J833" s="105"/>
      <c r="K833" s="106"/>
      <c r="L833" s="106"/>
      <c r="M833" s="107"/>
      <c r="W833" s="6"/>
      <c r="X833" s="6"/>
    </row>
    <row r="834" spans="1:24" s="1" customFormat="1" hidden="1" x14ac:dyDescent="0.25">
      <c r="A834" s="18"/>
      <c r="D834" s="102"/>
      <c r="E834" s="43"/>
      <c r="F834" s="38"/>
      <c r="G834" s="38"/>
      <c r="H834" s="38"/>
      <c r="I834" s="38"/>
      <c r="J834" s="105"/>
      <c r="K834" s="106"/>
      <c r="L834" s="106"/>
      <c r="M834" s="107"/>
      <c r="W834" s="6"/>
      <c r="X834" s="6"/>
    </row>
    <row r="835" spans="1:24" s="1" customFormat="1" hidden="1" x14ac:dyDescent="0.25">
      <c r="A835" s="18"/>
      <c r="D835" s="102"/>
      <c r="E835" s="43"/>
      <c r="F835" s="38"/>
      <c r="G835" s="38"/>
      <c r="H835" s="38"/>
      <c r="I835" s="38"/>
      <c r="J835" s="105"/>
      <c r="K835" s="106"/>
      <c r="L835" s="106"/>
      <c r="M835" s="107"/>
      <c r="W835" s="6"/>
      <c r="X835" s="6"/>
    </row>
    <row r="836" spans="1:24" s="1" customFormat="1" hidden="1" x14ac:dyDescent="0.25">
      <c r="A836" s="18"/>
      <c r="D836" s="102"/>
      <c r="E836" s="43"/>
      <c r="F836" s="38"/>
      <c r="G836" s="38"/>
      <c r="H836" s="38"/>
      <c r="I836" s="38"/>
      <c r="J836" s="105"/>
      <c r="K836" s="106"/>
      <c r="L836" s="106"/>
      <c r="M836" s="107"/>
      <c r="W836" s="6"/>
      <c r="X836" s="6"/>
    </row>
    <row r="837" spans="1:24" s="1" customFormat="1" hidden="1" x14ac:dyDescent="0.25">
      <c r="A837" s="18"/>
      <c r="D837" s="102"/>
      <c r="E837" s="43"/>
      <c r="F837" s="38"/>
      <c r="G837" s="38"/>
      <c r="H837" s="38"/>
      <c r="I837" s="38"/>
      <c r="J837" s="105"/>
      <c r="K837" s="106"/>
      <c r="L837" s="106"/>
      <c r="M837" s="107"/>
      <c r="W837" s="6"/>
      <c r="X837" s="6"/>
    </row>
    <row r="838" spans="1:24" s="1" customFormat="1" hidden="1" x14ac:dyDescent="0.25">
      <c r="A838" s="18"/>
      <c r="D838" s="102"/>
      <c r="E838" s="43"/>
      <c r="F838" s="38"/>
      <c r="G838" s="38"/>
      <c r="H838" s="38"/>
      <c r="I838" s="38"/>
      <c r="J838" s="105"/>
      <c r="K838" s="106"/>
      <c r="L838" s="106"/>
      <c r="M838" s="107"/>
      <c r="W838" s="6"/>
      <c r="X838" s="6"/>
    </row>
    <row r="839" spans="1:24" s="1" customFormat="1" hidden="1" x14ac:dyDescent="0.25">
      <c r="A839" s="18"/>
      <c r="D839" s="102"/>
      <c r="E839" s="43"/>
      <c r="F839" s="38"/>
      <c r="G839" s="38"/>
      <c r="H839" s="38"/>
      <c r="I839" s="38"/>
      <c r="J839" s="105"/>
      <c r="K839" s="106"/>
      <c r="L839" s="106"/>
      <c r="M839" s="107"/>
      <c r="W839" s="6"/>
      <c r="X839" s="6"/>
    </row>
    <row r="840" spans="1:24" s="1" customFormat="1" hidden="1" x14ac:dyDescent="0.25">
      <c r="A840" s="18"/>
      <c r="D840" s="102"/>
      <c r="E840" s="43"/>
      <c r="F840" s="38"/>
      <c r="G840" s="38"/>
      <c r="H840" s="38"/>
      <c r="I840" s="38"/>
      <c r="J840" s="105"/>
      <c r="K840" s="106"/>
      <c r="L840" s="106"/>
      <c r="M840" s="107"/>
      <c r="W840" s="6"/>
      <c r="X840" s="6"/>
    </row>
    <row r="841" spans="1:24" s="1" customFormat="1" hidden="1" x14ac:dyDescent="0.25">
      <c r="A841" s="18"/>
      <c r="D841" s="102"/>
      <c r="E841" s="43"/>
      <c r="F841" s="38"/>
      <c r="G841" s="38"/>
      <c r="H841" s="38"/>
      <c r="I841" s="38"/>
      <c r="J841" s="105"/>
      <c r="K841" s="106"/>
      <c r="L841" s="106"/>
      <c r="M841" s="107"/>
      <c r="W841" s="6"/>
      <c r="X841" s="6"/>
    </row>
    <row r="842" spans="1:24" s="1" customFormat="1" hidden="1" x14ac:dyDescent="0.25">
      <c r="A842" s="18"/>
      <c r="D842" s="102"/>
      <c r="E842" s="43"/>
      <c r="F842" s="38"/>
      <c r="G842" s="38"/>
      <c r="H842" s="38"/>
      <c r="I842" s="38"/>
      <c r="J842" s="105"/>
      <c r="K842" s="106"/>
      <c r="L842" s="106"/>
      <c r="M842" s="107"/>
      <c r="W842" s="6"/>
      <c r="X842" s="6"/>
    </row>
    <row r="843" spans="1:24" s="1" customFormat="1" hidden="1" x14ac:dyDescent="0.25">
      <c r="A843" s="18"/>
      <c r="D843" s="102"/>
      <c r="E843" s="43"/>
      <c r="F843" s="38"/>
      <c r="G843" s="38"/>
      <c r="H843" s="38"/>
      <c r="I843" s="38"/>
      <c r="J843" s="105"/>
      <c r="K843" s="106"/>
      <c r="L843" s="106"/>
      <c r="M843" s="107"/>
      <c r="W843" s="6"/>
      <c r="X843" s="6"/>
    </row>
    <row r="844" spans="1:24" s="1" customFormat="1" hidden="1" x14ac:dyDescent="0.25">
      <c r="A844" s="18"/>
      <c r="D844" s="102"/>
      <c r="E844" s="43"/>
      <c r="F844" s="38"/>
      <c r="G844" s="38"/>
      <c r="H844" s="38"/>
      <c r="I844" s="38"/>
      <c r="J844" s="105"/>
      <c r="K844" s="106"/>
      <c r="L844" s="106"/>
      <c r="M844" s="107"/>
      <c r="W844" s="6"/>
      <c r="X844" s="6"/>
    </row>
    <row r="845" spans="1:24" s="1" customFormat="1" hidden="1" x14ac:dyDescent="0.25">
      <c r="A845" s="18"/>
      <c r="D845" s="102"/>
      <c r="E845" s="43"/>
      <c r="F845" s="38"/>
      <c r="G845" s="38"/>
      <c r="H845" s="38"/>
      <c r="I845" s="38"/>
      <c r="J845" s="105"/>
      <c r="K845" s="106"/>
      <c r="L845" s="106"/>
      <c r="M845" s="107"/>
      <c r="W845" s="6"/>
      <c r="X845" s="6"/>
    </row>
    <row r="846" spans="1:24" s="1" customFormat="1" hidden="1" x14ac:dyDescent="0.25">
      <c r="A846" s="18"/>
      <c r="D846" s="102"/>
      <c r="E846" s="43"/>
      <c r="F846" s="38"/>
      <c r="G846" s="38"/>
      <c r="H846" s="38"/>
      <c r="I846" s="38"/>
      <c r="J846" s="105"/>
      <c r="K846" s="106"/>
      <c r="L846" s="106"/>
      <c r="M846" s="107"/>
      <c r="W846" s="6"/>
      <c r="X846" s="6"/>
    </row>
    <row r="847" spans="1:24" s="1" customFormat="1" hidden="1" x14ac:dyDescent="0.25">
      <c r="A847" s="18"/>
      <c r="D847" s="102"/>
      <c r="E847" s="43"/>
      <c r="F847" s="38"/>
      <c r="G847" s="38"/>
      <c r="H847" s="38"/>
      <c r="I847" s="38"/>
      <c r="J847" s="105"/>
      <c r="K847" s="106"/>
      <c r="L847" s="106"/>
      <c r="M847" s="107"/>
      <c r="W847" s="6"/>
      <c r="X847" s="6"/>
    </row>
    <row r="848" spans="1:24" s="1" customFormat="1" hidden="1" x14ac:dyDescent="0.25">
      <c r="A848" s="18"/>
      <c r="D848" s="102"/>
      <c r="E848" s="43"/>
      <c r="F848" s="38"/>
      <c r="G848" s="38"/>
      <c r="H848" s="38"/>
      <c r="I848" s="38"/>
      <c r="J848" s="105"/>
      <c r="K848" s="106"/>
      <c r="L848" s="106"/>
      <c r="M848" s="107"/>
      <c r="W848" s="6"/>
      <c r="X848" s="6"/>
    </row>
    <row r="849" spans="1:24" s="1" customFormat="1" hidden="1" x14ac:dyDescent="0.25">
      <c r="A849" s="18"/>
      <c r="D849" s="102"/>
      <c r="E849" s="43"/>
      <c r="F849" s="38"/>
      <c r="G849" s="38"/>
      <c r="H849" s="38"/>
      <c r="I849" s="38"/>
      <c r="J849" s="105"/>
      <c r="K849" s="106"/>
      <c r="L849" s="106"/>
      <c r="M849" s="107"/>
      <c r="W849" s="6"/>
      <c r="X849" s="6"/>
    </row>
    <row r="850" spans="1:24" s="1" customFormat="1" hidden="1" x14ac:dyDescent="0.25">
      <c r="A850" s="18"/>
      <c r="D850" s="102"/>
      <c r="E850" s="43"/>
      <c r="F850" s="38"/>
      <c r="G850" s="38"/>
      <c r="H850" s="38"/>
      <c r="I850" s="38"/>
      <c r="J850" s="105"/>
      <c r="K850" s="106"/>
      <c r="L850" s="106"/>
      <c r="M850" s="107"/>
      <c r="W850" s="6"/>
      <c r="X850" s="6"/>
    </row>
    <row r="851" spans="1:24" s="1" customFormat="1" hidden="1" x14ac:dyDescent="0.25">
      <c r="A851" s="18"/>
      <c r="D851" s="102"/>
      <c r="E851" s="43"/>
      <c r="F851" s="38"/>
      <c r="G851" s="38"/>
      <c r="H851" s="38"/>
      <c r="I851" s="38"/>
      <c r="J851" s="105"/>
      <c r="K851" s="106"/>
      <c r="L851" s="106"/>
      <c r="M851" s="107"/>
      <c r="W851" s="6"/>
      <c r="X851" s="6"/>
    </row>
    <row r="852" spans="1:24" s="1" customFormat="1" hidden="1" x14ac:dyDescent="0.25">
      <c r="A852" s="18"/>
      <c r="D852" s="102"/>
      <c r="E852" s="43"/>
      <c r="F852" s="38"/>
      <c r="G852" s="38"/>
      <c r="H852" s="38"/>
      <c r="I852" s="38"/>
      <c r="J852" s="105"/>
      <c r="K852" s="106"/>
      <c r="L852" s="106"/>
      <c r="M852" s="107"/>
      <c r="W852" s="6"/>
      <c r="X852" s="6"/>
    </row>
    <row r="853" spans="1:24" s="1" customFormat="1" hidden="1" x14ac:dyDescent="0.25">
      <c r="A853" s="18"/>
      <c r="D853" s="102"/>
      <c r="E853" s="43"/>
      <c r="F853" s="38"/>
      <c r="G853" s="38"/>
      <c r="H853" s="38"/>
      <c r="I853" s="38"/>
      <c r="J853" s="105"/>
      <c r="K853" s="106"/>
      <c r="L853" s="106"/>
      <c r="M853" s="107"/>
      <c r="W853" s="6"/>
      <c r="X853" s="6"/>
    </row>
    <row r="854" spans="1:24" s="1" customFormat="1" hidden="1" x14ac:dyDescent="0.25">
      <c r="A854" s="18"/>
      <c r="D854" s="102"/>
      <c r="E854" s="43"/>
      <c r="F854" s="38"/>
      <c r="G854" s="38"/>
      <c r="H854" s="38"/>
      <c r="I854" s="38"/>
      <c r="J854" s="105"/>
      <c r="K854" s="106"/>
      <c r="L854" s="106"/>
      <c r="M854" s="107"/>
      <c r="W854" s="6"/>
      <c r="X854" s="6"/>
    </row>
    <row r="855" spans="1:24" s="1" customFormat="1" hidden="1" x14ac:dyDescent="0.25">
      <c r="A855" s="18"/>
      <c r="D855" s="102"/>
      <c r="E855" s="43"/>
      <c r="F855" s="38"/>
      <c r="G855" s="38"/>
      <c r="H855" s="38"/>
      <c r="I855" s="38"/>
      <c r="J855" s="105"/>
      <c r="K855" s="106"/>
      <c r="L855" s="106"/>
      <c r="M855" s="107"/>
      <c r="W855" s="6"/>
      <c r="X855" s="6"/>
    </row>
    <row r="856" spans="1:24" s="1" customFormat="1" hidden="1" x14ac:dyDescent="0.25">
      <c r="A856" s="18"/>
      <c r="D856" s="102"/>
      <c r="E856" s="43"/>
      <c r="F856" s="38"/>
      <c r="G856" s="38"/>
      <c r="H856" s="38"/>
      <c r="I856" s="38"/>
      <c r="J856" s="105"/>
      <c r="K856" s="106"/>
      <c r="L856" s="106"/>
      <c r="M856" s="107"/>
      <c r="W856" s="6"/>
      <c r="X856" s="6"/>
    </row>
    <row r="857" spans="1:24" s="1" customFormat="1" hidden="1" x14ac:dyDescent="0.25">
      <c r="A857" s="18"/>
      <c r="D857" s="102"/>
      <c r="E857" s="43"/>
      <c r="F857" s="38"/>
      <c r="G857" s="38"/>
      <c r="H857" s="38"/>
      <c r="I857" s="38"/>
      <c r="J857" s="105"/>
      <c r="K857" s="106"/>
      <c r="L857" s="106"/>
      <c r="M857" s="107"/>
      <c r="W857" s="6"/>
      <c r="X857" s="6"/>
    </row>
    <row r="858" spans="1:24" s="1" customFormat="1" hidden="1" x14ac:dyDescent="0.25">
      <c r="A858" s="18"/>
      <c r="D858" s="102"/>
      <c r="E858" s="43"/>
      <c r="F858" s="38"/>
      <c r="G858" s="38"/>
      <c r="H858" s="38"/>
      <c r="I858" s="38"/>
      <c r="J858" s="105"/>
      <c r="K858" s="106"/>
      <c r="L858" s="106"/>
      <c r="M858" s="107"/>
      <c r="W858" s="6"/>
      <c r="X858" s="6"/>
    </row>
    <row r="859" spans="1:24" s="1" customFormat="1" hidden="1" x14ac:dyDescent="0.25">
      <c r="A859" s="18"/>
      <c r="D859" s="102"/>
      <c r="E859" s="43"/>
      <c r="F859" s="38"/>
      <c r="G859" s="38"/>
      <c r="H859" s="38"/>
      <c r="I859" s="38"/>
      <c r="J859" s="105"/>
      <c r="K859" s="106"/>
      <c r="L859" s="106"/>
      <c r="M859" s="107"/>
      <c r="W859" s="6"/>
      <c r="X859" s="6"/>
    </row>
    <row r="860" spans="1:24" s="1" customFormat="1" hidden="1" x14ac:dyDescent="0.25">
      <c r="A860" s="18"/>
      <c r="D860" s="102"/>
      <c r="E860" s="43"/>
      <c r="F860" s="38"/>
      <c r="G860" s="38"/>
      <c r="H860" s="38"/>
      <c r="I860" s="38"/>
      <c r="J860" s="105"/>
      <c r="K860" s="106"/>
      <c r="L860" s="106"/>
      <c r="M860" s="107"/>
      <c r="W860" s="6"/>
      <c r="X860" s="6"/>
    </row>
    <row r="861" spans="1:24" s="1" customFormat="1" hidden="1" x14ac:dyDescent="0.25">
      <c r="A861" s="18"/>
      <c r="D861" s="102"/>
      <c r="E861" s="43"/>
      <c r="F861" s="38"/>
      <c r="G861" s="38"/>
      <c r="H861" s="38"/>
      <c r="I861" s="38"/>
      <c r="J861" s="105"/>
      <c r="K861" s="106"/>
      <c r="L861" s="106"/>
      <c r="M861" s="107"/>
      <c r="W861" s="6"/>
      <c r="X861" s="6"/>
    </row>
    <row r="862" spans="1:24" s="1" customFormat="1" hidden="1" x14ac:dyDescent="0.25">
      <c r="A862" s="18"/>
      <c r="D862" s="102"/>
      <c r="E862" s="43"/>
      <c r="F862" s="38"/>
      <c r="G862" s="38"/>
      <c r="H862" s="38"/>
      <c r="I862" s="38"/>
      <c r="J862" s="105"/>
      <c r="K862" s="106"/>
      <c r="L862" s="106"/>
      <c r="M862" s="107"/>
      <c r="W862" s="6"/>
      <c r="X862" s="6"/>
    </row>
    <row r="863" spans="1:24" s="1" customFormat="1" hidden="1" x14ac:dyDescent="0.25">
      <c r="A863" s="18"/>
      <c r="D863" s="102"/>
      <c r="E863" s="43"/>
      <c r="F863" s="38"/>
      <c r="G863" s="38"/>
      <c r="H863" s="38"/>
      <c r="I863" s="38"/>
      <c r="J863" s="105"/>
      <c r="K863" s="106"/>
      <c r="L863" s="106"/>
      <c r="M863" s="107"/>
      <c r="W863" s="6"/>
      <c r="X863" s="6"/>
    </row>
    <row r="864" spans="1:24" s="1" customFormat="1" hidden="1" x14ac:dyDescent="0.25">
      <c r="A864" s="18"/>
      <c r="D864" s="102"/>
      <c r="E864" s="43"/>
      <c r="F864" s="38"/>
      <c r="G864" s="38"/>
      <c r="H864" s="38"/>
      <c r="I864" s="38"/>
      <c r="J864" s="105"/>
      <c r="K864" s="106"/>
      <c r="L864" s="106"/>
      <c r="M864" s="107"/>
      <c r="W864" s="6"/>
      <c r="X864" s="6"/>
    </row>
    <row r="865" spans="1:24" s="1" customFormat="1" hidden="1" x14ac:dyDescent="0.25">
      <c r="A865" s="18"/>
      <c r="D865" s="102"/>
      <c r="E865" s="43"/>
      <c r="F865" s="38"/>
      <c r="G865" s="38"/>
      <c r="H865" s="38"/>
      <c r="I865" s="38"/>
      <c r="J865" s="105"/>
      <c r="K865" s="106"/>
      <c r="L865" s="106"/>
      <c r="M865" s="107"/>
      <c r="W865" s="6"/>
      <c r="X865" s="6"/>
    </row>
    <row r="866" spans="1:24" s="1" customFormat="1" hidden="1" x14ac:dyDescent="0.25">
      <c r="A866" s="18"/>
      <c r="D866" s="102"/>
      <c r="E866" s="43"/>
      <c r="F866" s="38"/>
      <c r="G866" s="38"/>
      <c r="H866" s="38"/>
      <c r="I866" s="38"/>
      <c r="J866" s="105"/>
      <c r="K866" s="106"/>
      <c r="L866" s="106"/>
      <c r="M866" s="107"/>
      <c r="W866" s="6"/>
      <c r="X866" s="6"/>
    </row>
    <row r="867" spans="1:24" s="1" customFormat="1" hidden="1" x14ac:dyDescent="0.25">
      <c r="A867" s="18"/>
      <c r="D867" s="102"/>
      <c r="E867" s="43"/>
      <c r="F867" s="38"/>
      <c r="G867" s="38"/>
      <c r="H867" s="38"/>
      <c r="I867" s="38"/>
      <c r="J867" s="105"/>
      <c r="K867" s="106"/>
      <c r="L867" s="106"/>
      <c r="M867" s="107"/>
      <c r="W867" s="6"/>
      <c r="X867" s="6"/>
    </row>
    <row r="868" spans="1:24" s="1" customFormat="1" hidden="1" x14ac:dyDescent="0.25">
      <c r="A868" s="18"/>
      <c r="D868" s="102"/>
      <c r="E868" s="43"/>
      <c r="F868" s="38"/>
      <c r="G868" s="38"/>
      <c r="H868" s="38"/>
      <c r="I868" s="38"/>
      <c r="J868" s="105"/>
      <c r="K868" s="106"/>
      <c r="L868" s="106"/>
      <c r="M868" s="107"/>
      <c r="W868" s="6"/>
      <c r="X868" s="6"/>
    </row>
    <row r="869" spans="1:24" s="1" customFormat="1" hidden="1" x14ac:dyDescent="0.25">
      <c r="A869" s="18"/>
      <c r="D869" s="102"/>
      <c r="E869" s="43"/>
      <c r="F869" s="38"/>
      <c r="G869" s="38"/>
      <c r="H869" s="38"/>
      <c r="I869" s="38"/>
      <c r="J869" s="105"/>
      <c r="K869" s="106"/>
      <c r="L869" s="106"/>
      <c r="M869" s="107"/>
      <c r="W869" s="6"/>
      <c r="X869" s="6"/>
    </row>
    <row r="870" spans="1:24" s="1" customFormat="1" hidden="1" x14ac:dyDescent="0.25">
      <c r="A870" s="18"/>
      <c r="D870" s="102"/>
      <c r="E870" s="43"/>
      <c r="F870" s="38"/>
      <c r="G870" s="38"/>
      <c r="H870" s="38"/>
      <c r="I870" s="38"/>
      <c r="J870" s="105"/>
      <c r="K870" s="106"/>
      <c r="L870" s="106"/>
      <c r="M870" s="107"/>
      <c r="W870" s="6"/>
      <c r="X870" s="6"/>
    </row>
    <row r="871" spans="1:24" s="1" customFormat="1" hidden="1" x14ac:dyDescent="0.25">
      <c r="A871" s="18"/>
      <c r="D871" s="102"/>
      <c r="E871" s="43"/>
      <c r="F871" s="38"/>
      <c r="G871" s="38"/>
      <c r="H871" s="38"/>
      <c r="I871" s="38"/>
      <c r="J871" s="105"/>
      <c r="K871" s="106"/>
      <c r="L871" s="106"/>
      <c r="M871" s="107"/>
      <c r="W871" s="6"/>
      <c r="X871" s="6"/>
    </row>
    <row r="872" spans="1:24" s="1" customFormat="1" hidden="1" x14ac:dyDescent="0.25">
      <c r="A872" s="18"/>
      <c r="D872" s="102"/>
      <c r="E872" s="43"/>
      <c r="F872" s="38"/>
      <c r="G872" s="38"/>
      <c r="H872" s="38"/>
      <c r="I872" s="38"/>
      <c r="J872" s="105"/>
      <c r="K872" s="106"/>
      <c r="L872" s="106"/>
      <c r="M872" s="107"/>
      <c r="W872" s="6"/>
      <c r="X872" s="6"/>
    </row>
    <row r="873" spans="1:24" s="1" customFormat="1" hidden="1" x14ac:dyDescent="0.25">
      <c r="A873" s="18"/>
      <c r="D873" s="102"/>
      <c r="E873" s="43"/>
      <c r="F873" s="38"/>
      <c r="G873" s="38"/>
      <c r="H873" s="38"/>
      <c r="I873" s="38"/>
      <c r="J873" s="105"/>
      <c r="K873" s="106"/>
      <c r="L873" s="106"/>
      <c r="M873" s="107"/>
      <c r="W873" s="6"/>
      <c r="X873" s="6"/>
    </row>
    <row r="874" spans="1:24" s="1" customFormat="1" hidden="1" x14ac:dyDescent="0.25">
      <c r="A874" s="18"/>
      <c r="D874" s="102"/>
      <c r="E874" s="43"/>
      <c r="F874" s="38"/>
      <c r="G874" s="38"/>
      <c r="H874" s="38"/>
      <c r="I874" s="38"/>
      <c r="J874" s="105"/>
      <c r="K874" s="106"/>
      <c r="L874" s="106"/>
      <c r="M874" s="107"/>
      <c r="W874" s="6"/>
      <c r="X874" s="6"/>
    </row>
    <row r="875" spans="1:24" s="1" customFormat="1" hidden="1" x14ac:dyDescent="0.25">
      <c r="A875" s="18"/>
      <c r="D875" s="102"/>
      <c r="E875" s="43"/>
      <c r="F875" s="38"/>
      <c r="G875" s="38"/>
      <c r="H875" s="38"/>
      <c r="I875" s="38"/>
      <c r="J875" s="105"/>
      <c r="K875" s="106"/>
      <c r="L875" s="106"/>
      <c r="M875" s="107"/>
      <c r="W875" s="6"/>
      <c r="X875" s="6"/>
    </row>
    <row r="876" spans="1:24" s="1" customFormat="1" hidden="1" x14ac:dyDescent="0.25">
      <c r="A876" s="18"/>
      <c r="D876" s="102"/>
      <c r="E876" s="43"/>
      <c r="F876" s="38"/>
      <c r="G876" s="38"/>
      <c r="H876" s="38"/>
      <c r="I876" s="38"/>
      <c r="J876" s="105"/>
      <c r="K876" s="106"/>
      <c r="L876" s="106"/>
      <c r="M876" s="107"/>
      <c r="W876" s="6"/>
      <c r="X876" s="6"/>
    </row>
    <row r="877" spans="1:24" s="1" customFormat="1" hidden="1" x14ac:dyDescent="0.25">
      <c r="A877" s="18"/>
      <c r="D877" s="102"/>
      <c r="E877" s="43"/>
      <c r="F877" s="38"/>
      <c r="G877" s="38"/>
      <c r="H877" s="38"/>
      <c r="I877" s="38"/>
      <c r="J877" s="105"/>
      <c r="K877" s="106"/>
      <c r="L877" s="106"/>
      <c r="M877" s="107"/>
      <c r="W877" s="6"/>
      <c r="X877" s="6"/>
    </row>
    <row r="878" spans="1:24" s="1" customFormat="1" hidden="1" x14ac:dyDescent="0.25">
      <c r="A878" s="18"/>
      <c r="D878" s="102"/>
      <c r="E878" s="43"/>
      <c r="F878" s="38"/>
      <c r="G878" s="38"/>
      <c r="H878" s="38"/>
      <c r="I878" s="38"/>
      <c r="J878" s="105"/>
      <c r="K878" s="106"/>
      <c r="L878" s="106"/>
      <c r="M878" s="107"/>
      <c r="W878" s="6"/>
      <c r="X878" s="6"/>
    </row>
    <row r="879" spans="1:24" s="1" customFormat="1" hidden="1" x14ac:dyDescent="0.25">
      <c r="A879" s="18"/>
      <c r="D879" s="102"/>
      <c r="E879" s="43"/>
      <c r="F879" s="38"/>
      <c r="G879" s="38"/>
      <c r="H879" s="38"/>
      <c r="I879" s="38"/>
      <c r="J879" s="105"/>
      <c r="K879" s="106"/>
      <c r="L879" s="106"/>
      <c r="M879" s="107"/>
      <c r="W879" s="6"/>
      <c r="X879" s="6"/>
    </row>
    <row r="880" spans="1:24" s="1" customFormat="1" hidden="1" x14ac:dyDescent="0.25">
      <c r="A880" s="18"/>
      <c r="D880" s="102"/>
      <c r="E880" s="43"/>
      <c r="F880" s="38"/>
      <c r="G880" s="38"/>
      <c r="H880" s="38"/>
      <c r="I880" s="38"/>
      <c r="J880" s="105"/>
      <c r="K880" s="106"/>
      <c r="L880" s="106"/>
      <c r="M880" s="107"/>
      <c r="W880" s="6"/>
      <c r="X880" s="6"/>
    </row>
    <row r="881" spans="1:24" s="1" customFormat="1" hidden="1" x14ac:dyDescent="0.25">
      <c r="A881" s="18"/>
      <c r="D881" s="102"/>
      <c r="E881" s="43"/>
      <c r="F881" s="38"/>
      <c r="G881" s="38"/>
      <c r="H881" s="38"/>
      <c r="I881" s="38"/>
      <c r="J881" s="105"/>
      <c r="K881" s="106"/>
      <c r="L881" s="106"/>
      <c r="M881" s="107"/>
      <c r="W881" s="6"/>
      <c r="X881" s="6"/>
    </row>
    <row r="882" spans="1:24" s="1" customFormat="1" hidden="1" x14ac:dyDescent="0.25">
      <c r="A882" s="18"/>
      <c r="D882" s="102"/>
      <c r="E882" s="43"/>
      <c r="F882" s="38"/>
      <c r="G882" s="38"/>
      <c r="H882" s="38"/>
      <c r="I882" s="38"/>
      <c r="J882" s="105"/>
      <c r="K882" s="106"/>
      <c r="L882" s="106"/>
      <c r="M882" s="107"/>
      <c r="W882" s="6"/>
      <c r="X882" s="6"/>
    </row>
    <row r="883" spans="1:24" s="1" customFormat="1" hidden="1" x14ac:dyDescent="0.25">
      <c r="A883" s="18"/>
      <c r="D883" s="102"/>
      <c r="E883" s="43"/>
      <c r="F883" s="38"/>
      <c r="G883" s="38"/>
      <c r="H883" s="38"/>
      <c r="I883" s="38"/>
      <c r="J883" s="105"/>
      <c r="K883" s="106"/>
      <c r="L883" s="106"/>
      <c r="M883" s="107"/>
      <c r="W883" s="6"/>
      <c r="X883" s="6"/>
    </row>
    <row r="884" spans="1:24" s="1" customFormat="1" hidden="1" x14ac:dyDescent="0.25">
      <c r="A884" s="18"/>
      <c r="D884" s="102"/>
      <c r="E884" s="43"/>
      <c r="F884" s="38"/>
      <c r="G884" s="38"/>
      <c r="H884" s="38"/>
      <c r="I884" s="38"/>
      <c r="J884" s="105"/>
      <c r="K884" s="106"/>
      <c r="L884" s="106"/>
      <c r="M884" s="107"/>
      <c r="W884" s="6"/>
      <c r="X884" s="6"/>
    </row>
    <row r="885" spans="1:24" s="1" customFormat="1" hidden="1" x14ac:dyDescent="0.25">
      <c r="A885" s="18"/>
      <c r="D885" s="102"/>
      <c r="E885" s="43"/>
      <c r="F885" s="38"/>
      <c r="G885" s="38"/>
      <c r="H885" s="38"/>
      <c r="I885" s="38"/>
      <c r="J885" s="105"/>
      <c r="K885" s="106"/>
      <c r="L885" s="106"/>
      <c r="M885" s="107"/>
      <c r="W885" s="6"/>
      <c r="X885" s="6"/>
    </row>
    <row r="886" spans="1:24" s="1" customFormat="1" hidden="1" x14ac:dyDescent="0.25">
      <c r="A886" s="18"/>
      <c r="D886" s="102"/>
      <c r="E886" s="43"/>
      <c r="F886" s="38"/>
      <c r="G886" s="38"/>
      <c r="H886" s="38"/>
      <c r="I886" s="38"/>
      <c r="J886" s="105"/>
      <c r="K886" s="106"/>
      <c r="L886" s="106"/>
      <c r="M886" s="107"/>
      <c r="W886" s="6"/>
      <c r="X886" s="6"/>
    </row>
    <row r="887" spans="1:24" s="1" customFormat="1" hidden="1" x14ac:dyDescent="0.25">
      <c r="A887" s="18"/>
      <c r="D887" s="102"/>
      <c r="E887" s="43"/>
      <c r="F887" s="38"/>
      <c r="G887" s="38"/>
      <c r="H887" s="38"/>
      <c r="I887" s="38"/>
      <c r="J887" s="105"/>
      <c r="K887" s="106"/>
      <c r="L887" s="106"/>
      <c r="M887" s="107"/>
      <c r="W887" s="6"/>
      <c r="X887" s="6"/>
    </row>
    <row r="888" spans="1:24" s="1" customFormat="1" hidden="1" x14ac:dyDescent="0.25">
      <c r="A888" s="18"/>
      <c r="D888" s="102"/>
      <c r="E888" s="43"/>
      <c r="F888" s="38"/>
      <c r="G888" s="38"/>
      <c r="H888" s="38"/>
      <c r="I888" s="38"/>
      <c r="J888" s="105"/>
      <c r="K888" s="106"/>
      <c r="L888" s="106"/>
      <c r="M888" s="107"/>
      <c r="W888" s="6"/>
      <c r="X888" s="6"/>
    </row>
    <row r="889" spans="1:24" s="1" customFormat="1" hidden="1" x14ac:dyDescent="0.25">
      <c r="A889" s="18"/>
      <c r="D889" s="102"/>
      <c r="E889" s="43"/>
      <c r="F889" s="38"/>
      <c r="G889" s="38"/>
      <c r="H889" s="38"/>
      <c r="I889" s="38"/>
      <c r="J889" s="105"/>
      <c r="K889" s="106"/>
      <c r="L889" s="106"/>
      <c r="M889" s="107"/>
      <c r="W889" s="6"/>
      <c r="X889" s="6"/>
    </row>
    <row r="890" spans="1:24" s="1" customFormat="1" hidden="1" x14ac:dyDescent="0.25">
      <c r="A890" s="18"/>
      <c r="D890" s="102"/>
      <c r="E890" s="43"/>
      <c r="F890" s="38"/>
      <c r="G890" s="38"/>
      <c r="H890" s="38"/>
      <c r="I890" s="38"/>
      <c r="J890" s="105"/>
      <c r="K890" s="106"/>
      <c r="L890" s="106"/>
      <c r="M890" s="107"/>
      <c r="W890" s="6"/>
      <c r="X890" s="6"/>
    </row>
    <row r="891" spans="1:24" s="1" customFormat="1" hidden="1" x14ac:dyDescent="0.25">
      <c r="A891" s="18"/>
      <c r="D891" s="102"/>
      <c r="E891" s="43"/>
      <c r="F891" s="38"/>
      <c r="G891" s="38"/>
      <c r="H891" s="38"/>
      <c r="I891" s="38"/>
      <c r="J891" s="105"/>
      <c r="K891" s="106"/>
      <c r="L891" s="106"/>
      <c r="M891" s="107"/>
      <c r="W891" s="6"/>
      <c r="X891" s="6"/>
    </row>
    <row r="892" spans="1:24" s="1" customFormat="1" hidden="1" x14ac:dyDescent="0.25">
      <c r="A892" s="18"/>
      <c r="D892" s="102"/>
      <c r="E892" s="43"/>
      <c r="F892" s="38"/>
      <c r="G892" s="38"/>
      <c r="H892" s="38"/>
      <c r="I892" s="38"/>
      <c r="J892" s="105"/>
      <c r="K892" s="106"/>
      <c r="L892" s="106"/>
      <c r="M892" s="107"/>
      <c r="W892" s="6"/>
      <c r="X892" s="6"/>
    </row>
    <row r="893" spans="1:24" s="1" customFormat="1" hidden="1" x14ac:dyDescent="0.25">
      <c r="A893" s="18"/>
      <c r="D893" s="102"/>
      <c r="E893" s="43"/>
      <c r="F893" s="38"/>
      <c r="G893" s="38"/>
      <c r="H893" s="38"/>
      <c r="I893" s="38"/>
      <c r="J893" s="105"/>
      <c r="K893" s="106"/>
      <c r="L893" s="106"/>
      <c r="M893" s="107"/>
      <c r="W893" s="6"/>
      <c r="X893" s="6"/>
    </row>
    <row r="894" spans="1:24" s="1" customFormat="1" hidden="1" x14ac:dyDescent="0.25">
      <c r="A894" s="18"/>
      <c r="D894" s="102"/>
      <c r="E894" s="43"/>
      <c r="F894" s="38"/>
      <c r="G894" s="38"/>
      <c r="H894" s="38"/>
      <c r="I894" s="38"/>
      <c r="J894" s="105"/>
      <c r="K894" s="106"/>
      <c r="L894" s="106"/>
      <c r="M894" s="107"/>
      <c r="W894" s="6"/>
      <c r="X894" s="6"/>
    </row>
    <row r="895" spans="1:24" s="1" customFormat="1" hidden="1" x14ac:dyDescent="0.25">
      <c r="A895" s="18"/>
      <c r="D895" s="102"/>
      <c r="E895" s="43"/>
      <c r="F895" s="38"/>
      <c r="G895" s="38"/>
      <c r="H895" s="38"/>
      <c r="I895" s="38"/>
      <c r="J895" s="105"/>
      <c r="K895" s="106"/>
      <c r="L895" s="106"/>
      <c r="M895" s="107"/>
      <c r="W895" s="6"/>
      <c r="X895" s="6"/>
    </row>
    <row r="896" spans="1:24" s="1" customFormat="1" hidden="1" x14ac:dyDescent="0.25">
      <c r="A896" s="18"/>
      <c r="D896" s="102"/>
      <c r="E896" s="43"/>
      <c r="F896" s="38"/>
      <c r="G896" s="38"/>
      <c r="H896" s="38"/>
      <c r="I896" s="38"/>
      <c r="J896" s="105"/>
      <c r="K896" s="106"/>
      <c r="L896" s="106"/>
      <c r="M896" s="107"/>
      <c r="W896" s="6"/>
      <c r="X896" s="6"/>
    </row>
    <row r="897" spans="1:24" s="1" customFormat="1" hidden="1" x14ac:dyDescent="0.25">
      <c r="A897" s="18"/>
      <c r="D897" s="102"/>
      <c r="E897" s="43"/>
      <c r="F897" s="38"/>
      <c r="G897" s="38"/>
      <c r="H897" s="38"/>
      <c r="I897" s="38"/>
      <c r="J897" s="105"/>
      <c r="K897" s="106"/>
      <c r="L897" s="106"/>
      <c r="M897" s="107"/>
      <c r="W897" s="6"/>
      <c r="X897" s="6"/>
    </row>
    <row r="898" spans="1:24" s="1" customFormat="1" hidden="1" x14ac:dyDescent="0.25">
      <c r="A898" s="18"/>
      <c r="D898" s="102"/>
      <c r="E898" s="43"/>
      <c r="F898" s="38"/>
      <c r="G898" s="38"/>
      <c r="H898" s="38"/>
      <c r="I898" s="38"/>
      <c r="J898" s="105"/>
      <c r="K898" s="106"/>
      <c r="L898" s="106"/>
      <c r="M898" s="107"/>
      <c r="W898" s="6"/>
      <c r="X898" s="6"/>
    </row>
    <row r="899" spans="1:24" s="1" customFormat="1" hidden="1" x14ac:dyDescent="0.25">
      <c r="A899" s="18"/>
      <c r="D899" s="102"/>
      <c r="E899" s="43"/>
      <c r="F899" s="38"/>
      <c r="G899" s="38"/>
      <c r="H899" s="38"/>
      <c r="I899" s="38"/>
      <c r="J899" s="105"/>
      <c r="K899" s="106"/>
      <c r="L899" s="106"/>
      <c r="M899" s="107"/>
      <c r="W899" s="6"/>
      <c r="X899" s="6"/>
    </row>
    <row r="900" spans="1:24" s="1" customFormat="1" hidden="1" x14ac:dyDescent="0.25">
      <c r="A900" s="18"/>
      <c r="D900" s="102"/>
      <c r="E900" s="43"/>
      <c r="F900" s="38"/>
      <c r="G900" s="38"/>
      <c r="H900" s="38"/>
      <c r="I900" s="38"/>
      <c r="J900" s="105"/>
      <c r="K900" s="106"/>
      <c r="L900" s="106"/>
      <c r="M900" s="107"/>
      <c r="W900" s="6"/>
      <c r="X900" s="6"/>
    </row>
    <row r="901" spans="1:24" s="1" customFormat="1" hidden="1" x14ac:dyDescent="0.25">
      <c r="A901" s="18"/>
      <c r="D901" s="102"/>
      <c r="E901" s="43"/>
      <c r="F901" s="38"/>
      <c r="G901" s="38"/>
      <c r="H901" s="38"/>
      <c r="I901" s="38"/>
      <c r="J901" s="105"/>
      <c r="K901" s="106"/>
      <c r="L901" s="106"/>
      <c r="M901" s="107"/>
      <c r="W901" s="6"/>
      <c r="X901" s="6"/>
    </row>
    <row r="902" spans="1:24" s="1" customFormat="1" hidden="1" x14ac:dyDescent="0.25">
      <c r="A902" s="18"/>
      <c r="D902" s="102"/>
      <c r="E902" s="43"/>
      <c r="F902" s="38"/>
      <c r="G902" s="38"/>
      <c r="H902" s="38"/>
      <c r="I902" s="38"/>
      <c r="J902" s="105"/>
      <c r="K902" s="106"/>
      <c r="L902" s="106"/>
      <c r="M902" s="107"/>
      <c r="W902" s="6"/>
      <c r="X902" s="6"/>
    </row>
    <row r="903" spans="1:24" s="1" customFormat="1" hidden="1" x14ac:dyDescent="0.25">
      <c r="A903" s="18"/>
      <c r="D903" s="102"/>
      <c r="E903" s="43"/>
      <c r="F903" s="38"/>
      <c r="G903" s="38"/>
      <c r="H903" s="38"/>
      <c r="I903" s="38"/>
      <c r="J903" s="105"/>
      <c r="K903" s="106"/>
      <c r="L903" s="106"/>
      <c r="M903" s="107"/>
      <c r="W903" s="6"/>
      <c r="X903" s="6"/>
    </row>
    <row r="904" spans="1:24" s="1" customFormat="1" hidden="1" x14ac:dyDescent="0.25">
      <c r="A904" s="18"/>
      <c r="D904" s="102"/>
      <c r="E904" s="43"/>
      <c r="F904" s="38"/>
      <c r="G904" s="38"/>
      <c r="H904" s="38"/>
      <c r="I904" s="38"/>
      <c r="J904" s="105"/>
      <c r="K904" s="106"/>
      <c r="L904" s="106"/>
      <c r="M904" s="107"/>
      <c r="W904" s="6"/>
      <c r="X904" s="6"/>
    </row>
    <row r="905" spans="1:24" s="1" customFormat="1" hidden="1" x14ac:dyDescent="0.25">
      <c r="A905" s="18"/>
      <c r="D905" s="102"/>
      <c r="E905" s="43"/>
      <c r="F905" s="38"/>
      <c r="G905" s="38"/>
      <c r="H905" s="38"/>
      <c r="I905" s="38"/>
      <c r="J905" s="105"/>
      <c r="K905" s="106"/>
      <c r="L905" s="106"/>
      <c r="M905" s="107"/>
      <c r="W905" s="6"/>
      <c r="X905" s="6"/>
    </row>
    <row r="906" spans="1:24" s="1" customFormat="1" hidden="1" x14ac:dyDescent="0.25">
      <c r="A906" s="18"/>
      <c r="D906" s="102"/>
      <c r="E906" s="43"/>
      <c r="F906" s="38"/>
      <c r="G906" s="38"/>
      <c r="H906" s="38"/>
      <c r="I906" s="38"/>
      <c r="J906" s="105"/>
      <c r="K906" s="106"/>
      <c r="L906" s="106"/>
      <c r="M906" s="107"/>
      <c r="W906" s="6"/>
      <c r="X906" s="6"/>
    </row>
    <row r="907" spans="1:24" s="1" customFormat="1" hidden="1" x14ac:dyDescent="0.25">
      <c r="A907" s="18"/>
      <c r="D907" s="102"/>
      <c r="E907" s="43"/>
      <c r="F907" s="38"/>
      <c r="G907" s="38"/>
      <c r="H907" s="38"/>
      <c r="I907" s="38"/>
      <c r="J907" s="105"/>
      <c r="K907" s="106"/>
      <c r="L907" s="106"/>
      <c r="M907" s="107"/>
      <c r="W907" s="6"/>
      <c r="X907" s="6"/>
    </row>
    <row r="908" spans="1:24" s="1" customFormat="1" hidden="1" x14ac:dyDescent="0.25">
      <c r="A908" s="18"/>
      <c r="D908" s="102"/>
      <c r="E908" s="43"/>
      <c r="F908" s="38"/>
      <c r="G908" s="38"/>
      <c r="H908" s="38"/>
      <c r="I908" s="38"/>
      <c r="J908" s="105"/>
      <c r="K908" s="106"/>
      <c r="L908" s="106"/>
      <c r="M908" s="107"/>
      <c r="W908" s="6"/>
      <c r="X908" s="6"/>
    </row>
    <row r="909" spans="1:24" s="1" customFormat="1" hidden="1" x14ac:dyDescent="0.25">
      <c r="A909" s="18"/>
      <c r="D909" s="102"/>
      <c r="E909" s="43"/>
      <c r="F909" s="38"/>
      <c r="G909" s="38"/>
      <c r="H909" s="38"/>
      <c r="I909" s="38"/>
      <c r="J909" s="105"/>
      <c r="K909" s="106"/>
      <c r="L909" s="106"/>
      <c r="M909" s="107"/>
      <c r="W909" s="6"/>
      <c r="X909" s="6"/>
    </row>
    <row r="910" spans="1:24" s="1" customFormat="1" hidden="1" x14ac:dyDescent="0.25">
      <c r="A910" s="18"/>
      <c r="D910" s="102"/>
      <c r="E910" s="43"/>
      <c r="F910" s="38"/>
      <c r="G910" s="38"/>
      <c r="H910" s="38"/>
      <c r="I910" s="38"/>
      <c r="J910" s="105"/>
      <c r="K910" s="106"/>
      <c r="L910" s="106"/>
      <c r="M910" s="107"/>
      <c r="W910" s="6"/>
      <c r="X910" s="6"/>
    </row>
    <row r="911" spans="1:24" s="1" customFormat="1" hidden="1" x14ac:dyDescent="0.25">
      <c r="A911" s="18"/>
      <c r="D911" s="102"/>
      <c r="E911" s="43"/>
      <c r="F911" s="38"/>
      <c r="G911" s="38"/>
      <c r="H911" s="38"/>
      <c r="I911" s="38"/>
      <c r="J911" s="105"/>
      <c r="K911" s="106"/>
      <c r="L911" s="106"/>
      <c r="M911" s="107"/>
      <c r="W911" s="6"/>
      <c r="X911" s="6"/>
    </row>
    <row r="912" spans="1:24" s="1" customFormat="1" hidden="1" x14ac:dyDescent="0.25">
      <c r="A912" s="18"/>
      <c r="D912" s="102"/>
      <c r="E912" s="43"/>
      <c r="F912" s="38"/>
      <c r="G912" s="38"/>
      <c r="H912" s="38"/>
      <c r="I912" s="38"/>
      <c r="J912" s="105"/>
      <c r="K912" s="106"/>
      <c r="L912" s="106"/>
      <c r="M912" s="107"/>
      <c r="W912" s="6"/>
      <c r="X912" s="6"/>
    </row>
    <row r="913" spans="1:24" s="1" customFormat="1" hidden="1" x14ac:dyDescent="0.25">
      <c r="A913" s="18"/>
      <c r="D913" s="102"/>
      <c r="E913" s="43"/>
      <c r="F913" s="38"/>
      <c r="G913" s="38"/>
      <c r="H913" s="38"/>
      <c r="I913" s="38"/>
      <c r="J913" s="105"/>
      <c r="K913" s="106"/>
      <c r="L913" s="106"/>
      <c r="M913" s="107"/>
      <c r="W913" s="6"/>
      <c r="X913" s="6"/>
    </row>
    <row r="914" spans="1:24" s="1" customFormat="1" hidden="1" x14ac:dyDescent="0.25">
      <c r="A914" s="18"/>
      <c r="D914" s="102"/>
      <c r="E914" s="43"/>
      <c r="F914" s="38"/>
      <c r="G914" s="38"/>
      <c r="H914" s="38"/>
      <c r="I914" s="38"/>
      <c r="J914" s="105"/>
      <c r="K914" s="106"/>
      <c r="L914" s="106"/>
      <c r="M914" s="107"/>
      <c r="W914" s="6"/>
      <c r="X914" s="6"/>
    </row>
    <row r="915" spans="1:24" s="1" customFormat="1" hidden="1" x14ac:dyDescent="0.25">
      <c r="A915" s="18"/>
      <c r="D915" s="102"/>
      <c r="E915" s="43"/>
      <c r="F915" s="38"/>
      <c r="G915" s="38"/>
      <c r="H915" s="38"/>
      <c r="I915" s="38"/>
      <c r="J915" s="105"/>
      <c r="K915" s="106"/>
      <c r="L915" s="106"/>
      <c r="M915" s="107"/>
      <c r="W915" s="6"/>
      <c r="X915" s="6"/>
    </row>
    <row r="916" spans="1:24" s="1" customFormat="1" hidden="1" x14ac:dyDescent="0.25">
      <c r="A916" s="18"/>
      <c r="D916" s="102"/>
      <c r="E916" s="43"/>
      <c r="F916" s="38"/>
      <c r="G916" s="38"/>
      <c r="H916" s="38"/>
      <c r="I916" s="38"/>
      <c r="J916" s="105"/>
      <c r="K916" s="106"/>
      <c r="L916" s="106"/>
      <c r="M916" s="107"/>
      <c r="W916" s="6"/>
      <c r="X916" s="6"/>
    </row>
    <row r="917" spans="1:24" s="1" customFormat="1" hidden="1" x14ac:dyDescent="0.25">
      <c r="A917" s="18"/>
      <c r="D917" s="102"/>
      <c r="E917" s="43"/>
      <c r="F917" s="38"/>
      <c r="G917" s="38"/>
      <c r="H917" s="38"/>
      <c r="I917" s="38"/>
      <c r="J917" s="105"/>
      <c r="K917" s="106"/>
      <c r="L917" s="106"/>
      <c r="M917" s="107"/>
      <c r="W917" s="6"/>
      <c r="X917" s="6"/>
    </row>
    <row r="918" spans="1:24" s="1" customFormat="1" hidden="1" x14ac:dyDescent="0.25">
      <c r="A918" s="18"/>
      <c r="D918" s="102"/>
      <c r="E918" s="43"/>
      <c r="F918" s="38"/>
      <c r="G918" s="38"/>
      <c r="H918" s="38"/>
      <c r="I918" s="38"/>
      <c r="J918" s="105"/>
      <c r="K918" s="106"/>
      <c r="L918" s="106"/>
      <c r="M918" s="107"/>
      <c r="W918" s="6"/>
      <c r="X918" s="6"/>
    </row>
    <row r="919" spans="1:24" s="1" customFormat="1" hidden="1" x14ac:dyDescent="0.25">
      <c r="A919" s="18"/>
      <c r="D919" s="102"/>
      <c r="E919" s="43"/>
      <c r="F919" s="38"/>
      <c r="G919" s="38"/>
      <c r="H919" s="38"/>
      <c r="I919" s="38"/>
      <c r="J919" s="105"/>
      <c r="K919" s="106"/>
      <c r="L919" s="106"/>
      <c r="M919" s="107"/>
      <c r="W919" s="6"/>
      <c r="X919" s="6"/>
    </row>
    <row r="920" spans="1:24" s="1" customFormat="1" hidden="1" x14ac:dyDescent="0.25">
      <c r="A920" s="18"/>
      <c r="D920" s="102"/>
      <c r="E920" s="43"/>
      <c r="F920" s="38"/>
      <c r="G920" s="38"/>
      <c r="H920" s="38"/>
      <c r="I920" s="38"/>
      <c r="J920" s="105"/>
      <c r="K920" s="106"/>
      <c r="L920" s="106"/>
      <c r="M920" s="107"/>
      <c r="W920" s="6"/>
      <c r="X920" s="6"/>
    </row>
    <row r="921" spans="1:24" s="1" customFormat="1" hidden="1" x14ac:dyDescent="0.25">
      <c r="A921" s="18"/>
      <c r="D921" s="102"/>
      <c r="E921" s="43"/>
      <c r="F921" s="38"/>
      <c r="G921" s="38"/>
      <c r="H921" s="38"/>
      <c r="I921" s="38"/>
      <c r="J921" s="105"/>
      <c r="K921" s="106"/>
      <c r="L921" s="106"/>
      <c r="M921" s="107"/>
      <c r="W921" s="6"/>
      <c r="X921" s="6"/>
    </row>
    <row r="922" spans="1:24" s="1" customFormat="1" hidden="1" x14ac:dyDescent="0.25">
      <c r="A922" s="18"/>
      <c r="D922" s="102"/>
      <c r="E922" s="43"/>
      <c r="F922" s="38"/>
      <c r="G922" s="38"/>
      <c r="H922" s="38"/>
      <c r="I922" s="38"/>
      <c r="J922" s="105"/>
      <c r="K922" s="106"/>
      <c r="L922" s="106"/>
      <c r="M922" s="107"/>
      <c r="W922" s="6"/>
      <c r="X922" s="6"/>
    </row>
    <row r="923" spans="1:24" s="1" customFormat="1" hidden="1" x14ac:dyDescent="0.25">
      <c r="A923" s="18"/>
      <c r="D923" s="102"/>
      <c r="E923" s="43"/>
      <c r="F923" s="38"/>
      <c r="G923" s="38"/>
      <c r="H923" s="38"/>
      <c r="I923" s="38"/>
      <c r="J923" s="105"/>
      <c r="K923" s="106"/>
      <c r="L923" s="106"/>
      <c r="M923" s="107"/>
      <c r="W923" s="6"/>
      <c r="X923" s="6"/>
    </row>
    <row r="924" spans="1:24" s="1" customFormat="1" hidden="1" x14ac:dyDescent="0.25">
      <c r="A924" s="18"/>
      <c r="D924" s="102"/>
      <c r="E924" s="43"/>
      <c r="F924" s="38"/>
      <c r="G924" s="38"/>
      <c r="H924" s="38"/>
      <c r="I924" s="38"/>
      <c r="J924" s="105"/>
      <c r="K924" s="106"/>
      <c r="L924" s="106"/>
      <c r="M924" s="107"/>
      <c r="W924" s="6"/>
      <c r="X924" s="6"/>
    </row>
    <row r="925" spans="1:24" s="1" customFormat="1" hidden="1" x14ac:dyDescent="0.25">
      <c r="A925" s="18"/>
      <c r="D925" s="102"/>
      <c r="E925" s="43"/>
      <c r="F925" s="38"/>
      <c r="G925" s="38"/>
      <c r="H925" s="38"/>
      <c r="I925" s="38"/>
      <c r="J925" s="105"/>
      <c r="K925" s="106"/>
      <c r="L925" s="106"/>
      <c r="M925" s="107"/>
      <c r="W925" s="6"/>
      <c r="X925" s="6"/>
    </row>
    <row r="926" spans="1:24" s="1" customFormat="1" hidden="1" x14ac:dyDescent="0.25">
      <c r="A926" s="18"/>
      <c r="D926" s="102"/>
      <c r="E926" s="43"/>
      <c r="F926" s="38"/>
      <c r="G926" s="38"/>
      <c r="H926" s="38"/>
      <c r="I926" s="38"/>
      <c r="J926" s="105"/>
      <c r="K926" s="106"/>
      <c r="L926" s="106"/>
      <c r="M926" s="107"/>
      <c r="W926" s="6"/>
      <c r="X926" s="6"/>
    </row>
    <row r="927" spans="1:24" s="1" customFormat="1" hidden="1" x14ac:dyDescent="0.25">
      <c r="A927" s="18"/>
      <c r="D927" s="102"/>
      <c r="E927" s="43"/>
      <c r="F927" s="38"/>
      <c r="G927" s="38"/>
      <c r="H927" s="38"/>
      <c r="I927" s="38"/>
      <c r="J927" s="105"/>
      <c r="K927" s="106"/>
      <c r="L927" s="106"/>
      <c r="M927" s="107"/>
      <c r="W927" s="6"/>
      <c r="X927" s="6"/>
    </row>
    <row r="928" spans="1:24" s="1" customFormat="1" hidden="1" x14ac:dyDescent="0.25">
      <c r="A928" s="18"/>
      <c r="D928" s="102"/>
      <c r="E928" s="43"/>
      <c r="F928" s="38"/>
      <c r="G928" s="38"/>
      <c r="H928" s="38"/>
      <c r="I928" s="38"/>
      <c r="J928" s="105"/>
      <c r="K928" s="106"/>
      <c r="L928" s="106"/>
      <c r="M928" s="107"/>
      <c r="W928" s="6"/>
      <c r="X928" s="6"/>
    </row>
    <row r="929" spans="1:24" s="1" customFormat="1" hidden="1" x14ac:dyDescent="0.25">
      <c r="A929" s="18"/>
      <c r="D929" s="102"/>
      <c r="E929" s="43"/>
      <c r="F929" s="38"/>
      <c r="G929" s="38"/>
      <c r="H929" s="38"/>
      <c r="I929" s="38"/>
      <c r="J929" s="105"/>
      <c r="K929" s="106"/>
      <c r="L929" s="106"/>
      <c r="M929" s="107"/>
      <c r="W929" s="6"/>
      <c r="X929" s="6"/>
    </row>
    <row r="930" spans="1:24" s="1" customFormat="1" hidden="1" x14ac:dyDescent="0.25">
      <c r="A930" s="18"/>
      <c r="D930" s="102"/>
      <c r="E930" s="43"/>
      <c r="F930" s="38"/>
      <c r="G930" s="38"/>
      <c r="H930" s="38"/>
      <c r="I930" s="38"/>
      <c r="J930" s="105"/>
      <c r="K930" s="106"/>
      <c r="L930" s="106"/>
      <c r="M930" s="107"/>
      <c r="W930" s="6"/>
      <c r="X930" s="6"/>
    </row>
    <row r="931" spans="1:24" s="1" customFormat="1" hidden="1" x14ac:dyDescent="0.25">
      <c r="A931" s="18"/>
      <c r="D931" s="102"/>
      <c r="E931" s="43"/>
      <c r="F931" s="38"/>
      <c r="G931" s="38"/>
      <c r="H931" s="38"/>
      <c r="I931" s="38"/>
      <c r="J931" s="105"/>
      <c r="K931" s="106"/>
      <c r="L931" s="106"/>
      <c r="M931" s="107"/>
      <c r="W931" s="6"/>
      <c r="X931" s="6"/>
    </row>
    <row r="932" spans="1:24" s="1" customFormat="1" hidden="1" x14ac:dyDescent="0.25">
      <c r="A932" s="18"/>
      <c r="D932" s="102"/>
      <c r="E932" s="43"/>
      <c r="F932" s="38"/>
      <c r="G932" s="38"/>
      <c r="H932" s="38"/>
      <c r="I932" s="38"/>
      <c r="J932" s="105"/>
      <c r="K932" s="106"/>
      <c r="L932" s="106"/>
      <c r="M932" s="107"/>
      <c r="W932" s="6"/>
      <c r="X932" s="6"/>
    </row>
    <row r="933" spans="1:24" s="1" customFormat="1" hidden="1" x14ac:dyDescent="0.25">
      <c r="A933" s="18"/>
      <c r="D933" s="102"/>
      <c r="E933" s="43"/>
      <c r="F933" s="38"/>
      <c r="G933" s="38"/>
      <c r="H933" s="38"/>
      <c r="I933" s="38"/>
      <c r="J933" s="105"/>
      <c r="K933" s="106"/>
      <c r="L933" s="106"/>
      <c r="M933" s="107"/>
      <c r="W933" s="6"/>
      <c r="X933" s="6"/>
    </row>
    <row r="934" spans="1:24" s="1" customFormat="1" hidden="1" x14ac:dyDescent="0.25">
      <c r="A934" s="18"/>
      <c r="D934" s="102"/>
      <c r="E934" s="43"/>
      <c r="F934" s="38"/>
      <c r="G934" s="38"/>
      <c r="H934" s="38"/>
      <c r="I934" s="38"/>
      <c r="J934" s="105"/>
      <c r="K934" s="106"/>
      <c r="L934" s="106"/>
      <c r="M934" s="107"/>
      <c r="W934" s="6"/>
      <c r="X934" s="6"/>
    </row>
    <row r="935" spans="1:24" s="1" customFormat="1" hidden="1" x14ac:dyDescent="0.25">
      <c r="A935" s="18"/>
      <c r="D935" s="102"/>
      <c r="E935" s="43"/>
      <c r="F935" s="38"/>
      <c r="G935" s="38"/>
      <c r="H935" s="38"/>
      <c r="I935" s="38"/>
      <c r="J935" s="105"/>
      <c r="K935" s="106"/>
      <c r="L935" s="106"/>
      <c r="M935" s="107"/>
      <c r="W935" s="6"/>
      <c r="X935" s="6"/>
    </row>
    <row r="936" spans="1:24" s="1" customFormat="1" hidden="1" x14ac:dyDescent="0.25">
      <c r="A936" s="18"/>
      <c r="D936" s="102"/>
      <c r="E936" s="43"/>
      <c r="F936" s="38"/>
      <c r="G936" s="38"/>
      <c r="H936" s="38"/>
      <c r="I936" s="38"/>
      <c r="J936" s="105"/>
      <c r="K936" s="106"/>
      <c r="L936" s="106"/>
      <c r="M936" s="107"/>
      <c r="W936" s="6"/>
      <c r="X936" s="6"/>
    </row>
    <row r="937" spans="1:24" s="1" customFormat="1" hidden="1" x14ac:dyDescent="0.25">
      <c r="A937" s="18"/>
      <c r="D937" s="102"/>
      <c r="E937" s="43"/>
      <c r="F937" s="38"/>
      <c r="G937" s="38"/>
      <c r="H937" s="38"/>
      <c r="I937" s="38"/>
      <c r="J937" s="105"/>
      <c r="K937" s="106"/>
      <c r="L937" s="106"/>
      <c r="M937" s="107"/>
      <c r="W937" s="6"/>
      <c r="X937" s="6"/>
    </row>
    <row r="938" spans="1:24" s="1" customFormat="1" hidden="1" x14ac:dyDescent="0.25">
      <c r="A938" s="18"/>
      <c r="D938" s="102"/>
      <c r="E938" s="43"/>
      <c r="F938" s="38"/>
      <c r="G938" s="38"/>
      <c r="H938" s="38"/>
      <c r="I938" s="38"/>
      <c r="J938" s="105"/>
      <c r="K938" s="106"/>
      <c r="L938" s="106"/>
      <c r="M938" s="107"/>
      <c r="W938" s="6"/>
      <c r="X938" s="6"/>
    </row>
    <row r="939" spans="1:24" s="1" customFormat="1" hidden="1" x14ac:dyDescent="0.25">
      <c r="A939" s="18"/>
      <c r="D939" s="102"/>
      <c r="E939" s="43"/>
      <c r="F939" s="38"/>
      <c r="G939" s="38"/>
      <c r="H939" s="38"/>
      <c r="I939" s="38"/>
      <c r="J939" s="105"/>
      <c r="K939" s="106"/>
      <c r="L939" s="106"/>
      <c r="M939" s="107"/>
      <c r="W939" s="6"/>
      <c r="X939" s="6"/>
    </row>
    <row r="940" spans="1:24" s="1" customFormat="1" hidden="1" x14ac:dyDescent="0.25">
      <c r="A940" s="18"/>
      <c r="D940" s="102"/>
      <c r="E940" s="43"/>
      <c r="F940" s="38"/>
      <c r="G940" s="38"/>
      <c r="H940" s="38"/>
      <c r="I940" s="38"/>
      <c r="J940" s="105"/>
      <c r="K940" s="106"/>
      <c r="L940" s="106"/>
      <c r="M940" s="107"/>
      <c r="W940" s="6"/>
      <c r="X940" s="6"/>
    </row>
    <row r="941" spans="1:24" s="1" customFormat="1" hidden="1" x14ac:dyDescent="0.25">
      <c r="A941" s="18"/>
      <c r="D941" s="102"/>
      <c r="E941" s="43"/>
      <c r="F941" s="38"/>
      <c r="G941" s="38"/>
      <c r="H941" s="38"/>
      <c r="I941" s="38"/>
      <c r="J941" s="105"/>
      <c r="K941" s="106"/>
      <c r="L941" s="106"/>
      <c r="M941" s="107"/>
      <c r="W941" s="6"/>
      <c r="X941" s="6"/>
    </row>
    <row r="942" spans="1:24" s="1" customFormat="1" hidden="1" x14ac:dyDescent="0.25">
      <c r="A942" s="18"/>
      <c r="D942" s="102"/>
      <c r="E942" s="43"/>
      <c r="F942" s="38"/>
      <c r="G942" s="38"/>
      <c r="H942" s="38"/>
      <c r="I942" s="38"/>
      <c r="J942" s="105"/>
      <c r="K942" s="106"/>
      <c r="L942" s="106"/>
      <c r="M942" s="107"/>
      <c r="W942" s="6"/>
      <c r="X942" s="6"/>
    </row>
    <row r="943" spans="1:24" s="1" customFormat="1" hidden="1" x14ac:dyDescent="0.25">
      <c r="A943" s="18"/>
      <c r="D943" s="102"/>
      <c r="E943" s="43"/>
      <c r="F943" s="38"/>
      <c r="G943" s="38"/>
      <c r="H943" s="38"/>
      <c r="I943" s="38"/>
      <c r="J943" s="105"/>
      <c r="K943" s="106"/>
      <c r="L943" s="106"/>
      <c r="M943" s="107"/>
      <c r="W943" s="6"/>
      <c r="X943" s="6"/>
    </row>
    <row r="944" spans="1:24" s="1" customFormat="1" hidden="1" x14ac:dyDescent="0.25">
      <c r="A944" s="18"/>
      <c r="D944" s="102"/>
      <c r="E944" s="43"/>
      <c r="F944" s="38"/>
      <c r="G944" s="38"/>
      <c r="H944" s="38"/>
      <c r="I944" s="38"/>
      <c r="J944" s="105"/>
      <c r="K944" s="106"/>
      <c r="L944" s="106"/>
      <c r="M944" s="107"/>
      <c r="W944" s="6"/>
      <c r="X944" s="6"/>
    </row>
    <row r="945" spans="1:24" s="1" customFormat="1" hidden="1" x14ac:dyDescent="0.25">
      <c r="A945" s="18"/>
      <c r="D945" s="102"/>
      <c r="E945" s="43"/>
      <c r="F945" s="38"/>
      <c r="G945" s="38"/>
      <c r="H945" s="38"/>
      <c r="I945" s="38"/>
      <c r="J945" s="105"/>
      <c r="K945" s="106"/>
      <c r="L945" s="106"/>
      <c r="M945" s="107"/>
      <c r="W945" s="6"/>
      <c r="X945" s="6"/>
    </row>
    <row r="946" spans="1:24" s="1" customFormat="1" hidden="1" x14ac:dyDescent="0.25">
      <c r="A946" s="18"/>
      <c r="D946" s="102"/>
      <c r="E946" s="43"/>
      <c r="F946" s="38"/>
      <c r="G946" s="38"/>
      <c r="H946" s="38"/>
      <c r="I946" s="38"/>
      <c r="J946" s="105"/>
      <c r="K946" s="106"/>
      <c r="L946" s="106"/>
      <c r="M946" s="107"/>
      <c r="W946" s="6"/>
      <c r="X946" s="6"/>
    </row>
    <row r="947" spans="1:24" s="1" customFormat="1" hidden="1" x14ac:dyDescent="0.25">
      <c r="A947" s="18"/>
      <c r="D947" s="102"/>
      <c r="E947" s="43"/>
      <c r="F947" s="38"/>
      <c r="G947" s="38"/>
      <c r="H947" s="38"/>
      <c r="I947" s="38"/>
      <c r="J947" s="105"/>
      <c r="K947" s="106"/>
      <c r="L947" s="106"/>
      <c r="M947" s="107"/>
      <c r="W947" s="6"/>
      <c r="X947" s="6"/>
    </row>
    <row r="948" spans="1:24" s="1" customFormat="1" hidden="1" x14ac:dyDescent="0.25">
      <c r="A948" s="18"/>
      <c r="D948" s="102"/>
      <c r="E948" s="43"/>
      <c r="F948" s="38"/>
      <c r="G948" s="38"/>
      <c r="H948" s="38"/>
      <c r="I948" s="38"/>
      <c r="J948" s="105"/>
      <c r="K948" s="106"/>
      <c r="L948" s="106"/>
      <c r="M948" s="107"/>
      <c r="W948" s="6"/>
      <c r="X948" s="6"/>
    </row>
    <row r="949" spans="1:24" s="1" customFormat="1" hidden="1" x14ac:dyDescent="0.25">
      <c r="A949" s="18"/>
      <c r="D949" s="102"/>
      <c r="E949" s="43"/>
      <c r="F949" s="38"/>
      <c r="G949" s="38"/>
      <c r="H949" s="38"/>
      <c r="I949" s="38"/>
      <c r="J949" s="105"/>
      <c r="K949" s="106"/>
      <c r="L949" s="106"/>
      <c r="M949" s="107"/>
      <c r="W949" s="6"/>
      <c r="X949" s="6"/>
    </row>
    <row r="950" spans="1:24" s="1" customFormat="1" hidden="1" x14ac:dyDescent="0.25">
      <c r="A950" s="18"/>
      <c r="D950" s="102"/>
      <c r="E950" s="43"/>
      <c r="F950" s="38"/>
      <c r="G950" s="38"/>
      <c r="H950" s="38"/>
      <c r="I950" s="38"/>
      <c r="J950" s="105"/>
      <c r="K950" s="106"/>
      <c r="L950" s="106"/>
      <c r="M950" s="107"/>
      <c r="W950" s="6"/>
      <c r="X950" s="6"/>
    </row>
    <row r="951" spans="1:24" s="1" customFormat="1" hidden="1" x14ac:dyDescent="0.25">
      <c r="A951" s="18"/>
      <c r="D951" s="102"/>
      <c r="E951" s="43"/>
      <c r="F951" s="38"/>
      <c r="G951" s="38"/>
      <c r="H951" s="38"/>
      <c r="I951" s="38"/>
      <c r="J951" s="105"/>
      <c r="K951" s="106"/>
      <c r="L951" s="106"/>
      <c r="M951" s="107"/>
      <c r="W951" s="6"/>
      <c r="X951" s="6"/>
    </row>
    <row r="952" spans="1:24" s="1" customFormat="1" hidden="1" x14ac:dyDescent="0.25">
      <c r="A952" s="18"/>
      <c r="D952" s="102"/>
      <c r="E952" s="43"/>
      <c r="F952" s="38"/>
      <c r="G952" s="38"/>
      <c r="H952" s="38"/>
      <c r="I952" s="38"/>
      <c r="J952" s="105"/>
      <c r="K952" s="106"/>
      <c r="L952" s="106"/>
      <c r="M952" s="107"/>
      <c r="W952" s="6"/>
      <c r="X952" s="6"/>
    </row>
    <row r="953" spans="1:24" s="1" customFormat="1" hidden="1" x14ac:dyDescent="0.25">
      <c r="A953" s="18"/>
      <c r="D953" s="102"/>
      <c r="E953" s="43"/>
      <c r="F953" s="38"/>
      <c r="G953" s="38"/>
      <c r="H953" s="38"/>
      <c r="I953" s="38"/>
      <c r="J953" s="105"/>
      <c r="K953" s="106"/>
      <c r="L953" s="106"/>
      <c r="M953" s="107"/>
      <c r="W953" s="6"/>
      <c r="X953" s="6"/>
    </row>
    <row r="954" spans="1:24" s="1" customFormat="1" hidden="1" x14ac:dyDescent="0.25">
      <c r="A954" s="18"/>
      <c r="D954" s="102"/>
      <c r="E954" s="43"/>
      <c r="F954" s="38"/>
      <c r="G954" s="38"/>
      <c r="H954" s="38"/>
      <c r="I954" s="38"/>
      <c r="J954" s="105"/>
      <c r="K954" s="106"/>
      <c r="L954" s="106"/>
      <c r="M954" s="107"/>
      <c r="W954" s="6"/>
      <c r="X954" s="6"/>
    </row>
    <row r="955" spans="1:24" s="1" customFormat="1" hidden="1" x14ac:dyDescent="0.25">
      <c r="A955" s="18"/>
      <c r="D955" s="102"/>
      <c r="E955" s="43"/>
      <c r="F955" s="38"/>
      <c r="G955" s="38"/>
      <c r="H955" s="38"/>
      <c r="I955" s="38"/>
      <c r="J955" s="105"/>
      <c r="K955" s="106"/>
      <c r="L955" s="106"/>
      <c r="M955" s="107"/>
      <c r="W955" s="6"/>
      <c r="X955" s="6"/>
    </row>
    <row r="956" spans="1:24" s="1" customFormat="1" hidden="1" x14ac:dyDescent="0.25">
      <c r="A956" s="18"/>
      <c r="D956" s="102"/>
      <c r="E956" s="43"/>
      <c r="F956" s="38"/>
      <c r="G956" s="38"/>
      <c r="H956" s="38"/>
      <c r="I956" s="38"/>
      <c r="J956" s="105"/>
      <c r="K956" s="106"/>
      <c r="L956" s="106"/>
      <c r="M956" s="107"/>
      <c r="W956" s="6"/>
      <c r="X956" s="6"/>
    </row>
    <row r="957" spans="1:24" s="1" customFormat="1" hidden="1" x14ac:dyDescent="0.25">
      <c r="A957" s="18"/>
      <c r="D957" s="102"/>
      <c r="E957" s="43"/>
      <c r="F957" s="38"/>
      <c r="G957" s="38"/>
      <c r="H957" s="38"/>
      <c r="I957" s="38"/>
      <c r="J957" s="105"/>
      <c r="K957" s="106"/>
      <c r="L957" s="106"/>
      <c r="M957" s="107"/>
      <c r="W957" s="6"/>
      <c r="X957" s="6"/>
    </row>
    <row r="958" spans="1:24" s="1" customFormat="1" hidden="1" x14ac:dyDescent="0.25">
      <c r="A958" s="18"/>
      <c r="D958" s="102"/>
      <c r="E958" s="43"/>
      <c r="F958" s="38"/>
      <c r="G958" s="38"/>
      <c r="H958" s="38"/>
      <c r="I958" s="38"/>
      <c r="J958" s="105"/>
      <c r="K958" s="106"/>
      <c r="L958" s="106"/>
      <c r="M958" s="107"/>
      <c r="W958" s="6"/>
      <c r="X958" s="6"/>
    </row>
    <row r="959" spans="1:24" s="1" customFormat="1" hidden="1" x14ac:dyDescent="0.25">
      <c r="A959" s="18"/>
      <c r="D959" s="102"/>
      <c r="E959" s="43"/>
      <c r="F959" s="38"/>
      <c r="G959" s="38"/>
      <c r="H959" s="38"/>
      <c r="I959" s="38"/>
      <c r="J959" s="105"/>
      <c r="K959" s="106"/>
      <c r="L959" s="106"/>
      <c r="M959" s="107"/>
      <c r="W959" s="6"/>
      <c r="X959" s="6"/>
    </row>
    <row r="960" spans="1:24" s="1" customFormat="1" hidden="1" x14ac:dyDescent="0.25">
      <c r="A960" s="18"/>
      <c r="D960" s="102"/>
      <c r="E960" s="43"/>
      <c r="F960" s="38"/>
      <c r="G960" s="38"/>
      <c r="H960" s="38"/>
      <c r="I960" s="38"/>
      <c r="J960" s="105"/>
      <c r="K960" s="106"/>
      <c r="L960" s="106"/>
      <c r="M960" s="107"/>
      <c r="W960" s="6"/>
      <c r="X960" s="6"/>
    </row>
    <row r="961" spans="1:24" s="1" customFormat="1" hidden="1" x14ac:dyDescent="0.25">
      <c r="A961" s="18"/>
      <c r="D961" s="102"/>
      <c r="E961" s="43"/>
      <c r="F961" s="38"/>
      <c r="G961" s="38"/>
      <c r="H961" s="38"/>
      <c r="I961" s="38"/>
      <c r="J961" s="105"/>
      <c r="K961" s="106"/>
      <c r="L961" s="106"/>
      <c r="M961" s="107"/>
      <c r="W961" s="6"/>
      <c r="X961" s="6"/>
    </row>
    <row r="962" spans="1:24" s="1" customFormat="1" hidden="1" x14ac:dyDescent="0.25">
      <c r="A962" s="18"/>
      <c r="D962" s="102"/>
      <c r="E962" s="43"/>
      <c r="F962" s="38"/>
      <c r="G962" s="38"/>
      <c r="H962" s="38"/>
      <c r="I962" s="38"/>
      <c r="J962" s="105"/>
      <c r="K962" s="106"/>
      <c r="L962" s="106"/>
      <c r="M962" s="107"/>
      <c r="W962" s="6"/>
      <c r="X962" s="6"/>
    </row>
    <row r="963" spans="1:24" s="1" customFormat="1" hidden="1" x14ac:dyDescent="0.25">
      <c r="A963" s="18"/>
      <c r="D963" s="102"/>
      <c r="E963" s="43"/>
      <c r="F963" s="38"/>
      <c r="G963" s="38"/>
      <c r="H963" s="38"/>
      <c r="I963" s="38"/>
      <c r="J963" s="105"/>
      <c r="K963" s="106"/>
      <c r="L963" s="106"/>
      <c r="M963" s="107"/>
      <c r="W963" s="6"/>
      <c r="X963" s="6"/>
    </row>
    <row r="964" spans="1:24" s="1" customFormat="1" hidden="1" x14ac:dyDescent="0.25">
      <c r="A964" s="18"/>
      <c r="D964" s="102"/>
      <c r="E964" s="43"/>
      <c r="F964" s="38"/>
      <c r="G964" s="38"/>
      <c r="H964" s="38"/>
      <c r="I964" s="38"/>
      <c r="J964" s="105"/>
      <c r="K964" s="106"/>
      <c r="L964" s="106"/>
      <c r="M964" s="107"/>
      <c r="W964" s="6"/>
      <c r="X964" s="6"/>
    </row>
    <row r="965" spans="1:24" s="1" customFormat="1" hidden="1" x14ac:dyDescent="0.25">
      <c r="A965" s="18"/>
      <c r="D965" s="102"/>
      <c r="E965" s="43"/>
      <c r="F965" s="38"/>
      <c r="G965" s="38"/>
      <c r="H965" s="38"/>
      <c r="I965" s="38"/>
      <c r="J965" s="105"/>
      <c r="K965" s="106"/>
      <c r="L965" s="106"/>
      <c r="M965" s="107"/>
      <c r="W965" s="6"/>
      <c r="X965" s="6"/>
    </row>
    <row r="966" spans="1:24" s="1" customFormat="1" hidden="1" x14ac:dyDescent="0.25">
      <c r="A966" s="18"/>
      <c r="D966" s="102"/>
      <c r="E966" s="43"/>
      <c r="F966" s="38"/>
      <c r="G966" s="38"/>
      <c r="H966" s="38"/>
      <c r="I966" s="38"/>
      <c r="J966" s="105"/>
      <c r="K966" s="106"/>
      <c r="L966" s="106"/>
      <c r="M966" s="107"/>
      <c r="W966" s="6"/>
      <c r="X966" s="6"/>
    </row>
    <row r="967" spans="1:24" s="1" customFormat="1" hidden="1" x14ac:dyDescent="0.25">
      <c r="A967" s="18"/>
      <c r="D967" s="102"/>
      <c r="E967" s="43"/>
      <c r="F967" s="38"/>
      <c r="G967" s="38"/>
      <c r="H967" s="38"/>
      <c r="I967" s="38"/>
      <c r="J967" s="105"/>
      <c r="K967" s="106"/>
      <c r="L967" s="106"/>
      <c r="M967" s="107"/>
      <c r="W967" s="6"/>
      <c r="X967" s="6"/>
    </row>
    <row r="968" spans="1:24" s="1" customFormat="1" hidden="1" x14ac:dyDescent="0.25">
      <c r="A968" s="18"/>
      <c r="D968" s="102"/>
      <c r="E968" s="43"/>
      <c r="F968" s="38"/>
      <c r="G968" s="38"/>
      <c r="H968" s="38"/>
      <c r="I968" s="38"/>
      <c r="J968" s="105"/>
      <c r="K968" s="106"/>
      <c r="L968" s="106"/>
      <c r="M968" s="107"/>
      <c r="W968" s="6"/>
      <c r="X968" s="6"/>
    </row>
    <row r="969" spans="1:24" s="1" customFormat="1" hidden="1" x14ac:dyDescent="0.25">
      <c r="A969" s="18"/>
      <c r="D969" s="102"/>
      <c r="E969" s="43"/>
      <c r="F969" s="38"/>
      <c r="G969" s="38"/>
      <c r="H969" s="38"/>
      <c r="I969" s="38"/>
      <c r="J969" s="105"/>
      <c r="K969" s="106"/>
      <c r="L969" s="106"/>
      <c r="M969" s="107"/>
      <c r="W969" s="6"/>
      <c r="X969" s="6"/>
    </row>
    <row r="970" spans="1:24" s="1" customFormat="1" hidden="1" x14ac:dyDescent="0.25">
      <c r="A970" s="18"/>
      <c r="D970" s="102"/>
      <c r="E970" s="43"/>
      <c r="F970" s="38"/>
      <c r="G970" s="38"/>
      <c r="H970" s="38"/>
      <c r="I970" s="38"/>
      <c r="J970" s="105"/>
      <c r="K970" s="106"/>
      <c r="L970" s="106"/>
      <c r="M970" s="107"/>
      <c r="W970" s="6"/>
      <c r="X970" s="6"/>
    </row>
    <row r="971" spans="1:24" s="1" customFormat="1" hidden="1" x14ac:dyDescent="0.25">
      <c r="A971" s="18"/>
      <c r="D971" s="102"/>
      <c r="E971" s="43"/>
      <c r="F971" s="38"/>
      <c r="G971" s="38"/>
      <c r="H971" s="38"/>
      <c r="I971" s="38"/>
      <c r="J971" s="105"/>
      <c r="K971" s="106"/>
      <c r="L971" s="106"/>
      <c r="M971" s="107"/>
      <c r="W971" s="6"/>
      <c r="X971" s="6"/>
    </row>
    <row r="972" spans="1:24" s="1" customFormat="1" hidden="1" x14ac:dyDescent="0.25">
      <c r="A972" s="18"/>
      <c r="D972" s="102"/>
      <c r="E972" s="43"/>
      <c r="F972" s="38"/>
      <c r="G972" s="38"/>
      <c r="H972" s="38"/>
      <c r="I972" s="38"/>
      <c r="J972" s="105"/>
      <c r="K972" s="106"/>
      <c r="L972" s="106"/>
      <c r="M972" s="107"/>
      <c r="W972" s="6"/>
      <c r="X972" s="6"/>
    </row>
    <row r="973" spans="1:24" s="1" customFormat="1" hidden="1" x14ac:dyDescent="0.25">
      <c r="A973" s="18"/>
      <c r="D973" s="102"/>
      <c r="E973" s="43"/>
      <c r="F973" s="38"/>
      <c r="G973" s="38"/>
      <c r="H973" s="38"/>
      <c r="I973" s="38"/>
      <c r="J973" s="105"/>
      <c r="K973" s="106"/>
      <c r="L973" s="106"/>
      <c r="M973" s="107"/>
      <c r="W973" s="6"/>
      <c r="X973" s="6"/>
    </row>
    <row r="974" spans="1:24" s="1" customFormat="1" hidden="1" x14ac:dyDescent="0.25">
      <c r="A974" s="18"/>
      <c r="D974" s="102"/>
      <c r="E974" s="43"/>
      <c r="F974" s="38"/>
      <c r="G974" s="38"/>
      <c r="H974" s="38"/>
      <c r="I974" s="38"/>
      <c r="J974" s="105"/>
      <c r="K974" s="106"/>
      <c r="L974" s="106"/>
      <c r="M974" s="107"/>
      <c r="W974" s="6"/>
      <c r="X974" s="6"/>
    </row>
    <row r="975" spans="1:24" s="1" customFormat="1" hidden="1" x14ac:dyDescent="0.25">
      <c r="A975" s="18"/>
      <c r="D975" s="102"/>
      <c r="E975" s="43"/>
      <c r="F975" s="38"/>
      <c r="G975" s="38"/>
      <c r="H975" s="38"/>
      <c r="I975" s="38"/>
      <c r="J975" s="105"/>
      <c r="K975" s="106"/>
      <c r="L975" s="106"/>
      <c r="M975" s="107"/>
      <c r="W975" s="6"/>
      <c r="X975" s="6"/>
    </row>
    <row r="976" spans="1:24" s="1" customFormat="1" hidden="1" x14ac:dyDescent="0.25">
      <c r="A976" s="18"/>
      <c r="D976" s="102"/>
      <c r="E976" s="43"/>
      <c r="F976" s="38"/>
      <c r="G976" s="38"/>
      <c r="H976" s="38"/>
      <c r="I976" s="38"/>
      <c r="J976" s="105"/>
      <c r="K976" s="106"/>
      <c r="L976" s="106"/>
      <c r="M976" s="107"/>
      <c r="W976" s="6"/>
      <c r="X976" s="6"/>
    </row>
    <row r="977" spans="1:24" s="1" customFormat="1" hidden="1" x14ac:dyDescent="0.25">
      <c r="A977" s="18"/>
      <c r="D977" s="102"/>
      <c r="E977" s="43"/>
      <c r="F977" s="38"/>
      <c r="G977" s="38"/>
      <c r="H977" s="38"/>
      <c r="I977" s="38"/>
      <c r="J977" s="105"/>
      <c r="K977" s="106"/>
      <c r="L977" s="106"/>
      <c r="M977" s="107"/>
      <c r="W977" s="6"/>
      <c r="X977" s="6"/>
    </row>
    <row r="978" spans="1:24" s="1" customFormat="1" hidden="1" x14ac:dyDescent="0.25">
      <c r="A978" s="18"/>
      <c r="D978" s="102"/>
      <c r="E978" s="43"/>
      <c r="F978" s="38"/>
      <c r="G978" s="38"/>
      <c r="H978" s="38"/>
      <c r="I978" s="38"/>
      <c r="J978" s="105"/>
      <c r="K978" s="106"/>
      <c r="L978" s="106"/>
      <c r="M978" s="107"/>
      <c r="W978" s="6"/>
      <c r="X978" s="6"/>
    </row>
    <row r="979" spans="1:24" s="1" customFormat="1" hidden="1" x14ac:dyDescent="0.25">
      <c r="A979" s="18"/>
      <c r="D979" s="102"/>
      <c r="E979" s="43"/>
      <c r="F979" s="38"/>
      <c r="G979" s="38"/>
      <c r="H979" s="38"/>
      <c r="I979" s="38"/>
      <c r="J979" s="105"/>
      <c r="K979" s="106"/>
      <c r="L979" s="106"/>
      <c r="M979" s="107"/>
      <c r="W979" s="6"/>
      <c r="X979" s="6"/>
    </row>
    <row r="980" spans="1:24" s="1" customFormat="1" hidden="1" x14ac:dyDescent="0.25">
      <c r="A980" s="18"/>
      <c r="D980" s="102"/>
      <c r="E980" s="43"/>
      <c r="F980" s="38"/>
      <c r="G980" s="38"/>
      <c r="H980" s="38"/>
      <c r="I980" s="38"/>
      <c r="J980" s="105"/>
      <c r="K980" s="106"/>
      <c r="L980" s="106"/>
      <c r="M980" s="107"/>
      <c r="W980" s="6"/>
      <c r="X980" s="6"/>
    </row>
    <row r="981" spans="1:24" s="1" customFormat="1" hidden="1" x14ac:dyDescent="0.25">
      <c r="A981" s="18"/>
      <c r="D981" s="102"/>
      <c r="E981" s="43"/>
      <c r="F981" s="38"/>
      <c r="G981" s="38"/>
      <c r="H981" s="38"/>
      <c r="I981" s="38"/>
      <c r="J981" s="105"/>
      <c r="K981" s="106"/>
      <c r="L981" s="106"/>
      <c r="M981" s="107"/>
      <c r="W981" s="6"/>
      <c r="X981" s="6"/>
    </row>
    <row r="982" spans="1:24" s="1" customFormat="1" hidden="1" x14ac:dyDescent="0.25">
      <c r="A982" s="18"/>
      <c r="D982" s="102"/>
      <c r="E982" s="43"/>
      <c r="F982" s="38"/>
      <c r="G982" s="38"/>
      <c r="H982" s="38"/>
      <c r="I982" s="38"/>
      <c r="J982" s="105"/>
      <c r="K982" s="106"/>
      <c r="L982" s="106"/>
      <c r="M982" s="107"/>
      <c r="W982" s="6"/>
      <c r="X982" s="6"/>
    </row>
    <row r="983" spans="1:24" s="1" customFormat="1" hidden="1" x14ac:dyDescent="0.25">
      <c r="A983" s="18"/>
      <c r="D983" s="102"/>
      <c r="E983" s="43"/>
      <c r="F983" s="38"/>
      <c r="G983" s="38"/>
      <c r="H983" s="38"/>
      <c r="I983" s="38"/>
      <c r="J983" s="105"/>
      <c r="K983" s="106"/>
      <c r="L983" s="106"/>
      <c r="M983" s="107"/>
      <c r="W983" s="6"/>
      <c r="X983" s="6"/>
    </row>
    <row r="984" spans="1:24" s="1" customFormat="1" hidden="1" x14ac:dyDescent="0.25">
      <c r="A984" s="18"/>
      <c r="D984" s="102"/>
      <c r="E984" s="43"/>
      <c r="F984" s="38"/>
      <c r="G984" s="38"/>
      <c r="H984" s="38"/>
      <c r="I984" s="38"/>
      <c r="J984" s="105"/>
      <c r="K984" s="106"/>
      <c r="L984" s="106"/>
      <c r="M984" s="107"/>
      <c r="W984" s="6"/>
      <c r="X984" s="6"/>
    </row>
    <row r="985" spans="1:24" s="1" customFormat="1" hidden="1" x14ac:dyDescent="0.25">
      <c r="A985" s="18"/>
      <c r="D985" s="102"/>
      <c r="E985" s="43"/>
      <c r="F985" s="38"/>
      <c r="G985" s="38"/>
      <c r="H985" s="38"/>
      <c r="I985" s="38"/>
      <c r="J985" s="105"/>
      <c r="K985" s="106"/>
      <c r="L985" s="106"/>
      <c r="M985" s="107"/>
      <c r="W985" s="6"/>
      <c r="X985" s="6"/>
    </row>
    <row r="986" spans="1:24" s="1" customFormat="1" hidden="1" x14ac:dyDescent="0.25">
      <c r="A986" s="18"/>
      <c r="D986" s="102"/>
      <c r="E986" s="43"/>
      <c r="F986" s="38"/>
      <c r="G986" s="38"/>
      <c r="H986" s="38"/>
      <c r="I986" s="38"/>
      <c r="J986" s="105"/>
      <c r="K986" s="106"/>
      <c r="L986" s="106"/>
      <c r="M986" s="107"/>
      <c r="W986" s="6"/>
      <c r="X986" s="6"/>
    </row>
    <row r="987" spans="1:24" s="1" customFormat="1" hidden="1" x14ac:dyDescent="0.25">
      <c r="A987" s="18"/>
      <c r="D987" s="102"/>
      <c r="E987" s="43"/>
      <c r="F987" s="38"/>
      <c r="G987" s="38"/>
      <c r="H987" s="38"/>
      <c r="I987" s="38"/>
      <c r="J987" s="105"/>
      <c r="K987" s="106"/>
      <c r="L987" s="106"/>
      <c r="M987" s="107"/>
      <c r="W987" s="6"/>
      <c r="X987" s="6"/>
    </row>
    <row r="988" spans="1:24" s="1" customFormat="1" hidden="1" x14ac:dyDescent="0.25">
      <c r="A988" s="18"/>
      <c r="D988" s="102"/>
      <c r="E988" s="43"/>
      <c r="F988" s="38"/>
      <c r="G988" s="38"/>
      <c r="H988" s="38"/>
      <c r="I988" s="38"/>
      <c r="J988" s="105"/>
      <c r="K988" s="106"/>
      <c r="L988" s="106"/>
      <c r="M988" s="107"/>
      <c r="W988" s="6"/>
      <c r="X988" s="6"/>
    </row>
    <row r="989" spans="1:24" s="1" customFormat="1" hidden="1" x14ac:dyDescent="0.25">
      <c r="A989" s="18"/>
      <c r="D989" s="102"/>
      <c r="E989" s="43"/>
      <c r="F989" s="38"/>
      <c r="G989" s="38"/>
      <c r="H989" s="38"/>
      <c r="I989" s="38"/>
      <c r="J989" s="105"/>
      <c r="K989" s="106"/>
      <c r="L989" s="106"/>
      <c r="M989" s="107"/>
      <c r="W989" s="6"/>
      <c r="X989" s="6"/>
    </row>
    <row r="990" spans="1:24" s="1" customFormat="1" hidden="1" x14ac:dyDescent="0.25">
      <c r="A990" s="18"/>
      <c r="D990" s="102"/>
      <c r="E990" s="43"/>
      <c r="F990" s="38"/>
      <c r="G990" s="38"/>
      <c r="H990" s="38"/>
      <c r="I990" s="38"/>
      <c r="J990" s="105"/>
      <c r="K990" s="106"/>
      <c r="L990" s="106"/>
      <c r="M990" s="107"/>
      <c r="W990" s="6"/>
      <c r="X990" s="6"/>
    </row>
    <row r="991" spans="1:24" s="1" customFormat="1" hidden="1" x14ac:dyDescent="0.25">
      <c r="A991" s="18"/>
      <c r="D991" s="102"/>
      <c r="E991" s="43"/>
      <c r="F991" s="38"/>
      <c r="G991" s="38"/>
      <c r="H991" s="38"/>
      <c r="I991" s="38"/>
      <c r="J991" s="105"/>
      <c r="K991" s="106"/>
      <c r="L991" s="106"/>
      <c r="M991" s="107"/>
      <c r="W991" s="6"/>
      <c r="X991" s="6"/>
    </row>
    <row r="992" spans="1:24" s="1" customFormat="1" hidden="1" x14ac:dyDescent="0.25">
      <c r="A992" s="18"/>
      <c r="D992" s="102"/>
      <c r="E992" s="43"/>
      <c r="F992" s="38"/>
      <c r="G992" s="38"/>
      <c r="H992" s="38"/>
      <c r="I992" s="38"/>
      <c r="J992" s="105"/>
      <c r="K992" s="106"/>
      <c r="L992" s="106"/>
      <c r="M992" s="107"/>
      <c r="W992" s="6"/>
      <c r="X992" s="6"/>
    </row>
    <row r="993" spans="1:53" s="1" customFormat="1" hidden="1" x14ac:dyDescent="0.25">
      <c r="A993" s="18"/>
      <c r="D993" s="102"/>
      <c r="E993" s="43"/>
      <c r="F993" s="38"/>
      <c r="G993" s="38"/>
      <c r="H993" s="38"/>
      <c r="I993" s="38"/>
      <c r="J993" s="105"/>
      <c r="K993" s="106"/>
      <c r="L993" s="106"/>
      <c r="M993" s="107"/>
      <c r="W993" s="6"/>
      <c r="X993" s="6"/>
    </row>
    <row r="994" spans="1:53" s="1" customFormat="1" hidden="1" x14ac:dyDescent="0.25">
      <c r="A994" s="18"/>
      <c r="D994" s="102"/>
      <c r="E994" s="43"/>
      <c r="F994" s="38"/>
      <c r="G994" s="38"/>
      <c r="H994" s="38"/>
      <c r="I994" s="38"/>
      <c r="J994" s="105"/>
      <c r="K994" s="106"/>
      <c r="L994" s="106"/>
      <c r="M994" s="107"/>
      <c r="W994" s="6"/>
      <c r="X994" s="6"/>
    </row>
    <row r="995" spans="1:53" s="1" customFormat="1" hidden="1" x14ac:dyDescent="0.25">
      <c r="A995" s="18"/>
      <c r="D995" s="102"/>
      <c r="E995" s="43"/>
      <c r="F995" s="38"/>
      <c r="G995" s="38"/>
      <c r="H995" s="38"/>
      <c r="I995" s="38"/>
      <c r="J995" s="105"/>
      <c r="K995" s="106"/>
      <c r="L995" s="106"/>
      <c r="M995" s="107"/>
      <c r="W995" s="6"/>
      <c r="X995" s="6"/>
    </row>
    <row r="996" spans="1:53" s="1" customFormat="1" hidden="1" x14ac:dyDescent="0.25">
      <c r="A996" s="18"/>
      <c r="D996" s="102"/>
      <c r="E996" s="43"/>
      <c r="F996" s="38"/>
      <c r="G996" s="38"/>
      <c r="H996" s="38"/>
      <c r="I996" s="38"/>
      <c r="J996" s="105"/>
      <c r="K996" s="106"/>
      <c r="L996" s="106"/>
      <c r="M996" s="107"/>
      <c r="W996" s="6"/>
      <c r="X996" s="6"/>
    </row>
    <row r="997" spans="1:53" s="1" customFormat="1" hidden="1" x14ac:dyDescent="0.25">
      <c r="A997" s="18"/>
      <c r="D997" s="102"/>
      <c r="E997" s="43"/>
      <c r="F997" s="38"/>
      <c r="G997" s="38"/>
      <c r="H997" s="38"/>
      <c r="I997" s="38"/>
      <c r="J997" s="105"/>
      <c r="K997" s="106"/>
      <c r="L997" s="106"/>
      <c r="M997" s="107"/>
      <c r="W997" s="6"/>
      <c r="X997" s="6"/>
    </row>
    <row r="998" spans="1:53" s="1" customFormat="1" hidden="1" x14ac:dyDescent="0.25">
      <c r="A998" s="18"/>
      <c r="D998" s="102"/>
      <c r="E998" s="43"/>
      <c r="F998" s="38"/>
      <c r="G998" s="38"/>
      <c r="H998" s="38"/>
      <c r="I998" s="38"/>
      <c r="J998" s="105"/>
      <c r="K998" s="106"/>
      <c r="L998" s="106"/>
      <c r="M998" s="107"/>
      <c r="W998" s="6"/>
      <c r="X998" s="6"/>
    </row>
    <row r="999" spans="1:53" s="1" customFormat="1" hidden="1" x14ac:dyDescent="0.25">
      <c r="A999" s="18"/>
      <c r="D999" s="102"/>
      <c r="E999" s="43"/>
      <c r="F999" s="38"/>
      <c r="G999" s="38"/>
      <c r="H999" s="38"/>
      <c r="I999" s="38"/>
      <c r="J999" s="105"/>
      <c r="K999" s="106"/>
      <c r="L999" s="106"/>
      <c r="M999" s="107"/>
      <c r="W999" s="6"/>
      <c r="X999" s="6"/>
    </row>
    <row r="1000" spans="1:53" s="1" customFormat="1" hidden="1" x14ac:dyDescent="0.25">
      <c r="A1000" s="18"/>
      <c r="D1000" s="102"/>
      <c r="E1000" s="43"/>
      <c r="F1000" s="38"/>
      <c r="G1000" s="38"/>
      <c r="H1000" s="38"/>
      <c r="I1000" s="38"/>
      <c r="J1000" s="105"/>
      <c r="K1000" s="106"/>
      <c r="L1000" s="106"/>
      <c r="M1000" s="107"/>
      <c r="W1000" s="6"/>
      <c r="X1000" s="6"/>
    </row>
    <row r="1001" spans="1:53" s="1" customFormat="1" hidden="1" x14ac:dyDescent="0.25">
      <c r="A1001" s="18"/>
      <c r="D1001" s="102"/>
      <c r="E1001" s="38"/>
      <c r="F1001" s="38"/>
      <c r="G1001" s="38"/>
      <c r="H1001" s="38"/>
      <c r="I1001" s="38"/>
      <c r="J1001" s="105"/>
      <c r="K1001" s="106"/>
      <c r="L1001" s="106"/>
      <c r="M1001" s="107"/>
      <c r="W1001" s="6"/>
      <c r="X1001" s="6"/>
    </row>
    <row r="1002" spans="1:53" s="1" customFormat="1" hidden="1" x14ac:dyDescent="0.25">
      <c r="A1002" s="18"/>
      <c r="D1002" s="102"/>
      <c r="E1002" s="38"/>
      <c r="F1002" s="38"/>
      <c r="G1002" s="38"/>
      <c r="H1002" s="38"/>
      <c r="I1002" s="38"/>
      <c r="J1002" s="105"/>
      <c r="K1002" s="106"/>
      <c r="L1002" s="106"/>
      <c r="M1002" s="107"/>
      <c r="W1002" s="6"/>
      <c r="X1002" s="6"/>
    </row>
    <row r="1003" spans="1:53" s="1" customFormat="1" hidden="1" x14ac:dyDescent="0.25">
      <c r="A1003" s="18"/>
      <c r="D1003" s="102"/>
      <c r="E1003" s="38"/>
      <c r="F1003" s="38"/>
      <c r="G1003" s="38"/>
      <c r="H1003" s="38"/>
      <c r="I1003" s="38"/>
      <c r="J1003" s="105"/>
      <c r="K1003" s="106"/>
      <c r="L1003" s="106"/>
      <c r="M1003" s="107"/>
      <c r="W1003" s="6"/>
      <c r="X1003" s="6"/>
    </row>
    <row r="1004" spans="1:53" s="1" customFormat="1" ht="25.5" customHeight="1" x14ac:dyDescent="0.25">
      <c r="A1004" s="18"/>
      <c r="C1004" s="1">
        <f>IF(T1004&lt;&gt;0,C1003+1,C1003)</f>
        <v>0</v>
      </c>
      <c r="D1004" s="102"/>
      <c r="E1004" s="132" t="s">
        <v>82</v>
      </c>
      <c r="F1004" s="132"/>
      <c r="G1004" s="132"/>
      <c r="H1004" s="132"/>
      <c r="I1004" s="132"/>
      <c r="J1004" s="105"/>
      <c r="K1004" s="106"/>
      <c r="L1004" s="106"/>
      <c r="M1004" s="107"/>
      <c r="W1004" s="6"/>
      <c r="X1004" s="6"/>
    </row>
    <row r="1005" spans="1:53" s="1" customFormat="1" x14ac:dyDescent="0.25">
      <c r="A1005" s="18"/>
      <c r="B1005" s="9"/>
      <c r="C1005" s="9"/>
      <c r="D1005" s="103" t="s">
        <v>4</v>
      </c>
      <c r="E1005" s="112" t="s">
        <v>3</v>
      </c>
      <c r="F1005" s="113" t="s">
        <v>14</v>
      </c>
      <c r="G1005" s="112" t="s">
        <v>13</v>
      </c>
      <c r="H1005" s="113" t="s">
        <v>16</v>
      </c>
      <c r="I1005" s="112" t="s">
        <v>17</v>
      </c>
      <c r="J1005" s="108" t="s">
        <v>57</v>
      </c>
      <c r="K1005" s="109" t="s">
        <v>1</v>
      </c>
      <c r="L1005" s="109" t="s">
        <v>0</v>
      </c>
      <c r="M1005" s="109" t="s">
        <v>86</v>
      </c>
      <c r="N1005" s="9"/>
      <c r="O1005" s="9"/>
      <c r="P1005" s="9"/>
      <c r="Q1005" s="9"/>
      <c r="R1005" s="9"/>
      <c r="S1005" s="9"/>
      <c r="T1005" s="9"/>
      <c r="U1005" s="9"/>
      <c r="V1005" s="9"/>
      <c r="W1005" s="11"/>
      <c r="X1005" s="11"/>
    </row>
    <row r="1006" spans="1:53" s="1" customFormat="1" x14ac:dyDescent="0.25">
      <c r="A1006" s="18">
        <f>IF(COUNTIF($Y$6:Y1006,Y1006)=1,Y1006,Y1006+COUNTIF($Y$5:Y1005,Y1006))</f>
        <v>1</v>
      </c>
      <c r="B1006" s="1">
        <f>IF(AND(Kisero_iv!$N$2=C1006,Kisero_iv!$K$5=$B$3,SUM(I1006:L1010)&lt;&gt;0,$B$4=YEAR(W1006)),B1005+1,0)</f>
        <v>0</v>
      </c>
      <c r="C1006" s="1">
        <f>IF(YEAR(W1005)&lt;&gt;YEAR(W1006),1,IF(T1006&lt;&gt;0,C1005+1,C1005))</f>
        <v>1</v>
      </c>
      <c r="D1006" s="102" t="str">
        <f>IF(AND(OR(C1005&lt;&gt;C1006,C1006=1),SUM(L1006:L1026)&lt;&gt;0),YEAR(W1006)&amp;"/"&amp;C1006,"")</f>
        <v/>
      </c>
      <c r="E1006" s="44"/>
      <c r="F1006" s="45"/>
      <c r="G1006" s="45"/>
      <c r="H1006" s="45"/>
      <c r="I1006" s="46"/>
      <c r="J1006" s="111" t="str">
        <f>IF(AND(G1006&lt;&gt;"",ISERROR(VLOOKUP(G1006,Keszlet!$C$5:$H$200,6,FALSE))=FALSE),VLOOKUP(G1006,Keszlet!$C$5:$H$200,6,FALSE),"")</f>
        <v/>
      </c>
      <c r="K1006" s="106" t="str">
        <f>IF(AND(G1006&lt;&gt;"",ISERROR(VLOOKUP(G1006,Keszlet!$C$5:$G$200,5,FALSE))=FALSE),VLOOKUP(G1006,Keszlet!$C$5:$G$200,5,FALSE),"")</f>
        <v/>
      </c>
      <c r="L1006" s="106" t="str">
        <f>IF(AND(G1006&lt;&gt;0,K1006&lt;&gt;""),I1006*K1006,"")</f>
        <v/>
      </c>
      <c r="M1006" s="115" t="str">
        <f>IF(ISERROR(VLOOKUP(G1006,Keszlet!$C$5:$I$200,7,FALSE))=TRUE,"",IF(AND(J1005&lt;&gt;"",J1007=""),VLOOKUP(G1006,Keszlet!$C$5:$I$200,7,FALSE),""))</f>
        <v/>
      </c>
      <c r="Q1006" s="1">
        <f>VLOOKUP(G1006,Keszlet!$C$5:$E$205,3,FALSE)</f>
        <v>0</v>
      </c>
      <c r="T1006" s="1" t="str">
        <f>IF(OR(E1006&lt;&gt;0,COUNTIF(T997:T1005,0)=9,F1006&lt;&gt;0,SUM(L1006:L1026)=0),E1006&amp;F1006,0)</f>
        <v/>
      </c>
      <c r="U1006" s="1">
        <f>IF(F1006&lt;&gt;"",F1006,U1005)</f>
        <v>0</v>
      </c>
      <c r="W1006" s="6">
        <f>IF(E1006&lt;&gt;0,E1006,W1005)</f>
        <v>0</v>
      </c>
      <c r="X1006" s="6">
        <f t="shared" ref="X1006:X1069" si="23">IF(G1006=q,W1006,$X$1)</f>
        <v>0</v>
      </c>
      <c r="Y1006" s="1">
        <f>RANK(X1006,$X$6:$X$10000,1)</f>
        <v>1</v>
      </c>
      <c r="Z1006" s="1">
        <f>IF(COUNTIF($Y$6:Y1006,Y1006)=1,Y1006,Y1006+COUNTIF($Y$5:Y1005,Y1006))</f>
        <v>1</v>
      </c>
      <c r="AD1006" s="1" t="str">
        <f>IF(AND(OR(C1005&lt;&gt;C1006,YEAR(W1006)&lt;&gt;YEAR(W1005)),SUM(L1006:L1026)&lt;&gt;0,$B$4=YEAR(W1006)),C1006,"")</f>
        <v/>
      </c>
      <c r="BA1006" s="1">
        <f>IF(W1006&lt;=Leltar_iv!$Y$1,I1006,0)</f>
        <v>0</v>
      </c>
    </row>
    <row r="1007" spans="1:53" s="1" customFormat="1" x14ac:dyDescent="0.25">
      <c r="A1007" s="18">
        <f>IF(COUNTIF($Y$6:Y1007,Y1007)=1,Y1007,Y1007+COUNTIF($Y$5:Y1006,Y1007))</f>
        <v>2</v>
      </c>
      <c r="B1007" s="1">
        <f>IF(AND(Kisero_iv!$N$2=C1007,Kisero_iv!$K$5=$B$3,SUM(I1007:L1011)&lt;&gt;0,$B$4=YEAR(W1007)),B1006+1,0)</f>
        <v>0</v>
      </c>
      <c r="C1007" s="1">
        <f t="shared" ref="C1007:C1070" si="24">IF(YEAR(W1006)&lt;&gt;YEAR(W1007),1,IF(T1007&lt;&gt;0,C1006+1,C1006))</f>
        <v>2</v>
      </c>
      <c r="D1007" s="102" t="str">
        <f t="shared" ref="D1007:D1070" si="25">IF(AND(OR(C1006&lt;&gt;C1007,C1007=1),SUM(L1007:L1027)&lt;&gt;0),YEAR(W1007)&amp;"/"&amp;C1007,"")</f>
        <v/>
      </c>
      <c r="E1007" s="44"/>
      <c r="F1007" s="45"/>
      <c r="G1007" s="45"/>
      <c r="H1007" s="45"/>
      <c r="I1007" s="46"/>
      <c r="J1007" s="111" t="str">
        <f>IF(AND(G1007&lt;&gt;"",ISERROR(VLOOKUP(G1007,Keszlet!$C$5:$H$200,6,FALSE))=FALSE),VLOOKUP(G1007,Keszlet!$C$5:$H$200,6,FALSE),"")</f>
        <v/>
      </c>
      <c r="K1007" s="106" t="str">
        <f>IF(AND(G1007&lt;&gt;"",ISERROR(VLOOKUP(G1007,Keszlet!$C$5:$G$200,5,FALSE))=FALSE),VLOOKUP(G1007,Keszlet!$C$5:$G$200,5,FALSE),"")</f>
        <v/>
      </c>
      <c r="L1007" s="106" t="str">
        <f t="shared" ref="L1007:L1070" si="26">IF(AND(G1007&lt;&gt;0,K1007&lt;&gt;""),I1007*K1007,"")</f>
        <v/>
      </c>
      <c r="M1007" s="115" t="str">
        <f>IF(ISERROR(VLOOKUP(G1007,Keszlet!$C$5:$I$200,7,FALSE))=TRUE,"",IF(AND(J1006&lt;&gt;"",J1008=""),VLOOKUP(G1007,Keszlet!$C$5:$I$200,7,FALSE),""))</f>
        <v/>
      </c>
      <c r="Q1007" s="1">
        <f>VLOOKUP(G1007,Keszlet!$C$5:$E$205,3,FALSE)</f>
        <v>0</v>
      </c>
      <c r="T1007" s="1" t="str">
        <f t="shared" ref="T1007:T1070" si="27">IF(OR(E1007&lt;&gt;0,COUNTIF(T998:T1006,0)=9,F1007&lt;&gt;0,SUM(L1007:L1027)=0),E1007&amp;F1007,0)</f>
        <v/>
      </c>
      <c r="U1007" s="1">
        <f t="shared" ref="U1007:U1070" si="28">IF(F1007&lt;&gt;"",F1007,U1006)</f>
        <v>0</v>
      </c>
      <c r="W1007" s="6">
        <f>IF(E1007&lt;&gt;0,E1007,W1006)</f>
        <v>0</v>
      </c>
      <c r="X1007" s="6">
        <f t="shared" si="23"/>
        <v>0</v>
      </c>
      <c r="Y1007" s="1">
        <f t="shared" ref="Y1007:Y1070" si="29">RANK(X1007,$X$6:$X$10000,1)</f>
        <v>1</v>
      </c>
      <c r="Z1007" s="1">
        <f>IF(COUNTIF($Y$6:Y1007,Y1007)=1,Y1007,Y1007+COUNTIF($Y$5:Y1006,Y1007))</f>
        <v>2</v>
      </c>
      <c r="AD1007" s="1" t="str">
        <f t="shared" ref="AD1007:AD1070" si="30">IF(AND(OR(C1006&lt;&gt;C1007,YEAR(W1007)&lt;&gt;YEAR(W1006)),SUM(L1007:L1027)&lt;&gt;0,$B$4=YEAR(W1007)),C1007,"")</f>
        <v/>
      </c>
      <c r="BA1007" s="1">
        <f>IF(W1007&lt;=Leltar_iv!$Y$1,I1007,0)</f>
        <v>0</v>
      </c>
    </row>
    <row r="1008" spans="1:53" s="1" customFormat="1" x14ac:dyDescent="0.25">
      <c r="A1008" s="18">
        <f>IF(COUNTIF($Y$6:Y1008,Y1008)=1,Y1008,Y1008+COUNTIF($Y$5:Y1007,Y1008))</f>
        <v>3</v>
      </c>
      <c r="B1008" s="1">
        <f>IF(AND(Kisero_iv!$N$2=C1008,Kisero_iv!$K$5=$B$3,SUM(I1008:L1012)&lt;&gt;0,$B$4=YEAR(W1008)),B1007+1,0)</f>
        <v>0</v>
      </c>
      <c r="C1008" s="1">
        <f t="shared" si="24"/>
        <v>3</v>
      </c>
      <c r="D1008" s="102" t="str">
        <f t="shared" si="25"/>
        <v/>
      </c>
      <c r="E1008" s="44"/>
      <c r="F1008" s="45"/>
      <c r="G1008" s="45"/>
      <c r="H1008" s="45"/>
      <c r="I1008" s="46"/>
      <c r="J1008" s="111" t="str">
        <f>IF(AND(G1008&lt;&gt;"",ISERROR(VLOOKUP(G1008,Keszlet!$C$5:$H$200,6,FALSE))=FALSE),VLOOKUP(G1008,Keszlet!$C$5:$H$200,6,FALSE),"")</f>
        <v/>
      </c>
      <c r="K1008" s="106" t="str">
        <f>IF(AND(G1008&lt;&gt;"",ISERROR(VLOOKUP(G1008,Keszlet!$C$5:$G$200,5,FALSE))=FALSE),VLOOKUP(G1008,Keszlet!$C$5:$G$200,5,FALSE),"")</f>
        <v/>
      </c>
      <c r="L1008" s="106" t="str">
        <f t="shared" si="26"/>
        <v/>
      </c>
      <c r="M1008" s="115" t="str">
        <f>IF(ISERROR(VLOOKUP(G1008,Keszlet!$C$5:$I$200,7,FALSE))=TRUE,"",IF(AND(J1007&lt;&gt;"",J1009=""),VLOOKUP(G1008,Keszlet!$C$5:$I$200,7,FALSE),""))</f>
        <v/>
      </c>
      <c r="Q1008" s="1">
        <f>VLOOKUP(G1008,Keszlet!$C$5:$E$205,3,FALSE)</f>
        <v>0</v>
      </c>
      <c r="T1008" s="1" t="str">
        <f t="shared" si="27"/>
        <v/>
      </c>
      <c r="U1008" s="1">
        <f t="shared" si="28"/>
        <v>0</v>
      </c>
      <c r="W1008" s="6">
        <f>IF(E1008&lt;&gt;0,E1008,W1007)</f>
        <v>0</v>
      </c>
      <c r="X1008" s="6">
        <f t="shared" si="23"/>
        <v>0</v>
      </c>
      <c r="Y1008" s="1">
        <f t="shared" si="29"/>
        <v>1</v>
      </c>
      <c r="Z1008" s="1">
        <f>IF(COUNTIF($Y$6:Y1008,Y1008)=1,Y1008,Y1008+COUNTIF($Y$5:Y1007,Y1008))</f>
        <v>3</v>
      </c>
      <c r="AD1008" s="1" t="str">
        <f t="shared" si="30"/>
        <v/>
      </c>
      <c r="BA1008" s="1">
        <f>IF(W1008&lt;=Leltar_iv!$Y$1,I1008,0)</f>
        <v>0</v>
      </c>
    </row>
    <row r="1009" spans="1:53" s="1" customFormat="1" x14ac:dyDescent="0.25">
      <c r="A1009" s="18">
        <f>IF(COUNTIF($Y$6:Y1009,Y1009)=1,Y1009,Y1009+COUNTIF($Y$5:Y1008,Y1009))</f>
        <v>4</v>
      </c>
      <c r="B1009" s="1">
        <f>IF(AND(Kisero_iv!$N$2=C1009,Kisero_iv!$K$5=$B$3,SUM(I1009:L1013)&lt;&gt;0,$B$4=YEAR(W1009)),B1008+1,0)</f>
        <v>0</v>
      </c>
      <c r="C1009" s="1">
        <f t="shared" si="24"/>
        <v>4</v>
      </c>
      <c r="D1009" s="102" t="str">
        <f t="shared" si="25"/>
        <v/>
      </c>
      <c r="E1009" s="44"/>
      <c r="F1009" s="45"/>
      <c r="G1009" s="45"/>
      <c r="H1009" s="45"/>
      <c r="I1009" s="46"/>
      <c r="J1009" s="111" t="str">
        <f>IF(AND(G1009&lt;&gt;"",ISERROR(VLOOKUP(G1009,Keszlet!$C$5:$H$200,6,FALSE))=FALSE),VLOOKUP(G1009,Keszlet!$C$5:$H$200,6,FALSE),"")</f>
        <v/>
      </c>
      <c r="K1009" s="106" t="str">
        <f>IF(AND(G1009&lt;&gt;"",ISERROR(VLOOKUP(G1009,Keszlet!$C$5:$G$200,5,FALSE))=FALSE),VLOOKUP(G1009,Keszlet!$C$5:$G$200,5,FALSE),"")</f>
        <v/>
      </c>
      <c r="L1009" s="106" t="str">
        <f t="shared" si="26"/>
        <v/>
      </c>
      <c r="M1009" s="115" t="str">
        <f>IF(ISERROR(VLOOKUP(G1009,Keszlet!$C$5:$I$200,7,FALSE))=TRUE,"",IF(AND(J1008&lt;&gt;"",J1010=""),VLOOKUP(G1009,Keszlet!$C$5:$I$200,7,FALSE),""))</f>
        <v/>
      </c>
      <c r="Q1009" s="1">
        <f>VLOOKUP(G1009,Keszlet!$C$5:$E$205,3,FALSE)</f>
        <v>0</v>
      </c>
      <c r="T1009" s="1" t="str">
        <f t="shared" si="27"/>
        <v/>
      </c>
      <c r="U1009" s="1">
        <f t="shared" si="28"/>
        <v>0</v>
      </c>
      <c r="W1009" s="6">
        <f t="shared" ref="W1009:W1072" si="31">IF(E1009&lt;&gt;0,E1009,W1008)</f>
        <v>0</v>
      </c>
      <c r="X1009" s="6">
        <f t="shared" si="23"/>
        <v>0</v>
      </c>
      <c r="Y1009" s="1">
        <f t="shared" si="29"/>
        <v>1</v>
      </c>
      <c r="Z1009" s="1">
        <f>IF(COUNTIF($Y$6:Y1009,Y1009)=1,Y1009,Y1009+COUNTIF($Y$5:Y1008,Y1009))</f>
        <v>4</v>
      </c>
      <c r="AD1009" s="1" t="str">
        <f t="shared" si="30"/>
        <v/>
      </c>
      <c r="BA1009" s="1">
        <f>IF(W1009&lt;=Leltar_iv!$Y$1,I1009,0)</f>
        <v>0</v>
      </c>
    </row>
    <row r="1010" spans="1:53" s="1" customFormat="1" x14ac:dyDescent="0.25">
      <c r="A1010" s="18">
        <f>IF(COUNTIF($Y$6:Y1010,Y1010)=1,Y1010,Y1010+COUNTIF($Y$5:Y1009,Y1010))</f>
        <v>5</v>
      </c>
      <c r="B1010" s="1">
        <f>IF(AND(Kisero_iv!$N$2=C1010,Kisero_iv!$K$5=$B$3,SUM(I1010:L1014)&lt;&gt;0,$B$4=YEAR(W1010)),B1009+1,0)</f>
        <v>0</v>
      </c>
      <c r="C1010" s="1">
        <f t="shared" si="24"/>
        <v>5</v>
      </c>
      <c r="D1010" s="102" t="str">
        <f t="shared" si="25"/>
        <v/>
      </c>
      <c r="E1010" s="44"/>
      <c r="F1010" s="45"/>
      <c r="G1010" s="45"/>
      <c r="H1010" s="45"/>
      <c r="I1010" s="46"/>
      <c r="J1010" s="111" t="str">
        <f>IF(AND(G1010&lt;&gt;"",ISERROR(VLOOKUP(G1010,Keszlet!$C$5:$H$200,6,FALSE))=FALSE),VLOOKUP(G1010,Keszlet!$C$5:$H$200,6,FALSE),"")</f>
        <v/>
      </c>
      <c r="K1010" s="106" t="str">
        <f>IF(AND(G1010&lt;&gt;"",ISERROR(VLOOKUP(G1010,Keszlet!$C$5:$G$200,5,FALSE))=FALSE),VLOOKUP(G1010,Keszlet!$C$5:$G$200,5,FALSE),"")</f>
        <v/>
      </c>
      <c r="L1010" s="106" t="str">
        <f t="shared" si="26"/>
        <v/>
      </c>
      <c r="M1010" s="115" t="str">
        <f>IF(ISERROR(VLOOKUP(G1010,Keszlet!$C$5:$I$200,7,FALSE))=TRUE,"",IF(AND(J1009&lt;&gt;"",J1011=""),VLOOKUP(G1010,Keszlet!$C$5:$I$200,7,FALSE),""))</f>
        <v/>
      </c>
      <c r="Q1010" s="1">
        <f>VLOOKUP(G1010,Keszlet!$C$5:$E$205,3,FALSE)</f>
        <v>0</v>
      </c>
      <c r="T1010" s="1" t="str">
        <f t="shared" si="27"/>
        <v/>
      </c>
      <c r="U1010" s="1">
        <f t="shared" si="28"/>
        <v>0</v>
      </c>
      <c r="W1010" s="6">
        <f t="shared" si="31"/>
        <v>0</v>
      </c>
      <c r="X1010" s="6">
        <f t="shared" si="23"/>
        <v>0</v>
      </c>
      <c r="Y1010" s="1">
        <f t="shared" si="29"/>
        <v>1</v>
      </c>
      <c r="Z1010" s="1">
        <f>IF(COUNTIF($Y$6:Y1010,Y1010)=1,Y1010,Y1010+COUNTIF($Y$5:Y1009,Y1010))</f>
        <v>5</v>
      </c>
      <c r="AD1010" s="1" t="str">
        <f t="shared" si="30"/>
        <v/>
      </c>
      <c r="BA1010" s="1">
        <f>IF(W1010&lt;=Leltar_iv!$Y$1,I1010,0)</f>
        <v>0</v>
      </c>
    </row>
    <row r="1011" spans="1:53" s="1" customFormat="1" x14ac:dyDescent="0.25">
      <c r="A1011" s="18">
        <f>IF(COUNTIF($Y$6:Y1011,Y1011)=1,Y1011,Y1011+COUNTIF($Y$5:Y1010,Y1011))</f>
        <v>6</v>
      </c>
      <c r="B1011" s="1">
        <f>IF(AND(Kisero_iv!$N$2=C1011,Kisero_iv!$K$5=$B$3,SUM(I1011:L1015)&lt;&gt;0,$B$4=YEAR(W1011)),B1010+1,0)</f>
        <v>0</v>
      </c>
      <c r="C1011" s="1">
        <f t="shared" si="24"/>
        <v>6</v>
      </c>
      <c r="D1011" s="102" t="str">
        <f t="shared" si="25"/>
        <v/>
      </c>
      <c r="E1011" s="44"/>
      <c r="F1011" s="45"/>
      <c r="G1011" s="45"/>
      <c r="H1011" s="45"/>
      <c r="I1011" s="46"/>
      <c r="J1011" s="111" t="str">
        <f>IF(AND(G1011&lt;&gt;"",ISERROR(VLOOKUP(G1011,Keszlet!$C$5:$H$200,6,FALSE))=FALSE),VLOOKUP(G1011,Keszlet!$C$5:$H$200,6,FALSE),"")</f>
        <v/>
      </c>
      <c r="K1011" s="106" t="str">
        <f>IF(AND(G1011&lt;&gt;"",ISERROR(VLOOKUP(G1011,Keszlet!$C$5:$G$200,5,FALSE))=FALSE),VLOOKUP(G1011,Keszlet!$C$5:$G$200,5,FALSE),"")</f>
        <v/>
      </c>
      <c r="L1011" s="106" t="str">
        <f t="shared" si="26"/>
        <v/>
      </c>
      <c r="M1011" s="115" t="str">
        <f>IF(ISERROR(VLOOKUP(G1011,Keszlet!$C$5:$I$200,7,FALSE))=TRUE,"",IF(AND(J1010&lt;&gt;"",J1012=""),VLOOKUP(G1011,Keszlet!$C$5:$I$200,7,FALSE),""))</f>
        <v/>
      </c>
      <c r="Q1011" s="1">
        <f>VLOOKUP(G1011,Keszlet!$C$5:$E$205,3,FALSE)</f>
        <v>0</v>
      </c>
      <c r="T1011" s="1" t="str">
        <f t="shared" si="27"/>
        <v/>
      </c>
      <c r="U1011" s="1">
        <f t="shared" si="28"/>
        <v>0</v>
      </c>
      <c r="W1011" s="6">
        <f t="shared" si="31"/>
        <v>0</v>
      </c>
      <c r="X1011" s="6">
        <f t="shared" si="23"/>
        <v>0</v>
      </c>
      <c r="Y1011" s="1">
        <f t="shared" si="29"/>
        <v>1</v>
      </c>
      <c r="Z1011" s="1">
        <f>IF(COUNTIF($Y$6:Y1011,Y1011)=1,Y1011,Y1011+COUNTIF($Y$5:Y1010,Y1011))</f>
        <v>6</v>
      </c>
      <c r="AD1011" s="1" t="str">
        <f t="shared" si="30"/>
        <v/>
      </c>
      <c r="BA1011" s="1">
        <f>IF(W1011&lt;=Leltar_iv!$Y$1,I1011,0)</f>
        <v>0</v>
      </c>
    </row>
    <row r="1012" spans="1:53" s="1" customFormat="1" x14ac:dyDescent="0.25">
      <c r="A1012" s="18">
        <f>IF(COUNTIF($Y$6:Y1012,Y1012)=1,Y1012,Y1012+COUNTIF($Y$5:Y1011,Y1012))</f>
        <v>7</v>
      </c>
      <c r="B1012" s="1">
        <f>IF(AND(Kisero_iv!$N$2=C1012,Kisero_iv!$K$5=$B$3,SUM(I1012:L1016)&lt;&gt;0,$B$4=YEAR(W1012)),B1011+1,0)</f>
        <v>0</v>
      </c>
      <c r="C1012" s="1">
        <f t="shared" si="24"/>
        <v>7</v>
      </c>
      <c r="D1012" s="102" t="str">
        <f t="shared" si="25"/>
        <v/>
      </c>
      <c r="E1012" s="44"/>
      <c r="F1012" s="45"/>
      <c r="G1012" s="45"/>
      <c r="H1012" s="45"/>
      <c r="I1012" s="46"/>
      <c r="J1012" s="111" t="str">
        <f>IF(AND(G1012&lt;&gt;"",ISERROR(VLOOKUP(G1012,Keszlet!$C$5:$H$200,6,FALSE))=FALSE),VLOOKUP(G1012,Keszlet!$C$5:$H$200,6,FALSE),"")</f>
        <v/>
      </c>
      <c r="K1012" s="106" t="str">
        <f>IF(AND(G1012&lt;&gt;"",ISERROR(VLOOKUP(G1012,Keszlet!$C$5:$G$200,5,FALSE))=FALSE),VLOOKUP(G1012,Keszlet!$C$5:$G$200,5,FALSE),"")</f>
        <v/>
      </c>
      <c r="L1012" s="106" t="str">
        <f t="shared" si="26"/>
        <v/>
      </c>
      <c r="M1012" s="115" t="str">
        <f>IF(ISERROR(VLOOKUP(G1012,Keszlet!$C$5:$I$200,7,FALSE))=TRUE,"",IF(AND(J1011&lt;&gt;"",J1013=""),VLOOKUP(G1012,Keszlet!$C$5:$I$200,7,FALSE),""))</f>
        <v/>
      </c>
      <c r="Q1012" s="1">
        <f>VLOOKUP(G1012,Keszlet!$C$5:$E$205,3,FALSE)</f>
        <v>0</v>
      </c>
      <c r="T1012" s="1" t="str">
        <f t="shared" si="27"/>
        <v/>
      </c>
      <c r="U1012" s="1">
        <f t="shared" si="28"/>
        <v>0</v>
      </c>
      <c r="W1012" s="6">
        <f t="shared" si="31"/>
        <v>0</v>
      </c>
      <c r="X1012" s="6">
        <f t="shared" si="23"/>
        <v>0</v>
      </c>
      <c r="Y1012" s="1">
        <f t="shared" si="29"/>
        <v>1</v>
      </c>
      <c r="Z1012" s="1">
        <f>IF(COUNTIF($Y$6:Y1012,Y1012)=1,Y1012,Y1012+COUNTIF($Y$5:Y1011,Y1012))</f>
        <v>7</v>
      </c>
      <c r="AD1012" s="1" t="str">
        <f t="shared" si="30"/>
        <v/>
      </c>
      <c r="BA1012" s="1">
        <f>IF(W1012&lt;=Leltar_iv!$Y$1,I1012,0)</f>
        <v>0</v>
      </c>
    </row>
    <row r="1013" spans="1:53" s="1" customFormat="1" x14ac:dyDescent="0.25">
      <c r="A1013" s="18">
        <f>IF(COUNTIF($Y$6:Y1013,Y1013)=1,Y1013,Y1013+COUNTIF($Y$5:Y1012,Y1013))</f>
        <v>8</v>
      </c>
      <c r="B1013" s="1">
        <f>IF(AND(Kisero_iv!$N$2=C1013,Kisero_iv!$K$5=$B$3,SUM(I1013:L1017)&lt;&gt;0,$B$4=YEAR(W1013)),B1012+1,0)</f>
        <v>0</v>
      </c>
      <c r="C1013" s="1">
        <f t="shared" si="24"/>
        <v>8</v>
      </c>
      <c r="D1013" s="102" t="str">
        <f t="shared" si="25"/>
        <v/>
      </c>
      <c r="E1013" s="44"/>
      <c r="F1013" s="45"/>
      <c r="G1013" s="45"/>
      <c r="H1013" s="45"/>
      <c r="I1013" s="46"/>
      <c r="J1013" s="111" t="str">
        <f>IF(AND(G1013&lt;&gt;"",ISERROR(VLOOKUP(G1013,Keszlet!$C$5:$H$200,6,FALSE))=FALSE),VLOOKUP(G1013,Keszlet!$C$5:$H$200,6,FALSE),"")</f>
        <v/>
      </c>
      <c r="K1013" s="106" t="str">
        <f>IF(AND(G1013&lt;&gt;"",ISERROR(VLOOKUP(G1013,Keszlet!$C$5:$G$200,5,FALSE))=FALSE),VLOOKUP(G1013,Keszlet!$C$5:$G$200,5,FALSE),"")</f>
        <v/>
      </c>
      <c r="L1013" s="106" t="str">
        <f t="shared" si="26"/>
        <v/>
      </c>
      <c r="M1013" s="115" t="str">
        <f>IF(ISERROR(VLOOKUP(G1013,Keszlet!$C$5:$I$200,7,FALSE))=TRUE,"",IF(AND(J1012&lt;&gt;"",J1014=""),VLOOKUP(G1013,Keszlet!$C$5:$I$200,7,FALSE),""))</f>
        <v/>
      </c>
      <c r="Q1013" s="1">
        <f>VLOOKUP(G1013,Keszlet!$C$5:$E$205,3,FALSE)</f>
        <v>0</v>
      </c>
      <c r="T1013" s="1" t="str">
        <f t="shared" si="27"/>
        <v/>
      </c>
      <c r="U1013" s="1">
        <f t="shared" si="28"/>
        <v>0</v>
      </c>
      <c r="W1013" s="6">
        <f t="shared" si="31"/>
        <v>0</v>
      </c>
      <c r="X1013" s="6">
        <f t="shared" si="23"/>
        <v>0</v>
      </c>
      <c r="Y1013" s="1">
        <f t="shared" si="29"/>
        <v>1</v>
      </c>
      <c r="Z1013" s="1">
        <f>IF(COUNTIF($Y$6:Y1013,Y1013)=1,Y1013,Y1013+COUNTIF($Y$5:Y1012,Y1013))</f>
        <v>8</v>
      </c>
      <c r="AD1013" s="1" t="str">
        <f t="shared" si="30"/>
        <v/>
      </c>
      <c r="BA1013" s="1">
        <f>IF(W1013&lt;=Leltar_iv!$Y$1,I1013,0)</f>
        <v>0</v>
      </c>
    </row>
    <row r="1014" spans="1:53" s="1" customFormat="1" x14ac:dyDescent="0.25">
      <c r="A1014" s="18">
        <f>IF(COUNTIF($Y$6:Y1014,Y1014)=1,Y1014,Y1014+COUNTIF($Y$5:Y1013,Y1014))</f>
        <v>9</v>
      </c>
      <c r="B1014" s="1">
        <f>IF(AND(Kisero_iv!$N$2=C1014,Kisero_iv!$K$5=$B$3,SUM(I1014:L1018)&lt;&gt;0,$B$4=YEAR(W1014)),B1013+1,0)</f>
        <v>0</v>
      </c>
      <c r="C1014" s="1">
        <f t="shared" si="24"/>
        <v>9</v>
      </c>
      <c r="D1014" s="102" t="str">
        <f t="shared" si="25"/>
        <v/>
      </c>
      <c r="E1014" s="44"/>
      <c r="F1014" s="45"/>
      <c r="G1014" s="45"/>
      <c r="H1014" s="45"/>
      <c r="I1014" s="46"/>
      <c r="J1014" s="111" t="str">
        <f>IF(AND(G1014&lt;&gt;"",ISERROR(VLOOKUP(G1014,Keszlet!$C$5:$H$200,6,FALSE))=FALSE),VLOOKUP(G1014,Keszlet!$C$5:$H$200,6,FALSE),"")</f>
        <v/>
      </c>
      <c r="K1014" s="106" t="str">
        <f>IF(AND(G1014&lt;&gt;"",ISERROR(VLOOKUP(G1014,Keszlet!$C$5:$G$200,5,FALSE))=FALSE),VLOOKUP(G1014,Keszlet!$C$5:$G$200,5,FALSE),"")</f>
        <v/>
      </c>
      <c r="L1014" s="106" t="str">
        <f t="shared" si="26"/>
        <v/>
      </c>
      <c r="M1014" s="115" t="str">
        <f>IF(ISERROR(VLOOKUP(G1014,Keszlet!$C$5:$I$200,7,FALSE))=TRUE,"",IF(AND(J1013&lt;&gt;"",J1015=""),VLOOKUP(G1014,Keszlet!$C$5:$I$200,7,FALSE),""))</f>
        <v/>
      </c>
      <c r="Q1014" s="1">
        <f>VLOOKUP(G1014,Keszlet!$C$5:$E$205,3,FALSE)</f>
        <v>0</v>
      </c>
      <c r="T1014" s="1" t="str">
        <f t="shared" si="27"/>
        <v/>
      </c>
      <c r="U1014" s="1">
        <f t="shared" si="28"/>
        <v>0</v>
      </c>
      <c r="W1014" s="6">
        <f t="shared" si="31"/>
        <v>0</v>
      </c>
      <c r="X1014" s="6">
        <f t="shared" si="23"/>
        <v>0</v>
      </c>
      <c r="Y1014" s="1">
        <f t="shared" si="29"/>
        <v>1</v>
      </c>
      <c r="Z1014" s="1">
        <f>IF(COUNTIF($Y$6:Y1014,Y1014)=1,Y1014,Y1014+COUNTIF($Y$5:Y1013,Y1014))</f>
        <v>9</v>
      </c>
      <c r="AD1014" s="1" t="str">
        <f t="shared" si="30"/>
        <v/>
      </c>
      <c r="BA1014" s="1">
        <f>IF(W1014&lt;=Leltar_iv!$Y$1,I1014,0)</f>
        <v>0</v>
      </c>
    </row>
    <row r="1015" spans="1:53" s="1" customFormat="1" x14ac:dyDescent="0.25">
      <c r="A1015" s="18">
        <f>IF(COUNTIF($Y$6:Y1015,Y1015)=1,Y1015,Y1015+COUNTIF($Y$5:Y1014,Y1015))</f>
        <v>10</v>
      </c>
      <c r="B1015" s="1">
        <f>IF(AND(Kisero_iv!$N$2=C1015,Kisero_iv!$K$5=$B$3,SUM(I1015:L1019)&lt;&gt;0,$B$4=YEAR(W1015)),B1014+1,0)</f>
        <v>0</v>
      </c>
      <c r="C1015" s="1">
        <f t="shared" si="24"/>
        <v>10</v>
      </c>
      <c r="D1015" s="102" t="str">
        <f t="shared" si="25"/>
        <v/>
      </c>
      <c r="E1015" s="44"/>
      <c r="F1015" s="45"/>
      <c r="G1015" s="45"/>
      <c r="H1015" s="45"/>
      <c r="I1015" s="46"/>
      <c r="J1015" s="111" t="str">
        <f>IF(AND(G1015&lt;&gt;"",ISERROR(VLOOKUP(G1015,Keszlet!$C$5:$H$200,6,FALSE))=FALSE),VLOOKUP(G1015,Keszlet!$C$5:$H$200,6,FALSE),"")</f>
        <v/>
      </c>
      <c r="K1015" s="106" t="str">
        <f>IF(AND(G1015&lt;&gt;"",ISERROR(VLOOKUP(G1015,Keszlet!$C$5:$G$200,5,FALSE))=FALSE),VLOOKUP(G1015,Keszlet!$C$5:$G$200,5,FALSE),"")</f>
        <v/>
      </c>
      <c r="L1015" s="106" t="str">
        <f t="shared" si="26"/>
        <v/>
      </c>
      <c r="M1015" s="115" t="str">
        <f>IF(ISERROR(VLOOKUP(G1015,Keszlet!$C$5:$I$200,7,FALSE))=TRUE,"",IF(AND(J1014&lt;&gt;"",J1016=""),VLOOKUP(G1015,Keszlet!$C$5:$I$200,7,FALSE),""))</f>
        <v/>
      </c>
      <c r="Q1015" s="1">
        <f>VLOOKUP(G1015,Keszlet!$C$5:$E$205,3,FALSE)</f>
        <v>0</v>
      </c>
      <c r="T1015" s="1" t="str">
        <f t="shared" si="27"/>
        <v/>
      </c>
      <c r="U1015" s="1">
        <f t="shared" si="28"/>
        <v>0</v>
      </c>
      <c r="W1015" s="6">
        <f t="shared" si="31"/>
        <v>0</v>
      </c>
      <c r="X1015" s="6">
        <f t="shared" si="23"/>
        <v>0</v>
      </c>
      <c r="Y1015" s="1">
        <f t="shared" si="29"/>
        <v>1</v>
      </c>
      <c r="Z1015" s="1">
        <f>IF(COUNTIF($Y$6:Y1015,Y1015)=1,Y1015,Y1015+COUNTIF($Y$5:Y1014,Y1015))</f>
        <v>10</v>
      </c>
      <c r="AD1015" s="1" t="str">
        <f t="shared" si="30"/>
        <v/>
      </c>
      <c r="BA1015" s="1">
        <f>IF(W1015&lt;=Leltar_iv!$Y$1,I1015,0)</f>
        <v>0</v>
      </c>
    </row>
    <row r="1016" spans="1:53" s="1" customFormat="1" x14ac:dyDescent="0.25">
      <c r="A1016" s="18">
        <f>IF(COUNTIF($Y$6:Y1016,Y1016)=1,Y1016,Y1016+COUNTIF($Y$5:Y1015,Y1016))</f>
        <v>11</v>
      </c>
      <c r="B1016" s="1">
        <f>IF(AND(Kisero_iv!$N$2=C1016,Kisero_iv!$K$5=$B$3,SUM(I1016:L1020)&lt;&gt;0,$B$4=YEAR(W1016)),B1015+1,0)</f>
        <v>0</v>
      </c>
      <c r="C1016" s="1">
        <f t="shared" si="24"/>
        <v>11</v>
      </c>
      <c r="D1016" s="102" t="str">
        <f t="shared" si="25"/>
        <v/>
      </c>
      <c r="E1016" s="44"/>
      <c r="F1016" s="45"/>
      <c r="G1016" s="45"/>
      <c r="H1016" s="45"/>
      <c r="I1016" s="46"/>
      <c r="J1016" s="111" t="str">
        <f>IF(AND(G1016&lt;&gt;"",ISERROR(VLOOKUP(G1016,Keszlet!$C$5:$H$200,6,FALSE))=FALSE),VLOOKUP(G1016,Keszlet!$C$5:$H$200,6,FALSE),"")</f>
        <v/>
      </c>
      <c r="K1016" s="106" t="str">
        <f>IF(AND(G1016&lt;&gt;"",ISERROR(VLOOKUP(G1016,Keszlet!$C$5:$G$200,5,FALSE))=FALSE),VLOOKUP(G1016,Keszlet!$C$5:$G$200,5,FALSE),"")</f>
        <v/>
      </c>
      <c r="L1016" s="106" t="str">
        <f t="shared" si="26"/>
        <v/>
      </c>
      <c r="M1016" s="115" t="str">
        <f>IF(ISERROR(VLOOKUP(G1016,Keszlet!$C$5:$I$200,7,FALSE))=TRUE,"",IF(AND(J1015&lt;&gt;"",J1017=""),VLOOKUP(G1016,Keszlet!$C$5:$I$200,7,FALSE),""))</f>
        <v/>
      </c>
      <c r="Q1016" s="1">
        <f>VLOOKUP(G1016,Keszlet!$C$5:$E$205,3,FALSE)</f>
        <v>0</v>
      </c>
      <c r="T1016" s="1" t="str">
        <f t="shared" si="27"/>
        <v/>
      </c>
      <c r="U1016" s="1">
        <f t="shared" si="28"/>
        <v>0</v>
      </c>
      <c r="W1016" s="6">
        <f t="shared" si="31"/>
        <v>0</v>
      </c>
      <c r="X1016" s="6">
        <f t="shared" si="23"/>
        <v>0</v>
      </c>
      <c r="Y1016" s="1">
        <f t="shared" si="29"/>
        <v>1</v>
      </c>
      <c r="Z1016" s="1">
        <f>IF(COUNTIF($Y$6:Y1016,Y1016)=1,Y1016,Y1016+COUNTIF($Y$5:Y1015,Y1016))</f>
        <v>11</v>
      </c>
      <c r="AD1016" s="1" t="str">
        <f t="shared" si="30"/>
        <v/>
      </c>
      <c r="BA1016" s="1">
        <f>IF(W1016&lt;=Leltar_iv!$Y$1,I1016,0)</f>
        <v>0</v>
      </c>
    </row>
    <row r="1017" spans="1:53" s="1" customFormat="1" x14ac:dyDescent="0.25">
      <c r="A1017" s="18">
        <f>IF(COUNTIF($Y$6:Y1017,Y1017)=1,Y1017,Y1017+COUNTIF($Y$5:Y1016,Y1017))</f>
        <v>12</v>
      </c>
      <c r="B1017" s="1">
        <f>IF(AND(Kisero_iv!$N$2=C1017,Kisero_iv!$K$5=$B$3,SUM(I1017:L1021)&lt;&gt;0,$B$4=YEAR(W1017)),B1016+1,0)</f>
        <v>0</v>
      </c>
      <c r="C1017" s="1">
        <f t="shared" si="24"/>
        <v>12</v>
      </c>
      <c r="D1017" s="102" t="str">
        <f t="shared" si="25"/>
        <v/>
      </c>
      <c r="E1017" s="44"/>
      <c r="F1017" s="45"/>
      <c r="G1017" s="51"/>
      <c r="H1017" s="45"/>
      <c r="I1017" s="46"/>
      <c r="J1017" s="111" t="str">
        <f>IF(AND(G1017&lt;&gt;"",ISERROR(VLOOKUP(G1017,Keszlet!$C$5:$H$200,6,FALSE))=FALSE),VLOOKUP(G1017,Keszlet!$C$5:$H$200,6,FALSE),"")</f>
        <v/>
      </c>
      <c r="K1017" s="106" t="str">
        <f>IF(AND(G1017&lt;&gt;"",ISERROR(VLOOKUP(G1017,Keszlet!$C$5:$G$200,5,FALSE))=FALSE),VLOOKUP(G1017,Keszlet!$C$5:$G$200,5,FALSE),"")</f>
        <v/>
      </c>
      <c r="L1017" s="106" t="str">
        <f t="shared" si="26"/>
        <v/>
      </c>
      <c r="M1017" s="115" t="str">
        <f>IF(ISERROR(VLOOKUP(G1017,Keszlet!$C$5:$I$200,7,FALSE))=TRUE,"",IF(AND(J1016&lt;&gt;"",J1018=""),VLOOKUP(G1017,Keszlet!$C$5:$I$200,7,FALSE),""))</f>
        <v/>
      </c>
      <c r="Q1017" s="1">
        <f>VLOOKUP(G1017,Keszlet!$C$5:$E$205,3,FALSE)</f>
        <v>0</v>
      </c>
      <c r="T1017" s="1" t="str">
        <f t="shared" si="27"/>
        <v/>
      </c>
      <c r="U1017" s="1">
        <f t="shared" si="28"/>
        <v>0</v>
      </c>
      <c r="W1017" s="6">
        <f t="shared" si="31"/>
        <v>0</v>
      </c>
      <c r="X1017" s="6">
        <f t="shared" si="23"/>
        <v>0</v>
      </c>
      <c r="Y1017" s="1">
        <f t="shared" si="29"/>
        <v>1</v>
      </c>
      <c r="Z1017" s="1">
        <f>IF(COUNTIF($Y$6:Y1017,Y1017)=1,Y1017,Y1017+COUNTIF($Y$5:Y1016,Y1017))</f>
        <v>12</v>
      </c>
      <c r="AD1017" s="1" t="str">
        <f t="shared" si="30"/>
        <v/>
      </c>
      <c r="BA1017" s="1">
        <f>IF(W1017&lt;=Leltar_iv!$Y$1,I1017,0)</f>
        <v>0</v>
      </c>
    </row>
    <row r="1018" spans="1:53" s="1" customFormat="1" x14ac:dyDescent="0.25">
      <c r="A1018" s="18">
        <f>IF(COUNTIF($Y$6:Y1018,Y1018)=1,Y1018,Y1018+COUNTIF($Y$5:Y1017,Y1018))</f>
        <v>13</v>
      </c>
      <c r="B1018" s="1">
        <f>IF(AND(Kisero_iv!$N$2=C1018,Kisero_iv!$K$5=$B$3,SUM(I1018:L1022)&lt;&gt;0,$B$4=YEAR(W1018)),B1017+1,0)</f>
        <v>0</v>
      </c>
      <c r="C1018" s="1">
        <f t="shared" si="24"/>
        <v>13</v>
      </c>
      <c r="D1018" s="102" t="str">
        <f t="shared" si="25"/>
        <v/>
      </c>
      <c r="E1018" s="44"/>
      <c r="F1018" s="45"/>
      <c r="G1018" s="45"/>
      <c r="H1018" s="45"/>
      <c r="I1018" s="46"/>
      <c r="J1018" s="111" t="str">
        <f>IF(AND(G1018&lt;&gt;"",ISERROR(VLOOKUP(G1018,Keszlet!$C$5:$H$200,6,FALSE))=FALSE),VLOOKUP(G1018,Keszlet!$C$5:$H$200,6,FALSE),"")</f>
        <v/>
      </c>
      <c r="K1018" s="106" t="str">
        <f>IF(AND(G1018&lt;&gt;"",ISERROR(VLOOKUP(G1018,Keszlet!$C$5:$G$200,5,FALSE))=FALSE),VLOOKUP(G1018,Keszlet!$C$5:$G$200,5,FALSE),"")</f>
        <v/>
      </c>
      <c r="L1018" s="106" t="str">
        <f t="shared" si="26"/>
        <v/>
      </c>
      <c r="M1018" s="115" t="str">
        <f>IF(ISERROR(VLOOKUP(G1018,Keszlet!$C$5:$I$200,7,FALSE))=TRUE,"",IF(AND(J1017&lt;&gt;"",J1019=""),VLOOKUP(G1018,Keszlet!$C$5:$I$200,7,FALSE),""))</f>
        <v/>
      </c>
      <c r="Q1018" s="1">
        <f>VLOOKUP(G1018,Keszlet!$C$5:$E$205,3,FALSE)</f>
        <v>0</v>
      </c>
      <c r="T1018" s="1" t="str">
        <f t="shared" si="27"/>
        <v/>
      </c>
      <c r="U1018" s="1">
        <f t="shared" si="28"/>
        <v>0</v>
      </c>
      <c r="W1018" s="6">
        <f t="shared" si="31"/>
        <v>0</v>
      </c>
      <c r="X1018" s="6">
        <f t="shared" si="23"/>
        <v>0</v>
      </c>
      <c r="Y1018" s="1">
        <f t="shared" si="29"/>
        <v>1</v>
      </c>
      <c r="Z1018" s="1">
        <f>IF(COUNTIF($Y$6:Y1018,Y1018)=1,Y1018,Y1018+COUNTIF($Y$5:Y1017,Y1018))</f>
        <v>13</v>
      </c>
      <c r="AD1018" s="1" t="str">
        <f t="shared" si="30"/>
        <v/>
      </c>
      <c r="BA1018" s="1">
        <f>IF(W1018&lt;=Leltar_iv!$Y$1,I1018,0)</f>
        <v>0</v>
      </c>
    </row>
    <row r="1019" spans="1:53" s="1" customFormat="1" x14ac:dyDescent="0.25">
      <c r="A1019" s="18">
        <f>IF(COUNTIF($Y$6:Y1019,Y1019)=1,Y1019,Y1019+COUNTIF($Y$5:Y1018,Y1019))</f>
        <v>14</v>
      </c>
      <c r="B1019" s="1">
        <f>IF(AND(Kisero_iv!$N$2=C1019,Kisero_iv!$K$5=$B$3,SUM(I1019:L1023)&lt;&gt;0,$B$4=YEAR(W1019)),B1018+1,0)</f>
        <v>0</v>
      </c>
      <c r="C1019" s="1">
        <f t="shared" si="24"/>
        <v>14</v>
      </c>
      <c r="D1019" s="102" t="str">
        <f t="shared" si="25"/>
        <v/>
      </c>
      <c r="E1019" s="44"/>
      <c r="F1019" s="45"/>
      <c r="G1019" s="45"/>
      <c r="H1019" s="45"/>
      <c r="I1019" s="46"/>
      <c r="J1019" s="111" t="str">
        <f>IF(AND(G1019&lt;&gt;"",ISERROR(VLOOKUP(G1019,Keszlet!$C$5:$H$200,6,FALSE))=FALSE),VLOOKUP(G1019,Keszlet!$C$5:$H$200,6,FALSE),"")</f>
        <v/>
      </c>
      <c r="K1019" s="106" t="str">
        <f>IF(AND(G1019&lt;&gt;"",ISERROR(VLOOKUP(G1019,Keszlet!$C$5:$G$200,5,FALSE))=FALSE),VLOOKUP(G1019,Keszlet!$C$5:$G$200,5,FALSE),"")</f>
        <v/>
      </c>
      <c r="L1019" s="106" t="str">
        <f t="shared" si="26"/>
        <v/>
      </c>
      <c r="M1019" s="115" t="str">
        <f>IF(ISERROR(VLOOKUP(G1019,Keszlet!$C$5:$I$200,7,FALSE))=TRUE,"",IF(AND(J1018&lt;&gt;"",J1020=""),VLOOKUP(G1019,Keszlet!$C$5:$I$200,7,FALSE),""))</f>
        <v/>
      </c>
      <c r="Q1019" s="1">
        <f>VLOOKUP(G1019,Keszlet!$C$5:$E$205,3,FALSE)</f>
        <v>0</v>
      </c>
      <c r="T1019" s="1" t="str">
        <f t="shared" si="27"/>
        <v/>
      </c>
      <c r="U1019" s="1">
        <f t="shared" si="28"/>
        <v>0</v>
      </c>
      <c r="W1019" s="6">
        <f t="shared" si="31"/>
        <v>0</v>
      </c>
      <c r="X1019" s="6">
        <f t="shared" si="23"/>
        <v>0</v>
      </c>
      <c r="Y1019" s="1">
        <f t="shared" si="29"/>
        <v>1</v>
      </c>
      <c r="Z1019" s="1">
        <f>IF(COUNTIF($Y$6:Y1019,Y1019)=1,Y1019,Y1019+COUNTIF($Y$5:Y1018,Y1019))</f>
        <v>14</v>
      </c>
      <c r="AD1019" s="1" t="str">
        <f t="shared" si="30"/>
        <v/>
      </c>
      <c r="BA1019" s="1">
        <f>IF(W1019&lt;=Leltar_iv!$Y$1,I1019,0)</f>
        <v>0</v>
      </c>
    </row>
    <row r="1020" spans="1:53" s="1" customFormat="1" x14ac:dyDescent="0.25">
      <c r="A1020" s="18">
        <f>IF(COUNTIF($Y$6:Y1020,Y1020)=1,Y1020,Y1020+COUNTIF($Y$5:Y1019,Y1020))</f>
        <v>15</v>
      </c>
      <c r="B1020" s="1">
        <f>IF(AND(Kisero_iv!$N$2=C1020,Kisero_iv!$K$5=$B$3,SUM(I1020:L1024)&lt;&gt;0,$B$4=YEAR(W1020)),B1019+1,0)</f>
        <v>0</v>
      </c>
      <c r="C1020" s="1">
        <f t="shared" si="24"/>
        <v>15</v>
      </c>
      <c r="D1020" s="102" t="str">
        <f t="shared" si="25"/>
        <v/>
      </c>
      <c r="E1020" s="44"/>
      <c r="F1020" s="45"/>
      <c r="G1020" s="45"/>
      <c r="H1020" s="45"/>
      <c r="I1020" s="46"/>
      <c r="J1020" s="111" t="str">
        <f>IF(AND(G1020&lt;&gt;"",ISERROR(VLOOKUP(G1020,Keszlet!$C$5:$H$200,6,FALSE))=FALSE),VLOOKUP(G1020,Keszlet!$C$5:$H$200,6,FALSE),"")</f>
        <v/>
      </c>
      <c r="K1020" s="106" t="str">
        <f>IF(AND(G1020&lt;&gt;"",ISERROR(VLOOKUP(G1020,Keszlet!$C$5:$G$200,5,FALSE))=FALSE),VLOOKUP(G1020,Keszlet!$C$5:$G$200,5,FALSE),"")</f>
        <v/>
      </c>
      <c r="L1020" s="106" t="str">
        <f t="shared" si="26"/>
        <v/>
      </c>
      <c r="M1020" s="115" t="str">
        <f>IF(ISERROR(VLOOKUP(G1020,Keszlet!$C$5:$I$200,7,FALSE))=TRUE,"",IF(AND(J1019&lt;&gt;"",J1021=""),VLOOKUP(G1020,Keszlet!$C$5:$I$200,7,FALSE),""))</f>
        <v/>
      </c>
      <c r="Q1020" s="1">
        <f>VLOOKUP(G1020,Keszlet!$C$5:$E$205,3,FALSE)</f>
        <v>0</v>
      </c>
      <c r="T1020" s="1" t="str">
        <f t="shared" si="27"/>
        <v/>
      </c>
      <c r="U1020" s="1">
        <f t="shared" si="28"/>
        <v>0</v>
      </c>
      <c r="W1020" s="6">
        <f t="shared" si="31"/>
        <v>0</v>
      </c>
      <c r="X1020" s="6">
        <f t="shared" si="23"/>
        <v>0</v>
      </c>
      <c r="Y1020" s="1">
        <f t="shared" si="29"/>
        <v>1</v>
      </c>
      <c r="Z1020" s="1">
        <f>IF(COUNTIF($Y$6:Y1020,Y1020)=1,Y1020,Y1020+COUNTIF($Y$5:Y1019,Y1020))</f>
        <v>15</v>
      </c>
      <c r="AD1020" s="1" t="str">
        <f t="shared" si="30"/>
        <v/>
      </c>
      <c r="BA1020" s="1">
        <f>IF(W1020&lt;=Leltar_iv!$Y$1,I1020,0)</f>
        <v>0</v>
      </c>
    </row>
    <row r="1021" spans="1:53" s="1" customFormat="1" x14ac:dyDescent="0.25">
      <c r="A1021" s="18">
        <f>IF(COUNTIF($Y$6:Y1021,Y1021)=1,Y1021,Y1021+COUNTIF($Y$5:Y1020,Y1021))</f>
        <v>16</v>
      </c>
      <c r="B1021" s="1">
        <f>IF(AND(Kisero_iv!$N$2=C1021,Kisero_iv!$K$5=$B$3,SUM(I1021:L1025)&lt;&gt;0,$B$4=YEAR(W1021)),B1020+1,0)</f>
        <v>0</v>
      </c>
      <c r="C1021" s="1">
        <f t="shared" si="24"/>
        <v>16</v>
      </c>
      <c r="D1021" s="102" t="str">
        <f t="shared" si="25"/>
        <v/>
      </c>
      <c r="E1021" s="44"/>
      <c r="F1021" s="45"/>
      <c r="G1021" s="45"/>
      <c r="H1021" s="45"/>
      <c r="I1021" s="46"/>
      <c r="J1021" s="111" t="str">
        <f>IF(AND(G1021&lt;&gt;"",ISERROR(VLOOKUP(G1021,Keszlet!$C$5:$H$200,6,FALSE))=FALSE),VLOOKUP(G1021,Keszlet!$C$5:$H$200,6,FALSE),"")</f>
        <v/>
      </c>
      <c r="K1021" s="106" t="str">
        <f>IF(AND(G1021&lt;&gt;"",ISERROR(VLOOKUP(G1021,Keszlet!$C$5:$G$200,5,FALSE))=FALSE),VLOOKUP(G1021,Keszlet!$C$5:$G$200,5,FALSE),"")</f>
        <v/>
      </c>
      <c r="L1021" s="106" t="str">
        <f t="shared" si="26"/>
        <v/>
      </c>
      <c r="M1021" s="115" t="str">
        <f>IF(ISERROR(VLOOKUP(G1021,Keszlet!$C$5:$I$200,7,FALSE))=TRUE,"",IF(AND(J1020&lt;&gt;"",J1022=""),VLOOKUP(G1021,Keszlet!$C$5:$I$200,7,FALSE),""))</f>
        <v/>
      </c>
      <c r="Q1021" s="1">
        <f>VLOOKUP(G1021,Keszlet!$C$5:$E$205,3,FALSE)</f>
        <v>0</v>
      </c>
      <c r="T1021" s="1" t="str">
        <f t="shared" si="27"/>
        <v/>
      </c>
      <c r="U1021" s="1">
        <f t="shared" si="28"/>
        <v>0</v>
      </c>
      <c r="W1021" s="6">
        <f t="shared" si="31"/>
        <v>0</v>
      </c>
      <c r="X1021" s="6">
        <f t="shared" si="23"/>
        <v>0</v>
      </c>
      <c r="Y1021" s="1">
        <f t="shared" si="29"/>
        <v>1</v>
      </c>
      <c r="Z1021" s="1">
        <f>IF(COUNTIF($Y$6:Y1021,Y1021)=1,Y1021,Y1021+COUNTIF($Y$5:Y1020,Y1021))</f>
        <v>16</v>
      </c>
      <c r="AD1021" s="1" t="str">
        <f t="shared" si="30"/>
        <v/>
      </c>
      <c r="BA1021" s="1">
        <f>IF(W1021&lt;=Leltar_iv!$Y$1,I1021,0)</f>
        <v>0</v>
      </c>
    </row>
    <row r="1022" spans="1:53" s="1" customFormat="1" x14ac:dyDescent="0.25">
      <c r="A1022" s="18">
        <f>IF(COUNTIF($Y$6:Y1022,Y1022)=1,Y1022,Y1022+COUNTIF($Y$5:Y1021,Y1022))</f>
        <v>17</v>
      </c>
      <c r="B1022" s="1">
        <f>IF(AND(Kisero_iv!$N$2=C1022,Kisero_iv!$K$5=$B$3,SUM(I1022:L1026)&lt;&gt;0,$B$4=YEAR(W1022)),B1021+1,0)</f>
        <v>0</v>
      </c>
      <c r="C1022" s="1">
        <f t="shared" si="24"/>
        <v>17</v>
      </c>
      <c r="D1022" s="102" t="str">
        <f t="shared" si="25"/>
        <v/>
      </c>
      <c r="E1022" s="44"/>
      <c r="F1022" s="45"/>
      <c r="G1022" s="45"/>
      <c r="H1022" s="45"/>
      <c r="I1022" s="46"/>
      <c r="J1022" s="111" t="str">
        <f>IF(AND(G1022&lt;&gt;"",ISERROR(VLOOKUP(G1022,Keszlet!$C$5:$H$200,6,FALSE))=FALSE),VLOOKUP(G1022,Keszlet!$C$5:$H$200,6,FALSE),"")</f>
        <v/>
      </c>
      <c r="K1022" s="106" t="str">
        <f>IF(AND(G1022&lt;&gt;"",ISERROR(VLOOKUP(G1022,Keszlet!$C$5:$G$200,5,FALSE))=FALSE),VLOOKUP(G1022,Keszlet!$C$5:$G$200,5,FALSE),"")</f>
        <v/>
      </c>
      <c r="L1022" s="106" t="str">
        <f t="shared" si="26"/>
        <v/>
      </c>
      <c r="M1022" s="115" t="str">
        <f>IF(ISERROR(VLOOKUP(G1022,Keszlet!$C$5:$I$200,7,FALSE))=TRUE,"",IF(AND(J1021&lt;&gt;"",J1023=""),VLOOKUP(G1022,Keszlet!$C$5:$I$200,7,FALSE),""))</f>
        <v/>
      </c>
      <c r="Q1022" s="1">
        <f>VLOOKUP(G1022,Keszlet!$C$5:$E$205,3,FALSE)</f>
        <v>0</v>
      </c>
      <c r="T1022" s="1" t="str">
        <f t="shared" si="27"/>
        <v/>
      </c>
      <c r="U1022" s="1">
        <f t="shared" si="28"/>
        <v>0</v>
      </c>
      <c r="W1022" s="6">
        <f t="shared" si="31"/>
        <v>0</v>
      </c>
      <c r="X1022" s="6">
        <f t="shared" si="23"/>
        <v>0</v>
      </c>
      <c r="Y1022" s="1">
        <f t="shared" si="29"/>
        <v>1</v>
      </c>
      <c r="Z1022" s="1">
        <f>IF(COUNTIF($Y$6:Y1022,Y1022)=1,Y1022,Y1022+COUNTIF($Y$5:Y1021,Y1022))</f>
        <v>17</v>
      </c>
      <c r="AD1022" s="1" t="str">
        <f t="shared" si="30"/>
        <v/>
      </c>
      <c r="BA1022" s="1">
        <f>IF(W1022&lt;=Leltar_iv!$Y$1,I1022,0)</f>
        <v>0</v>
      </c>
    </row>
    <row r="1023" spans="1:53" s="1" customFormat="1" x14ac:dyDescent="0.25">
      <c r="A1023" s="18">
        <f>IF(COUNTIF($Y$6:Y1023,Y1023)=1,Y1023,Y1023+COUNTIF($Y$5:Y1022,Y1023))</f>
        <v>18</v>
      </c>
      <c r="B1023" s="1">
        <f>IF(AND(Kisero_iv!$N$2=C1023,Kisero_iv!$K$5=$B$3,SUM(I1023:L1027)&lt;&gt;0,$B$4=YEAR(W1023)),B1022+1,0)</f>
        <v>0</v>
      </c>
      <c r="C1023" s="1">
        <f t="shared" si="24"/>
        <v>18</v>
      </c>
      <c r="D1023" s="102" t="str">
        <f t="shared" si="25"/>
        <v/>
      </c>
      <c r="E1023" s="44"/>
      <c r="F1023" s="45"/>
      <c r="G1023" s="45"/>
      <c r="H1023" s="45"/>
      <c r="I1023" s="46"/>
      <c r="J1023" s="111" t="str">
        <f>IF(AND(G1023&lt;&gt;"",ISERROR(VLOOKUP(G1023,Keszlet!$C$5:$H$200,6,FALSE))=FALSE),VLOOKUP(G1023,Keszlet!$C$5:$H$200,6,FALSE),"")</f>
        <v/>
      </c>
      <c r="K1023" s="106" t="str">
        <f>IF(AND(G1023&lt;&gt;"",ISERROR(VLOOKUP(G1023,Keszlet!$C$5:$G$200,5,FALSE))=FALSE),VLOOKUP(G1023,Keszlet!$C$5:$G$200,5,FALSE),"")</f>
        <v/>
      </c>
      <c r="L1023" s="106" t="str">
        <f t="shared" si="26"/>
        <v/>
      </c>
      <c r="M1023" s="115" t="str">
        <f>IF(ISERROR(VLOOKUP(G1023,Keszlet!$C$5:$I$200,7,FALSE))=TRUE,"",IF(AND(J1022&lt;&gt;"",J1024=""),VLOOKUP(G1023,Keszlet!$C$5:$I$200,7,FALSE),""))</f>
        <v/>
      </c>
      <c r="Q1023" s="1">
        <f>VLOOKUP(G1023,Keszlet!$C$5:$E$205,3,FALSE)</f>
        <v>0</v>
      </c>
      <c r="T1023" s="1" t="str">
        <f t="shared" si="27"/>
        <v/>
      </c>
      <c r="U1023" s="1">
        <f t="shared" si="28"/>
        <v>0</v>
      </c>
      <c r="W1023" s="6">
        <f t="shared" si="31"/>
        <v>0</v>
      </c>
      <c r="X1023" s="6">
        <f t="shared" si="23"/>
        <v>0</v>
      </c>
      <c r="Y1023" s="1">
        <f t="shared" si="29"/>
        <v>1</v>
      </c>
      <c r="Z1023" s="1">
        <f>IF(COUNTIF($Y$6:Y1023,Y1023)=1,Y1023,Y1023+COUNTIF($Y$5:Y1022,Y1023))</f>
        <v>18</v>
      </c>
      <c r="AD1023" s="1" t="str">
        <f t="shared" si="30"/>
        <v/>
      </c>
      <c r="BA1023" s="1">
        <f>IF(W1023&lt;=Leltar_iv!$Y$1,I1023,0)</f>
        <v>0</v>
      </c>
    </row>
    <row r="1024" spans="1:53" s="1" customFormat="1" x14ac:dyDescent="0.25">
      <c r="A1024" s="18">
        <f>IF(COUNTIF($Y$6:Y1024,Y1024)=1,Y1024,Y1024+COUNTIF($Y$5:Y1023,Y1024))</f>
        <v>19</v>
      </c>
      <c r="B1024" s="1">
        <f>IF(AND(Kisero_iv!$N$2=C1024,Kisero_iv!$K$5=$B$3,SUM(I1024:L1028)&lt;&gt;0,$B$4=YEAR(W1024)),B1023+1,0)</f>
        <v>0</v>
      </c>
      <c r="C1024" s="1">
        <f t="shared" si="24"/>
        <v>19</v>
      </c>
      <c r="D1024" s="102" t="str">
        <f t="shared" si="25"/>
        <v/>
      </c>
      <c r="E1024" s="44"/>
      <c r="F1024" s="45"/>
      <c r="G1024" s="45"/>
      <c r="H1024" s="45"/>
      <c r="I1024" s="46"/>
      <c r="J1024" s="111" t="str">
        <f>IF(AND(G1024&lt;&gt;"",ISERROR(VLOOKUP(G1024,Keszlet!$C$5:$H$200,6,FALSE))=FALSE),VLOOKUP(G1024,Keszlet!$C$5:$H$200,6,FALSE),"")</f>
        <v/>
      </c>
      <c r="K1024" s="106" t="str">
        <f>IF(AND(G1024&lt;&gt;"",ISERROR(VLOOKUP(G1024,Keszlet!$C$5:$G$200,5,FALSE))=FALSE),VLOOKUP(G1024,Keszlet!$C$5:$G$200,5,FALSE),"")</f>
        <v/>
      </c>
      <c r="L1024" s="106" t="str">
        <f t="shared" si="26"/>
        <v/>
      </c>
      <c r="M1024" s="115" t="str">
        <f>IF(ISERROR(VLOOKUP(G1024,Keszlet!$C$5:$I$200,7,FALSE))=TRUE,"",IF(AND(J1023&lt;&gt;"",J1025=""),VLOOKUP(G1024,Keszlet!$C$5:$I$200,7,FALSE),""))</f>
        <v/>
      </c>
      <c r="Q1024" s="1">
        <f>VLOOKUP(G1024,Keszlet!$C$5:$E$205,3,FALSE)</f>
        <v>0</v>
      </c>
      <c r="T1024" s="1" t="str">
        <f t="shared" si="27"/>
        <v/>
      </c>
      <c r="U1024" s="1">
        <f t="shared" si="28"/>
        <v>0</v>
      </c>
      <c r="W1024" s="6">
        <f t="shared" si="31"/>
        <v>0</v>
      </c>
      <c r="X1024" s="6">
        <f t="shared" si="23"/>
        <v>0</v>
      </c>
      <c r="Y1024" s="1">
        <f t="shared" si="29"/>
        <v>1</v>
      </c>
      <c r="Z1024" s="1">
        <f>IF(COUNTIF($Y$6:Y1024,Y1024)=1,Y1024,Y1024+COUNTIF($Y$5:Y1023,Y1024))</f>
        <v>19</v>
      </c>
      <c r="AD1024" s="1" t="str">
        <f t="shared" si="30"/>
        <v/>
      </c>
      <c r="BA1024" s="1">
        <f>IF(W1024&lt;=Leltar_iv!$Y$1,I1024,0)</f>
        <v>0</v>
      </c>
    </row>
    <row r="1025" spans="1:53" s="1" customFormat="1" x14ac:dyDescent="0.25">
      <c r="A1025" s="18">
        <f>IF(COUNTIF($Y$6:Y1025,Y1025)=1,Y1025,Y1025+COUNTIF($Y$5:Y1024,Y1025))</f>
        <v>20</v>
      </c>
      <c r="B1025" s="1">
        <f>IF(AND(Kisero_iv!$N$2=C1025,Kisero_iv!$K$5=$B$3,SUM(I1025:L1029)&lt;&gt;0,$B$4=YEAR(W1025)),B1024+1,0)</f>
        <v>0</v>
      </c>
      <c r="C1025" s="1">
        <f t="shared" si="24"/>
        <v>20</v>
      </c>
      <c r="D1025" s="102" t="str">
        <f t="shared" si="25"/>
        <v/>
      </c>
      <c r="E1025" s="44"/>
      <c r="F1025" s="45"/>
      <c r="G1025" s="45"/>
      <c r="H1025" s="45"/>
      <c r="I1025" s="46"/>
      <c r="J1025" s="111" t="str">
        <f>IF(AND(G1025&lt;&gt;"",ISERROR(VLOOKUP(G1025,Keszlet!$C$5:$H$200,6,FALSE))=FALSE),VLOOKUP(G1025,Keszlet!$C$5:$H$200,6,FALSE),"")</f>
        <v/>
      </c>
      <c r="K1025" s="106" t="str">
        <f>IF(AND(G1025&lt;&gt;"",ISERROR(VLOOKUP(G1025,Keszlet!$C$5:$G$200,5,FALSE))=FALSE),VLOOKUP(G1025,Keszlet!$C$5:$G$200,5,FALSE),"")</f>
        <v/>
      </c>
      <c r="L1025" s="106" t="str">
        <f t="shared" si="26"/>
        <v/>
      </c>
      <c r="M1025" s="115" t="str">
        <f>IF(ISERROR(VLOOKUP(G1025,Keszlet!$C$5:$I$200,7,FALSE))=TRUE,"",IF(AND(J1024&lt;&gt;"",J1026=""),VLOOKUP(G1025,Keszlet!$C$5:$I$200,7,FALSE),""))</f>
        <v/>
      </c>
      <c r="Q1025" s="1">
        <f>VLOOKUP(G1025,Keszlet!$C$5:$E$205,3,FALSE)</f>
        <v>0</v>
      </c>
      <c r="T1025" s="1" t="str">
        <f t="shared" si="27"/>
        <v/>
      </c>
      <c r="U1025" s="1">
        <f t="shared" si="28"/>
        <v>0</v>
      </c>
      <c r="W1025" s="6">
        <f t="shared" si="31"/>
        <v>0</v>
      </c>
      <c r="X1025" s="6">
        <f t="shared" si="23"/>
        <v>0</v>
      </c>
      <c r="Y1025" s="1">
        <f t="shared" si="29"/>
        <v>1</v>
      </c>
      <c r="Z1025" s="1">
        <f>IF(COUNTIF($Y$6:Y1025,Y1025)=1,Y1025,Y1025+COUNTIF($Y$5:Y1024,Y1025))</f>
        <v>20</v>
      </c>
      <c r="AD1025" s="1" t="str">
        <f t="shared" si="30"/>
        <v/>
      </c>
      <c r="BA1025" s="1">
        <f>IF(W1025&lt;=Leltar_iv!$Y$1,I1025,0)</f>
        <v>0</v>
      </c>
    </row>
    <row r="1026" spans="1:53" s="1" customFormat="1" x14ac:dyDescent="0.25">
      <c r="A1026" s="18">
        <f>IF(COUNTIF($Y$6:Y1026,Y1026)=1,Y1026,Y1026+COUNTIF($Y$5:Y1025,Y1026))</f>
        <v>21</v>
      </c>
      <c r="B1026" s="1">
        <f>IF(AND(Kisero_iv!$N$2=C1026,Kisero_iv!$K$5=$B$3,SUM(I1026:L1030)&lt;&gt;0,$B$4=YEAR(W1026)),B1025+1,0)</f>
        <v>0</v>
      </c>
      <c r="C1026" s="1">
        <f t="shared" si="24"/>
        <v>21</v>
      </c>
      <c r="D1026" s="102" t="str">
        <f t="shared" si="25"/>
        <v/>
      </c>
      <c r="E1026" s="44"/>
      <c r="F1026" s="45"/>
      <c r="G1026" s="45"/>
      <c r="H1026" s="45"/>
      <c r="I1026" s="46"/>
      <c r="J1026" s="111" t="str">
        <f>IF(AND(G1026&lt;&gt;"",ISERROR(VLOOKUP(G1026,Keszlet!$C$5:$H$200,6,FALSE))=FALSE),VLOOKUP(G1026,Keszlet!$C$5:$H$200,6,FALSE),"")</f>
        <v/>
      </c>
      <c r="K1026" s="106" t="str">
        <f>IF(AND(G1026&lt;&gt;"",ISERROR(VLOOKUP(G1026,Keszlet!$C$5:$G$200,5,FALSE))=FALSE),VLOOKUP(G1026,Keszlet!$C$5:$G$200,5,FALSE),"")</f>
        <v/>
      </c>
      <c r="L1026" s="106" t="str">
        <f t="shared" si="26"/>
        <v/>
      </c>
      <c r="M1026" s="115" t="str">
        <f>IF(ISERROR(VLOOKUP(G1026,Keszlet!$C$5:$I$200,7,FALSE))=TRUE,"",IF(AND(J1025&lt;&gt;"",J1027=""),VLOOKUP(G1026,Keszlet!$C$5:$I$200,7,FALSE),""))</f>
        <v/>
      </c>
      <c r="Q1026" s="1">
        <f>VLOOKUP(G1026,Keszlet!$C$5:$E$205,3,FALSE)</f>
        <v>0</v>
      </c>
      <c r="T1026" s="1" t="str">
        <f t="shared" si="27"/>
        <v/>
      </c>
      <c r="U1026" s="1">
        <f t="shared" si="28"/>
        <v>0</v>
      </c>
      <c r="W1026" s="6">
        <f t="shared" si="31"/>
        <v>0</v>
      </c>
      <c r="X1026" s="6">
        <f t="shared" si="23"/>
        <v>0</v>
      </c>
      <c r="Y1026" s="1">
        <f t="shared" si="29"/>
        <v>1</v>
      </c>
      <c r="Z1026" s="1">
        <f>IF(COUNTIF($Y$6:Y1026,Y1026)=1,Y1026,Y1026+COUNTIF($Y$5:Y1025,Y1026))</f>
        <v>21</v>
      </c>
      <c r="AD1026" s="1" t="str">
        <f t="shared" si="30"/>
        <v/>
      </c>
      <c r="BA1026" s="1">
        <f>IF(W1026&lt;=Leltar_iv!$Y$1,I1026,0)</f>
        <v>0</v>
      </c>
    </row>
    <row r="1027" spans="1:53" s="1" customFormat="1" x14ac:dyDescent="0.25">
      <c r="A1027" s="18">
        <f>IF(COUNTIF($Y$6:Y1027,Y1027)=1,Y1027,Y1027+COUNTIF($Y$5:Y1026,Y1027))</f>
        <v>22</v>
      </c>
      <c r="B1027" s="1">
        <f>IF(AND(Kisero_iv!$N$2=C1027,Kisero_iv!$K$5=$B$3,SUM(I1027:L1031)&lt;&gt;0,$B$4=YEAR(W1027)),B1026+1,0)</f>
        <v>0</v>
      </c>
      <c r="C1027" s="1">
        <f t="shared" si="24"/>
        <v>22</v>
      </c>
      <c r="D1027" s="102" t="str">
        <f t="shared" si="25"/>
        <v/>
      </c>
      <c r="E1027" s="44"/>
      <c r="F1027" s="45"/>
      <c r="G1027" s="45"/>
      <c r="H1027" s="45"/>
      <c r="I1027" s="46"/>
      <c r="J1027" s="111" t="str">
        <f>IF(AND(G1027&lt;&gt;"",ISERROR(VLOOKUP(G1027,Keszlet!$C$5:$H$200,6,FALSE))=FALSE),VLOOKUP(G1027,Keszlet!$C$5:$H$200,6,FALSE),"")</f>
        <v/>
      </c>
      <c r="K1027" s="106" t="str">
        <f>IF(AND(G1027&lt;&gt;"",ISERROR(VLOOKUP(G1027,Keszlet!$C$5:$G$200,5,FALSE))=FALSE),VLOOKUP(G1027,Keszlet!$C$5:$G$200,5,FALSE),"")</f>
        <v/>
      </c>
      <c r="L1027" s="106" t="str">
        <f t="shared" si="26"/>
        <v/>
      </c>
      <c r="M1027" s="115" t="str">
        <f>IF(ISERROR(VLOOKUP(G1027,Keszlet!$C$5:$I$200,7,FALSE))=TRUE,"",IF(AND(J1026&lt;&gt;"",J1028=""),VLOOKUP(G1027,Keszlet!$C$5:$I$200,7,FALSE),""))</f>
        <v/>
      </c>
      <c r="Q1027" s="1">
        <f>VLOOKUP(G1027,Keszlet!$C$5:$E$205,3,FALSE)</f>
        <v>0</v>
      </c>
      <c r="T1027" s="1" t="str">
        <f t="shared" si="27"/>
        <v/>
      </c>
      <c r="U1027" s="1">
        <f t="shared" si="28"/>
        <v>0</v>
      </c>
      <c r="W1027" s="6">
        <f t="shared" si="31"/>
        <v>0</v>
      </c>
      <c r="X1027" s="6">
        <f t="shared" si="23"/>
        <v>0</v>
      </c>
      <c r="Y1027" s="1">
        <f t="shared" si="29"/>
        <v>1</v>
      </c>
      <c r="Z1027" s="1">
        <f>IF(COUNTIF($Y$6:Y1027,Y1027)=1,Y1027,Y1027+COUNTIF($Y$5:Y1026,Y1027))</f>
        <v>22</v>
      </c>
      <c r="AD1027" s="1" t="str">
        <f t="shared" si="30"/>
        <v/>
      </c>
      <c r="BA1027" s="1">
        <f>IF(W1027&lt;=Leltar_iv!$Y$1,I1027,0)</f>
        <v>0</v>
      </c>
    </row>
    <row r="1028" spans="1:53" s="1" customFormat="1" x14ac:dyDescent="0.25">
      <c r="A1028" s="18">
        <f>IF(COUNTIF($Y$6:Y1028,Y1028)=1,Y1028,Y1028+COUNTIF($Y$5:Y1027,Y1028))</f>
        <v>23</v>
      </c>
      <c r="B1028" s="1">
        <f>IF(AND(Kisero_iv!$N$2=C1028,Kisero_iv!$K$5=$B$3,SUM(I1028:L1032)&lt;&gt;0,$B$4=YEAR(W1028)),B1027+1,0)</f>
        <v>0</v>
      </c>
      <c r="C1028" s="1">
        <f t="shared" si="24"/>
        <v>23</v>
      </c>
      <c r="D1028" s="102" t="str">
        <f t="shared" si="25"/>
        <v/>
      </c>
      <c r="E1028" s="44"/>
      <c r="F1028" s="45"/>
      <c r="G1028" s="45"/>
      <c r="H1028" s="45"/>
      <c r="I1028" s="46"/>
      <c r="J1028" s="111" t="str">
        <f>IF(AND(G1028&lt;&gt;"",ISERROR(VLOOKUP(G1028,Keszlet!$C$5:$H$200,6,FALSE))=FALSE),VLOOKUP(G1028,Keszlet!$C$5:$H$200,6,FALSE),"")</f>
        <v/>
      </c>
      <c r="K1028" s="106" t="str">
        <f>IF(AND(G1028&lt;&gt;"",ISERROR(VLOOKUP(G1028,Keszlet!$C$5:$G$200,5,FALSE))=FALSE),VLOOKUP(G1028,Keszlet!$C$5:$G$200,5,FALSE),"")</f>
        <v/>
      </c>
      <c r="L1028" s="106" t="str">
        <f t="shared" si="26"/>
        <v/>
      </c>
      <c r="M1028" s="115" t="str">
        <f>IF(ISERROR(VLOOKUP(G1028,Keszlet!$C$5:$I$200,7,FALSE))=TRUE,"",IF(AND(J1027&lt;&gt;"",J1029=""),VLOOKUP(G1028,Keszlet!$C$5:$I$200,7,FALSE),""))</f>
        <v/>
      </c>
      <c r="Q1028" s="1">
        <f>VLOOKUP(G1028,Keszlet!$C$5:$E$205,3,FALSE)</f>
        <v>0</v>
      </c>
      <c r="T1028" s="1" t="str">
        <f t="shared" si="27"/>
        <v/>
      </c>
      <c r="U1028" s="1">
        <f t="shared" si="28"/>
        <v>0</v>
      </c>
      <c r="W1028" s="6">
        <f t="shared" si="31"/>
        <v>0</v>
      </c>
      <c r="X1028" s="6">
        <f t="shared" si="23"/>
        <v>0</v>
      </c>
      <c r="Y1028" s="1">
        <f t="shared" si="29"/>
        <v>1</v>
      </c>
      <c r="Z1028" s="1">
        <f>IF(COUNTIF($Y$6:Y1028,Y1028)=1,Y1028,Y1028+COUNTIF($Y$5:Y1027,Y1028))</f>
        <v>23</v>
      </c>
      <c r="AD1028" s="1" t="str">
        <f t="shared" si="30"/>
        <v/>
      </c>
      <c r="BA1028" s="1">
        <f>IF(W1028&lt;=Leltar_iv!$Y$1,I1028,0)</f>
        <v>0</v>
      </c>
    </row>
    <row r="1029" spans="1:53" s="1" customFormat="1" x14ac:dyDescent="0.25">
      <c r="A1029" s="18">
        <f>IF(COUNTIF($Y$6:Y1029,Y1029)=1,Y1029,Y1029+COUNTIF($Y$5:Y1028,Y1029))</f>
        <v>24</v>
      </c>
      <c r="B1029" s="1">
        <f>IF(AND(Kisero_iv!$N$2=C1029,Kisero_iv!$K$5=$B$3,SUM(I1029:L1033)&lt;&gt;0,$B$4=YEAR(W1029)),B1028+1,0)</f>
        <v>0</v>
      </c>
      <c r="C1029" s="1">
        <f t="shared" si="24"/>
        <v>24</v>
      </c>
      <c r="D1029" s="102" t="str">
        <f t="shared" si="25"/>
        <v/>
      </c>
      <c r="E1029" s="44"/>
      <c r="F1029" s="45"/>
      <c r="G1029" s="45"/>
      <c r="H1029" s="45"/>
      <c r="I1029" s="46"/>
      <c r="J1029" s="111" t="str">
        <f>IF(AND(G1029&lt;&gt;"",ISERROR(VLOOKUP(G1029,Keszlet!$C$5:$H$200,6,FALSE))=FALSE),VLOOKUP(G1029,Keszlet!$C$5:$H$200,6,FALSE),"")</f>
        <v/>
      </c>
      <c r="K1029" s="106" t="str">
        <f>IF(AND(G1029&lt;&gt;"",ISERROR(VLOOKUP(G1029,Keszlet!$C$5:$G$200,5,FALSE))=FALSE),VLOOKUP(G1029,Keszlet!$C$5:$G$200,5,FALSE),"")</f>
        <v/>
      </c>
      <c r="L1029" s="106" t="str">
        <f t="shared" si="26"/>
        <v/>
      </c>
      <c r="M1029" s="115" t="str">
        <f>IF(ISERROR(VLOOKUP(G1029,Keszlet!$C$5:$I$200,7,FALSE))=TRUE,"",IF(AND(J1028&lt;&gt;"",J1030=""),VLOOKUP(G1029,Keszlet!$C$5:$I$200,7,FALSE),""))</f>
        <v/>
      </c>
      <c r="Q1029" s="1">
        <f>VLOOKUP(G1029,Keszlet!$C$5:$E$205,3,FALSE)</f>
        <v>0</v>
      </c>
      <c r="T1029" s="1" t="str">
        <f t="shared" si="27"/>
        <v/>
      </c>
      <c r="U1029" s="1">
        <f t="shared" si="28"/>
        <v>0</v>
      </c>
      <c r="W1029" s="6">
        <f t="shared" si="31"/>
        <v>0</v>
      </c>
      <c r="X1029" s="6">
        <f t="shared" si="23"/>
        <v>0</v>
      </c>
      <c r="Y1029" s="1">
        <f t="shared" si="29"/>
        <v>1</v>
      </c>
      <c r="Z1029" s="1">
        <f>IF(COUNTIF($Y$6:Y1029,Y1029)=1,Y1029,Y1029+COUNTIF($Y$5:Y1028,Y1029))</f>
        <v>24</v>
      </c>
      <c r="AD1029" s="1" t="str">
        <f t="shared" si="30"/>
        <v/>
      </c>
      <c r="BA1029" s="1">
        <f>IF(W1029&lt;=Leltar_iv!$Y$1,I1029,0)</f>
        <v>0</v>
      </c>
    </row>
    <row r="1030" spans="1:53" s="1" customFormat="1" x14ac:dyDescent="0.25">
      <c r="A1030" s="18">
        <f>IF(COUNTIF($Y$6:Y1030,Y1030)=1,Y1030,Y1030+COUNTIF($Y$5:Y1029,Y1030))</f>
        <v>25</v>
      </c>
      <c r="B1030" s="1">
        <f>IF(AND(Kisero_iv!$N$2=C1030,Kisero_iv!$K$5=$B$3,SUM(I1030:L1034)&lt;&gt;0,$B$4=YEAR(W1030)),B1029+1,0)</f>
        <v>0</v>
      </c>
      <c r="C1030" s="1">
        <f t="shared" si="24"/>
        <v>25</v>
      </c>
      <c r="D1030" s="102" t="str">
        <f t="shared" si="25"/>
        <v/>
      </c>
      <c r="E1030" s="44"/>
      <c r="F1030" s="45"/>
      <c r="G1030" s="45"/>
      <c r="H1030" s="45"/>
      <c r="I1030" s="46"/>
      <c r="J1030" s="111" t="str">
        <f>IF(AND(G1030&lt;&gt;"",ISERROR(VLOOKUP(G1030,Keszlet!$C$5:$H$200,6,FALSE))=FALSE),VLOOKUP(G1030,Keszlet!$C$5:$H$200,6,FALSE),"")</f>
        <v/>
      </c>
      <c r="K1030" s="106" t="str">
        <f>IF(AND(G1030&lt;&gt;"",ISERROR(VLOOKUP(G1030,Keszlet!$C$5:$G$200,5,FALSE))=FALSE),VLOOKUP(G1030,Keszlet!$C$5:$G$200,5,FALSE),"")</f>
        <v/>
      </c>
      <c r="L1030" s="106" t="str">
        <f t="shared" si="26"/>
        <v/>
      </c>
      <c r="M1030" s="115" t="str">
        <f>IF(ISERROR(VLOOKUP(G1030,Keszlet!$C$5:$I$200,7,FALSE))=TRUE,"",IF(AND(J1029&lt;&gt;"",J1031=""),VLOOKUP(G1030,Keszlet!$C$5:$I$200,7,FALSE),""))</f>
        <v/>
      </c>
      <c r="Q1030" s="1">
        <f>VLOOKUP(G1030,Keszlet!$C$5:$E$205,3,FALSE)</f>
        <v>0</v>
      </c>
      <c r="T1030" s="1" t="str">
        <f t="shared" si="27"/>
        <v/>
      </c>
      <c r="U1030" s="1">
        <f t="shared" si="28"/>
        <v>0</v>
      </c>
      <c r="W1030" s="6">
        <f t="shared" si="31"/>
        <v>0</v>
      </c>
      <c r="X1030" s="6">
        <f t="shared" si="23"/>
        <v>0</v>
      </c>
      <c r="Y1030" s="1">
        <f t="shared" si="29"/>
        <v>1</v>
      </c>
      <c r="Z1030" s="1">
        <f>IF(COUNTIF($Y$6:Y1030,Y1030)=1,Y1030,Y1030+COUNTIF($Y$5:Y1029,Y1030))</f>
        <v>25</v>
      </c>
      <c r="AD1030" s="1" t="str">
        <f t="shared" si="30"/>
        <v/>
      </c>
      <c r="BA1030" s="1">
        <f>IF(W1030&lt;=Leltar_iv!$Y$1,I1030,0)</f>
        <v>0</v>
      </c>
    </row>
    <row r="1031" spans="1:53" s="1" customFormat="1" x14ac:dyDescent="0.25">
      <c r="A1031" s="18">
        <f>IF(COUNTIF($Y$6:Y1031,Y1031)=1,Y1031,Y1031+COUNTIF($Y$5:Y1030,Y1031))</f>
        <v>26</v>
      </c>
      <c r="B1031" s="1">
        <f>IF(AND(Kisero_iv!$N$2=C1031,Kisero_iv!$K$5=$B$3,SUM(I1031:L1035)&lt;&gt;0,$B$4=YEAR(W1031)),B1030+1,0)</f>
        <v>0</v>
      </c>
      <c r="C1031" s="1">
        <f t="shared" si="24"/>
        <v>26</v>
      </c>
      <c r="D1031" s="102" t="str">
        <f t="shared" si="25"/>
        <v/>
      </c>
      <c r="E1031" s="44"/>
      <c r="F1031" s="45"/>
      <c r="G1031" s="45"/>
      <c r="H1031" s="45"/>
      <c r="I1031" s="46"/>
      <c r="J1031" s="111" t="str">
        <f>IF(AND(G1031&lt;&gt;"",ISERROR(VLOOKUP(G1031,Keszlet!$C$5:$H$200,6,FALSE))=FALSE),VLOOKUP(G1031,Keszlet!$C$5:$H$200,6,FALSE),"")</f>
        <v/>
      </c>
      <c r="K1031" s="106" t="str">
        <f>IF(AND(G1031&lt;&gt;"",ISERROR(VLOOKUP(G1031,Keszlet!$C$5:$G$200,5,FALSE))=FALSE),VLOOKUP(G1031,Keszlet!$C$5:$G$200,5,FALSE),"")</f>
        <v/>
      </c>
      <c r="L1031" s="106" t="str">
        <f t="shared" si="26"/>
        <v/>
      </c>
      <c r="M1031" s="115" t="str">
        <f>IF(ISERROR(VLOOKUP(G1031,Keszlet!$C$5:$I$200,7,FALSE))=TRUE,"",IF(AND(J1030&lt;&gt;"",J1032=""),VLOOKUP(G1031,Keszlet!$C$5:$I$200,7,FALSE),""))</f>
        <v/>
      </c>
      <c r="Q1031" s="1">
        <f>VLOOKUP(G1031,Keszlet!$C$5:$E$205,3,FALSE)</f>
        <v>0</v>
      </c>
      <c r="T1031" s="1" t="str">
        <f t="shared" si="27"/>
        <v/>
      </c>
      <c r="U1031" s="1">
        <f t="shared" si="28"/>
        <v>0</v>
      </c>
      <c r="W1031" s="6">
        <f t="shared" si="31"/>
        <v>0</v>
      </c>
      <c r="X1031" s="6">
        <f t="shared" si="23"/>
        <v>0</v>
      </c>
      <c r="Y1031" s="1">
        <f t="shared" si="29"/>
        <v>1</v>
      </c>
      <c r="Z1031" s="1">
        <f>IF(COUNTIF($Y$6:Y1031,Y1031)=1,Y1031,Y1031+COUNTIF($Y$5:Y1030,Y1031))</f>
        <v>26</v>
      </c>
      <c r="AD1031" s="1" t="str">
        <f t="shared" si="30"/>
        <v/>
      </c>
      <c r="BA1031" s="1">
        <f>IF(W1031&lt;=Leltar_iv!$Y$1,I1031,0)</f>
        <v>0</v>
      </c>
    </row>
    <row r="1032" spans="1:53" s="1" customFormat="1" x14ac:dyDescent="0.25">
      <c r="A1032" s="18">
        <f>IF(COUNTIF($Y$6:Y1032,Y1032)=1,Y1032,Y1032+COUNTIF($Y$5:Y1031,Y1032))</f>
        <v>27</v>
      </c>
      <c r="B1032" s="1">
        <f>IF(AND(Kisero_iv!$N$2=C1032,Kisero_iv!$K$5=$B$3,SUM(I1032:L1036)&lt;&gt;0,$B$4=YEAR(W1032)),B1031+1,0)</f>
        <v>0</v>
      </c>
      <c r="C1032" s="1">
        <f t="shared" si="24"/>
        <v>27</v>
      </c>
      <c r="D1032" s="102" t="str">
        <f t="shared" si="25"/>
        <v/>
      </c>
      <c r="E1032" s="44"/>
      <c r="F1032" s="45"/>
      <c r="G1032" s="45"/>
      <c r="H1032" s="45"/>
      <c r="I1032" s="46"/>
      <c r="J1032" s="111" t="str">
        <f>IF(AND(G1032&lt;&gt;"",ISERROR(VLOOKUP(G1032,Keszlet!$C$5:$H$200,6,FALSE))=FALSE),VLOOKUP(G1032,Keszlet!$C$5:$H$200,6,FALSE),"")</f>
        <v/>
      </c>
      <c r="K1032" s="106" t="str">
        <f>IF(AND(G1032&lt;&gt;"",ISERROR(VLOOKUP(G1032,Keszlet!$C$5:$G$200,5,FALSE))=FALSE),VLOOKUP(G1032,Keszlet!$C$5:$G$200,5,FALSE),"")</f>
        <v/>
      </c>
      <c r="L1032" s="106" t="str">
        <f t="shared" si="26"/>
        <v/>
      </c>
      <c r="M1032" s="115" t="str">
        <f>IF(ISERROR(VLOOKUP(G1032,Keszlet!$C$5:$I$200,7,FALSE))=TRUE,"",IF(AND(J1031&lt;&gt;"",J1033=""),VLOOKUP(G1032,Keszlet!$C$5:$I$200,7,FALSE),""))</f>
        <v/>
      </c>
      <c r="Q1032" s="1">
        <f>VLOOKUP(G1032,Keszlet!$C$5:$E$205,3,FALSE)</f>
        <v>0</v>
      </c>
      <c r="T1032" s="1" t="str">
        <f t="shared" si="27"/>
        <v/>
      </c>
      <c r="U1032" s="1">
        <f t="shared" si="28"/>
        <v>0</v>
      </c>
      <c r="W1032" s="6">
        <f t="shared" si="31"/>
        <v>0</v>
      </c>
      <c r="X1032" s="6">
        <f t="shared" si="23"/>
        <v>0</v>
      </c>
      <c r="Y1032" s="1">
        <f t="shared" si="29"/>
        <v>1</v>
      </c>
      <c r="Z1032" s="1">
        <f>IF(COUNTIF($Y$6:Y1032,Y1032)=1,Y1032,Y1032+COUNTIF($Y$5:Y1031,Y1032))</f>
        <v>27</v>
      </c>
      <c r="AD1032" s="1" t="str">
        <f t="shared" si="30"/>
        <v/>
      </c>
      <c r="BA1032" s="1">
        <f>IF(W1032&lt;=Leltar_iv!$Y$1,I1032,0)</f>
        <v>0</v>
      </c>
    </row>
    <row r="1033" spans="1:53" s="1" customFormat="1" x14ac:dyDescent="0.25">
      <c r="A1033" s="18">
        <f>IF(COUNTIF($Y$6:Y1033,Y1033)=1,Y1033,Y1033+COUNTIF($Y$5:Y1032,Y1033))</f>
        <v>28</v>
      </c>
      <c r="B1033" s="1">
        <f>IF(AND(Kisero_iv!$N$2=C1033,Kisero_iv!$K$5=$B$3,SUM(I1033:L1037)&lt;&gt;0,$B$4=YEAR(W1033)),B1032+1,0)</f>
        <v>0</v>
      </c>
      <c r="C1033" s="1">
        <f t="shared" si="24"/>
        <v>28</v>
      </c>
      <c r="D1033" s="102" t="str">
        <f t="shared" si="25"/>
        <v/>
      </c>
      <c r="E1033" s="44"/>
      <c r="F1033" s="45"/>
      <c r="G1033" s="45"/>
      <c r="H1033" s="45"/>
      <c r="I1033" s="46"/>
      <c r="J1033" s="111" t="str">
        <f>IF(AND(G1033&lt;&gt;"",ISERROR(VLOOKUP(G1033,Keszlet!$C$5:$H$200,6,FALSE))=FALSE),VLOOKUP(G1033,Keszlet!$C$5:$H$200,6,FALSE),"")</f>
        <v/>
      </c>
      <c r="K1033" s="106" t="str">
        <f>IF(AND(G1033&lt;&gt;"",ISERROR(VLOOKUP(G1033,Keszlet!$C$5:$G$200,5,FALSE))=FALSE),VLOOKUP(G1033,Keszlet!$C$5:$G$200,5,FALSE),"")</f>
        <v/>
      </c>
      <c r="L1033" s="106" t="str">
        <f t="shared" si="26"/>
        <v/>
      </c>
      <c r="M1033" s="115" t="str">
        <f>IF(ISERROR(VLOOKUP(G1033,Keszlet!$C$5:$I$200,7,FALSE))=TRUE,"",IF(AND(J1032&lt;&gt;"",J1034=""),VLOOKUP(G1033,Keszlet!$C$5:$I$200,7,FALSE),""))</f>
        <v/>
      </c>
      <c r="Q1033" s="1">
        <f>VLOOKUP(G1033,Keszlet!$C$5:$E$205,3,FALSE)</f>
        <v>0</v>
      </c>
      <c r="T1033" s="1" t="str">
        <f t="shared" si="27"/>
        <v/>
      </c>
      <c r="U1033" s="1">
        <f t="shared" si="28"/>
        <v>0</v>
      </c>
      <c r="W1033" s="6">
        <f t="shared" si="31"/>
        <v>0</v>
      </c>
      <c r="X1033" s="6">
        <f t="shared" si="23"/>
        <v>0</v>
      </c>
      <c r="Y1033" s="1">
        <f t="shared" si="29"/>
        <v>1</v>
      </c>
      <c r="Z1033" s="1">
        <f>IF(COUNTIF($Y$6:Y1033,Y1033)=1,Y1033,Y1033+COUNTIF($Y$5:Y1032,Y1033))</f>
        <v>28</v>
      </c>
      <c r="AD1033" s="1" t="str">
        <f t="shared" si="30"/>
        <v/>
      </c>
      <c r="BA1033" s="1">
        <f>IF(W1033&lt;=Leltar_iv!$Y$1,I1033,0)</f>
        <v>0</v>
      </c>
    </row>
    <row r="1034" spans="1:53" s="1" customFormat="1" x14ac:dyDescent="0.25">
      <c r="A1034" s="18">
        <f>IF(COUNTIF($Y$6:Y1034,Y1034)=1,Y1034,Y1034+COUNTIF($Y$5:Y1033,Y1034))</f>
        <v>29</v>
      </c>
      <c r="B1034" s="1">
        <f>IF(AND(Kisero_iv!$N$2=C1034,Kisero_iv!$K$5=$B$3,SUM(I1034:L1038)&lt;&gt;0,$B$4=YEAR(W1034)),B1033+1,0)</f>
        <v>0</v>
      </c>
      <c r="C1034" s="1">
        <f t="shared" si="24"/>
        <v>29</v>
      </c>
      <c r="D1034" s="102" t="str">
        <f t="shared" si="25"/>
        <v/>
      </c>
      <c r="E1034" s="44"/>
      <c r="F1034" s="45"/>
      <c r="G1034" s="45"/>
      <c r="H1034" s="45"/>
      <c r="I1034" s="46"/>
      <c r="J1034" s="111" t="str">
        <f>IF(AND(G1034&lt;&gt;"",ISERROR(VLOOKUP(G1034,Keszlet!$C$5:$H$200,6,FALSE))=FALSE),VLOOKUP(G1034,Keszlet!$C$5:$H$200,6,FALSE),"")</f>
        <v/>
      </c>
      <c r="K1034" s="106" t="str">
        <f>IF(AND(G1034&lt;&gt;"",ISERROR(VLOOKUP(G1034,Keszlet!$C$5:$G$200,5,FALSE))=FALSE),VLOOKUP(G1034,Keszlet!$C$5:$G$200,5,FALSE),"")</f>
        <v/>
      </c>
      <c r="L1034" s="106" t="str">
        <f t="shared" si="26"/>
        <v/>
      </c>
      <c r="M1034" s="115" t="str">
        <f>IF(ISERROR(VLOOKUP(G1034,Keszlet!$C$5:$I$200,7,FALSE))=TRUE,"",IF(AND(J1033&lt;&gt;"",J1035=""),VLOOKUP(G1034,Keszlet!$C$5:$I$200,7,FALSE),""))</f>
        <v/>
      </c>
      <c r="Q1034" s="1">
        <f>VLOOKUP(G1034,Keszlet!$C$5:$E$205,3,FALSE)</f>
        <v>0</v>
      </c>
      <c r="T1034" s="1" t="str">
        <f t="shared" si="27"/>
        <v/>
      </c>
      <c r="U1034" s="1">
        <f t="shared" si="28"/>
        <v>0</v>
      </c>
      <c r="W1034" s="6">
        <f t="shared" si="31"/>
        <v>0</v>
      </c>
      <c r="X1034" s="6">
        <f t="shared" si="23"/>
        <v>0</v>
      </c>
      <c r="Y1034" s="1">
        <f t="shared" si="29"/>
        <v>1</v>
      </c>
      <c r="Z1034" s="1">
        <f>IF(COUNTIF($Y$6:Y1034,Y1034)=1,Y1034,Y1034+COUNTIF($Y$5:Y1033,Y1034))</f>
        <v>29</v>
      </c>
      <c r="AD1034" s="1" t="str">
        <f t="shared" si="30"/>
        <v/>
      </c>
      <c r="BA1034" s="1">
        <f>IF(W1034&lt;=Leltar_iv!$Y$1,I1034,0)</f>
        <v>0</v>
      </c>
    </row>
    <row r="1035" spans="1:53" s="1" customFormat="1" x14ac:dyDescent="0.25">
      <c r="A1035" s="18">
        <f>IF(COUNTIF($Y$6:Y1035,Y1035)=1,Y1035,Y1035+COUNTIF($Y$5:Y1034,Y1035))</f>
        <v>30</v>
      </c>
      <c r="B1035" s="1">
        <f>IF(AND(Kisero_iv!$N$2=C1035,Kisero_iv!$K$5=$B$3,SUM(I1035:L1039)&lt;&gt;0,$B$4=YEAR(W1035)),B1034+1,0)</f>
        <v>0</v>
      </c>
      <c r="C1035" s="1">
        <f t="shared" si="24"/>
        <v>30</v>
      </c>
      <c r="D1035" s="102" t="str">
        <f t="shared" si="25"/>
        <v/>
      </c>
      <c r="E1035" s="44"/>
      <c r="F1035" s="45"/>
      <c r="G1035" s="45"/>
      <c r="H1035" s="45"/>
      <c r="I1035" s="46"/>
      <c r="J1035" s="111" t="str">
        <f>IF(AND(G1035&lt;&gt;"",ISERROR(VLOOKUP(G1035,Keszlet!$C$5:$H$200,6,FALSE))=FALSE),VLOOKUP(G1035,Keszlet!$C$5:$H$200,6,FALSE),"")</f>
        <v/>
      </c>
      <c r="K1035" s="106" t="str">
        <f>IF(AND(G1035&lt;&gt;"",ISERROR(VLOOKUP(G1035,Keszlet!$C$5:$G$200,5,FALSE))=FALSE),VLOOKUP(G1035,Keszlet!$C$5:$G$200,5,FALSE),"")</f>
        <v/>
      </c>
      <c r="L1035" s="106" t="str">
        <f t="shared" si="26"/>
        <v/>
      </c>
      <c r="M1035" s="115" t="str">
        <f>IF(ISERROR(VLOOKUP(G1035,Keszlet!$C$5:$I$200,7,FALSE))=TRUE,"",IF(AND(J1034&lt;&gt;"",J1036=""),VLOOKUP(G1035,Keszlet!$C$5:$I$200,7,FALSE),""))</f>
        <v/>
      </c>
      <c r="Q1035" s="1">
        <f>VLOOKUP(G1035,Keszlet!$C$5:$E$205,3,FALSE)</f>
        <v>0</v>
      </c>
      <c r="T1035" s="1" t="str">
        <f t="shared" si="27"/>
        <v/>
      </c>
      <c r="U1035" s="1">
        <f t="shared" si="28"/>
        <v>0</v>
      </c>
      <c r="W1035" s="6">
        <f t="shared" si="31"/>
        <v>0</v>
      </c>
      <c r="X1035" s="6">
        <f t="shared" si="23"/>
        <v>0</v>
      </c>
      <c r="Y1035" s="1">
        <f t="shared" si="29"/>
        <v>1</v>
      </c>
      <c r="Z1035" s="1">
        <f>IF(COUNTIF($Y$6:Y1035,Y1035)=1,Y1035,Y1035+COUNTIF($Y$5:Y1034,Y1035))</f>
        <v>30</v>
      </c>
      <c r="AD1035" s="1" t="str">
        <f t="shared" si="30"/>
        <v/>
      </c>
      <c r="BA1035" s="1">
        <f>IF(W1035&lt;=Leltar_iv!$Y$1,I1035,0)</f>
        <v>0</v>
      </c>
    </row>
    <row r="1036" spans="1:53" s="1" customFormat="1" x14ac:dyDescent="0.25">
      <c r="A1036" s="18">
        <f>IF(COUNTIF($Y$6:Y1036,Y1036)=1,Y1036,Y1036+COUNTIF($Y$5:Y1035,Y1036))</f>
        <v>31</v>
      </c>
      <c r="B1036" s="1">
        <f>IF(AND(Kisero_iv!$N$2=C1036,Kisero_iv!$K$5=$B$3,SUM(I1036:L1040)&lt;&gt;0,$B$4=YEAR(W1036)),B1035+1,0)</f>
        <v>0</v>
      </c>
      <c r="C1036" s="1">
        <f t="shared" si="24"/>
        <v>31</v>
      </c>
      <c r="D1036" s="102" t="str">
        <f t="shared" si="25"/>
        <v/>
      </c>
      <c r="E1036" s="44"/>
      <c r="F1036" s="45"/>
      <c r="G1036" s="45"/>
      <c r="H1036" s="45"/>
      <c r="I1036" s="46"/>
      <c r="J1036" s="111" t="str">
        <f>IF(AND(G1036&lt;&gt;"",ISERROR(VLOOKUP(G1036,Keszlet!$C$5:$H$200,6,FALSE))=FALSE),VLOOKUP(G1036,Keszlet!$C$5:$H$200,6,FALSE),"")</f>
        <v/>
      </c>
      <c r="K1036" s="106" t="str">
        <f>IF(AND(G1036&lt;&gt;"",ISERROR(VLOOKUP(G1036,Keszlet!$C$5:$G$200,5,FALSE))=FALSE),VLOOKUP(G1036,Keszlet!$C$5:$G$200,5,FALSE),"")</f>
        <v/>
      </c>
      <c r="L1036" s="106" t="str">
        <f t="shared" si="26"/>
        <v/>
      </c>
      <c r="M1036" s="115" t="str">
        <f>IF(ISERROR(VLOOKUP(G1036,Keszlet!$C$5:$I$200,7,FALSE))=TRUE,"",IF(AND(J1035&lt;&gt;"",J1037=""),VLOOKUP(G1036,Keszlet!$C$5:$I$200,7,FALSE),""))</f>
        <v/>
      </c>
      <c r="Q1036" s="1">
        <f>VLOOKUP(G1036,Keszlet!$C$5:$E$205,3,FALSE)</f>
        <v>0</v>
      </c>
      <c r="T1036" s="1" t="str">
        <f t="shared" si="27"/>
        <v/>
      </c>
      <c r="U1036" s="1">
        <f t="shared" si="28"/>
        <v>0</v>
      </c>
      <c r="W1036" s="6">
        <f t="shared" si="31"/>
        <v>0</v>
      </c>
      <c r="X1036" s="6">
        <f t="shared" si="23"/>
        <v>0</v>
      </c>
      <c r="Y1036" s="1">
        <f t="shared" si="29"/>
        <v>1</v>
      </c>
      <c r="Z1036" s="1">
        <f>IF(COUNTIF($Y$6:Y1036,Y1036)=1,Y1036,Y1036+COUNTIF($Y$5:Y1035,Y1036))</f>
        <v>31</v>
      </c>
      <c r="AD1036" s="1" t="str">
        <f t="shared" si="30"/>
        <v/>
      </c>
      <c r="BA1036" s="1">
        <f>IF(W1036&lt;=Leltar_iv!$Y$1,I1036,0)</f>
        <v>0</v>
      </c>
    </row>
    <row r="1037" spans="1:53" s="1" customFormat="1" x14ac:dyDescent="0.25">
      <c r="A1037" s="18">
        <f>IF(COUNTIF($Y$6:Y1037,Y1037)=1,Y1037,Y1037+COUNTIF($Y$5:Y1036,Y1037))</f>
        <v>32</v>
      </c>
      <c r="B1037" s="1">
        <f>IF(AND(Kisero_iv!$N$2=C1037,Kisero_iv!$K$5=$B$3,SUM(I1037:L1041)&lt;&gt;0,$B$4=YEAR(W1037)),B1036+1,0)</f>
        <v>0</v>
      </c>
      <c r="C1037" s="1">
        <f t="shared" si="24"/>
        <v>32</v>
      </c>
      <c r="D1037" s="102" t="str">
        <f t="shared" si="25"/>
        <v/>
      </c>
      <c r="E1037" s="44"/>
      <c r="F1037" s="45"/>
      <c r="G1037" s="45"/>
      <c r="H1037" s="45"/>
      <c r="I1037" s="46"/>
      <c r="J1037" s="111" t="str">
        <f>IF(AND(G1037&lt;&gt;"",ISERROR(VLOOKUP(G1037,Keszlet!$C$5:$H$200,6,FALSE))=FALSE),VLOOKUP(G1037,Keszlet!$C$5:$H$200,6,FALSE),"")</f>
        <v/>
      </c>
      <c r="K1037" s="106" t="str">
        <f>IF(AND(G1037&lt;&gt;"",ISERROR(VLOOKUP(G1037,Keszlet!$C$5:$G$200,5,FALSE))=FALSE),VLOOKUP(G1037,Keszlet!$C$5:$G$200,5,FALSE),"")</f>
        <v/>
      </c>
      <c r="L1037" s="106" t="str">
        <f t="shared" si="26"/>
        <v/>
      </c>
      <c r="M1037" s="115" t="str">
        <f>IF(ISERROR(VLOOKUP(G1037,Keszlet!$C$5:$I$200,7,FALSE))=TRUE,"",IF(AND(J1036&lt;&gt;"",J1038=""),VLOOKUP(G1037,Keszlet!$C$5:$I$200,7,FALSE),""))</f>
        <v/>
      </c>
      <c r="Q1037" s="1">
        <f>VLOOKUP(G1037,Keszlet!$C$5:$E$205,3,FALSE)</f>
        <v>0</v>
      </c>
      <c r="T1037" s="1" t="str">
        <f t="shared" si="27"/>
        <v/>
      </c>
      <c r="U1037" s="1">
        <f t="shared" si="28"/>
        <v>0</v>
      </c>
      <c r="W1037" s="6">
        <f t="shared" si="31"/>
        <v>0</v>
      </c>
      <c r="X1037" s="6">
        <f t="shared" si="23"/>
        <v>0</v>
      </c>
      <c r="Y1037" s="1">
        <f t="shared" si="29"/>
        <v>1</v>
      </c>
      <c r="Z1037" s="1">
        <f>IF(COUNTIF($Y$6:Y1037,Y1037)=1,Y1037,Y1037+COUNTIF($Y$5:Y1036,Y1037))</f>
        <v>32</v>
      </c>
      <c r="AD1037" s="1" t="str">
        <f t="shared" si="30"/>
        <v/>
      </c>
      <c r="BA1037" s="1">
        <f>IF(W1037&lt;=Leltar_iv!$Y$1,I1037,0)</f>
        <v>0</v>
      </c>
    </row>
    <row r="1038" spans="1:53" s="1" customFormat="1" x14ac:dyDescent="0.25">
      <c r="A1038" s="18">
        <f>IF(COUNTIF($Y$6:Y1038,Y1038)=1,Y1038,Y1038+COUNTIF($Y$5:Y1037,Y1038))</f>
        <v>33</v>
      </c>
      <c r="B1038" s="1">
        <f>IF(AND(Kisero_iv!$N$2=C1038,Kisero_iv!$K$5=$B$3,SUM(I1038:L1042)&lt;&gt;0,$B$4=YEAR(W1038)),B1037+1,0)</f>
        <v>0</v>
      </c>
      <c r="C1038" s="1">
        <f t="shared" si="24"/>
        <v>33</v>
      </c>
      <c r="D1038" s="102" t="str">
        <f t="shared" si="25"/>
        <v/>
      </c>
      <c r="E1038" s="44"/>
      <c r="F1038" s="45"/>
      <c r="G1038" s="45"/>
      <c r="H1038" s="45"/>
      <c r="I1038" s="46"/>
      <c r="J1038" s="111" t="str">
        <f>IF(AND(G1038&lt;&gt;"",ISERROR(VLOOKUP(G1038,Keszlet!$C$5:$H$200,6,FALSE))=FALSE),VLOOKUP(G1038,Keszlet!$C$5:$H$200,6,FALSE),"")</f>
        <v/>
      </c>
      <c r="K1038" s="106" t="str">
        <f>IF(AND(G1038&lt;&gt;"",ISERROR(VLOOKUP(G1038,Keszlet!$C$5:$G$200,5,FALSE))=FALSE),VLOOKUP(G1038,Keszlet!$C$5:$G$200,5,FALSE),"")</f>
        <v/>
      </c>
      <c r="L1038" s="106" t="str">
        <f t="shared" si="26"/>
        <v/>
      </c>
      <c r="M1038" s="115" t="str">
        <f>IF(ISERROR(VLOOKUP(G1038,Keszlet!$C$5:$I$200,7,FALSE))=TRUE,"",IF(AND(J1037&lt;&gt;"",J1039=""),VLOOKUP(G1038,Keszlet!$C$5:$I$200,7,FALSE),""))</f>
        <v/>
      </c>
      <c r="Q1038" s="1">
        <f>VLOOKUP(G1038,Keszlet!$C$5:$E$205,3,FALSE)</f>
        <v>0</v>
      </c>
      <c r="T1038" s="1" t="str">
        <f t="shared" si="27"/>
        <v/>
      </c>
      <c r="U1038" s="1">
        <f t="shared" si="28"/>
        <v>0</v>
      </c>
      <c r="W1038" s="6">
        <f t="shared" si="31"/>
        <v>0</v>
      </c>
      <c r="X1038" s="6">
        <f t="shared" si="23"/>
        <v>0</v>
      </c>
      <c r="Y1038" s="1">
        <f t="shared" si="29"/>
        <v>1</v>
      </c>
      <c r="Z1038" s="1">
        <f>IF(COUNTIF($Y$6:Y1038,Y1038)=1,Y1038,Y1038+COUNTIF($Y$5:Y1037,Y1038))</f>
        <v>33</v>
      </c>
      <c r="AD1038" s="1" t="str">
        <f t="shared" si="30"/>
        <v/>
      </c>
      <c r="BA1038" s="1">
        <f>IF(W1038&lt;=Leltar_iv!$Y$1,I1038,0)</f>
        <v>0</v>
      </c>
    </row>
    <row r="1039" spans="1:53" s="1" customFormat="1" x14ac:dyDescent="0.25">
      <c r="A1039" s="18">
        <f>IF(COUNTIF($Y$6:Y1039,Y1039)=1,Y1039,Y1039+COUNTIF($Y$5:Y1038,Y1039))</f>
        <v>34</v>
      </c>
      <c r="B1039" s="1">
        <f>IF(AND(Kisero_iv!$N$2=C1039,Kisero_iv!$K$5=$B$3,SUM(I1039:L1043)&lt;&gt;0,$B$4=YEAR(W1039)),B1038+1,0)</f>
        <v>0</v>
      </c>
      <c r="C1039" s="1">
        <f t="shared" si="24"/>
        <v>34</v>
      </c>
      <c r="D1039" s="102" t="str">
        <f t="shared" si="25"/>
        <v/>
      </c>
      <c r="E1039" s="44"/>
      <c r="F1039" s="45"/>
      <c r="G1039" s="45"/>
      <c r="H1039" s="45"/>
      <c r="I1039" s="46"/>
      <c r="J1039" s="111" t="str">
        <f>IF(AND(G1039&lt;&gt;"",ISERROR(VLOOKUP(G1039,Keszlet!$C$5:$H$200,6,FALSE))=FALSE),VLOOKUP(G1039,Keszlet!$C$5:$H$200,6,FALSE),"")</f>
        <v/>
      </c>
      <c r="K1039" s="106" t="str">
        <f>IF(AND(G1039&lt;&gt;"",ISERROR(VLOOKUP(G1039,Keszlet!$C$5:$G$200,5,FALSE))=FALSE),VLOOKUP(G1039,Keszlet!$C$5:$G$200,5,FALSE),"")</f>
        <v/>
      </c>
      <c r="L1039" s="106" t="str">
        <f t="shared" si="26"/>
        <v/>
      </c>
      <c r="M1039" s="115" t="str">
        <f>IF(ISERROR(VLOOKUP(G1039,Keszlet!$C$5:$I$200,7,FALSE))=TRUE,"",IF(AND(J1038&lt;&gt;"",J1040=""),VLOOKUP(G1039,Keszlet!$C$5:$I$200,7,FALSE),""))</f>
        <v/>
      </c>
      <c r="Q1039" s="1">
        <f>VLOOKUP(G1039,Keszlet!$C$5:$E$205,3,FALSE)</f>
        <v>0</v>
      </c>
      <c r="T1039" s="1" t="str">
        <f t="shared" si="27"/>
        <v/>
      </c>
      <c r="U1039" s="1">
        <f t="shared" si="28"/>
        <v>0</v>
      </c>
      <c r="W1039" s="6">
        <f t="shared" si="31"/>
        <v>0</v>
      </c>
      <c r="X1039" s="6">
        <f t="shared" si="23"/>
        <v>0</v>
      </c>
      <c r="Y1039" s="1">
        <f t="shared" si="29"/>
        <v>1</v>
      </c>
      <c r="Z1039" s="1">
        <f>IF(COUNTIF($Y$6:Y1039,Y1039)=1,Y1039,Y1039+COUNTIF($Y$5:Y1038,Y1039))</f>
        <v>34</v>
      </c>
      <c r="AD1039" s="1" t="str">
        <f t="shared" si="30"/>
        <v/>
      </c>
      <c r="BA1039" s="1">
        <f>IF(W1039&lt;=Leltar_iv!$Y$1,I1039,0)</f>
        <v>0</v>
      </c>
    </row>
    <row r="1040" spans="1:53" s="1" customFormat="1" x14ac:dyDescent="0.25">
      <c r="A1040" s="18">
        <f>IF(COUNTIF($Y$6:Y1040,Y1040)=1,Y1040,Y1040+COUNTIF($Y$5:Y1039,Y1040))</f>
        <v>35</v>
      </c>
      <c r="B1040" s="1">
        <f>IF(AND(Kisero_iv!$N$2=C1040,Kisero_iv!$K$5=$B$3,SUM(I1040:L1044)&lt;&gt;0,$B$4=YEAR(W1040)),B1039+1,0)</f>
        <v>0</v>
      </c>
      <c r="C1040" s="1">
        <f t="shared" si="24"/>
        <v>35</v>
      </c>
      <c r="D1040" s="102" t="str">
        <f t="shared" si="25"/>
        <v/>
      </c>
      <c r="E1040" s="44"/>
      <c r="F1040" s="45"/>
      <c r="G1040" s="45"/>
      <c r="H1040" s="45"/>
      <c r="I1040" s="46"/>
      <c r="J1040" s="111" t="str">
        <f>IF(AND(G1040&lt;&gt;"",ISERROR(VLOOKUP(G1040,Keszlet!$C$5:$H$200,6,FALSE))=FALSE),VLOOKUP(G1040,Keszlet!$C$5:$H$200,6,FALSE),"")</f>
        <v/>
      </c>
      <c r="K1040" s="106" t="str">
        <f>IF(AND(G1040&lt;&gt;"",ISERROR(VLOOKUP(G1040,Keszlet!$C$5:$G$200,5,FALSE))=FALSE),VLOOKUP(G1040,Keszlet!$C$5:$G$200,5,FALSE),"")</f>
        <v/>
      </c>
      <c r="L1040" s="106" t="str">
        <f t="shared" si="26"/>
        <v/>
      </c>
      <c r="M1040" s="115" t="str">
        <f>IF(ISERROR(VLOOKUP(G1040,Keszlet!$C$5:$I$200,7,FALSE))=TRUE,"",IF(AND(J1039&lt;&gt;"",J1041=""),VLOOKUP(G1040,Keszlet!$C$5:$I$200,7,FALSE),""))</f>
        <v/>
      </c>
      <c r="Q1040" s="1">
        <f>VLOOKUP(G1040,Keszlet!$C$5:$E$205,3,FALSE)</f>
        <v>0</v>
      </c>
      <c r="T1040" s="1" t="str">
        <f t="shared" si="27"/>
        <v/>
      </c>
      <c r="U1040" s="1">
        <f t="shared" si="28"/>
        <v>0</v>
      </c>
      <c r="W1040" s="6">
        <f t="shared" si="31"/>
        <v>0</v>
      </c>
      <c r="X1040" s="6">
        <f t="shared" si="23"/>
        <v>0</v>
      </c>
      <c r="Y1040" s="1">
        <f t="shared" si="29"/>
        <v>1</v>
      </c>
      <c r="Z1040" s="1">
        <f>IF(COUNTIF($Y$6:Y1040,Y1040)=1,Y1040,Y1040+COUNTIF($Y$5:Y1039,Y1040))</f>
        <v>35</v>
      </c>
      <c r="AD1040" s="1" t="str">
        <f t="shared" si="30"/>
        <v/>
      </c>
      <c r="BA1040" s="1">
        <f>IF(W1040&lt;=Leltar_iv!$Y$1,I1040,0)</f>
        <v>0</v>
      </c>
    </row>
    <row r="1041" spans="1:53" s="1" customFormat="1" x14ac:dyDescent="0.25">
      <c r="A1041" s="18">
        <f>IF(COUNTIF($Y$6:Y1041,Y1041)=1,Y1041,Y1041+COUNTIF($Y$5:Y1040,Y1041))</f>
        <v>36</v>
      </c>
      <c r="B1041" s="1">
        <f>IF(AND(Kisero_iv!$N$2=C1041,Kisero_iv!$K$5=$B$3,SUM(I1041:L1045)&lt;&gt;0,$B$4=YEAR(W1041)),B1040+1,0)</f>
        <v>0</v>
      </c>
      <c r="C1041" s="1">
        <f t="shared" si="24"/>
        <v>36</v>
      </c>
      <c r="D1041" s="102" t="str">
        <f t="shared" si="25"/>
        <v/>
      </c>
      <c r="E1041" s="44"/>
      <c r="F1041" s="45"/>
      <c r="G1041" s="45"/>
      <c r="H1041" s="45"/>
      <c r="I1041" s="46"/>
      <c r="J1041" s="111" t="str">
        <f>IF(AND(G1041&lt;&gt;"",ISERROR(VLOOKUP(G1041,Keszlet!$C$5:$H$200,6,FALSE))=FALSE),VLOOKUP(G1041,Keszlet!$C$5:$H$200,6,FALSE),"")</f>
        <v/>
      </c>
      <c r="K1041" s="106" t="str">
        <f>IF(AND(G1041&lt;&gt;"",ISERROR(VLOOKUP(G1041,Keszlet!$C$5:$G$200,5,FALSE))=FALSE),VLOOKUP(G1041,Keszlet!$C$5:$G$200,5,FALSE),"")</f>
        <v/>
      </c>
      <c r="L1041" s="106" t="str">
        <f t="shared" si="26"/>
        <v/>
      </c>
      <c r="M1041" s="115" t="str">
        <f>IF(ISERROR(VLOOKUP(G1041,Keszlet!$C$5:$I$200,7,FALSE))=TRUE,"",IF(AND(J1040&lt;&gt;"",J1042=""),VLOOKUP(G1041,Keszlet!$C$5:$I$200,7,FALSE),""))</f>
        <v/>
      </c>
      <c r="Q1041" s="1">
        <f>VLOOKUP(G1041,Keszlet!$C$5:$E$205,3,FALSE)</f>
        <v>0</v>
      </c>
      <c r="T1041" s="1" t="str">
        <f t="shared" si="27"/>
        <v/>
      </c>
      <c r="U1041" s="1">
        <f t="shared" si="28"/>
        <v>0</v>
      </c>
      <c r="W1041" s="6">
        <f t="shared" si="31"/>
        <v>0</v>
      </c>
      <c r="X1041" s="6">
        <f t="shared" si="23"/>
        <v>0</v>
      </c>
      <c r="Y1041" s="1">
        <f t="shared" si="29"/>
        <v>1</v>
      </c>
      <c r="Z1041" s="1">
        <f>IF(COUNTIF($Y$6:Y1041,Y1041)=1,Y1041,Y1041+COUNTIF($Y$5:Y1040,Y1041))</f>
        <v>36</v>
      </c>
      <c r="AD1041" s="1" t="str">
        <f t="shared" si="30"/>
        <v/>
      </c>
      <c r="BA1041" s="1">
        <f>IF(W1041&lt;=Leltar_iv!$Y$1,I1041,0)</f>
        <v>0</v>
      </c>
    </row>
    <row r="1042" spans="1:53" s="1" customFormat="1" x14ac:dyDescent="0.25">
      <c r="A1042" s="18">
        <f>IF(COUNTIF($Y$6:Y1042,Y1042)=1,Y1042,Y1042+COUNTIF($Y$5:Y1041,Y1042))</f>
        <v>37</v>
      </c>
      <c r="B1042" s="1">
        <f>IF(AND(Kisero_iv!$N$2=C1042,Kisero_iv!$K$5=$B$3,SUM(I1042:L1046)&lt;&gt;0,$B$4=YEAR(W1042)),B1041+1,0)</f>
        <v>0</v>
      </c>
      <c r="C1042" s="1">
        <f t="shared" si="24"/>
        <v>37</v>
      </c>
      <c r="D1042" s="102" t="str">
        <f t="shared" si="25"/>
        <v/>
      </c>
      <c r="E1042" s="44"/>
      <c r="F1042" s="45"/>
      <c r="G1042" s="45"/>
      <c r="H1042" s="45"/>
      <c r="I1042" s="46"/>
      <c r="J1042" s="111" t="str">
        <f>IF(AND(G1042&lt;&gt;"",ISERROR(VLOOKUP(G1042,Keszlet!$C$5:$H$200,6,FALSE))=FALSE),VLOOKUP(G1042,Keszlet!$C$5:$H$200,6,FALSE),"")</f>
        <v/>
      </c>
      <c r="K1042" s="106" t="str">
        <f>IF(AND(G1042&lt;&gt;"",ISERROR(VLOOKUP(G1042,Keszlet!$C$5:$G$200,5,FALSE))=FALSE),VLOOKUP(G1042,Keszlet!$C$5:$G$200,5,FALSE),"")</f>
        <v/>
      </c>
      <c r="L1042" s="106" t="str">
        <f t="shared" si="26"/>
        <v/>
      </c>
      <c r="M1042" s="115" t="str">
        <f>IF(ISERROR(VLOOKUP(G1042,Keszlet!$C$5:$I$200,7,FALSE))=TRUE,"",IF(AND(J1041&lt;&gt;"",J1043=""),VLOOKUP(G1042,Keszlet!$C$5:$I$200,7,FALSE),""))</f>
        <v/>
      </c>
      <c r="Q1042" s="1">
        <f>VLOOKUP(G1042,Keszlet!$C$5:$E$205,3,FALSE)</f>
        <v>0</v>
      </c>
      <c r="T1042" s="1" t="str">
        <f t="shared" si="27"/>
        <v/>
      </c>
      <c r="U1042" s="1">
        <f t="shared" si="28"/>
        <v>0</v>
      </c>
      <c r="W1042" s="6">
        <f t="shared" si="31"/>
        <v>0</v>
      </c>
      <c r="X1042" s="6">
        <f t="shared" si="23"/>
        <v>0</v>
      </c>
      <c r="Y1042" s="1">
        <f t="shared" si="29"/>
        <v>1</v>
      </c>
      <c r="Z1042" s="1">
        <f>IF(COUNTIF($Y$6:Y1042,Y1042)=1,Y1042,Y1042+COUNTIF($Y$5:Y1041,Y1042))</f>
        <v>37</v>
      </c>
      <c r="AD1042" s="1" t="str">
        <f t="shared" si="30"/>
        <v/>
      </c>
      <c r="BA1042" s="1">
        <f>IF(W1042&lt;=Leltar_iv!$Y$1,I1042,0)</f>
        <v>0</v>
      </c>
    </row>
    <row r="1043" spans="1:53" s="1" customFormat="1" x14ac:dyDescent="0.25">
      <c r="A1043" s="18">
        <f>IF(COUNTIF($Y$6:Y1043,Y1043)=1,Y1043,Y1043+COUNTIF($Y$5:Y1042,Y1043))</f>
        <v>38</v>
      </c>
      <c r="B1043" s="1">
        <f>IF(AND(Kisero_iv!$N$2=C1043,Kisero_iv!$K$5=$B$3,SUM(I1043:L1047)&lt;&gt;0,$B$4=YEAR(W1043)),B1042+1,0)</f>
        <v>0</v>
      </c>
      <c r="C1043" s="1">
        <f t="shared" si="24"/>
        <v>38</v>
      </c>
      <c r="D1043" s="102" t="str">
        <f t="shared" si="25"/>
        <v/>
      </c>
      <c r="E1043" s="44"/>
      <c r="F1043" s="45"/>
      <c r="G1043" s="45"/>
      <c r="H1043" s="45"/>
      <c r="I1043" s="46"/>
      <c r="J1043" s="111" t="str">
        <f>IF(AND(G1043&lt;&gt;"",ISERROR(VLOOKUP(G1043,Keszlet!$C$5:$H$200,6,FALSE))=FALSE),VLOOKUP(G1043,Keszlet!$C$5:$H$200,6,FALSE),"")</f>
        <v/>
      </c>
      <c r="K1043" s="106" t="str">
        <f>IF(AND(G1043&lt;&gt;"",ISERROR(VLOOKUP(G1043,Keszlet!$C$5:$G$200,5,FALSE))=FALSE),VLOOKUP(G1043,Keszlet!$C$5:$G$200,5,FALSE),"")</f>
        <v/>
      </c>
      <c r="L1043" s="106" t="str">
        <f t="shared" si="26"/>
        <v/>
      </c>
      <c r="M1043" s="115" t="str">
        <f>IF(ISERROR(VLOOKUP(G1043,Keszlet!$C$5:$I$200,7,FALSE))=TRUE,"",IF(AND(J1042&lt;&gt;"",J1044=""),VLOOKUP(G1043,Keszlet!$C$5:$I$200,7,FALSE),""))</f>
        <v/>
      </c>
      <c r="Q1043" s="1">
        <f>VLOOKUP(G1043,Keszlet!$C$5:$E$205,3,FALSE)</f>
        <v>0</v>
      </c>
      <c r="T1043" s="1" t="str">
        <f t="shared" si="27"/>
        <v/>
      </c>
      <c r="U1043" s="1">
        <f t="shared" si="28"/>
        <v>0</v>
      </c>
      <c r="W1043" s="6">
        <f t="shared" si="31"/>
        <v>0</v>
      </c>
      <c r="X1043" s="6">
        <f t="shared" si="23"/>
        <v>0</v>
      </c>
      <c r="Y1043" s="1">
        <f t="shared" si="29"/>
        <v>1</v>
      </c>
      <c r="Z1043" s="1">
        <f>IF(COUNTIF($Y$6:Y1043,Y1043)=1,Y1043,Y1043+COUNTIF($Y$5:Y1042,Y1043))</f>
        <v>38</v>
      </c>
      <c r="AD1043" s="1" t="str">
        <f t="shared" si="30"/>
        <v/>
      </c>
      <c r="BA1043" s="1">
        <f>IF(W1043&lt;=Leltar_iv!$Y$1,I1043,0)</f>
        <v>0</v>
      </c>
    </row>
    <row r="1044" spans="1:53" s="1" customFormat="1" x14ac:dyDescent="0.25">
      <c r="A1044" s="18">
        <f>IF(COUNTIF($Y$6:Y1044,Y1044)=1,Y1044,Y1044+COUNTIF($Y$5:Y1043,Y1044))</f>
        <v>39</v>
      </c>
      <c r="B1044" s="1">
        <f>IF(AND(Kisero_iv!$N$2=C1044,Kisero_iv!$K$5=$B$3,SUM(I1044:L1048)&lt;&gt;0,$B$4=YEAR(W1044)),B1043+1,0)</f>
        <v>0</v>
      </c>
      <c r="C1044" s="1">
        <f t="shared" si="24"/>
        <v>39</v>
      </c>
      <c r="D1044" s="102" t="str">
        <f t="shared" si="25"/>
        <v/>
      </c>
      <c r="E1044" s="44"/>
      <c r="F1044" s="45"/>
      <c r="G1044" s="45"/>
      <c r="H1044" s="45"/>
      <c r="I1044" s="46"/>
      <c r="J1044" s="111" t="str">
        <f>IF(AND(G1044&lt;&gt;"",ISERROR(VLOOKUP(G1044,Keszlet!$C$5:$H$200,6,FALSE))=FALSE),VLOOKUP(G1044,Keszlet!$C$5:$H$200,6,FALSE),"")</f>
        <v/>
      </c>
      <c r="K1044" s="106" t="str">
        <f>IF(AND(G1044&lt;&gt;"",ISERROR(VLOOKUP(G1044,Keszlet!$C$5:$G$200,5,FALSE))=FALSE),VLOOKUP(G1044,Keszlet!$C$5:$G$200,5,FALSE),"")</f>
        <v/>
      </c>
      <c r="L1044" s="106" t="str">
        <f t="shared" si="26"/>
        <v/>
      </c>
      <c r="M1044" s="115" t="str">
        <f>IF(ISERROR(VLOOKUP(G1044,Keszlet!$C$5:$I$200,7,FALSE))=TRUE,"",IF(AND(J1043&lt;&gt;"",J1045=""),VLOOKUP(G1044,Keszlet!$C$5:$I$200,7,FALSE),""))</f>
        <v/>
      </c>
      <c r="Q1044" s="1">
        <f>VLOOKUP(G1044,Keszlet!$C$5:$E$205,3,FALSE)</f>
        <v>0</v>
      </c>
      <c r="T1044" s="1" t="str">
        <f t="shared" si="27"/>
        <v/>
      </c>
      <c r="U1044" s="1">
        <f t="shared" si="28"/>
        <v>0</v>
      </c>
      <c r="W1044" s="6">
        <f t="shared" si="31"/>
        <v>0</v>
      </c>
      <c r="X1044" s="6">
        <f t="shared" si="23"/>
        <v>0</v>
      </c>
      <c r="Y1044" s="1">
        <f t="shared" si="29"/>
        <v>1</v>
      </c>
      <c r="Z1044" s="1">
        <f>IF(COUNTIF($Y$6:Y1044,Y1044)=1,Y1044,Y1044+COUNTIF($Y$5:Y1043,Y1044))</f>
        <v>39</v>
      </c>
      <c r="AD1044" s="1" t="str">
        <f t="shared" si="30"/>
        <v/>
      </c>
      <c r="BA1044" s="1">
        <f>IF(W1044&lt;=Leltar_iv!$Y$1,I1044,0)</f>
        <v>0</v>
      </c>
    </row>
    <row r="1045" spans="1:53" s="1" customFormat="1" x14ac:dyDescent="0.25">
      <c r="A1045" s="18">
        <f>IF(COUNTIF($Y$6:Y1045,Y1045)=1,Y1045,Y1045+COUNTIF($Y$5:Y1044,Y1045))</f>
        <v>40</v>
      </c>
      <c r="B1045" s="1">
        <f>IF(AND(Kisero_iv!$N$2=C1045,Kisero_iv!$K$5=$B$3,SUM(I1045:L1049)&lt;&gt;0,$B$4=YEAR(W1045)),B1044+1,0)</f>
        <v>0</v>
      </c>
      <c r="C1045" s="1">
        <f t="shared" si="24"/>
        <v>40</v>
      </c>
      <c r="D1045" s="102" t="str">
        <f t="shared" si="25"/>
        <v/>
      </c>
      <c r="E1045" s="44"/>
      <c r="F1045" s="45"/>
      <c r="G1045" s="45"/>
      <c r="H1045" s="45"/>
      <c r="I1045" s="46"/>
      <c r="J1045" s="111" t="str">
        <f>IF(AND(G1045&lt;&gt;"",ISERROR(VLOOKUP(G1045,Keszlet!$C$5:$H$200,6,FALSE))=FALSE),VLOOKUP(G1045,Keszlet!$C$5:$H$200,6,FALSE),"")</f>
        <v/>
      </c>
      <c r="K1045" s="106" t="str">
        <f>IF(AND(G1045&lt;&gt;"",ISERROR(VLOOKUP(G1045,Keszlet!$C$5:$G$200,5,FALSE))=FALSE),VLOOKUP(G1045,Keszlet!$C$5:$G$200,5,FALSE),"")</f>
        <v/>
      </c>
      <c r="L1045" s="106" t="str">
        <f t="shared" si="26"/>
        <v/>
      </c>
      <c r="M1045" s="115" t="str">
        <f>IF(ISERROR(VLOOKUP(G1045,Keszlet!$C$5:$I$200,7,FALSE))=TRUE,"",IF(AND(J1044&lt;&gt;"",J1046=""),VLOOKUP(G1045,Keszlet!$C$5:$I$200,7,FALSE),""))</f>
        <v/>
      </c>
      <c r="Q1045" s="1">
        <f>VLOOKUP(G1045,Keszlet!$C$5:$E$205,3,FALSE)</f>
        <v>0</v>
      </c>
      <c r="T1045" s="1" t="str">
        <f t="shared" si="27"/>
        <v/>
      </c>
      <c r="U1045" s="1">
        <f t="shared" si="28"/>
        <v>0</v>
      </c>
      <c r="W1045" s="6">
        <f t="shared" si="31"/>
        <v>0</v>
      </c>
      <c r="X1045" s="6">
        <f t="shared" si="23"/>
        <v>0</v>
      </c>
      <c r="Y1045" s="1">
        <f t="shared" si="29"/>
        <v>1</v>
      </c>
      <c r="Z1045" s="1">
        <f>IF(COUNTIF($Y$6:Y1045,Y1045)=1,Y1045,Y1045+COUNTIF($Y$5:Y1044,Y1045))</f>
        <v>40</v>
      </c>
      <c r="AD1045" s="1" t="str">
        <f t="shared" si="30"/>
        <v/>
      </c>
      <c r="BA1045" s="1">
        <f>IF(W1045&lt;=Leltar_iv!$Y$1,I1045,0)</f>
        <v>0</v>
      </c>
    </row>
    <row r="1046" spans="1:53" s="1" customFormat="1" x14ac:dyDescent="0.25">
      <c r="A1046" s="18">
        <f>IF(COUNTIF($Y$6:Y1046,Y1046)=1,Y1046,Y1046+COUNTIF($Y$5:Y1045,Y1046))</f>
        <v>41</v>
      </c>
      <c r="B1046" s="1">
        <f>IF(AND(Kisero_iv!$N$2=C1046,Kisero_iv!$K$5=$B$3,SUM(I1046:L1050)&lt;&gt;0,$B$4=YEAR(W1046)),B1045+1,0)</f>
        <v>0</v>
      </c>
      <c r="C1046" s="1">
        <f t="shared" si="24"/>
        <v>41</v>
      </c>
      <c r="D1046" s="102" t="str">
        <f t="shared" si="25"/>
        <v/>
      </c>
      <c r="E1046" s="44"/>
      <c r="F1046" s="45"/>
      <c r="G1046" s="45"/>
      <c r="H1046" s="45"/>
      <c r="I1046" s="46"/>
      <c r="J1046" s="111" t="str">
        <f>IF(AND(G1046&lt;&gt;"",ISERROR(VLOOKUP(G1046,Keszlet!$C$5:$H$200,6,FALSE))=FALSE),VLOOKUP(G1046,Keszlet!$C$5:$H$200,6,FALSE),"")</f>
        <v/>
      </c>
      <c r="K1046" s="106" t="str">
        <f>IF(AND(G1046&lt;&gt;"",ISERROR(VLOOKUP(G1046,Keszlet!$C$5:$G$200,5,FALSE))=FALSE),VLOOKUP(G1046,Keszlet!$C$5:$G$200,5,FALSE),"")</f>
        <v/>
      </c>
      <c r="L1046" s="106" t="str">
        <f t="shared" si="26"/>
        <v/>
      </c>
      <c r="M1046" s="115" t="str">
        <f>IF(ISERROR(VLOOKUP(G1046,Keszlet!$C$5:$I$200,7,FALSE))=TRUE,"",IF(AND(J1045&lt;&gt;"",J1047=""),VLOOKUP(G1046,Keszlet!$C$5:$I$200,7,FALSE),""))</f>
        <v/>
      </c>
      <c r="Q1046" s="1">
        <f>VLOOKUP(G1046,Keszlet!$C$5:$E$205,3,FALSE)</f>
        <v>0</v>
      </c>
      <c r="T1046" s="1" t="str">
        <f t="shared" si="27"/>
        <v/>
      </c>
      <c r="U1046" s="1">
        <f t="shared" si="28"/>
        <v>0</v>
      </c>
      <c r="W1046" s="6">
        <f t="shared" si="31"/>
        <v>0</v>
      </c>
      <c r="X1046" s="6">
        <f t="shared" si="23"/>
        <v>0</v>
      </c>
      <c r="Y1046" s="1">
        <f t="shared" si="29"/>
        <v>1</v>
      </c>
      <c r="Z1046" s="1">
        <f>IF(COUNTIF($Y$6:Y1046,Y1046)=1,Y1046,Y1046+COUNTIF($Y$5:Y1045,Y1046))</f>
        <v>41</v>
      </c>
      <c r="AD1046" s="1" t="str">
        <f t="shared" si="30"/>
        <v/>
      </c>
      <c r="BA1046" s="1">
        <f>IF(W1046&lt;=Leltar_iv!$Y$1,I1046,0)</f>
        <v>0</v>
      </c>
    </row>
    <row r="1047" spans="1:53" s="1" customFormat="1" x14ac:dyDescent="0.25">
      <c r="A1047" s="18">
        <f>IF(COUNTIF($Y$6:Y1047,Y1047)=1,Y1047,Y1047+COUNTIF($Y$5:Y1046,Y1047))</f>
        <v>42</v>
      </c>
      <c r="B1047" s="1">
        <f>IF(AND(Kisero_iv!$N$2=C1047,Kisero_iv!$K$5=$B$3,SUM(I1047:L1051)&lt;&gt;0,$B$4=YEAR(W1047)),B1046+1,0)</f>
        <v>0</v>
      </c>
      <c r="C1047" s="1">
        <f t="shared" si="24"/>
        <v>42</v>
      </c>
      <c r="D1047" s="102" t="str">
        <f t="shared" si="25"/>
        <v/>
      </c>
      <c r="E1047" s="44"/>
      <c r="F1047" s="45"/>
      <c r="G1047" s="45"/>
      <c r="H1047" s="45"/>
      <c r="I1047" s="46"/>
      <c r="J1047" s="111" t="str">
        <f>IF(AND(G1047&lt;&gt;"",ISERROR(VLOOKUP(G1047,Keszlet!$C$5:$H$200,6,FALSE))=FALSE),VLOOKUP(G1047,Keszlet!$C$5:$H$200,6,FALSE),"")</f>
        <v/>
      </c>
      <c r="K1047" s="106" t="str">
        <f>IF(AND(G1047&lt;&gt;"",ISERROR(VLOOKUP(G1047,Keszlet!$C$5:$G$200,5,FALSE))=FALSE),VLOOKUP(G1047,Keszlet!$C$5:$G$200,5,FALSE),"")</f>
        <v/>
      </c>
      <c r="L1047" s="106" t="str">
        <f t="shared" si="26"/>
        <v/>
      </c>
      <c r="M1047" s="115" t="str">
        <f>IF(ISERROR(VLOOKUP(G1047,Keszlet!$C$5:$I$200,7,FALSE))=TRUE,"",IF(AND(J1046&lt;&gt;"",J1048=""),VLOOKUP(G1047,Keszlet!$C$5:$I$200,7,FALSE),""))</f>
        <v/>
      </c>
      <c r="Q1047" s="1">
        <f>VLOOKUP(G1047,Keszlet!$C$5:$E$205,3,FALSE)</f>
        <v>0</v>
      </c>
      <c r="T1047" s="1" t="str">
        <f t="shared" si="27"/>
        <v/>
      </c>
      <c r="U1047" s="1">
        <f t="shared" si="28"/>
        <v>0</v>
      </c>
      <c r="W1047" s="6">
        <f t="shared" si="31"/>
        <v>0</v>
      </c>
      <c r="X1047" s="6">
        <f t="shared" si="23"/>
        <v>0</v>
      </c>
      <c r="Y1047" s="1">
        <f t="shared" si="29"/>
        <v>1</v>
      </c>
      <c r="Z1047" s="1">
        <f>IF(COUNTIF($Y$6:Y1047,Y1047)=1,Y1047,Y1047+COUNTIF($Y$5:Y1046,Y1047))</f>
        <v>42</v>
      </c>
      <c r="AD1047" s="1" t="str">
        <f t="shared" si="30"/>
        <v/>
      </c>
      <c r="BA1047" s="1">
        <f>IF(W1047&lt;=Leltar_iv!$Y$1,I1047,0)</f>
        <v>0</v>
      </c>
    </row>
    <row r="1048" spans="1:53" s="1" customFormat="1" x14ac:dyDescent="0.25">
      <c r="A1048" s="18">
        <f>IF(COUNTIF($Y$6:Y1048,Y1048)=1,Y1048,Y1048+COUNTIF($Y$5:Y1047,Y1048))</f>
        <v>43</v>
      </c>
      <c r="B1048" s="1">
        <f>IF(AND(Kisero_iv!$N$2=C1048,Kisero_iv!$K$5=$B$3,SUM(I1048:L1052)&lt;&gt;0,$B$4=YEAR(W1048)),B1047+1,0)</f>
        <v>0</v>
      </c>
      <c r="C1048" s="1">
        <f t="shared" si="24"/>
        <v>43</v>
      </c>
      <c r="D1048" s="102" t="str">
        <f t="shared" si="25"/>
        <v/>
      </c>
      <c r="E1048" s="44"/>
      <c r="F1048" s="45"/>
      <c r="G1048" s="45"/>
      <c r="H1048" s="45"/>
      <c r="I1048" s="46"/>
      <c r="J1048" s="111" t="str">
        <f>IF(AND(G1048&lt;&gt;"",ISERROR(VLOOKUP(G1048,Keszlet!$C$5:$H$200,6,FALSE))=FALSE),VLOOKUP(G1048,Keszlet!$C$5:$H$200,6,FALSE),"")</f>
        <v/>
      </c>
      <c r="K1048" s="106" t="str">
        <f>IF(AND(G1048&lt;&gt;"",ISERROR(VLOOKUP(G1048,Keszlet!$C$5:$G$200,5,FALSE))=FALSE),VLOOKUP(G1048,Keszlet!$C$5:$G$200,5,FALSE),"")</f>
        <v/>
      </c>
      <c r="L1048" s="106" t="str">
        <f t="shared" si="26"/>
        <v/>
      </c>
      <c r="M1048" s="115" t="str">
        <f>IF(ISERROR(VLOOKUP(G1048,Keszlet!$C$5:$I$200,7,FALSE))=TRUE,"",IF(AND(J1047&lt;&gt;"",J1049=""),VLOOKUP(G1048,Keszlet!$C$5:$I$200,7,FALSE),""))</f>
        <v/>
      </c>
      <c r="Q1048" s="1">
        <f>VLOOKUP(G1048,Keszlet!$C$5:$E$205,3,FALSE)</f>
        <v>0</v>
      </c>
      <c r="T1048" s="1" t="str">
        <f t="shared" si="27"/>
        <v/>
      </c>
      <c r="U1048" s="1">
        <f t="shared" si="28"/>
        <v>0</v>
      </c>
      <c r="W1048" s="6">
        <f t="shared" si="31"/>
        <v>0</v>
      </c>
      <c r="X1048" s="6">
        <f t="shared" si="23"/>
        <v>0</v>
      </c>
      <c r="Y1048" s="1">
        <f t="shared" si="29"/>
        <v>1</v>
      </c>
      <c r="Z1048" s="1">
        <f>IF(COUNTIF($Y$6:Y1048,Y1048)=1,Y1048,Y1048+COUNTIF($Y$5:Y1047,Y1048))</f>
        <v>43</v>
      </c>
      <c r="AD1048" s="1" t="str">
        <f t="shared" si="30"/>
        <v/>
      </c>
      <c r="BA1048" s="1">
        <f>IF(W1048&lt;=Leltar_iv!$Y$1,I1048,0)</f>
        <v>0</v>
      </c>
    </row>
    <row r="1049" spans="1:53" s="1" customFormat="1" x14ac:dyDescent="0.25">
      <c r="A1049" s="18">
        <f>IF(COUNTIF($Y$6:Y1049,Y1049)=1,Y1049,Y1049+COUNTIF($Y$5:Y1048,Y1049))</f>
        <v>44</v>
      </c>
      <c r="B1049" s="1">
        <f>IF(AND(Kisero_iv!$N$2=C1049,Kisero_iv!$K$5=$B$3,SUM(I1049:L1053)&lt;&gt;0,$B$4=YEAR(W1049)),B1048+1,0)</f>
        <v>0</v>
      </c>
      <c r="C1049" s="1">
        <f t="shared" si="24"/>
        <v>44</v>
      </c>
      <c r="D1049" s="102" t="str">
        <f t="shared" si="25"/>
        <v/>
      </c>
      <c r="E1049" s="44"/>
      <c r="F1049" s="45"/>
      <c r="G1049" s="45"/>
      <c r="H1049" s="45"/>
      <c r="I1049" s="46"/>
      <c r="J1049" s="111" t="str">
        <f>IF(AND(G1049&lt;&gt;"",ISERROR(VLOOKUP(G1049,Keszlet!$C$5:$H$200,6,FALSE))=FALSE),VLOOKUP(G1049,Keszlet!$C$5:$H$200,6,FALSE),"")</f>
        <v/>
      </c>
      <c r="K1049" s="106" t="str">
        <f>IF(AND(G1049&lt;&gt;"",ISERROR(VLOOKUP(G1049,Keszlet!$C$5:$G$200,5,FALSE))=FALSE),VLOOKUP(G1049,Keszlet!$C$5:$G$200,5,FALSE),"")</f>
        <v/>
      </c>
      <c r="L1049" s="106" t="str">
        <f t="shared" si="26"/>
        <v/>
      </c>
      <c r="M1049" s="115" t="str">
        <f>IF(ISERROR(VLOOKUP(G1049,Keszlet!$C$5:$I$200,7,FALSE))=TRUE,"",IF(AND(J1048&lt;&gt;"",J1050=""),VLOOKUP(G1049,Keszlet!$C$5:$I$200,7,FALSE),""))</f>
        <v/>
      </c>
      <c r="Q1049" s="1">
        <f>VLOOKUP(G1049,Keszlet!$C$5:$E$205,3,FALSE)</f>
        <v>0</v>
      </c>
      <c r="T1049" s="1" t="str">
        <f t="shared" si="27"/>
        <v/>
      </c>
      <c r="U1049" s="1">
        <f t="shared" si="28"/>
        <v>0</v>
      </c>
      <c r="W1049" s="6">
        <f t="shared" si="31"/>
        <v>0</v>
      </c>
      <c r="X1049" s="6">
        <f t="shared" si="23"/>
        <v>0</v>
      </c>
      <c r="Y1049" s="1">
        <f t="shared" si="29"/>
        <v>1</v>
      </c>
      <c r="Z1049" s="1">
        <f>IF(COUNTIF($Y$6:Y1049,Y1049)=1,Y1049,Y1049+COUNTIF($Y$5:Y1048,Y1049))</f>
        <v>44</v>
      </c>
      <c r="AD1049" s="1" t="str">
        <f t="shared" si="30"/>
        <v/>
      </c>
      <c r="BA1049" s="1">
        <f>IF(W1049&lt;=Leltar_iv!$Y$1,I1049,0)</f>
        <v>0</v>
      </c>
    </row>
    <row r="1050" spans="1:53" s="1" customFormat="1" x14ac:dyDescent="0.25">
      <c r="A1050" s="18">
        <f>IF(COUNTIF($Y$6:Y1050,Y1050)=1,Y1050,Y1050+COUNTIF($Y$5:Y1049,Y1050))</f>
        <v>45</v>
      </c>
      <c r="B1050" s="1">
        <f>IF(AND(Kisero_iv!$N$2=C1050,Kisero_iv!$K$5=$B$3,SUM(I1050:L1054)&lt;&gt;0,$B$4=YEAR(W1050)),B1049+1,0)</f>
        <v>0</v>
      </c>
      <c r="C1050" s="1">
        <f t="shared" si="24"/>
        <v>45</v>
      </c>
      <c r="D1050" s="102" t="str">
        <f t="shared" si="25"/>
        <v/>
      </c>
      <c r="E1050" s="44"/>
      <c r="F1050" s="45"/>
      <c r="G1050" s="45"/>
      <c r="H1050" s="45"/>
      <c r="I1050" s="46"/>
      <c r="J1050" s="111" t="str">
        <f>IF(AND(G1050&lt;&gt;"",ISERROR(VLOOKUP(G1050,Keszlet!$C$5:$H$200,6,FALSE))=FALSE),VLOOKUP(G1050,Keszlet!$C$5:$H$200,6,FALSE),"")</f>
        <v/>
      </c>
      <c r="K1050" s="106" t="str">
        <f>IF(AND(G1050&lt;&gt;"",ISERROR(VLOOKUP(G1050,Keszlet!$C$5:$G$200,5,FALSE))=FALSE),VLOOKUP(G1050,Keszlet!$C$5:$G$200,5,FALSE),"")</f>
        <v/>
      </c>
      <c r="L1050" s="106" t="str">
        <f t="shared" si="26"/>
        <v/>
      </c>
      <c r="M1050" s="115" t="str">
        <f>IF(ISERROR(VLOOKUP(G1050,Keszlet!$C$5:$I$200,7,FALSE))=TRUE,"",IF(AND(J1049&lt;&gt;"",J1051=""),VLOOKUP(G1050,Keszlet!$C$5:$I$200,7,FALSE),""))</f>
        <v/>
      </c>
      <c r="Q1050" s="1">
        <f>VLOOKUP(G1050,Keszlet!$C$5:$E$205,3,FALSE)</f>
        <v>0</v>
      </c>
      <c r="T1050" s="1" t="str">
        <f t="shared" si="27"/>
        <v/>
      </c>
      <c r="U1050" s="1">
        <f t="shared" si="28"/>
        <v>0</v>
      </c>
      <c r="W1050" s="6">
        <f t="shared" si="31"/>
        <v>0</v>
      </c>
      <c r="X1050" s="6">
        <f t="shared" si="23"/>
        <v>0</v>
      </c>
      <c r="Y1050" s="1">
        <f t="shared" si="29"/>
        <v>1</v>
      </c>
      <c r="Z1050" s="1">
        <f>IF(COUNTIF($Y$6:Y1050,Y1050)=1,Y1050,Y1050+COUNTIF($Y$5:Y1049,Y1050))</f>
        <v>45</v>
      </c>
      <c r="AD1050" s="1" t="str">
        <f t="shared" si="30"/>
        <v/>
      </c>
      <c r="BA1050" s="1">
        <f>IF(W1050&lt;=Leltar_iv!$Y$1,I1050,0)</f>
        <v>0</v>
      </c>
    </row>
    <row r="1051" spans="1:53" s="1" customFormat="1" x14ac:dyDescent="0.25">
      <c r="A1051" s="18">
        <f>IF(COUNTIF($Y$6:Y1051,Y1051)=1,Y1051,Y1051+COUNTIF($Y$5:Y1050,Y1051))</f>
        <v>46</v>
      </c>
      <c r="B1051" s="1">
        <f>IF(AND(Kisero_iv!$N$2=C1051,Kisero_iv!$K$5=$B$3,SUM(I1051:L1055)&lt;&gt;0,$B$4=YEAR(W1051)),B1050+1,0)</f>
        <v>0</v>
      </c>
      <c r="C1051" s="1">
        <f t="shared" si="24"/>
        <v>46</v>
      </c>
      <c r="D1051" s="102" t="str">
        <f t="shared" si="25"/>
        <v/>
      </c>
      <c r="E1051" s="44"/>
      <c r="F1051" s="45"/>
      <c r="G1051" s="45"/>
      <c r="H1051" s="45"/>
      <c r="I1051" s="46"/>
      <c r="J1051" s="111" t="str">
        <f>IF(AND(G1051&lt;&gt;"",ISERROR(VLOOKUP(G1051,Keszlet!$C$5:$H$200,6,FALSE))=FALSE),VLOOKUP(G1051,Keszlet!$C$5:$H$200,6,FALSE),"")</f>
        <v/>
      </c>
      <c r="K1051" s="106" t="str">
        <f>IF(AND(G1051&lt;&gt;"",ISERROR(VLOOKUP(G1051,Keszlet!$C$5:$G$200,5,FALSE))=FALSE),VLOOKUP(G1051,Keszlet!$C$5:$G$200,5,FALSE),"")</f>
        <v/>
      </c>
      <c r="L1051" s="106" t="str">
        <f t="shared" si="26"/>
        <v/>
      </c>
      <c r="M1051" s="115" t="str">
        <f>IF(ISERROR(VLOOKUP(G1051,Keszlet!$C$5:$I$200,7,FALSE))=TRUE,"",IF(AND(J1050&lt;&gt;"",J1052=""),VLOOKUP(G1051,Keszlet!$C$5:$I$200,7,FALSE),""))</f>
        <v/>
      </c>
      <c r="Q1051" s="1">
        <f>VLOOKUP(G1051,Keszlet!$C$5:$E$205,3,FALSE)</f>
        <v>0</v>
      </c>
      <c r="T1051" s="1" t="str">
        <f t="shared" si="27"/>
        <v/>
      </c>
      <c r="U1051" s="1">
        <f t="shared" si="28"/>
        <v>0</v>
      </c>
      <c r="W1051" s="6">
        <f t="shared" si="31"/>
        <v>0</v>
      </c>
      <c r="X1051" s="6">
        <f t="shared" si="23"/>
        <v>0</v>
      </c>
      <c r="Y1051" s="1">
        <f t="shared" si="29"/>
        <v>1</v>
      </c>
      <c r="Z1051" s="1">
        <f>IF(COUNTIF($Y$6:Y1051,Y1051)=1,Y1051,Y1051+COUNTIF($Y$5:Y1050,Y1051))</f>
        <v>46</v>
      </c>
      <c r="AD1051" s="1" t="str">
        <f t="shared" si="30"/>
        <v/>
      </c>
      <c r="BA1051" s="1">
        <f>IF(W1051&lt;=Leltar_iv!$Y$1,I1051,0)</f>
        <v>0</v>
      </c>
    </row>
    <row r="1052" spans="1:53" s="1" customFormat="1" x14ac:dyDescent="0.25">
      <c r="A1052" s="18">
        <f>IF(COUNTIF($Y$6:Y1052,Y1052)=1,Y1052,Y1052+COUNTIF($Y$5:Y1051,Y1052))</f>
        <v>47</v>
      </c>
      <c r="B1052" s="1">
        <f>IF(AND(Kisero_iv!$N$2=C1052,Kisero_iv!$K$5=$B$3,SUM(I1052:L1056)&lt;&gt;0,$B$4=YEAR(W1052)),B1051+1,0)</f>
        <v>0</v>
      </c>
      <c r="C1052" s="1">
        <f t="shared" si="24"/>
        <v>47</v>
      </c>
      <c r="D1052" s="102" t="str">
        <f t="shared" si="25"/>
        <v/>
      </c>
      <c r="E1052" s="44"/>
      <c r="F1052" s="45"/>
      <c r="G1052" s="45"/>
      <c r="H1052" s="45"/>
      <c r="I1052" s="46"/>
      <c r="J1052" s="111" t="str">
        <f>IF(AND(G1052&lt;&gt;"",ISERROR(VLOOKUP(G1052,Keszlet!$C$5:$H$200,6,FALSE))=FALSE),VLOOKUP(G1052,Keszlet!$C$5:$H$200,6,FALSE),"")</f>
        <v/>
      </c>
      <c r="K1052" s="106" t="str">
        <f>IF(AND(G1052&lt;&gt;"",ISERROR(VLOOKUP(G1052,Keszlet!$C$5:$G$200,5,FALSE))=FALSE),VLOOKUP(G1052,Keszlet!$C$5:$G$200,5,FALSE),"")</f>
        <v/>
      </c>
      <c r="L1052" s="106" t="str">
        <f t="shared" si="26"/>
        <v/>
      </c>
      <c r="M1052" s="115" t="str">
        <f>IF(ISERROR(VLOOKUP(G1052,Keszlet!$C$5:$I$200,7,FALSE))=TRUE,"",IF(AND(J1051&lt;&gt;"",J1053=""),VLOOKUP(G1052,Keszlet!$C$5:$I$200,7,FALSE),""))</f>
        <v/>
      </c>
      <c r="Q1052" s="1">
        <f>VLOOKUP(G1052,Keszlet!$C$5:$E$205,3,FALSE)</f>
        <v>0</v>
      </c>
      <c r="T1052" s="1" t="str">
        <f t="shared" si="27"/>
        <v/>
      </c>
      <c r="U1052" s="1">
        <f t="shared" si="28"/>
        <v>0</v>
      </c>
      <c r="W1052" s="6">
        <f t="shared" si="31"/>
        <v>0</v>
      </c>
      <c r="X1052" s="6">
        <f t="shared" si="23"/>
        <v>0</v>
      </c>
      <c r="Y1052" s="1">
        <f t="shared" si="29"/>
        <v>1</v>
      </c>
      <c r="Z1052" s="1">
        <f>IF(COUNTIF($Y$6:Y1052,Y1052)=1,Y1052,Y1052+COUNTIF($Y$5:Y1051,Y1052))</f>
        <v>47</v>
      </c>
      <c r="AD1052" s="1" t="str">
        <f t="shared" si="30"/>
        <v/>
      </c>
      <c r="BA1052" s="1">
        <f>IF(W1052&lt;=Leltar_iv!$Y$1,I1052,0)</f>
        <v>0</v>
      </c>
    </row>
    <row r="1053" spans="1:53" s="1" customFormat="1" x14ac:dyDescent="0.25">
      <c r="A1053" s="18">
        <f>IF(COUNTIF($Y$6:Y1053,Y1053)=1,Y1053,Y1053+COUNTIF($Y$5:Y1052,Y1053))</f>
        <v>48</v>
      </c>
      <c r="B1053" s="1">
        <f>IF(AND(Kisero_iv!$N$2=C1053,Kisero_iv!$K$5=$B$3,SUM(I1053:L1057)&lt;&gt;0,$B$4=YEAR(W1053)),B1052+1,0)</f>
        <v>0</v>
      </c>
      <c r="C1053" s="1">
        <f t="shared" si="24"/>
        <v>48</v>
      </c>
      <c r="D1053" s="102" t="str">
        <f t="shared" si="25"/>
        <v/>
      </c>
      <c r="E1053" s="44"/>
      <c r="F1053" s="45"/>
      <c r="G1053" s="45"/>
      <c r="H1053" s="45"/>
      <c r="I1053" s="46"/>
      <c r="J1053" s="111" t="str">
        <f>IF(AND(G1053&lt;&gt;"",ISERROR(VLOOKUP(G1053,Keszlet!$C$5:$H$200,6,FALSE))=FALSE),VLOOKUP(G1053,Keszlet!$C$5:$H$200,6,FALSE),"")</f>
        <v/>
      </c>
      <c r="K1053" s="106" t="str">
        <f>IF(AND(G1053&lt;&gt;"",ISERROR(VLOOKUP(G1053,Keszlet!$C$5:$G$200,5,FALSE))=FALSE),VLOOKUP(G1053,Keszlet!$C$5:$G$200,5,FALSE),"")</f>
        <v/>
      </c>
      <c r="L1053" s="106" t="str">
        <f t="shared" si="26"/>
        <v/>
      </c>
      <c r="M1053" s="115" t="str">
        <f>IF(ISERROR(VLOOKUP(G1053,Keszlet!$C$5:$I$200,7,FALSE))=TRUE,"",IF(AND(J1052&lt;&gt;"",J1054=""),VLOOKUP(G1053,Keszlet!$C$5:$I$200,7,FALSE),""))</f>
        <v/>
      </c>
      <c r="Q1053" s="1">
        <f>VLOOKUP(G1053,Keszlet!$C$5:$E$205,3,FALSE)</f>
        <v>0</v>
      </c>
      <c r="T1053" s="1" t="str">
        <f t="shared" si="27"/>
        <v/>
      </c>
      <c r="U1053" s="1">
        <f t="shared" si="28"/>
        <v>0</v>
      </c>
      <c r="W1053" s="6">
        <f t="shared" si="31"/>
        <v>0</v>
      </c>
      <c r="X1053" s="6">
        <f t="shared" si="23"/>
        <v>0</v>
      </c>
      <c r="Y1053" s="1">
        <f t="shared" si="29"/>
        <v>1</v>
      </c>
      <c r="Z1053" s="1">
        <f>IF(COUNTIF($Y$6:Y1053,Y1053)=1,Y1053,Y1053+COUNTIF($Y$5:Y1052,Y1053))</f>
        <v>48</v>
      </c>
      <c r="AD1053" s="1" t="str">
        <f t="shared" si="30"/>
        <v/>
      </c>
      <c r="BA1053" s="1">
        <f>IF(W1053&lt;=Leltar_iv!$Y$1,I1053,0)</f>
        <v>0</v>
      </c>
    </row>
    <row r="1054" spans="1:53" s="1" customFormat="1" x14ac:dyDescent="0.25">
      <c r="A1054" s="18">
        <f>IF(COUNTIF($Y$6:Y1054,Y1054)=1,Y1054,Y1054+COUNTIF($Y$5:Y1053,Y1054))</f>
        <v>49</v>
      </c>
      <c r="B1054" s="1">
        <f>IF(AND(Kisero_iv!$N$2=C1054,Kisero_iv!$K$5=$B$3,SUM(I1054:L1058)&lt;&gt;0,$B$4=YEAR(W1054)),B1053+1,0)</f>
        <v>0</v>
      </c>
      <c r="C1054" s="1">
        <f t="shared" si="24"/>
        <v>49</v>
      </c>
      <c r="D1054" s="102" t="str">
        <f t="shared" si="25"/>
        <v/>
      </c>
      <c r="E1054" s="44"/>
      <c r="F1054" s="45"/>
      <c r="G1054" s="45"/>
      <c r="H1054" s="45"/>
      <c r="I1054" s="46"/>
      <c r="J1054" s="111" t="str">
        <f>IF(AND(G1054&lt;&gt;"",ISERROR(VLOOKUP(G1054,Keszlet!$C$5:$H$200,6,FALSE))=FALSE),VLOOKUP(G1054,Keszlet!$C$5:$H$200,6,FALSE),"")</f>
        <v/>
      </c>
      <c r="K1054" s="106" t="str">
        <f>IF(AND(G1054&lt;&gt;"",ISERROR(VLOOKUP(G1054,Keszlet!$C$5:$G$200,5,FALSE))=FALSE),VLOOKUP(G1054,Keszlet!$C$5:$G$200,5,FALSE),"")</f>
        <v/>
      </c>
      <c r="L1054" s="106" t="str">
        <f t="shared" si="26"/>
        <v/>
      </c>
      <c r="M1054" s="115" t="str">
        <f>IF(ISERROR(VLOOKUP(G1054,Keszlet!$C$5:$I$200,7,FALSE))=TRUE,"",IF(AND(J1053&lt;&gt;"",J1055=""),VLOOKUP(G1054,Keszlet!$C$5:$I$200,7,FALSE),""))</f>
        <v/>
      </c>
      <c r="Q1054" s="1">
        <f>VLOOKUP(G1054,Keszlet!$C$5:$E$205,3,FALSE)</f>
        <v>0</v>
      </c>
      <c r="T1054" s="1" t="str">
        <f t="shared" si="27"/>
        <v/>
      </c>
      <c r="U1054" s="1">
        <f t="shared" si="28"/>
        <v>0</v>
      </c>
      <c r="W1054" s="6">
        <f t="shared" si="31"/>
        <v>0</v>
      </c>
      <c r="X1054" s="6">
        <f t="shared" si="23"/>
        <v>0</v>
      </c>
      <c r="Y1054" s="1">
        <f t="shared" si="29"/>
        <v>1</v>
      </c>
      <c r="Z1054" s="1">
        <f>IF(COUNTIF($Y$6:Y1054,Y1054)=1,Y1054,Y1054+COUNTIF($Y$5:Y1053,Y1054))</f>
        <v>49</v>
      </c>
      <c r="AD1054" s="1" t="str">
        <f t="shared" si="30"/>
        <v/>
      </c>
      <c r="BA1054" s="1">
        <f>IF(W1054&lt;=Leltar_iv!$Y$1,I1054,0)</f>
        <v>0</v>
      </c>
    </row>
    <row r="1055" spans="1:53" s="1" customFormat="1" x14ac:dyDescent="0.25">
      <c r="A1055" s="18">
        <f>IF(COUNTIF($Y$6:Y1055,Y1055)=1,Y1055,Y1055+COUNTIF($Y$5:Y1054,Y1055))</f>
        <v>50</v>
      </c>
      <c r="B1055" s="1">
        <f>IF(AND(Kisero_iv!$N$2=C1055,Kisero_iv!$K$5=$B$3,SUM(I1055:L1059)&lt;&gt;0,$B$4=YEAR(W1055)),B1054+1,0)</f>
        <v>0</v>
      </c>
      <c r="C1055" s="1">
        <f t="shared" si="24"/>
        <v>50</v>
      </c>
      <c r="D1055" s="102" t="str">
        <f t="shared" si="25"/>
        <v/>
      </c>
      <c r="E1055" s="44"/>
      <c r="F1055" s="45"/>
      <c r="G1055" s="45"/>
      <c r="H1055" s="45"/>
      <c r="I1055" s="46"/>
      <c r="J1055" s="111" t="str">
        <f>IF(AND(G1055&lt;&gt;"",ISERROR(VLOOKUP(G1055,Keszlet!$C$5:$H$200,6,FALSE))=FALSE),VLOOKUP(G1055,Keszlet!$C$5:$H$200,6,FALSE),"")</f>
        <v/>
      </c>
      <c r="K1055" s="106" t="str">
        <f>IF(AND(G1055&lt;&gt;"",ISERROR(VLOOKUP(G1055,Keszlet!$C$5:$G$200,5,FALSE))=FALSE),VLOOKUP(G1055,Keszlet!$C$5:$G$200,5,FALSE),"")</f>
        <v/>
      </c>
      <c r="L1055" s="106" t="str">
        <f t="shared" si="26"/>
        <v/>
      </c>
      <c r="M1055" s="115" t="str">
        <f>IF(ISERROR(VLOOKUP(G1055,Keszlet!$C$5:$I$200,7,FALSE))=TRUE,"",IF(AND(J1054&lt;&gt;"",J1056=""),VLOOKUP(G1055,Keszlet!$C$5:$I$200,7,FALSE),""))</f>
        <v/>
      </c>
      <c r="Q1055" s="1">
        <f>VLOOKUP(G1055,Keszlet!$C$5:$E$205,3,FALSE)</f>
        <v>0</v>
      </c>
      <c r="T1055" s="1" t="str">
        <f t="shared" si="27"/>
        <v/>
      </c>
      <c r="U1055" s="1">
        <f t="shared" si="28"/>
        <v>0</v>
      </c>
      <c r="W1055" s="6">
        <f t="shared" si="31"/>
        <v>0</v>
      </c>
      <c r="X1055" s="6">
        <f t="shared" si="23"/>
        <v>0</v>
      </c>
      <c r="Y1055" s="1">
        <f t="shared" si="29"/>
        <v>1</v>
      </c>
      <c r="Z1055" s="1">
        <f>IF(COUNTIF($Y$6:Y1055,Y1055)=1,Y1055,Y1055+COUNTIF($Y$5:Y1054,Y1055))</f>
        <v>50</v>
      </c>
      <c r="AD1055" s="1" t="str">
        <f t="shared" si="30"/>
        <v/>
      </c>
      <c r="BA1055" s="1">
        <f>IF(W1055&lt;=Leltar_iv!$Y$1,I1055,0)</f>
        <v>0</v>
      </c>
    </row>
    <row r="1056" spans="1:53" s="1" customFormat="1" x14ac:dyDescent="0.25">
      <c r="A1056" s="18">
        <f>IF(COUNTIF($Y$6:Y1056,Y1056)=1,Y1056,Y1056+COUNTIF($Y$5:Y1055,Y1056))</f>
        <v>51</v>
      </c>
      <c r="B1056" s="1">
        <f>IF(AND(Kisero_iv!$N$2=C1056,Kisero_iv!$K$5=$B$3,SUM(I1056:L1060)&lt;&gt;0,$B$4=YEAR(W1056)),B1055+1,0)</f>
        <v>0</v>
      </c>
      <c r="C1056" s="1">
        <f t="shared" si="24"/>
        <v>51</v>
      </c>
      <c r="D1056" s="102" t="str">
        <f t="shared" si="25"/>
        <v/>
      </c>
      <c r="E1056" s="44"/>
      <c r="F1056" s="45"/>
      <c r="G1056" s="45"/>
      <c r="H1056" s="45"/>
      <c r="I1056" s="46"/>
      <c r="J1056" s="111" t="str">
        <f>IF(AND(G1056&lt;&gt;"",ISERROR(VLOOKUP(G1056,Keszlet!$C$5:$H$200,6,FALSE))=FALSE),VLOOKUP(G1056,Keszlet!$C$5:$H$200,6,FALSE),"")</f>
        <v/>
      </c>
      <c r="K1056" s="106" t="str">
        <f>IF(AND(G1056&lt;&gt;"",ISERROR(VLOOKUP(G1056,Keszlet!$C$5:$G$200,5,FALSE))=FALSE),VLOOKUP(G1056,Keszlet!$C$5:$G$200,5,FALSE),"")</f>
        <v/>
      </c>
      <c r="L1056" s="106" t="str">
        <f t="shared" si="26"/>
        <v/>
      </c>
      <c r="M1056" s="115" t="str">
        <f>IF(ISERROR(VLOOKUP(G1056,Keszlet!$C$5:$I$200,7,FALSE))=TRUE,"",IF(AND(J1055&lt;&gt;"",J1057=""),VLOOKUP(G1056,Keszlet!$C$5:$I$200,7,FALSE),""))</f>
        <v/>
      </c>
      <c r="Q1056" s="1">
        <f>VLOOKUP(G1056,Keszlet!$C$5:$E$205,3,FALSE)</f>
        <v>0</v>
      </c>
      <c r="T1056" s="1" t="str">
        <f t="shared" si="27"/>
        <v/>
      </c>
      <c r="U1056" s="1">
        <f t="shared" si="28"/>
        <v>0</v>
      </c>
      <c r="W1056" s="6">
        <f t="shared" si="31"/>
        <v>0</v>
      </c>
      <c r="X1056" s="6">
        <f t="shared" si="23"/>
        <v>0</v>
      </c>
      <c r="Y1056" s="1">
        <f t="shared" si="29"/>
        <v>1</v>
      </c>
      <c r="Z1056" s="1">
        <f>IF(COUNTIF($Y$6:Y1056,Y1056)=1,Y1056,Y1056+COUNTIF($Y$5:Y1055,Y1056))</f>
        <v>51</v>
      </c>
      <c r="AD1056" s="1" t="str">
        <f t="shared" si="30"/>
        <v/>
      </c>
      <c r="BA1056" s="1">
        <f>IF(W1056&lt;=Leltar_iv!$Y$1,I1056,0)</f>
        <v>0</v>
      </c>
    </row>
    <row r="1057" spans="1:53" s="1" customFormat="1" x14ac:dyDescent="0.25">
      <c r="A1057" s="18">
        <f>IF(COUNTIF($Y$6:Y1057,Y1057)=1,Y1057,Y1057+COUNTIF($Y$5:Y1056,Y1057))</f>
        <v>52</v>
      </c>
      <c r="B1057" s="1">
        <f>IF(AND(Kisero_iv!$N$2=C1057,Kisero_iv!$K$5=$B$3,SUM(I1057:L1061)&lt;&gt;0,$B$4=YEAR(W1057)),B1056+1,0)</f>
        <v>0</v>
      </c>
      <c r="C1057" s="1">
        <f t="shared" si="24"/>
        <v>52</v>
      </c>
      <c r="D1057" s="102" t="str">
        <f t="shared" si="25"/>
        <v/>
      </c>
      <c r="E1057" s="44"/>
      <c r="F1057" s="45"/>
      <c r="G1057" s="45"/>
      <c r="H1057" s="45"/>
      <c r="I1057" s="46"/>
      <c r="J1057" s="111" t="str">
        <f>IF(AND(G1057&lt;&gt;"",ISERROR(VLOOKUP(G1057,Keszlet!$C$5:$H$200,6,FALSE))=FALSE),VLOOKUP(G1057,Keszlet!$C$5:$H$200,6,FALSE),"")</f>
        <v/>
      </c>
      <c r="K1057" s="106" t="str">
        <f>IF(AND(G1057&lt;&gt;"",ISERROR(VLOOKUP(G1057,Keszlet!$C$5:$G$200,5,FALSE))=FALSE),VLOOKUP(G1057,Keszlet!$C$5:$G$200,5,FALSE),"")</f>
        <v/>
      </c>
      <c r="L1057" s="106" t="str">
        <f t="shared" si="26"/>
        <v/>
      </c>
      <c r="M1057" s="115" t="str">
        <f>IF(ISERROR(VLOOKUP(G1057,Keszlet!$C$5:$I$200,7,FALSE))=TRUE,"",IF(AND(J1056&lt;&gt;"",J1058=""),VLOOKUP(G1057,Keszlet!$C$5:$I$200,7,FALSE),""))</f>
        <v/>
      </c>
      <c r="Q1057" s="1">
        <f>VLOOKUP(G1057,Keszlet!$C$5:$E$205,3,FALSE)</f>
        <v>0</v>
      </c>
      <c r="T1057" s="1" t="str">
        <f t="shared" si="27"/>
        <v/>
      </c>
      <c r="U1057" s="1">
        <f t="shared" si="28"/>
        <v>0</v>
      </c>
      <c r="W1057" s="6">
        <f t="shared" si="31"/>
        <v>0</v>
      </c>
      <c r="X1057" s="6">
        <f t="shared" si="23"/>
        <v>0</v>
      </c>
      <c r="Y1057" s="1">
        <f t="shared" si="29"/>
        <v>1</v>
      </c>
      <c r="Z1057" s="1">
        <f>IF(COUNTIF($Y$6:Y1057,Y1057)=1,Y1057,Y1057+COUNTIF($Y$5:Y1056,Y1057))</f>
        <v>52</v>
      </c>
      <c r="AD1057" s="1" t="str">
        <f t="shared" si="30"/>
        <v/>
      </c>
      <c r="BA1057" s="1">
        <f>IF(W1057&lt;=Leltar_iv!$Y$1,I1057,0)</f>
        <v>0</v>
      </c>
    </row>
    <row r="1058" spans="1:53" s="1" customFormat="1" x14ac:dyDescent="0.25">
      <c r="A1058" s="18">
        <f>IF(COUNTIF($Y$6:Y1058,Y1058)=1,Y1058,Y1058+COUNTIF($Y$5:Y1057,Y1058))</f>
        <v>53</v>
      </c>
      <c r="B1058" s="1">
        <f>IF(AND(Kisero_iv!$N$2=C1058,Kisero_iv!$K$5=$B$3,SUM(I1058:L1062)&lt;&gt;0,$B$4=YEAR(W1058)),B1057+1,0)</f>
        <v>0</v>
      </c>
      <c r="C1058" s="1">
        <f t="shared" si="24"/>
        <v>53</v>
      </c>
      <c r="D1058" s="102" t="str">
        <f t="shared" si="25"/>
        <v/>
      </c>
      <c r="E1058" s="44"/>
      <c r="F1058" s="45"/>
      <c r="G1058" s="45"/>
      <c r="H1058" s="45"/>
      <c r="I1058" s="46"/>
      <c r="J1058" s="111" t="str">
        <f>IF(AND(G1058&lt;&gt;"",ISERROR(VLOOKUP(G1058,Keszlet!$C$5:$H$200,6,FALSE))=FALSE),VLOOKUP(G1058,Keszlet!$C$5:$H$200,6,FALSE),"")</f>
        <v/>
      </c>
      <c r="K1058" s="106" t="str">
        <f>IF(AND(G1058&lt;&gt;"",ISERROR(VLOOKUP(G1058,Keszlet!$C$5:$G$200,5,FALSE))=FALSE),VLOOKUP(G1058,Keszlet!$C$5:$G$200,5,FALSE),"")</f>
        <v/>
      </c>
      <c r="L1058" s="106" t="str">
        <f t="shared" si="26"/>
        <v/>
      </c>
      <c r="M1058" s="115" t="str">
        <f>IF(ISERROR(VLOOKUP(G1058,Keszlet!$C$5:$I$200,7,FALSE))=TRUE,"",IF(AND(J1057&lt;&gt;"",J1059=""),VLOOKUP(G1058,Keszlet!$C$5:$I$200,7,FALSE),""))</f>
        <v/>
      </c>
      <c r="Q1058" s="1">
        <f>VLOOKUP(G1058,Keszlet!$C$5:$E$205,3,FALSE)</f>
        <v>0</v>
      </c>
      <c r="T1058" s="1" t="str">
        <f t="shared" si="27"/>
        <v/>
      </c>
      <c r="U1058" s="1">
        <f t="shared" si="28"/>
        <v>0</v>
      </c>
      <c r="W1058" s="6">
        <f t="shared" si="31"/>
        <v>0</v>
      </c>
      <c r="X1058" s="6">
        <f t="shared" si="23"/>
        <v>0</v>
      </c>
      <c r="Y1058" s="1">
        <f t="shared" si="29"/>
        <v>1</v>
      </c>
      <c r="Z1058" s="1">
        <f>IF(COUNTIF($Y$6:Y1058,Y1058)=1,Y1058,Y1058+COUNTIF($Y$5:Y1057,Y1058))</f>
        <v>53</v>
      </c>
      <c r="AD1058" s="1" t="str">
        <f t="shared" si="30"/>
        <v/>
      </c>
      <c r="BA1058" s="1">
        <f>IF(W1058&lt;=Leltar_iv!$Y$1,I1058,0)</f>
        <v>0</v>
      </c>
    </row>
    <row r="1059" spans="1:53" s="1" customFormat="1" x14ac:dyDescent="0.25">
      <c r="A1059" s="18">
        <f>IF(COUNTIF($Y$6:Y1059,Y1059)=1,Y1059,Y1059+COUNTIF($Y$5:Y1058,Y1059))</f>
        <v>54</v>
      </c>
      <c r="B1059" s="1">
        <f>IF(AND(Kisero_iv!$N$2=C1059,Kisero_iv!$K$5=$B$3,SUM(I1059:L1063)&lt;&gt;0,$B$4=YEAR(W1059)),B1058+1,0)</f>
        <v>0</v>
      </c>
      <c r="C1059" s="1">
        <f t="shared" si="24"/>
        <v>54</v>
      </c>
      <c r="D1059" s="102" t="str">
        <f t="shared" si="25"/>
        <v/>
      </c>
      <c r="E1059" s="44"/>
      <c r="F1059" s="45"/>
      <c r="G1059" s="45"/>
      <c r="H1059" s="45"/>
      <c r="I1059" s="46"/>
      <c r="J1059" s="111" t="str">
        <f>IF(AND(G1059&lt;&gt;"",ISERROR(VLOOKUP(G1059,Keszlet!$C$5:$H$200,6,FALSE))=FALSE),VLOOKUP(G1059,Keszlet!$C$5:$H$200,6,FALSE),"")</f>
        <v/>
      </c>
      <c r="K1059" s="106" t="str">
        <f>IF(AND(G1059&lt;&gt;"",ISERROR(VLOOKUP(G1059,Keszlet!$C$5:$G$200,5,FALSE))=FALSE),VLOOKUP(G1059,Keszlet!$C$5:$G$200,5,FALSE),"")</f>
        <v/>
      </c>
      <c r="L1059" s="106" t="str">
        <f t="shared" si="26"/>
        <v/>
      </c>
      <c r="M1059" s="115" t="str">
        <f>IF(ISERROR(VLOOKUP(G1059,Keszlet!$C$5:$I$200,7,FALSE))=TRUE,"",IF(AND(J1058&lt;&gt;"",J1060=""),VLOOKUP(G1059,Keszlet!$C$5:$I$200,7,FALSE),""))</f>
        <v/>
      </c>
      <c r="Q1059" s="1">
        <f>VLOOKUP(G1059,Keszlet!$C$5:$E$205,3,FALSE)</f>
        <v>0</v>
      </c>
      <c r="T1059" s="1" t="str">
        <f t="shared" si="27"/>
        <v/>
      </c>
      <c r="U1059" s="1">
        <f t="shared" si="28"/>
        <v>0</v>
      </c>
      <c r="W1059" s="6">
        <f t="shared" si="31"/>
        <v>0</v>
      </c>
      <c r="X1059" s="6">
        <f t="shared" si="23"/>
        <v>0</v>
      </c>
      <c r="Y1059" s="1">
        <f t="shared" si="29"/>
        <v>1</v>
      </c>
      <c r="Z1059" s="1">
        <f>IF(COUNTIF($Y$6:Y1059,Y1059)=1,Y1059,Y1059+COUNTIF($Y$5:Y1058,Y1059))</f>
        <v>54</v>
      </c>
      <c r="AD1059" s="1" t="str">
        <f t="shared" si="30"/>
        <v/>
      </c>
      <c r="BA1059" s="1">
        <f>IF(W1059&lt;=Leltar_iv!$Y$1,I1059,0)</f>
        <v>0</v>
      </c>
    </row>
    <row r="1060" spans="1:53" s="1" customFormat="1" x14ac:dyDescent="0.25">
      <c r="A1060" s="18">
        <f>IF(COUNTIF($Y$6:Y1060,Y1060)=1,Y1060,Y1060+COUNTIF($Y$5:Y1059,Y1060))</f>
        <v>55</v>
      </c>
      <c r="B1060" s="1">
        <f>IF(AND(Kisero_iv!$N$2=C1060,Kisero_iv!$K$5=$B$3,SUM(I1060:L1064)&lt;&gt;0,$B$4=YEAR(W1060)),B1059+1,0)</f>
        <v>0</v>
      </c>
      <c r="C1060" s="1">
        <f t="shared" si="24"/>
        <v>55</v>
      </c>
      <c r="D1060" s="102" t="str">
        <f t="shared" si="25"/>
        <v/>
      </c>
      <c r="E1060" s="44"/>
      <c r="F1060" s="45"/>
      <c r="G1060" s="45"/>
      <c r="H1060" s="45"/>
      <c r="I1060" s="46"/>
      <c r="J1060" s="111" t="str">
        <f>IF(AND(G1060&lt;&gt;"",ISERROR(VLOOKUP(G1060,Keszlet!$C$5:$H$200,6,FALSE))=FALSE),VLOOKUP(G1060,Keszlet!$C$5:$H$200,6,FALSE),"")</f>
        <v/>
      </c>
      <c r="K1060" s="106" t="str">
        <f>IF(AND(G1060&lt;&gt;"",ISERROR(VLOOKUP(G1060,Keszlet!$C$5:$G$200,5,FALSE))=FALSE),VLOOKUP(G1060,Keszlet!$C$5:$G$200,5,FALSE),"")</f>
        <v/>
      </c>
      <c r="L1060" s="106" t="str">
        <f t="shared" si="26"/>
        <v/>
      </c>
      <c r="M1060" s="115" t="str">
        <f>IF(ISERROR(VLOOKUP(G1060,Keszlet!$C$5:$I$200,7,FALSE))=TRUE,"",IF(AND(J1059&lt;&gt;"",J1061=""),VLOOKUP(G1060,Keszlet!$C$5:$I$200,7,FALSE),""))</f>
        <v/>
      </c>
      <c r="Q1060" s="1">
        <f>VLOOKUP(G1060,Keszlet!$C$5:$E$205,3,FALSE)</f>
        <v>0</v>
      </c>
      <c r="T1060" s="1" t="str">
        <f t="shared" si="27"/>
        <v/>
      </c>
      <c r="U1060" s="1">
        <f t="shared" si="28"/>
        <v>0</v>
      </c>
      <c r="W1060" s="6">
        <f t="shared" si="31"/>
        <v>0</v>
      </c>
      <c r="X1060" s="6">
        <f t="shared" si="23"/>
        <v>0</v>
      </c>
      <c r="Y1060" s="1">
        <f t="shared" si="29"/>
        <v>1</v>
      </c>
      <c r="Z1060" s="1">
        <f>IF(COUNTIF($Y$6:Y1060,Y1060)=1,Y1060,Y1060+COUNTIF($Y$5:Y1059,Y1060))</f>
        <v>55</v>
      </c>
      <c r="AD1060" s="1" t="str">
        <f t="shared" si="30"/>
        <v/>
      </c>
      <c r="BA1060" s="1">
        <f>IF(W1060&lt;=Leltar_iv!$Y$1,I1060,0)</f>
        <v>0</v>
      </c>
    </row>
    <row r="1061" spans="1:53" s="1" customFormat="1" x14ac:dyDescent="0.25">
      <c r="A1061" s="18">
        <f>IF(COUNTIF($Y$6:Y1061,Y1061)=1,Y1061,Y1061+COUNTIF($Y$5:Y1060,Y1061))</f>
        <v>56</v>
      </c>
      <c r="B1061" s="1">
        <f>IF(AND(Kisero_iv!$N$2=C1061,Kisero_iv!$K$5=$B$3,SUM(I1061:L1065)&lt;&gt;0,$B$4=YEAR(W1061)),B1060+1,0)</f>
        <v>0</v>
      </c>
      <c r="C1061" s="1">
        <f t="shared" si="24"/>
        <v>56</v>
      </c>
      <c r="D1061" s="102" t="str">
        <f t="shared" si="25"/>
        <v/>
      </c>
      <c r="E1061" s="44"/>
      <c r="F1061" s="45"/>
      <c r="G1061" s="45"/>
      <c r="H1061" s="45"/>
      <c r="I1061" s="46"/>
      <c r="J1061" s="111" t="str">
        <f>IF(AND(G1061&lt;&gt;"",ISERROR(VLOOKUP(G1061,Keszlet!$C$5:$H$200,6,FALSE))=FALSE),VLOOKUP(G1061,Keszlet!$C$5:$H$200,6,FALSE),"")</f>
        <v/>
      </c>
      <c r="K1061" s="106" t="str">
        <f>IF(AND(G1061&lt;&gt;"",ISERROR(VLOOKUP(G1061,Keszlet!$C$5:$G$200,5,FALSE))=FALSE),VLOOKUP(G1061,Keszlet!$C$5:$G$200,5,FALSE),"")</f>
        <v/>
      </c>
      <c r="L1061" s="106" t="str">
        <f t="shared" si="26"/>
        <v/>
      </c>
      <c r="M1061" s="115" t="str">
        <f>IF(ISERROR(VLOOKUP(G1061,Keszlet!$C$5:$I$200,7,FALSE))=TRUE,"",IF(AND(J1060&lt;&gt;"",J1062=""),VLOOKUP(G1061,Keszlet!$C$5:$I$200,7,FALSE),""))</f>
        <v/>
      </c>
      <c r="Q1061" s="1">
        <f>VLOOKUP(G1061,Keszlet!$C$5:$E$205,3,FALSE)</f>
        <v>0</v>
      </c>
      <c r="T1061" s="1" t="str">
        <f t="shared" si="27"/>
        <v/>
      </c>
      <c r="U1061" s="1">
        <f t="shared" si="28"/>
        <v>0</v>
      </c>
      <c r="W1061" s="6">
        <f t="shared" si="31"/>
        <v>0</v>
      </c>
      <c r="X1061" s="6">
        <f t="shared" si="23"/>
        <v>0</v>
      </c>
      <c r="Y1061" s="1">
        <f t="shared" si="29"/>
        <v>1</v>
      </c>
      <c r="Z1061" s="1">
        <f>IF(COUNTIF($Y$6:Y1061,Y1061)=1,Y1061,Y1061+COUNTIF($Y$5:Y1060,Y1061))</f>
        <v>56</v>
      </c>
      <c r="AD1061" s="1" t="str">
        <f t="shared" si="30"/>
        <v/>
      </c>
      <c r="BA1061" s="1">
        <f>IF(W1061&lt;=Leltar_iv!$Y$1,I1061,0)</f>
        <v>0</v>
      </c>
    </row>
    <row r="1062" spans="1:53" s="1" customFormat="1" x14ac:dyDescent="0.25">
      <c r="A1062" s="18">
        <f>IF(COUNTIF($Y$6:Y1062,Y1062)=1,Y1062,Y1062+COUNTIF($Y$5:Y1061,Y1062))</f>
        <v>57</v>
      </c>
      <c r="B1062" s="1">
        <f>IF(AND(Kisero_iv!$N$2=C1062,Kisero_iv!$K$5=$B$3,SUM(I1062:L1066)&lt;&gt;0,$B$4=YEAR(W1062)),B1061+1,0)</f>
        <v>0</v>
      </c>
      <c r="C1062" s="1">
        <f t="shared" si="24"/>
        <v>57</v>
      </c>
      <c r="D1062" s="102" t="str">
        <f t="shared" si="25"/>
        <v/>
      </c>
      <c r="E1062" s="44"/>
      <c r="F1062" s="45"/>
      <c r="G1062" s="45"/>
      <c r="H1062" s="45"/>
      <c r="I1062" s="46"/>
      <c r="J1062" s="111" t="str">
        <f>IF(AND(G1062&lt;&gt;"",ISERROR(VLOOKUP(G1062,Keszlet!$C$5:$H$200,6,FALSE))=FALSE),VLOOKUP(G1062,Keszlet!$C$5:$H$200,6,FALSE),"")</f>
        <v/>
      </c>
      <c r="K1062" s="106" t="str">
        <f>IF(AND(G1062&lt;&gt;"",ISERROR(VLOOKUP(G1062,Keszlet!$C$5:$G$200,5,FALSE))=FALSE),VLOOKUP(G1062,Keszlet!$C$5:$G$200,5,FALSE),"")</f>
        <v/>
      </c>
      <c r="L1062" s="106" t="str">
        <f t="shared" si="26"/>
        <v/>
      </c>
      <c r="M1062" s="115" t="str">
        <f>IF(ISERROR(VLOOKUP(G1062,Keszlet!$C$5:$I$200,7,FALSE))=TRUE,"",IF(AND(J1061&lt;&gt;"",J1063=""),VLOOKUP(G1062,Keszlet!$C$5:$I$200,7,FALSE),""))</f>
        <v/>
      </c>
      <c r="Q1062" s="1">
        <f>VLOOKUP(G1062,Keszlet!$C$5:$E$205,3,FALSE)</f>
        <v>0</v>
      </c>
      <c r="T1062" s="1" t="str">
        <f t="shared" si="27"/>
        <v/>
      </c>
      <c r="U1062" s="1">
        <f t="shared" si="28"/>
        <v>0</v>
      </c>
      <c r="W1062" s="6">
        <f t="shared" si="31"/>
        <v>0</v>
      </c>
      <c r="X1062" s="6">
        <f t="shared" si="23"/>
        <v>0</v>
      </c>
      <c r="Y1062" s="1">
        <f t="shared" si="29"/>
        <v>1</v>
      </c>
      <c r="Z1062" s="1">
        <f>IF(COUNTIF($Y$6:Y1062,Y1062)=1,Y1062,Y1062+COUNTIF($Y$5:Y1061,Y1062))</f>
        <v>57</v>
      </c>
      <c r="AD1062" s="1" t="str">
        <f t="shared" si="30"/>
        <v/>
      </c>
      <c r="BA1062" s="1">
        <f>IF(W1062&lt;=Leltar_iv!$Y$1,I1062,0)</f>
        <v>0</v>
      </c>
    </row>
    <row r="1063" spans="1:53" s="1" customFormat="1" x14ac:dyDescent="0.25">
      <c r="A1063" s="18">
        <f>IF(COUNTIF($Y$6:Y1063,Y1063)=1,Y1063,Y1063+COUNTIF($Y$5:Y1062,Y1063))</f>
        <v>58</v>
      </c>
      <c r="B1063" s="1">
        <f>IF(AND(Kisero_iv!$N$2=C1063,Kisero_iv!$K$5=$B$3,SUM(I1063:L1067)&lt;&gt;0,$B$4=YEAR(W1063)),B1062+1,0)</f>
        <v>0</v>
      </c>
      <c r="C1063" s="1">
        <f t="shared" si="24"/>
        <v>58</v>
      </c>
      <c r="D1063" s="102" t="str">
        <f t="shared" si="25"/>
        <v/>
      </c>
      <c r="E1063" s="44"/>
      <c r="F1063" s="45"/>
      <c r="G1063" s="45"/>
      <c r="H1063" s="45"/>
      <c r="I1063" s="46"/>
      <c r="J1063" s="111" t="str">
        <f>IF(AND(G1063&lt;&gt;"",ISERROR(VLOOKUP(G1063,Keszlet!$C$5:$H$200,6,FALSE))=FALSE),VLOOKUP(G1063,Keszlet!$C$5:$H$200,6,FALSE),"")</f>
        <v/>
      </c>
      <c r="K1063" s="106" t="str">
        <f>IF(AND(G1063&lt;&gt;"",ISERROR(VLOOKUP(G1063,Keszlet!$C$5:$G$200,5,FALSE))=FALSE),VLOOKUP(G1063,Keszlet!$C$5:$G$200,5,FALSE),"")</f>
        <v/>
      </c>
      <c r="L1063" s="106" t="str">
        <f t="shared" si="26"/>
        <v/>
      </c>
      <c r="M1063" s="115" t="str">
        <f>IF(ISERROR(VLOOKUP(G1063,Keszlet!$C$5:$I$200,7,FALSE))=TRUE,"",IF(AND(J1062&lt;&gt;"",J1064=""),VLOOKUP(G1063,Keszlet!$C$5:$I$200,7,FALSE),""))</f>
        <v/>
      </c>
      <c r="Q1063" s="1">
        <f>VLOOKUP(G1063,Keszlet!$C$5:$E$205,3,FALSE)</f>
        <v>0</v>
      </c>
      <c r="T1063" s="1" t="str">
        <f t="shared" si="27"/>
        <v/>
      </c>
      <c r="U1063" s="1">
        <f t="shared" si="28"/>
        <v>0</v>
      </c>
      <c r="W1063" s="6">
        <f t="shared" si="31"/>
        <v>0</v>
      </c>
      <c r="X1063" s="6">
        <f t="shared" si="23"/>
        <v>0</v>
      </c>
      <c r="Y1063" s="1">
        <f t="shared" si="29"/>
        <v>1</v>
      </c>
      <c r="Z1063" s="1">
        <f>IF(COUNTIF($Y$6:Y1063,Y1063)=1,Y1063,Y1063+COUNTIF($Y$5:Y1062,Y1063))</f>
        <v>58</v>
      </c>
      <c r="AD1063" s="1" t="str">
        <f t="shared" si="30"/>
        <v/>
      </c>
      <c r="BA1063" s="1">
        <f>IF(W1063&lt;=Leltar_iv!$Y$1,I1063,0)</f>
        <v>0</v>
      </c>
    </row>
    <row r="1064" spans="1:53" s="1" customFormat="1" x14ac:dyDescent="0.25">
      <c r="A1064" s="18">
        <f>IF(COUNTIF($Y$6:Y1064,Y1064)=1,Y1064,Y1064+COUNTIF($Y$5:Y1063,Y1064))</f>
        <v>59</v>
      </c>
      <c r="B1064" s="1">
        <f>IF(AND(Kisero_iv!$N$2=C1064,Kisero_iv!$K$5=$B$3,SUM(I1064:L1068)&lt;&gt;0,$B$4=YEAR(W1064)),B1063+1,0)</f>
        <v>0</v>
      </c>
      <c r="C1064" s="1">
        <f t="shared" si="24"/>
        <v>59</v>
      </c>
      <c r="D1064" s="102" t="str">
        <f t="shared" si="25"/>
        <v/>
      </c>
      <c r="E1064" s="44"/>
      <c r="F1064" s="45"/>
      <c r="G1064" s="45"/>
      <c r="H1064" s="45"/>
      <c r="I1064" s="46"/>
      <c r="J1064" s="111" t="str">
        <f>IF(AND(G1064&lt;&gt;"",ISERROR(VLOOKUP(G1064,Keszlet!$C$5:$H$200,6,FALSE))=FALSE),VLOOKUP(G1064,Keszlet!$C$5:$H$200,6,FALSE),"")</f>
        <v/>
      </c>
      <c r="K1064" s="106" t="str">
        <f>IF(AND(G1064&lt;&gt;"",ISERROR(VLOOKUP(G1064,Keszlet!$C$5:$G$200,5,FALSE))=FALSE),VLOOKUP(G1064,Keszlet!$C$5:$G$200,5,FALSE),"")</f>
        <v/>
      </c>
      <c r="L1064" s="106" t="str">
        <f t="shared" si="26"/>
        <v/>
      </c>
      <c r="M1064" s="115" t="str">
        <f>IF(ISERROR(VLOOKUP(G1064,Keszlet!$C$5:$I$200,7,FALSE))=TRUE,"",IF(AND(J1063&lt;&gt;"",J1065=""),VLOOKUP(G1064,Keszlet!$C$5:$I$200,7,FALSE),""))</f>
        <v/>
      </c>
      <c r="Q1064" s="1">
        <f>VLOOKUP(G1064,Keszlet!$C$5:$E$205,3,FALSE)</f>
        <v>0</v>
      </c>
      <c r="T1064" s="1" t="str">
        <f t="shared" si="27"/>
        <v/>
      </c>
      <c r="U1064" s="1">
        <f t="shared" si="28"/>
        <v>0</v>
      </c>
      <c r="W1064" s="6">
        <f t="shared" si="31"/>
        <v>0</v>
      </c>
      <c r="X1064" s="6">
        <f t="shared" si="23"/>
        <v>0</v>
      </c>
      <c r="Y1064" s="1">
        <f t="shared" si="29"/>
        <v>1</v>
      </c>
      <c r="Z1064" s="1">
        <f>IF(COUNTIF($Y$6:Y1064,Y1064)=1,Y1064,Y1064+COUNTIF($Y$5:Y1063,Y1064))</f>
        <v>59</v>
      </c>
      <c r="AD1064" s="1" t="str">
        <f t="shared" si="30"/>
        <v/>
      </c>
      <c r="BA1064" s="1">
        <f>IF(W1064&lt;=Leltar_iv!$Y$1,I1064,0)</f>
        <v>0</v>
      </c>
    </row>
    <row r="1065" spans="1:53" s="1" customFormat="1" x14ac:dyDescent="0.25">
      <c r="A1065" s="18">
        <f>IF(COUNTIF($Y$6:Y1065,Y1065)=1,Y1065,Y1065+COUNTIF($Y$5:Y1064,Y1065))</f>
        <v>60</v>
      </c>
      <c r="B1065" s="1">
        <f>IF(AND(Kisero_iv!$N$2=C1065,Kisero_iv!$K$5=$B$3,SUM(I1065:L1069)&lt;&gt;0,$B$4=YEAR(W1065)),B1064+1,0)</f>
        <v>0</v>
      </c>
      <c r="C1065" s="1">
        <f t="shared" si="24"/>
        <v>60</v>
      </c>
      <c r="D1065" s="102" t="str">
        <f t="shared" si="25"/>
        <v/>
      </c>
      <c r="E1065" s="44"/>
      <c r="F1065" s="45"/>
      <c r="G1065" s="45"/>
      <c r="H1065" s="45"/>
      <c r="I1065" s="46"/>
      <c r="J1065" s="111" t="str">
        <f>IF(AND(G1065&lt;&gt;"",ISERROR(VLOOKUP(G1065,Keszlet!$C$5:$H$200,6,FALSE))=FALSE),VLOOKUP(G1065,Keszlet!$C$5:$H$200,6,FALSE),"")</f>
        <v/>
      </c>
      <c r="K1065" s="106" t="str">
        <f>IF(AND(G1065&lt;&gt;"",ISERROR(VLOOKUP(G1065,Keszlet!$C$5:$G$200,5,FALSE))=FALSE),VLOOKUP(G1065,Keszlet!$C$5:$G$200,5,FALSE),"")</f>
        <v/>
      </c>
      <c r="L1065" s="106" t="str">
        <f t="shared" si="26"/>
        <v/>
      </c>
      <c r="M1065" s="115" t="str">
        <f>IF(ISERROR(VLOOKUP(G1065,Keszlet!$C$5:$I$200,7,FALSE))=TRUE,"",IF(AND(J1064&lt;&gt;"",J1066=""),VLOOKUP(G1065,Keszlet!$C$5:$I$200,7,FALSE),""))</f>
        <v/>
      </c>
      <c r="Q1065" s="1">
        <f>VLOOKUP(G1065,Keszlet!$C$5:$E$205,3,FALSE)</f>
        <v>0</v>
      </c>
      <c r="T1065" s="1" t="str">
        <f t="shared" si="27"/>
        <v/>
      </c>
      <c r="U1065" s="1">
        <f t="shared" si="28"/>
        <v>0</v>
      </c>
      <c r="W1065" s="6">
        <f t="shared" si="31"/>
        <v>0</v>
      </c>
      <c r="X1065" s="6">
        <f t="shared" si="23"/>
        <v>0</v>
      </c>
      <c r="Y1065" s="1">
        <f t="shared" si="29"/>
        <v>1</v>
      </c>
      <c r="Z1065" s="1">
        <f>IF(COUNTIF($Y$6:Y1065,Y1065)=1,Y1065,Y1065+COUNTIF($Y$5:Y1064,Y1065))</f>
        <v>60</v>
      </c>
      <c r="AD1065" s="1" t="str">
        <f t="shared" si="30"/>
        <v/>
      </c>
      <c r="BA1065" s="1">
        <f>IF(W1065&lt;=Leltar_iv!$Y$1,I1065,0)</f>
        <v>0</v>
      </c>
    </row>
    <row r="1066" spans="1:53" s="1" customFormat="1" x14ac:dyDescent="0.25">
      <c r="A1066" s="18">
        <f>IF(COUNTIF($Y$6:Y1066,Y1066)=1,Y1066,Y1066+COUNTIF($Y$5:Y1065,Y1066))</f>
        <v>61</v>
      </c>
      <c r="B1066" s="1">
        <f>IF(AND(Kisero_iv!$N$2=C1066,Kisero_iv!$K$5=$B$3,SUM(I1066:L1070)&lt;&gt;0,$B$4=YEAR(W1066)),B1065+1,0)</f>
        <v>0</v>
      </c>
      <c r="C1066" s="1">
        <f t="shared" si="24"/>
        <v>61</v>
      </c>
      <c r="D1066" s="102" t="str">
        <f t="shared" si="25"/>
        <v/>
      </c>
      <c r="E1066" s="44"/>
      <c r="F1066" s="45"/>
      <c r="G1066" s="45"/>
      <c r="H1066" s="45"/>
      <c r="I1066" s="46"/>
      <c r="J1066" s="111" t="str">
        <f>IF(AND(G1066&lt;&gt;"",ISERROR(VLOOKUP(G1066,Keszlet!$C$5:$H$200,6,FALSE))=FALSE),VLOOKUP(G1066,Keszlet!$C$5:$H$200,6,FALSE),"")</f>
        <v/>
      </c>
      <c r="K1066" s="106" t="str">
        <f>IF(AND(G1066&lt;&gt;"",ISERROR(VLOOKUP(G1066,Keszlet!$C$5:$G$200,5,FALSE))=FALSE),VLOOKUP(G1066,Keszlet!$C$5:$G$200,5,FALSE),"")</f>
        <v/>
      </c>
      <c r="L1066" s="106" t="str">
        <f t="shared" si="26"/>
        <v/>
      </c>
      <c r="M1066" s="115" t="str">
        <f>IF(ISERROR(VLOOKUP(G1066,Keszlet!$C$5:$I$200,7,FALSE))=TRUE,"",IF(AND(J1065&lt;&gt;"",J1067=""),VLOOKUP(G1066,Keszlet!$C$5:$I$200,7,FALSE),""))</f>
        <v/>
      </c>
      <c r="Q1066" s="1">
        <f>VLOOKUP(G1066,Keszlet!$C$5:$E$205,3,FALSE)</f>
        <v>0</v>
      </c>
      <c r="T1066" s="1" t="str">
        <f t="shared" si="27"/>
        <v/>
      </c>
      <c r="U1066" s="1">
        <f t="shared" si="28"/>
        <v>0</v>
      </c>
      <c r="W1066" s="6">
        <f t="shared" si="31"/>
        <v>0</v>
      </c>
      <c r="X1066" s="6">
        <f t="shared" si="23"/>
        <v>0</v>
      </c>
      <c r="Y1066" s="1">
        <f t="shared" si="29"/>
        <v>1</v>
      </c>
      <c r="Z1066" s="1">
        <f>IF(COUNTIF($Y$6:Y1066,Y1066)=1,Y1066,Y1066+COUNTIF($Y$5:Y1065,Y1066))</f>
        <v>61</v>
      </c>
      <c r="AD1066" s="1" t="str">
        <f t="shared" si="30"/>
        <v/>
      </c>
      <c r="BA1066" s="1">
        <f>IF(W1066&lt;=Leltar_iv!$Y$1,I1066,0)</f>
        <v>0</v>
      </c>
    </row>
    <row r="1067" spans="1:53" s="1" customFormat="1" x14ac:dyDescent="0.25">
      <c r="A1067" s="18">
        <f>IF(COUNTIF($Y$6:Y1067,Y1067)=1,Y1067,Y1067+COUNTIF($Y$5:Y1066,Y1067))</f>
        <v>62</v>
      </c>
      <c r="B1067" s="1">
        <f>IF(AND(Kisero_iv!$N$2=C1067,Kisero_iv!$K$5=$B$3,SUM(I1067:L1071)&lt;&gt;0,$B$4=YEAR(W1067)),B1066+1,0)</f>
        <v>0</v>
      </c>
      <c r="C1067" s="1">
        <f t="shared" si="24"/>
        <v>62</v>
      </c>
      <c r="D1067" s="102" t="str">
        <f t="shared" si="25"/>
        <v/>
      </c>
      <c r="E1067" s="44"/>
      <c r="F1067" s="45"/>
      <c r="G1067" s="45"/>
      <c r="H1067" s="45"/>
      <c r="I1067" s="46"/>
      <c r="J1067" s="111" t="str">
        <f>IF(AND(G1067&lt;&gt;"",ISERROR(VLOOKUP(G1067,Keszlet!$C$5:$H$200,6,FALSE))=FALSE),VLOOKUP(G1067,Keszlet!$C$5:$H$200,6,FALSE),"")</f>
        <v/>
      </c>
      <c r="K1067" s="106" t="str">
        <f>IF(AND(G1067&lt;&gt;"",ISERROR(VLOOKUP(G1067,Keszlet!$C$5:$G$200,5,FALSE))=FALSE),VLOOKUP(G1067,Keszlet!$C$5:$G$200,5,FALSE),"")</f>
        <v/>
      </c>
      <c r="L1067" s="106" t="str">
        <f t="shared" si="26"/>
        <v/>
      </c>
      <c r="M1067" s="115" t="str">
        <f>IF(ISERROR(VLOOKUP(G1067,Keszlet!$C$5:$I$200,7,FALSE))=TRUE,"",IF(AND(J1066&lt;&gt;"",J1068=""),VLOOKUP(G1067,Keszlet!$C$5:$I$200,7,FALSE),""))</f>
        <v/>
      </c>
      <c r="Q1067" s="1">
        <f>VLOOKUP(G1067,Keszlet!$C$5:$E$205,3,FALSE)</f>
        <v>0</v>
      </c>
      <c r="T1067" s="1" t="str">
        <f t="shared" si="27"/>
        <v/>
      </c>
      <c r="U1067" s="1">
        <f t="shared" si="28"/>
        <v>0</v>
      </c>
      <c r="W1067" s="6">
        <f t="shared" si="31"/>
        <v>0</v>
      </c>
      <c r="X1067" s="6">
        <f t="shared" si="23"/>
        <v>0</v>
      </c>
      <c r="Y1067" s="1">
        <f t="shared" si="29"/>
        <v>1</v>
      </c>
      <c r="Z1067" s="1">
        <f>IF(COUNTIF($Y$6:Y1067,Y1067)=1,Y1067,Y1067+COUNTIF($Y$5:Y1066,Y1067))</f>
        <v>62</v>
      </c>
      <c r="AD1067" s="1" t="str">
        <f t="shared" si="30"/>
        <v/>
      </c>
      <c r="BA1067" s="1">
        <f>IF(W1067&lt;=Leltar_iv!$Y$1,I1067,0)</f>
        <v>0</v>
      </c>
    </row>
    <row r="1068" spans="1:53" s="1" customFormat="1" x14ac:dyDescent="0.25">
      <c r="A1068" s="18">
        <f>IF(COUNTIF($Y$6:Y1068,Y1068)=1,Y1068,Y1068+COUNTIF($Y$5:Y1067,Y1068))</f>
        <v>63</v>
      </c>
      <c r="B1068" s="1">
        <f>IF(AND(Kisero_iv!$N$2=C1068,Kisero_iv!$K$5=$B$3,SUM(I1068:L1072)&lt;&gt;0,$B$4=YEAR(W1068)),B1067+1,0)</f>
        <v>0</v>
      </c>
      <c r="C1068" s="1">
        <f t="shared" si="24"/>
        <v>63</v>
      </c>
      <c r="D1068" s="102" t="str">
        <f t="shared" si="25"/>
        <v/>
      </c>
      <c r="E1068" s="44"/>
      <c r="F1068" s="45"/>
      <c r="G1068" s="45"/>
      <c r="H1068" s="45"/>
      <c r="I1068" s="46"/>
      <c r="J1068" s="111" t="str">
        <f>IF(AND(G1068&lt;&gt;"",ISERROR(VLOOKUP(G1068,Keszlet!$C$5:$H$200,6,FALSE))=FALSE),VLOOKUP(G1068,Keszlet!$C$5:$H$200,6,FALSE),"")</f>
        <v/>
      </c>
      <c r="K1068" s="106" t="str">
        <f>IF(AND(G1068&lt;&gt;"",ISERROR(VLOOKUP(G1068,Keszlet!$C$5:$G$200,5,FALSE))=FALSE),VLOOKUP(G1068,Keszlet!$C$5:$G$200,5,FALSE),"")</f>
        <v/>
      </c>
      <c r="L1068" s="106" t="str">
        <f t="shared" si="26"/>
        <v/>
      </c>
      <c r="M1068" s="115" t="str">
        <f>IF(ISERROR(VLOOKUP(G1068,Keszlet!$C$5:$I$200,7,FALSE))=TRUE,"",IF(AND(J1067&lt;&gt;"",J1069=""),VLOOKUP(G1068,Keszlet!$C$5:$I$200,7,FALSE),""))</f>
        <v/>
      </c>
      <c r="Q1068" s="1">
        <f>VLOOKUP(G1068,Keszlet!$C$5:$E$205,3,FALSE)</f>
        <v>0</v>
      </c>
      <c r="T1068" s="1" t="str">
        <f t="shared" si="27"/>
        <v/>
      </c>
      <c r="U1068" s="1">
        <f t="shared" si="28"/>
        <v>0</v>
      </c>
      <c r="W1068" s="6">
        <f t="shared" si="31"/>
        <v>0</v>
      </c>
      <c r="X1068" s="6">
        <f t="shared" si="23"/>
        <v>0</v>
      </c>
      <c r="Y1068" s="1">
        <f t="shared" si="29"/>
        <v>1</v>
      </c>
      <c r="Z1068" s="1">
        <f>IF(COUNTIF($Y$6:Y1068,Y1068)=1,Y1068,Y1068+COUNTIF($Y$5:Y1067,Y1068))</f>
        <v>63</v>
      </c>
      <c r="AD1068" s="1" t="str">
        <f t="shared" si="30"/>
        <v/>
      </c>
      <c r="BA1068" s="1">
        <f>IF(W1068&lt;=Leltar_iv!$Y$1,I1068,0)</f>
        <v>0</v>
      </c>
    </row>
    <row r="1069" spans="1:53" s="1" customFormat="1" x14ac:dyDescent="0.25">
      <c r="A1069" s="18">
        <f>IF(COUNTIF($Y$6:Y1069,Y1069)=1,Y1069,Y1069+COUNTIF($Y$5:Y1068,Y1069))</f>
        <v>64</v>
      </c>
      <c r="B1069" s="1">
        <f>IF(AND(Kisero_iv!$N$2=C1069,Kisero_iv!$K$5=$B$3,SUM(I1069:L1073)&lt;&gt;0,$B$4=YEAR(W1069)),B1068+1,0)</f>
        <v>0</v>
      </c>
      <c r="C1069" s="1">
        <f t="shared" si="24"/>
        <v>64</v>
      </c>
      <c r="D1069" s="102" t="str">
        <f t="shared" si="25"/>
        <v/>
      </c>
      <c r="E1069" s="44"/>
      <c r="F1069" s="45"/>
      <c r="G1069" s="45"/>
      <c r="H1069" s="45"/>
      <c r="I1069" s="46"/>
      <c r="J1069" s="111" t="str">
        <f>IF(AND(G1069&lt;&gt;"",ISERROR(VLOOKUP(G1069,Keszlet!$C$5:$H$200,6,FALSE))=FALSE),VLOOKUP(G1069,Keszlet!$C$5:$H$200,6,FALSE),"")</f>
        <v/>
      </c>
      <c r="K1069" s="106" t="str">
        <f>IF(AND(G1069&lt;&gt;"",ISERROR(VLOOKUP(G1069,Keszlet!$C$5:$G$200,5,FALSE))=FALSE),VLOOKUP(G1069,Keszlet!$C$5:$G$200,5,FALSE),"")</f>
        <v/>
      </c>
      <c r="L1069" s="106" t="str">
        <f t="shared" si="26"/>
        <v/>
      </c>
      <c r="M1069" s="115" t="str">
        <f>IF(ISERROR(VLOOKUP(G1069,Keszlet!$C$5:$I$200,7,FALSE))=TRUE,"",IF(AND(J1068&lt;&gt;"",J1070=""),VLOOKUP(G1069,Keszlet!$C$5:$I$200,7,FALSE),""))</f>
        <v/>
      </c>
      <c r="Q1069" s="1">
        <f>VLOOKUP(G1069,Keszlet!$C$5:$E$205,3,FALSE)</f>
        <v>0</v>
      </c>
      <c r="T1069" s="1" t="str">
        <f t="shared" si="27"/>
        <v/>
      </c>
      <c r="U1069" s="1">
        <f t="shared" si="28"/>
        <v>0</v>
      </c>
      <c r="W1069" s="6">
        <f t="shared" si="31"/>
        <v>0</v>
      </c>
      <c r="X1069" s="6">
        <f t="shared" si="23"/>
        <v>0</v>
      </c>
      <c r="Y1069" s="1">
        <f t="shared" si="29"/>
        <v>1</v>
      </c>
      <c r="Z1069" s="1">
        <f>IF(COUNTIF($Y$6:Y1069,Y1069)=1,Y1069,Y1069+COUNTIF($Y$5:Y1068,Y1069))</f>
        <v>64</v>
      </c>
      <c r="AD1069" s="1" t="str">
        <f t="shared" si="30"/>
        <v/>
      </c>
      <c r="BA1069" s="1">
        <f>IF(W1069&lt;=Leltar_iv!$Y$1,I1069,0)</f>
        <v>0</v>
      </c>
    </row>
    <row r="1070" spans="1:53" s="1" customFormat="1" x14ac:dyDescent="0.25">
      <c r="A1070" s="18">
        <f>IF(COUNTIF($Y$6:Y1070,Y1070)=1,Y1070,Y1070+COUNTIF($Y$5:Y1069,Y1070))</f>
        <v>65</v>
      </c>
      <c r="B1070" s="1">
        <f>IF(AND(Kisero_iv!$N$2=C1070,Kisero_iv!$K$5=$B$3,SUM(I1070:L1074)&lt;&gt;0,$B$4=YEAR(W1070)),B1069+1,0)</f>
        <v>0</v>
      </c>
      <c r="C1070" s="1">
        <f t="shared" si="24"/>
        <v>65</v>
      </c>
      <c r="D1070" s="102" t="str">
        <f t="shared" si="25"/>
        <v/>
      </c>
      <c r="E1070" s="44"/>
      <c r="F1070" s="45"/>
      <c r="G1070" s="45"/>
      <c r="H1070" s="45"/>
      <c r="I1070" s="46"/>
      <c r="J1070" s="111" t="str">
        <f>IF(AND(G1070&lt;&gt;"",ISERROR(VLOOKUP(G1070,Keszlet!$C$5:$H$200,6,FALSE))=FALSE),VLOOKUP(G1070,Keszlet!$C$5:$H$200,6,FALSE),"")</f>
        <v/>
      </c>
      <c r="K1070" s="106" t="str">
        <f>IF(AND(G1070&lt;&gt;"",ISERROR(VLOOKUP(G1070,Keszlet!$C$5:$G$200,5,FALSE))=FALSE),VLOOKUP(G1070,Keszlet!$C$5:$G$200,5,FALSE),"")</f>
        <v/>
      </c>
      <c r="L1070" s="106" t="str">
        <f t="shared" si="26"/>
        <v/>
      </c>
      <c r="M1070" s="115" t="str">
        <f>IF(ISERROR(VLOOKUP(G1070,Keszlet!$C$5:$I$200,7,FALSE))=TRUE,"",IF(AND(J1069&lt;&gt;"",J1071=""),VLOOKUP(G1070,Keszlet!$C$5:$I$200,7,FALSE),""))</f>
        <v/>
      </c>
      <c r="Q1070" s="1">
        <f>VLOOKUP(G1070,Keszlet!$C$5:$E$205,3,FALSE)</f>
        <v>0</v>
      </c>
      <c r="T1070" s="1" t="str">
        <f t="shared" si="27"/>
        <v/>
      </c>
      <c r="U1070" s="1">
        <f t="shared" si="28"/>
        <v>0</v>
      </c>
      <c r="W1070" s="6">
        <f t="shared" si="31"/>
        <v>0</v>
      </c>
      <c r="X1070" s="6">
        <f t="shared" ref="X1070:X1133" si="32">IF(G1070=q,W1070,$X$1)</f>
        <v>0</v>
      </c>
      <c r="Y1070" s="1">
        <f t="shared" si="29"/>
        <v>1</v>
      </c>
      <c r="Z1070" s="1">
        <f>IF(COUNTIF($Y$6:Y1070,Y1070)=1,Y1070,Y1070+COUNTIF($Y$5:Y1069,Y1070))</f>
        <v>65</v>
      </c>
      <c r="AD1070" s="1" t="str">
        <f t="shared" si="30"/>
        <v/>
      </c>
      <c r="BA1070" s="1">
        <f>IF(W1070&lt;=Leltar_iv!$Y$1,I1070,0)</f>
        <v>0</v>
      </c>
    </row>
    <row r="1071" spans="1:53" s="1" customFormat="1" x14ac:dyDescent="0.25">
      <c r="A1071" s="18">
        <f>IF(COUNTIF($Y$6:Y1071,Y1071)=1,Y1071,Y1071+COUNTIF($Y$5:Y1070,Y1071))</f>
        <v>66</v>
      </c>
      <c r="B1071" s="1">
        <f>IF(AND(Kisero_iv!$N$2=C1071,Kisero_iv!$K$5=$B$3,SUM(I1071:L1075)&lt;&gt;0,$B$4=YEAR(W1071)),B1070+1,0)</f>
        <v>0</v>
      </c>
      <c r="C1071" s="1">
        <f t="shared" ref="C1071:C1134" si="33">IF(YEAR(W1070)&lt;&gt;YEAR(W1071),1,IF(T1071&lt;&gt;0,C1070+1,C1070))</f>
        <v>66</v>
      </c>
      <c r="D1071" s="102" t="str">
        <f t="shared" ref="D1071:D1134" si="34">IF(AND(OR(C1070&lt;&gt;C1071,C1071=1),SUM(L1071:L1091)&lt;&gt;0),YEAR(W1071)&amp;"/"&amp;C1071,"")</f>
        <v/>
      </c>
      <c r="E1071" s="44"/>
      <c r="F1071" s="45"/>
      <c r="G1071" s="45"/>
      <c r="H1071" s="45"/>
      <c r="I1071" s="46"/>
      <c r="J1071" s="111" t="str">
        <f>IF(AND(G1071&lt;&gt;"",ISERROR(VLOOKUP(G1071,Keszlet!$C$5:$H$200,6,FALSE))=FALSE),VLOOKUP(G1071,Keszlet!$C$5:$H$200,6,FALSE),"")</f>
        <v/>
      </c>
      <c r="K1071" s="106" t="str">
        <f>IF(AND(G1071&lt;&gt;"",ISERROR(VLOOKUP(G1071,Keszlet!$C$5:$G$200,5,FALSE))=FALSE),VLOOKUP(G1071,Keszlet!$C$5:$G$200,5,FALSE),"")</f>
        <v/>
      </c>
      <c r="L1071" s="106" t="str">
        <f t="shared" ref="L1071:L1134" si="35">IF(AND(G1071&lt;&gt;0,K1071&lt;&gt;""),I1071*K1071,"")</f>
        <v/>
      </c>
      <c r="M1071" s="115" t="str">
        <f>IF(ISERROR(VLOOKUP(G1071,Keszlet!$C$5:$I$200,7,FALSE))=TRUE,"",IF(AND(J1070&lt;&gt;"",J1072=""),VLOOKUP(G1071,Keszlet!$C$5:$I$200,7,FALSE),""))</f>
        <v/>
      </c>
      <c r="Q1071" s="1">
        <f>VLOOKUP(G1071,Keszlet!$C$5:$E$205,3,FALSE)</f>
        <v>0</v>
      </c>
      <c r="T1071" s="1" t="str">
        <f t="shared" ref="T1071:T1134" si="36">IF(OR(E1071&lt;&gt;0,COUNTIF(T1062:T1070,0)=9,F1071&lt;&gt;0,SUM(L1071:L1091)=0),E1071&amp;F1071,0)</f>
        <v/>
      </c>
      <c r="U1071" s="1">
        <f t="shared" ref="U1071:U1134" si="37">IF(F1071&lt;&gt;"",F1071,U1070)</f>
        <v>0</v>
      </c>
      <c r="W1071" s="6">
        <f t="shared" si="31"/>
        <v>0</v>
      </c>
      <c r="X1071" s="6">
        <f t="shared" si="32"/>
        <v>0</v>
      </c>
      <c r="Y1071" s="1">
        <f t="shared" ref="Y1071:Y1134" si="38">RANK(X1071,$X$6:$X$10000,1)</f>
        <v>1</v>
      </c>
      <c r="Z1071" s="1">
        <f>IF(COUNTIF($Y$6:Y1071,Y1071)=1,Y1071,Y1071+COUNTIF($Y$5:Y1070,Y1071))</f>
        <v>66</v>
      </c>
      <c r="AD1071" s="1" t="str">
        <f t="shared" ref="AD1071:AD1134" si="39">IF(AND(OR(C1070&lt;&gt;C1071,YEAR(W1071)&lt;&gt;YEAR(W1070)),SUM(L1071:L1091)&lt;&gt;0,$B$4=YEAR(W1071)),C1071,"")</f>
        <v/>
      </c>
      <c r="BA1071" s="1">
        <f>IF(W1071&lt;=Leltar_iv!$Y$1,I1071,0)</f>
        <v>0</v>
      </c>
    </row>
    <row r="1072" spans="1:53" s="1" customFormat="1" x14ac:dyDescent="0.25">
      <c r="A1072" s="18">
        <f>IF(COUNTIF($Y$6:Y1072,Y1072)=1,Y1072,Y1072+COUNTIF($Y$5:Y1071,Y1072))</f>
        <v>67</v>
      </c>
      <c r="B1072" s="1">
        <f>IF(AND(Kisero_iv!$N$2=C1072,Kisero_iv!$K$5=$B$3,SUM(I1072:L1076)&lt;&gt;0,$B$4=YEAR(W1072)),B1071+1,0)</f>
        <v>0</v>
      </c>
      <c r="C1072" s="1">
        <f t="shared" si="33"/>
        <v>67</v>
      </c>
      <c r="D1072" s="102" t="str">
        <f t="shared" si="34"/>
        <v/>
      </c>
      <c r="E1072" s="44"/>
      <c r="F1072" s="45"/>
      <c r="G1072" s="45"/>
      <c r="H1072" s="45"/>
      <c r="I1072" s="46"/>
      <c r="J1072" s="111" t="str">
        <f>IF(AND(G1072&lt;&gt;"",ISERROR(VLOOKUP(G1072,Keszlet!$C$5:$H$200,6,FALSE))=FALSE),VLOOKUP(G1072,Keszlet!$C$5:$H$200,6,FALSE),"")</f>
        <v/>
      </c>
      <c r="K1072" s="106" t="str">
        <f>IF(AND(G1072&lt;&gt;"",ISERROR(VLOOKUP(G1072,Keszlet!$C$5:$G$200,5,FALSE))=FALSE),VLOOKUP(G1072,Keszlet!$C$5:$G$200,5,FALSE),"")</f>
        <v/>
      </c>
      <c r="L1072" s="106" t="str">
        <f t="shared" si="35"/>
        <v/>
      </c>
      <c r="M1072" s="115" t="str">
        <f>IF(ISERROR(VLOOKUP(G1072,Keszlet!$C$5:$I$200,7,FALSE))=TRUE,"",IF(AND(J1071&lt;&gt;"",J1073=""),VLOOKUP(G1072,Keszlet!$C$5:$I$200,7,FALSE),""))</f>
        <v/>
      </c>
      <c r="Q1072" s="1">
        <f>VLOOKUP(G1072,Keszlet!$C$5:$E$205,3,FALSE)</f>
        <v>0</v>
      </c>
      <c r="T1072" s="1" t="str">
        <f t="shared" si="36"/>
        <v/>
      </c>
      <c r="U1072" s="1">
        <f t="shared" si="37"/>
        <v>0</v>
      </c>
      <c r="W1072" s="6">
        <f t="shared" si="31"/>
        <v>0</v>
      </c>
      <c r="X1072" s="6">
        <f t="shared" si="32"/>
        <v>0</v>
      </c>
      <c r="Y1072" s="1">
        <f t="shared" si="38"/>
        <v>1</v>
      </c>
      <c r="Z1072" s="1">
        <f>IF(COUNTIF($Y$6:Y1072,Y1072)=1,Y1072,Y1072+COUNTIF($Y$5:Y1071,Y1072))</f>
        <v>67</v>
      </c>
      <c r="AD1072" s="1" t="str">
        <f t="shared" si="39"/>
        <v/>
      </c>
      <c r="BA1072" s="1">
        <f>IF(W1072&lt;=Leltar_iv!$Y$1,I1072,0)</f>
        <v>0</v>
      </c>
    </row>
    <row r="1073" spans="1:53" s="1" customFormat="1" x14ac:dyDescent="0.25">
      <c r="A1073" s="18">
        <f>IF(COUNTIF($Y$6:Y1073,Y1073)=1,Y1073,Y1073+COUNTIF($Y$5:Y1072,Y1073))</f>
        <v>68</v>
      </c>
      <c r="B1073" s="1">
        <f>IF(AND(Kisero_iv!$N$2=C1073,Kisero_iv!$K$5=$B$3,SUM(I1073:L1077)&lt;&gt;0,$B$4=YEAR(W1073)),B1072+1,0)</f>
        <v>0</v>
      </c>
      <c r="C1073" s="1">
        <f t="shared" si="33"/>
        <v>68</v>
      </c>
      <c r="D1073" s="102" t="str">
        <f t="shared" si="34"/>
        <v/>
      </c>
      <c r="E1073" s="44"/>
      <c r="F1073" s="45"/>
      <c r="G1073" s="45"/>
      <c r="H1073" s="45"/>
      <c r="I1073" s="46"/>
      <c r="J1073" s="111" t="str">
        <f>IF(AND(G1073&lt;&gt;"",ISERROR(VLOOKUP(G1073,Keszlet!$C$5:$H$200,6,FALSE))=FALSE),VLOOKUP(G1073,Keszlet!$C$5:$H$200,6,FALSE),"")</f>
        <v/>
      </c>
      <c r="K1073" s="106" t="str">
        <f>IF(AND(G1073&lt;&gt;"",ISERROR(VLOOKUP(G1073,Keszlet!$C$5:$G$200,5,FALSE))=FALSE),VLOOKUP(G1073,Keszlet!$C$5:$G$200,5,FALSE),"")</f>
        <v/>
      </c>
      <c r="L1073" s="106" t="str">
        <f t="shared" si="35"/>
        <v/>
      </c>
      <c r="M1073" s="115" t="str">
        <f>IF(ISERROR(VLOOKUP(G1073,Keszlet!$C$5:$I$200,7,FALSE))=TRUE,"",IF(AND(J1072&lt;&gt;"",J1074=""),VLOOKUP(G1073,Keszlet!$C$5:$I$200,7,FALSE),""))</f>
        <v/>
      </c>
      <c r="Q1073" s="1">
        <f>VLOOKUP(G1073,Keszlet!$C$5:$E$205,3,FALSE)</f>
        <v>0</v>
      </c>
      <c r="T1073" s="1" t="str">
        <f t="shared" si="36"/>
        <v/>
      </c>
      <c r="U1073" s="1">
        <f t="shared" si="37"/>
        <v>0</v>
      </c>
      <c r="W1073" s="6">
        <f t="shared" ref="W1073:W1136" si="40">IF(E1073&lt;&gt;0,E1073,W1072)</f>
        <v>0</v>
      </c>
      <c r="X1073" s="6">
        <f t="shared" si="32"/>
        <v>0</v>
      </c>
      <c r="Y1073" s="1">
        <f t="shared" si="38"/>
        <v>1</v>
      </c>
      <c r="Z1073" s="1">
        <f>IF(COUNTIF($Y$6:Y1073,Y1073)=1,Y1073,Y1073+COUNTIF($Y$5:Y1072,Y1073))</f>
        <v>68</v>
      </c>
      <c r="AD1073" s="1" t="str">
        <f t="shared" si="39"/>
        <v/>
      </c>
      <c r="BA1073" s="1">
        <f>IF(W1073&lt;=Leltar_iv!$Y$1,I1073,0)</f>
        <v>0</v>
      </c>
    </row>
    <row r="1074" spans="1:53" s="1" customFormat="1" x14ac:dyDescent="0.25">
      <c r="A1074" s="18">
        <f>IF(COUNTIF($Y$6:Y1074,Y1074)=1,Y1074,Y1074+COUNTIF($Y$5:Y1073,Y1074))</f>
        <v>69</v>
      </c>
      <c r="B1074" s="1">
        <f>IF(AND(Kisero_iv!$N$2=C1074,Kisero_iv!$K$5=$B$3,SUM(I1074:L1078)&lt;&gt;0,$B$4=YEAR(W1074)),B1073+1,0)</f>
        <v>0</v>
      </c>
      <c r="C1074" s="1">
        <f t="shared" si="33"/>
        <v>69</v>
      </c>
      <c r="D1074" s="102" t="str">
        <f t="shared" si="34"/>
        <v/>
      </c>
      <c r="E1074" s="44"/>
      <c r="F1074" s="45"/>
      <c r="G1074" s="45"/>
      <c r="H1074" s="45"/>
      <c r="I1074" s="46"/>
      <c r="J1074" s="111" t="str">
        <f>IF(AND(G1074&lt;&gt;"",ISERROR(VLOOKUP(G1074,Keszlet!$C$5:$H$200,6,FALSE))=FALSE),VLOOKUP(G1074,Keszlet!$C$5:$H$200,6,FALSE),"")</f>
        <v/>
      </c>
      <c r="K1074" s="106" t="str">
        <f>IF(AND(G1074&lt;&gt;"",ISERROR(VLOOKUP(G1074,Keszlet!$C$5:$G$200,5,FALSE))=FALSE),VLOOKUP(G1074,Keszlet!$C$5:$G$200,5,FALSE),"")</f>
        <v/>
      </c>
      <c r="L1074" s="106" t="str">
        <f t="shared" si="35"/>
        <v/>
      </c>
      <c r="M1074" s="115" t="str">
        <f>IF(ISERROR(VLOOKUP(G1074,Keszlet!$C$5:$I$200,7,FALSE))=TRUE,"",IF(AND(J1073&lt;&gt;"",J1075=""),VLOOKUP(G1074,Keszlet!$C$5:$I$200,7,FALSE),""))</f>
        <v/>
      </c>
      <c r="Q1074" s="1">
        <f>VLOOKUP(G1074,Keszlet!$C$5:$E$205,3,FALSE)</f>
        <v>0</v>
      </c>
      <c r="T1074" s="1" t="str">
        <f t="shared" si="36"/>
        <v/>
      </c>
      <c r="U1074" s="1">
        <f t="shared" si="37"/>
        <v>0</v>
      </c>
      <c r="W1074" s="6">
        <f t="shared" si="40"/>
        <v>0</v>
      </c>
      <c r="X1074" s="6">
        <f t="shared" si="32"/>
        <v>0</v>
      </c>
      <c r="Y1074" s="1">
        <f t="shared" si="38"/>
        <v>1</v>
      </c>
      <c r="Z1074" s="1">
        <f>IF(COUNTIF($Y$6:Y1074,Y1074)=1,Y1074,Y1074+COUNTIF($Y$5:Y1073,Y1074))</f>
        <v>69</v>
      </c>
      <c r="AD1074" s="1" t="str">
        <f t="shared" si="39"/>
        <v/>
      </c>
      <c r="BA1074" s="1">
        <f>IF(W1074&lt;=Leltar_iv!$Y$1,I1074,0)</f>
        <v>0</v>
      </c>
    </row>
    <row r="1075" spans="1:53" s="1" customFormat="1" x14ac:dyDescent="0.25">
      <c r="A1075" s="18">
        <f>IF(COUNTIF($Y$6:Y1075,Y1075)=1,Y1075,Y1075+COUNTIF($Y$5:Y1074,Y1075))</f>
        <v>70</v>
      </c>
      <c r="B1075" s="1">
        <f>IF(AND(Kisero_iv!$N$2=C1075,Kisero_iv!$K$5=$B$3,SUM(I1075:L1079)&lt;&gt;0,$B$4=YEAR(W1075)),B1074+1,0)</f>
        <v>0</v>
      </c>
      <c r="C1075" s="1">
        <f t="shared" si="33"/>
        <v>70</v>
      </c>
      <c r="D1075" s="102" t="str">
        <f t="shared" si="34"/>
        <v/>
      </c>
      <c r="E1075" s="44"/>
      <c r="F1075" s="45"/>
      <c r="G1075" s="45"/>
      <c r="H1075" s="45"/>
      <c r="I1075" s="46"/>
      <c r="J1075" s="111" t="str">
        <f>IF(AND(G1075&lt;&gt;"",ISERROR(VLOOKUP(G1075,Keszlet!$C$5:$H$200,6,FALSE))=FALSE),VLOOKUP(G1075,Keszlet!$C$5:$H$200,6,FALSE),"")</f>
        <v/>
      </c>
      <c r="K1075" s="106" t="str">
        <f>IF(AND(G1075&lt;&gt;"",ISERROR(VLOOKUP(G1075,Keszlet!$C$5:$G$200,5,FALSE))=FALSE),VLOOKUP(G1075,Keszlet!$C$5:$G$200,5,FALSE),"")</f>
        <v/>
      </c>
      <c r="L1075" s="106" t="str">
        <f t="shared" si="35"/>
        <v/>
      </c>
      <c r="M1075" s="115" t="str">
        <f>IF(ISERROR(VLOOKUP(G1075,Keszlet!$C$5:$I$200,7,FALSE))=TRUE,"",IF(AND(J1074&lt;&gt;"",J1076=""),VLOOKUP(G1075,Keszlet!$C$5:$I$200,7,FALSE),""))</f>
        <v/>
      </c>
      <c r="Q1075" s="1">
        <f>VLOOKUP(G1075,Keszlet!$C$5:$E$205,3,FALSE)</f>
        <v>0</v>
      </c>
      <c r="T1075" s="1" t="str">
        <f t="shared" si="36"/>
        <v/>
      </c>
      <c r="U1075" s="1">
        <f t="shared" si="37"/>
        <v>0</v>
      </c>
      <c r="W1075" s="6">
        <f t="shared" si="40"/>
        <v>0</v>
      </c>
      <c r="X1075" s="6">
        <f t="shared" si="32"/>
        <v>0</v>
      </c>
      <c r="Y1075" s="1">
        <f t="shared" si="38"/>
        <v>1</v>
      </c>
      <c r="Z1075" s="1">
        <f>IF(COUNTIF($Y$6:Y1075,Y1075)=1,Y1075,Y1075+COUNTIF($Y$5:Y1074,Y1075))</f>
        <v>70</v>
      </c>
      <c r="AD1075" s="1" t="str">
        <f t="shared" si="39"/>
        <v/>
      </c>
      <c r="BA1075" s="1">
        <f>IF(W1075&lt;=Leltar_iv!$Y$1,I1075,0)</f>
        <v>0</v>
      </c>
    </row>
    <row r="1076" spans="1:53" s="1" customFormat="1" x14ac:dyDescent="0.25">
      <c r="A1076" s="18">
        <f>IF(COUNTIF($Y$6:Y1076,Y1076)=1,Y1076,Y1076+COUNTIF($Y$5:Y1075,Y1076))</f>
        <v>71</v>
      </c>
      <c r="B1076" s="1">
        <f>IF(AND(Kisero_iv!$N$2=C1076,Kisero_iv!$K$5=$B$3,SUM(I1076:L1080)&lt;&gt;0,$B$4=YEAR(W1076)),B1075+1,0)</f>
        <v>0</v>
      </c>
      <c r="C1076" s="1">
        <f t="shared" si="33"/>
        <v>71</v>
      </c>
      <c r="D1076" s="102" t="str">
        <f t="shared" si="34"/>
        <v/>
      </c>
      <c r="E1076" s="44"/>
      <c r="F1076" s="45"/>
      <c r="G1076" s="45"/>
      <c r="H1076" s="45"/>
      <c r="I1076" s="46"/>
      <c r="J1076" s="111" t="str">
        <f>IF(AND(G1076&lt;&gt;"",ISERROR(VLOOKUP(G1076,Keszlet!$C$5:$H$200,6,FALSE))=FALSE),VLOOKUP(G1076,Keszlet!$C$5:$H$200,6,FALSE),"")</f>
        <v/>
      </c>
      <c r="K1076" s="106" t="str">
        <f>IF(AND(G1076&lt;&gt;"",ISERROR(VLOOKUP(G1076,Keszlet!$C$5:$G$200,5,FALSE))=FALSE),VLOOKUP(G1076,Keszlet!$C$5:$G$200,5,FALSE),"")</f>
        <v/>
      </c>
      <c r="L1076" s="106" t="str">
        <f t="shared" si="35"/>
        <v/>
      </c>
      <c r="M1076" s="115" t="str">
        <f>IF(ISERROR(VLOOKUP(G1076,Keszlet!$C$5:$I$200,7,FALSE))=TRUE,"",IF(AND(J1075&lt;&gt;"",J1077=""),VLOOKUP(G1076,Keszlet!$C$5:$I$200,7,FALSE),""))</f>
        <v/>
      </c>
      <c r="Q1076" s="1">
        <f>VLOOKUP(G1076,Keszlet!$C$5:$E$205,3,FALSE)</f>
        <v>0</v>
      </c>
      <c r="T1076" s="1" t="str">
        <f t="shared" si="36"/>
        <v/>
      </c>
      <c r="U1076" s="1">
        <f t="shared" si="37"/>
        <v>0</v>
      </c>
      <c r="W1076" s="6">
        <f t="shared" si="40"/>
        <v>0</v>
      </c>
      <c r="X1076" s="6">
        <f t="shared" si="32"/>
        <v>0</v>
      </c>
      <c r="Y1076" s="1">
        <f t="shared" si="38"/>
        <v>1</v>
      </c>
      <c r="Z1076" s="1">
        <f>IF(COUNTIF($Y$6:Y1076,Y1076)=1,Y1076,Y1076+COUNTIF($Y$5:Y1075,Y1076))</f>
        <v>71</v>
      </c>
      <c r="AD1076" s="1" t="str">
        <f t="shared" si="39"/>
        <v/>
      </c>
      <c r="BA1076" s="1">
        <f>IF(W1076&lt;=Leltar_iv!$Y$1,I1076,0)</f>
        <v>0</v>
      </c>
    </row>
    <row r="1077" spans="1:53" s="1" customFormat="1" x14ac:dyDescent="0.25">
      <c r="A1077" s="18">
        <f>IF(COUNTIF($Y$6:Y1077,Y1077)=1,Y1077,Y1077+COUNTIF($Y$5:Y1076,Y1077))</f>
        <v>72</v>
      </c>
      <c r="B1077" s="1">
        <f>IF(AND(Kisero_iv!$N$2=C1077,Kisero_iv!$K$5=$B$3,SUM(I1077:L1081)&lt;&gt;0,$B$4=YEAR(W1077)),B1076+1,0)</f>
        <v>0</v>
      </c>
      <c r="C1077" s="1">
        <f t="shared" si="33"/>
        <v>72</v>
      </c>
      <c r="D1077" s="102" t="str">
        <f t="shared" si="34"/>
        <v/>
      </c>
      <c r="E1077" s="44"/>
      <c r="F1077" s="45"/>
      <c r="G1077" s="45"/>
      <c r="H1077" s="45"/>
      <c r="I1077" s="46"/>
      <c r="J1077" s="111" t="str">
        <f>IF(AND(G1077&lt;&gt;"",ISERROR(VLOOKUP(G1077,Keszlet!$C$5:$H$200,6,FALSE))=FALSE),VLOOKUP(G1077,Keszlet!$C$5:$H$200,6,FALSE),"")</f>
        <v/>
      </c>
      <c r="K1077" s="106" t="str">
        <f>IF(AND(G1077&lt;&gt;"",ISERROR(VLOOKUP(G1077,Keszlet!$C$5:$G$200,5,FALSE))=FALSE),VLOOKUP(G1077,Keszlet!$C$5:$G$200,5,FALSE),"")</f>
        <v/>
      </c>
      <c r="L1077" s="106" t="str">
        <f t="shared" si="35"/>
        <v/>
      </c>
      <c r="M1077" s="115" t="str">
        <f>IF(ISERROR(VLOOKUP(G1077,Keszlet!$C$5:$I$200,7,FALSE))=TRUE,"",IF(AND(J1076&lt;&gt;"",J1078=""),VLOOKUP(G1077,Keszlet!$C$5:$I$200,7,FALSE),""))</f>
        <v/>
      </c>
      <c r="Q1077" s="1">
        <f>VLOOKUP(G1077,Keszlet!$C$5:$E$205,3,FALSE)</f>
        <v>0</v>
      </c>
      <c r="T1077" s="1" t="str">
        <f t="shared" si="36"/>
        <v/>
      </c>
      <c r="U1077" s="1">
        <f t="shared" si="37"/>
        <v>0</v>
      </c>
      <c r="W1077" s="6">
        <f t="shared" si="40"/>
        <v>0</v>
      </c>
      <c r="X1077" s="6">
        <f t="shared" si="32"/>
        <v>0</v>
      </c>
      <c r="Y1077" s="1">
        <f t="shared" si="38"/>
        <v>1</v>
      </c>
      <c r="Z1077" s="1">
        <f>IF(COUNTIF($Y$6:Y1077,Y1077)=1,Y1077,Y1077+COUNTIF($Y$5:Y1076,Y1077))</f>
        <v>72</v>
      </c>
      <c r="AD1077" s="1" t="str">
        <f t="shared" si="39"/>
        <v/>
      </c>
      <c r="BA1077" s="1">
        <f>IF(W1077&lt;=Leltar_iv!$Y$1,I1077,0)</f>
        <v>0</v>
      </c>
    </row>
    <row r="1078" spans="1:53" s="1" customFormat="1" x14ac:dyDescent="0.25">
      <c r="A1078" s="18">
        <f>IF(COUNTIF($Y$6:Y1078,Y1078)=1,Y1078,Y1078+COUNTIF($Y$5:Y1077,Y1078))</f>
        <v>73</v>
      </c>
      <c r="B1078" s="1">
        <f>IF(AND(Kisero_iv!$N$2=C1078,Kisero_iv!$K$5=$B$3,SUM(I1078:L1082)&lt;&gt;0,$B$4=YEAR(W1078)),B1077+1,0)</f>
        <v>0</v>
      </c>
      <c r="C1078" s="1">
        <f t="shared" si="33"/>
        <v>73</v>
      </c>
      <c r="D1078" s="102" t="str">
        <f t="shared" si="34"/>
        <v/>
      </c>
      <c r="E1078" s="44"/>
      <c r="F1078" s="45"/>
      <c r="G1078" s="45"/>
      <c r="H1078" s="45"/>
      <c r="I1078" s="46"/>
      <c r="J1078" s="111" t="str">
        <f>IF(AND(G1078&lt;&gt;"",ISERROR(VLOOKUP(G1078,Keszlet!$C$5:$H$200,6,FALSE))=FALSE),VLOOKUP(G1078,Keszlet!$C$5:$H$200,6,FALSE),"")</f>
        <v/>
      </c>
      <c r="K1078" s="106" t="str">
        <f>IF(AND(G1078&lt;&gt;"",ISERROR(VLOOKUP(G1078,Keszlet!$C$5:$G$200,5,FALSE))=FALSE),VLOOKUP(G1078,Keszlet!$C$5:$G$200,5,FALSE),"")</f>
        <v/>
      </c>
      <c r="L1078" s="106" t="str">
        <f t="shared" si="35"/>
        <v/>
      </c>
      <c r="M1078" s="115" t="str">
        <f>IF(ISERROR(VLOOKUP(G1078,Keszlet!$C$5:$I$200,7,FALSE))=TRUE,"",IF(AND(J1077&lt;&gt;"",J1079=""),VLOOKUP(G1078,Keszlet!$C$5:$I$200,7,FALSE),""))</f>
        <v/>
      </c>
      <c r="Q1078" s="1">
        <f>VLOOKUP(G1078,Keszlet!$C$5:$E$205,3,FALSE)</f>
        <v>0</v>
      </c>
      <c r="T1078" s="1" t="str">
        <f t="shared" si="36"/>
        <v/>
      </c>
      <c r="U1078" s="1">
        <f t="shared" si="37"/>
        <v>0</v>
      </c>
      <c r="W1078" s="6">
        <f t="shared" si="40"/>
        <v>0</v>
      </c>
      <c r="X1078" s="6">
        <f t="shared" si="32"/>
        <v>0</v>
      </c>
      <c r="Y1078" s="1">
        <f t="shared" si="38"/>
        <v>1</v>
      </c>
      <c r="Z1078" s="1">
        <f>IF(COUNTIF($Y$6:Y1078,Y1078)=1,Y1078,Y1078+COUNTIF($Y$5:Y1077,Y1078))</f>
        <v>73</v>
      </c>
      <c r="AD1078" s="1" t="str">
        <f t="shared" si="39"/>
        <v/>
      </c>
      <c r="BA1078" s="1">
        <f>IF(W1078&lt;=Leltar_iv!$Y$1,I1078,0)</f>
        <v>0</v>
      </c>
    </row>
    <row r="1079" spans="1:53" s="1" customFormat="1" x14ac:dyDescent="0.25">
      <c r="A1079" s="18">
        <f>IF(COUNTIF($Y$6:Y1079,Y1079)=1,Y1079,Y1079+COUNTIF($Y$5:Y1078,Y1079))</f>
        <v>74</v>
      </c>
      <c r="B1079" s="1">
        <f>IF(AND(Kisero_iv!$N$2=C1079,Kisero_iv!$K$5=$B$3,SUM(I1079:L1083)&lt;&gt;0,$B$4=YEAR(W1079)),B1078+1,0)</f>
        <v>0</v>
      </c>
      <c r="C1079" s="1">
        <f t="shared" si="33"/>
        <v>74</v>
      </c>
      <c r="D1079" s="102" t="str">
        <f t="shared" si="34"/>
        <v/>
      </c>
      <c r="E1079" s="44"/>
      <c r="F1079" s="45"/>
      <c r="G1079" s="45"/>
      <c r="H1079" s="45"/>
      <c r="I1079" s="46"/>
      <c r="J1079" s="111" t="str">
        <f>IF(AND(G1079&lt;&gt;"",ISERROR(VLOOKUP(G1079,Keszlet!$C$5:$H$200,6,FALSE))=FALSE),VLOOKUP(G1079,Keszlet!$C$5:$H$200,6,FALSE),"")</f>
        <v/>
      </c>
      <c r="K1079" s="106" t="str">
        <f>IF(AND(G1079&lt;&gt;"",ISERROR(VLOOKUP(G1079,Keszlet!$C$5:$G$200,5,FALSE))=FALSE),VLOOKUP(G1079,Keszlet!$C$5:$G$200,5,FALSE),"")</f>
        <v/>
      </c>
      <c r="L1079" s="106" t="str">
        <f t="shared" si="35"/>
        <v/>
      </c>
      <c r="M1079" s="115" t="str">
        <f>IF(ISERROR(VLOOKUP(G1079,Keszlet!$C$5:$I$200,7,FALSE))=TRUE,"",IF(AND(J1078&lt;&gt;"",J1080=""),VLOOKUP(G1079,Keszlet!$C$5:$I$200,7,FALSE),""))</f>
        <v/>
      </c>
      <c r="Q1079" s="1">
        <f>VLOOKUP(G1079,Keszlet!$C$5:$E$205,3,FALSE)</f>
        <v>0</v>
      </c>
      <c r="T1079" s="1" t="str">
        <f t="shared" si="36"/>
        <v/>
      </c>
      <c r="U1079" s="1">
        <f t="shared" si="37"/>
        <v>0</v>
      </c>
      <c r="W1079" s="6">
        <f t="shared" si="40"/>
        <v>0</v>
      </c>
      <c r="X1079" s="6">
        <f t="shared" si="32"/>
        <v>0</v>
      </c>
      <c r="Y1079" s="1">
        <f t="shared" si="38"/>
        <v>1</v>
      </c>
      <c r="Z1079" s="1">
        <f>IF(COUNTIF($Y$6:Y1079,Y1079)=1,Y1079,Y1079+COUNTIF($Y$5:Y1078,Y1079))</f>
        <v>74</v>
      </c>
      <c r="AD1079" s="1" t="str">
        <f t="shared" si="39"/>
        <v/>
      </c>
      <c r="BA1079" s="1">
        <f>IF(W1079&lt;=Leltar_iv!$Y$1,I1079,0)</f>
        <v>0</v>
      </c>
    </row>
    <row r="1080" spans="1:53" s="1" customFormat="1" x14ac:dyDescent="0.25">
      <c r="A1080" s="18">
        <f>IF(COUNTIF($Y$6:Y1080,Y1080)=1,Y1080,Y1080+COUNTIF($Y$5:Y1079,Y1080))</f>
        <v>75</v>
      </c>
      <c r="B1080" s="1">
        <f>IF(AND(Kisero_iv!$N$2=C1080,Kisero_iv!$K$5=$B$3,SUM(I1080:L1084)&lt;&gt;0,$B$4=YEAR(W1080)),B1079+1,0)</f>
        <v>0</v>
      </c>
      <c r="C1080" s="1">
        <f t="shared" si="33"/>
        <v>75</v>
      </c>
      <c r="D1080" s="102" t="str">
        <f t="shared" si="34"/>
        <v/>
      </c>
      <c r="E1080" s="44"/>
      <c r="F1080" s="45"/>
      <c r="G1080" s="45"/>
      <c r="H1080" s="45"/>
      <c r="I1080" s="46"/>
      <c r="J1080" s="111" t="str">
        <f>IF(AND(G1080&lt;&gt;"",ISERROR(VLOOKUP(G1080,Keszlet!$C$5:$H$200,6,FALSE))=FALSE),VLOOKUP(G1080,Keszlet!$C$5:$H$200,6,FALSE),"")</f>
        <v/>
      </c>
      <c r="K1080" s="106" t="str">
        <f>IF(AND(G1080&lt;&gt;"",ISERROR(VLOOKUP(G1080,Keszlet!$C$5:$G$200,5,FALSE))=FALSE),VLOOKUP(G1080,Keszlet!$C$5:$G$200,5,FALSE),"")</f>
        <v/>
      </c>
      <c r="L1080" s="106" t="str">
        <f t="shared" si="35"/>
        <v/>
      </c>
      <c r="M1080" s="115" t="str">
        <f>IF(ISERROR(VLOOKUP(G1080,Keszlet!$C$5:$I$200,7,FALSE))=TRUE,"",IF(AND(J1079&lt;&gt;"",J1081=""),VLOOKUP(G1080,Keszlet!$C$5:$I$200,7,FALSE),""))</f>
        <v/>
      </c>
      <c r="Q1080" s="1">
        <f>VLOOKUP(G1080,Keszlet!$C$5:$E$205,3,FALSE)</f>
        <v>0</v>
      </c>
      <c r="T1080" s="1" t="str">
        <f t="shared" si="36"/>
        <v/>
      </c>
      <c r="U1080" s="1">
        <f t="shared" si="37"/>
        <v>0</v>
      </c>
      <c r="W1080" s="6">
        <f t="shared" si="40"/>
        <v>0</v>
      </c>
      <c r="X1080" s="6">
        <f t="shared" si="32"/>
        <v>0</v>
      </c>
      <c r="Y1080" s="1">
        <f t="shared" si="38"/>
        <v>1</v>
      </c>
      <c r="Z1080" s="1">
        <f>IF(COUNTIF($Y$6:Y1080,Y1080)=1,Y1080,Y1080+COUNTIF($Y$5:Y1079,Y1080))</f>
        <v>75</v>
      </c>
      <c r="AD1080" s="1" t="str">
        <f t="shared" si="39"/>
        <v/>
      </c>
      <c r="BA1080" s="1">
        <f>IF(W1080&lt;=Leltar_iv!$Y$1,I1080,0)</f>
        <v>0</v>
      </c>
    </row>
    <row r="1081" spans="1:53" s="1" customFormat="1" x14ac:dyDescent="0.25">
      <c r="A1081" s="18">
        <f>IF(COUNTIF($Y$6:Y1081,Y1081)=1,Y1081,Y1081+COUNTIF($Y$5:Y1080,Y1081))</f>
        <v>76</v>
      </c>
      <c r="B1081" s="1">
        <f>IF(AND(Kisero_iv!$N$2=C1081,Kisero_iv!$K$5=$B$3,SUM(I1081:L1085)&lt;&gt;0,$B$4=YEAR(W1081)),B1080+1,0)</f>
        <v>0</v>
      </c>
      <c r="C1081" s="1">
        <f t="shared" si="33"/>
        <v>76</v>
      </c>
      <c r="D1081" s="102" t="str">
        <f t="shared" si="34"/>
        <v/>
      </c>
      <c r="E1081" s="44"/>
      <c r="F1081" s="45"/>
      <c r="G1081" s="45"/>
      <c r="H1081" s="45"/>
      <c r="I1081" s="46"/>
      <c r="J1081" s="111" t="str">
        <f>IF(AND(G1081&lt;&gt;"",ISERROR(VLOOKUP(G1081,Keszlet!$C$5:$H$200,6,FALSE))=FALSE),VLOOKUP(G1081,Keszlet!$C$5:$H$200,6,FALSE),"")</f>
        <v/>
      </c>
      <c r="K1081" s="106" t="str">
        <f>IF(AND(G1081&lt;&gt;"",ISERROR(VLOOKUP(G1081,Keszlet!$C$5:$G$200,5,FALSE))=FALSE),VLOOKUP(G1081,Keszlet!$C$5:$G$200,5,FALSE),"")</f>
        <v/>
      </c>
      <c r="L1081" s="106" t="str">
        <f t="shared" si="35"/>
        <v/>
      </c>
      <c r="M1081" s="115" t="str">
        <f>IF(ISERROR(VLOOKUP(G1081,Keszlet!$C$5:$I$200,7,FALSE))=TRUE,"",IF(AND(J1080&lt;&gt;"",J1082=""),VLOOKUP(G1081,Keszlet!$C$5:$I$200,7,FALSE),""))</f>
        <v/>
      </c>
      <c r="Q1081" s="1">
        <f>VLOOKUP(G1081,Keszlet!$C$5:$E$205,3,FALSE)</f>
        <v>0</v>
      </c>
      <c r="T1081" s="1" t="str">
        <f t="shared" si="36"/>
        <v/>
      </c>
      <c r="U1081" s="1">
        <f t="shared" si="37"/>
        <v>0</v>
      </c>
      <c r="W1081" s="6">
        <f t="shared" si="40"/>
        <v>0</v>
      </c>
      <c r="X1081" s="6">
        <f t="shared" si="32"/>
        <v>0</v>
      </c>
      <c r="Y1081" s="1">
        <f t="shared" si="38"/>
        <v>1</v>
      </c>
      <c r="Z1081" s="1">
        <f>IF(COUNTIF($Y$6:Y1081,Y1081)=1,Y1081,Y1081+COUNTIF($Y$5:Y1080,Y1081))</f>
        <v>76</v>
      </c>
      <c r="AD1081" s="1" t="str">
        <f t="shared" si="39"/>
        <v/>
      </c>
      <c r="BA1081" s="1">
        <f>IF(W1081&lt;=Leltar_iv!$Y$1,I1081,0)</f>
        <v>0</v>
      </c>
    </row>
    <row r="1082" spans="1:53" s="1" customFormat="1" x14ac:dyDescent="0.25">
      <c r="A1082" s="18">
        <f>IF(COUNTIF($Y$6:Y1082,Y1082)=1,Y1082,Y1082+COUNTIF($Y$5:Y1081,Y1082))</f>
        <v>77</v>
      </c>
      <c r="B1082" s="1">
        <f>IF(AND(Kisero_iv!$N$2=C1082,Kisero_iv!$K$5=$B$3,SUM(I1082:L1086)&lt;&gt;0,$B$4=YEAR(W1082)),B1081+1,0)</f>
        <v>0</v>
      </c>
      <c r="C1082" s="1">
        <f t="shared" si="33"/>
        <v>77</v>
      </c>
      <c r="D1082" s="102" t="str">
        <f t="shared" si="34"/>
        <v/>
      </c>
      <c r="E1082" s="44"/>
      <c r="F1082" s="45"/>
      <c r="G1082" s="45"/>
      <c r="H1082" s="45"/>
      <c r="I1082" s="46"/>
      <c r="J1082" s="111" t="str">
        <f>IF(AND(G1082&lt;&gt;"",ISERROR(VLOOKUP(G1082,Keszlet!$C$5:$H$200,6,FALSE))=FALSE),VLOOKUP(G1082,Keszlet!$C$5:$H$200,6,FALSE),"")</f>
        <v/>
      </c>
      <c r="K1082" s="106" t="str">
        <f>IF(AND(G1082&lt;&gt;"",ISERROR(VLOOKUP(G1082,Keszlet!$C$5:$G$200,5,FALSE))=FALSE),VLOOKUP(G1082,Keszlet!$C$5:$G$200,5,FALSE),"")</f>
        <v/>
      </c>
      <c r="L1082" s="106" t="str">
        <f t="shared" si="35"/>
        <v/>
      </c>
      <c r="M1082" s="115" t="str">
        <f>IF(ISERROR(VLOOKUP(G1082,Keszlet!$C$5:$I$200,7,FALSE))=TRUE,"",IF(AND(J1081&lt;&gt;"",J1083=""),VLOOKUP(G1082,Keszlet!$C$5:$I$200,7,FALSE),""))</f>
        <v/>
      </c>
      <c r="Q1082" s="1">
        <f>VLOOKUP(G1082,Keszlet!$C$5:$E$205,3,FALSE)</f>
        <v>0</v>
      </c>
      <c r="T1082" s="1" t="str">
        <f t="shared" si="36"/>
        <v/>
      </c>
      <c r="U1082" s="1">
        <f t="shared" si="37"/>
        <v>0</v>
      </c>
      <c r="W1082" s="6">
        <f t="shared" si="40"/>
        <v>0</v>
      </c>
      <c r="X1082" s="6">
        <f t="shared" si="32"/>
        <v>0</v>
      </c>
      <c r="Y1082" s="1">
        <f t="shared" si="38"/>
        <v>1</v>
      </c>
      <c r="Z1082" s="1">
        <f>IF(COUNTIF($Y$6:Y1082,Y1082)=1,Y1082,Y1082+COUNTIF($Y$5:Y1081,Y1082))</f>
        <v>77</v>
      </c>
      <c r="AD1082" s="1" t="str">
        <f t="shared" si="39"/>
        <v/>
      </c>
      <c r="BA1082" s="1">
        <f>IF(W1082&lt;=Leltar_iv!$Y$1,I1082,0)</f>
        <v>0</v>
      </c>
    </row>
    <row r="1083" spans="1:53" s="1" customFormat="1" x14ac:dyDescent="0.25">
      <c r="A1083" s="18">
        <f>IF(COUNTIF($Y$6:Y1083,Y1083)=1,Y1083,Y1083+COUNTIF($Y$5:Y1082,Y1083))</f>
        <v>78</v>
      </c>
      <c r="B1083" s="1">
        <f>IF(AND(Kisero_iv!$N$2=C1083,Kisero_iv!$K$5=$B$3,SUM(I1083:L1087)&lt;&gt;0,$B$4=YEAR(W1083)),B1082+1,0)</f>
        <v>0</v>
      </c>
      <c r="C1083" s="1">
        <f t="shared" si="33"/>
        <v>78</v>
      </c>
      <c r="D1083" s="102" t="str">
        <f t="shared" si="34"/>
        <v/>
      </c>
      <c r="E1083" s="44"/>
      <c r="F1083" s="45"/>
      <c r="G1083" s="45"/>
      <c r="H1083" s="45"/>
      <c r="I1083" s="46"/>
      <c r="J1083" s="111" t="str">
        <f>IF(AND(G1083&lt;&gt;"",ISERROR(VLOOKUP(G1083,Keszlet!$C$5:$H$200,6,FALSE))=FALSE),VLOOKUP(G1083,Keszlet!$C$5:$H$200,6,FALSE),"")</f>
        <v/>
      </c>
      <c r="K1083" s="106" t="str">
        <f>IF(AND(G1083&lt;&gt;"",ISERROR(VLOOKUP(G1083,Keszlet!$C$5:$G$200,5,FALSE))=FALSE),VLOOKUP(G1083,Keszlet!$C$5:$G$200,5,FALSE),"")</f>
        <v/>
      </c>
      <c r="L1083" s="106" t="str">
        <f t="shared" si="35"/>
        <v/>
      </c>
      <c r="M1083" s="115" t="str">
        <f>IF(ISERROR(VLOOKUP(G1083,Keszlet!$C$5:$I$200,7,FALSE))=TRUE,"",IF(AND(J1082&lt;&gt;"",J1084=""),VLOOKUP(G1083,Keszlet!$C$5:$I$200,7,FALSE),""))</f>
        <v/>
      </c>
      <c r="Q1083" s="1">
        <f>VLOOKUP(G1083,Keszlet!$C$5:$E$205,3,FALSE)</f>
        <v>0</v>
      </c>
      <c r="T1083" s="1" t="str">
        <f t="shared" si="36"/>
        <v/>
      </c>
      <c r="U1083" s="1">
        <f t="shared" si="37"/>
        <v>0</v>
      </c>
      <c r="W1083" s="6">
        <f t="shared" si="40"/>
        <v>0</v>
      </c>
      <c r="X1083" s="6">
        <f t="shared" si="32"/>
        <v>0</v>
      </c>
      <c r="Y1083" s="1">
        <f t="shared" si="38"/>
        <v>1</v>
      </c>
      <c r="Z1083" s="1">
        <f>IF(COUNTIF($Y$6:Y1083,Y1083)=1,Y1083,Y1083+COUNTIF($Y$5:Y1082,Y1083))</f>
        <v>78</v>
      </c>
      <c r="AD1083" s="1" t="str">
        <f t="shared" si="39"/>
        <v/>
      </c>
      <c r="BA1083" s="1">
        <f>IF(W1083&lt;=Leltar_iv!$Y$1,I1083,0)</f>
        <v>0</v>
      </c>
    </row>
    <row r="1084" spans="1:53" s="1" customFormat="1" x14ac:dyDescent="0.25">
      <c r="A1084" s="18">
        <f>IF(COUNTIF($Y$6:Y1084,Y1084)=1,Y1084,Y1084+COUNTIF($Y$5:Y1083,Y1084))</f>
        <v>79</v>
      </c>
      <c r="B1084" s="1">
        <f>IF(AND(Kisero_iv!$N$2=C1084,Kisero_iv!$K$5=$B$3,SUM(I1084:L1088)&lt;&gt;0,$B$4=YEAR(W1084)),B1083+1,0)</f>
        <v>0</v>
      </c>
      <c r="C1084" s="1">
        <f t="shared" si="33"/>
        <v>79</v>
      </c>
      <c r="D1084" s="102" t="str">
        <f t="shared" si="34"/>
        <v/>
      </c>
      <c r="E1084" s="44"/>
      <c r="F1084" s="45"/>
      <c r="G1084" s="45"/>
      <c r="H1084" s="45"/>
      <c r="I1084" s="46"/>
      <c r="J1084" s="111" t="str">
        <f>IF(AND(G1084&lt;&gt;"",ISERROR(VLOOKUP(G1084,Keszlet!$C$5:$H$200,6,FALSE))=FALSE),VLOOKUP(G1084,Keszlet!$C$5:$H$200,6,FALSE),"")</f>
        <v/>
      </c>
      <c r="K1084" s="106" t="str">
        <f>IF(AND(G1084&lt;&gt;"",ISERROR(VLOOKUP(G1084,Keszlet!$C$5:$G$200,5,FALSE))=FALSE),VLOOKUP(G1084,Keszlet!$C$5:$G$200,5,FALSE),"")</f>
        <v/>
      </c>
      <c r="L1084" s="106" t="str">
        <f t="shared" si="35"/>
        <v/>
      </c>
      <c r="M1084" s="115" t="str">
        <f>IF(ISERROR(VLOOKUP(G1084,Keszlet!$C$5:$I$200,7,FALSE))=TRUE,"",IF(AND(J1083&lt;&gt;"",J1085=""),VLOOKUP(G1084,Keszlet!$C$5:$I$200,7,FALSE),""))</f>
        <v/>
      </c>
      <c r="Q1084" s="1">
        <f>VLOOKUP(G1084,Keszlet!$C$5:$E$205,3,FALSE)</f>
        <v>0</v>
      </c>
      <c r="T1084" s="1" t="str">
        <f t="shared" si="36"/>
        <v/>
      </c>
      <c r="U1084" s="1">
        <f t="shared" si="37"/>
        <v>0</v>
      </c>
      <c r="W1084" s="6">
        <f t="shared" si="40"/>
        <v>0</v>
      </c>
      <c r="X1084" s="6">
        <f t="shared" si="32"/>
        <v>0</v>
      </c>
      <c r="Y1084" s="1">
        <f t="shared" si="38"/>
        <v>1</v>
      </c>
      <c r="Z1084" s="1">
        <f>IF(COUNTIF($Y$6:Y1084,Y1084)=1,Y1084,Y1084+COUNTIF($Y$5:Y1083,Y1084))</f>
        <v>79</v>
      </c>
      <c r="AD1084" s="1" t="str">
        <f t="shared" si="39"/>
        <v/>
      </c>
      <c r="BA1084" s="1">
        <f>IF(W1084&lt;=Leltar_iv!$Y$1,I1084,0)</f>
        <v>0</v>
      </c>
    </row>
    <row r="1085" spans="1:53" s="1" customFormat="1" x14ac:dyDescent="0.25">
      <c r="A1085" s="18">
        <f>IF(COUNTIF($Y$6:Y1085,Y1085)=1,Y1085,Y1085+COUNTIF($Y$5:Y1084,Y1085))</f>
        <v>80</v>
      </c>
      <c r="B1085" s="1">
        <f>IF(AND(Kisero_iv!$N$2=C1085,Kisero_iv!$K$5=$B$3,SUM(I1085:L1089)&lt;&gt;0,$B$4=YEAR(W1085)),B1084+1,0)</f>
        <v>0</v>
      </c>
      <c r="C1085" s="1">
        <f t="shared" si="33"/>
        <v>80</v>
      </c>
      <c r="D1085" s="102" t="str">
        <f t="shared" si="34"/>
        <v/>
      </c>
      <c r="E1085" s="44"/>
      <c r="F1085" s="45"/>
      <c r="G1085" s="45"/>
      <c r="H1085" s="45"/>
      <c r="I1085" s="46"/>
      <c r="J1085" s="111" t="str">
        <f>IF(AND(G1085&lt;&gt;"",ISERROR(VLOOKUP(G1085,Keszlet!$C$5:$H$200,6,FALSE))=FALSE),VLOOKUP(G1085,Keszlet!$C$5:$H$200,6,FALSE),"")</f>
        <v/>
      </c>
      <c r="K1085" s="106" t="str">
        <f>IF(AND(G1085&lt;&gt;"",ISERROR(VLOOKUP(G1085,Keszlet!$C$5:$G$200,5,FALSE))=FALSE),VLOOKUP(G1085,Keszlet!$C$5:$G$200,5,FALSE),"")</f>
        <v/>
      </c>
      <c r="L1085" s="106" t="str">
        <f t="shared" si="35"/>
        <v/>
      </c>
      <c r="M1085" s="115" t="str">
        <f>IF(ISERROR(VLOOKUP(G1085,Keszlet!$C$5:$I$200,7,FALSE))=TRUE,"",IF(AND(J1084&lt;&gt;"",J1086=""),VLOOKUP(G1085,Keszlet!$C$5:$I$200,7,FALSE),""))</f>
        <v/>
      </c>
      <c r="Q1085" s="1">
        <f>VLOOKUP(G1085,Keszlet!$C$5:$E$205,3,FALSE)</f>
        <v>0</v>
      </c>
      <c r="T1085" s="1" t="str">
        <f t="shared" si="36"/>
        <v/>
      </c>
      <c r="U1085" s="1">
        <f t="shared" si="37"/>
        <v>0</v>
      </c>
      <c r="W1085" s="6">
        <f t="shared" si="40"/>
        <v>0</v>
      </c>
      <c r="X1085" s="6">
        <f t="shared" si="32"/>
        <v>0</v>
      </c>
      <c r="Y1085" s="1">
        <f t="shared" si="38"/>
        <v>1</v>
      </c>
      <c r="Z1085" s="1">
        <f>IF(COUNTIF($Y$6:Y1085,Y1085)=1,Y1085,Y1085+COUNTIF($Y$5:Y1084,Y1085))</f>
        <v>80</v>
      </c>
      <c r="AD1085" s="1" t="str">
        <f t="shared" si="39"/>
        <v/>
      </c>
      <c r="BA1085" s="1">
        <f>IF(W1085&lt;=Leltar_iv!$Y$1,I1085,0)</f>
        <v>0</v>
      </c>
    </row>
    <row r="1086" spans="1:53" s="1" customFormat="1" x14ac:dyDescent="0.25">
      <c r="A1086" s="18">
        <f>IF(COUNTIF($Y$6:Y1086,Y1086)=1,Y1086,Y1086+COUNTIF($Y$5:Y1085,Y1086))</f>
        <v>81</v>
      </c>
      <c r="B1086" s="1">
        <f>IF(AND(Kisero_iv!$N$2=C1086,Kisero_iv!$K$5=$B$3,SUM(I1086:L1090)&lt;&gt;0,$B$4=YEAR(W1086)),B1085+1,0)</f>
        <v>0</v>
      </c>
      <c r="C1086" s="1">
        <f t="shared" si="33"/>
        <v>81</v>
      </c>
      <c r="D1086" s="102" t="str">
        <f t="shared" si="34"/>
        <v/>
      </c>
      <c r="E1086" s="44"/>
      <c r="F1086" s="45"/>
      <c r="G1086" s="45"/>
      <c r="H1086" s="45"/>
      <c r="I1086" s="46"/>
      <c r="J1086" s="111" t="str">
        <f>IF(AND(G1086&lt;&gt;"",ISERROR(VLOOKUP(G1086,Keszlet!$C$5:$H$200,6,FALSE))=FALSE),VLOOKUP(G1086,Keszlet!$C$5:$H$200,6,FALSE),"")</f>
        <v/>
      </c>
      <c r="K1086" s="106" t="str">
        <f>IF(AND(G1086&lt;&gt;"",ISERROR(VLOOKUP(G1086,Keszlet!$C$5:$G$200,5,FALSE))=FALSE),VLOOKUP(G1086,Keszlet!$C$5:$G$200,5,FALSE),"")</f>
        <v/>
      </c>
      <c r="L1086" s="106" t="str">
        <f t="shared" si="35"/>
        <v/>
      </c>
      <c r="M1086" s="115" t="str">
        <f>IF(ISERROR(VLOOKUP(G1086,Keszlet!$C$5:$I$200,7,FALSE))=TRUE,"",IF(AND(J1085&lt;&gt;"",J1087=""),VLOOKUP(G1086,Keszlet!$C$5:$I$200,7,FALSE),""))</f>
        <v/>
      </c>
      <c r="Q1086" s="1">
        <f>VLOOKUP(G1086,Keszlet!$C$5:$E$205,3,FALSE)</f>
        <v>0</v>
      </c>
      <c r="T1086" s="1" t="str">
        <f t="shared" si="36"/>
        <v/>
      </c>
      <c r="U1086" s="1">
        <f t="shared" si="37"/>
        <v>0</v>
      </c>
      <c r="W1086" s="6">
        <f t="shared" si="40"/>
        <v>0</v>
      </c>
      <c r="X1086" s="6">
        <f t="shared" si="32"/>
        <v>0</v>
      </c>
      <c r="Y1086" s="1">
        <f t="shared" si="38"/>
        <v>1</v>
      </c>
      <c r="Z1086" s="1">
        <f>IF(COUNTIF($Y$6:Y1086,Y1086)=1,Y1086,Y1086+COUNTIF($Y$5:Y1085,Y1086))</f>
        <v>81</v>
      </c>
      <c r="AD1086" s="1" t="str">
        <f t="shared" si="39"/>
        <v/>
      </c>
      <c r="BA1086" s="1">
        <f>IF(W1086&lt;=Leltar_iv!$Y$1,I1086,0)</f>
        <v>0</v>
      </c>
    </row>
    <row r="1087" spans="1:53" s="1" customFormat="1" x14ac:dyDescent="0.25">
      <c r="A1087" s="18">
        <f>IF(COUNTIF($Y$6:Y1087,Y1087)=1,Y1087,Y1087+COUNTIF($Y$5:Y1086,Y1087))</f>
        <v>82</v>
      </c>
      <c r="B1087" s="1">
        <f>IF(AND(Kisero_iv!$N$2=C1087,Kisero_iv!$K$5=$B$3,SUM(I1087:L1091)&lt;&gt;0,$B$4=YEAR(W1087)),B1086+1,0)</f>
        <v>0</v>
      </c>
      <c r="C1087" s="1">
        <f t="shared" si="33"/>
        <v>82</v>
      </c>
      <c r="D1087" s="102" t="str">
        <f t="shared" si="34"/>
        <v/>
      </c>
      <c r="E1087" s="44"/>
      <c r="F1087" s="45"/>
      <c r="G1087" s="45"/>
      <c r="H1087" s="45"/>
      <c r="I1087" s="46"/>
      <c r="J1087" s="111" t="str">
        <f>IF(AND(G1087&lt;&gt;"",ISERROR(VLOOKUP(G1087,Keszlet!$C$5:$H$200,6,FALSE))=FALSE),VLOOKUP(G1087,Keszlet!$C$5:$H$200,6,FALSE),"")</f>
        <v/>
      </c>
      <c r="K1087" s="106" t="str">
        <f>IF(AND(G1087&lt;&gt;"",ISERROR(VLOOKUP(G1087,Keszlet!$C$5:$G$200,5,FALSE))=FALSE),VLOOKUP(G1087,Keszlet!$C$5:$G$200,5,FALSE),"")</f>
        <v/>
      </c>
      <c r="L1087" s="106" t="str">
        <f t="shared" si="35"/>
        <v/>
      </c>
      <c r="M1087" s="115" t="str">
        <f>IF(ISERROR(VLOOKUP(G1087,Keszlet!$C$5:$I$200,7,FALSE))=TRUE,"",IF(AND(J1086&lt;&gt;"",J1088=""),VLOOKUP(G1087,Keszlet!$C$5:$I$200,7,FALSE),""))</f>
        <v/>
      </c>
      <c r="Q1087" s="1">
        <f>VLOOKUP(G1087,Keszlet!$C$5:$E$205,3,FALSE)</f>
        <v>0</v>
      </c>
      <c r="T1087" s="1" t="str">
        <f t="shared" si="36"/>
        <v/>
      </c>
      <c r="U1087" s="1">
        <f t="shared" si="37"/>
        <v>0</v>
      </c>
      <c r="W1087" s="6">
        <f t="shared" si="40"/>
        <v>0</v>
      </c>
      <c r="X1087" s="6">
        <f t="shared" si="32"/>
        <v>0</v>
      </c>
      <c r="Y1087" s="1">
        <f t="shared" si="38"/>
        <v>1</v>
      </c>
      <c r="Z1087" s="1">
        <f>IF(COUNTIF($Y$6:Y1087,Y1087)=1,Y1087,Y1087+COUNTIF($Y$5:Y1086,Y1087))</f>
        <v>82</v>
      </c>
      <c r="AD1087" s="1" t="str">
        <f t="shared" si="39"/>
        <v/>
      </c>
      <c r="BA1087" s="1">
        <f>IF(W1087&lt;=Leltar_iv!$Y$1,I1087,0)</f>
        <v>0</v>
      </c>
    </row>
    <row r="1088" spans="1:53" s="1" customFormat="1" x14ac:dyDescent="0.25">
      <c r="A1088" s="18">
        <f>IF(COUNTIF($Y$6:Y1088,Y1088)=1,Y1088,Y1088+COUNTIF($Y$5:Y1087,Y1088))</f>
        <v>83</v>
      </c>
      <c r="B1088" s="1">
        <f>IF(AND(Kisero_iv!$N$2=C1088,Kisero_iv!$K$5=$B$3,SUM(I1088:L1092)&lt;&gt;0,$B$4=YEAR(W1088)),B1087+1,0)</f>
        <v>0</v>
      </c>
      <c r="C1088" s="1">
        <f t="shared" si="33"/>
        <v>83</v>
      </c>
      <c r="D1088" s="102" t="str">
        <f t="shared" si="34"/>
        <v/>
      </c>
      <c r="E1088" s="44"/>
      <c r="F1088" s="45"/>
      <c r="G1088" s="45"/>
      <c r="H1088" s="45"/>
      <c r="I1088" s="46"/>
      <c r="J1088" s="111" t="str">
        <f>IF(AND(G1088&lt;&gt;"",ISERROR(VLOOKUP(G1088,Keszlet!$C$5:$H$200,6,FALSE))=FALSE),VLOOKUP(G1088,Keszlet!$C$5:$H$200,6,FALSE),"")</f>
        <v/>
      </c>
      <c r="K1088" s="106" t="str">
        <f>IF(AND(G1088&lt;&gt;"",ISERROR(VLOOKUP(G1088,Keszlet!$C$5:$G$200,5,FALSE))=FALSE),VLOOKUP(G1088,Keszlet!$C$5:$G$200,5,FALSE),"")</f>
        <v/>
      </c>
      <c r="L1088" s="106" t="str">
        <f t="shared" si="35"/>
        <v/>
      </c>
      <c r="M1088" s="115" t="str">
        <f>IF(ISERROR(VLOOKUP(G1088,Keszlet!$C$5:$I$200,7,FALSE))=TRUE,"",IF(AND(J1087&lt;&gt;"",J1089=""),VLOOKUP(G1088,Keszlet!$C$5:$I$200,7,FALSE),""))</f>
        <v/>
      </c>
      <c r="Q1088" s="1">
        <f>VLOOKUP(G1088,Keszlet!$C$5:$E$205,3,FALSE)</f>
        <v>0</v>
      </c>
      <c r="T1088" s="1" t="str">
        <f t="shared" si="36"/>
        <v/>
      </c>
      <c r="U1088" s="1">
        <f t="shared" si="37"/>
        <v>0</v>
      </c>
      <c r="W1088" s="6">
        <f t="shared" si="40"/>
        <v>0</v>
      </c>
      <c r="X1088" s="6">
        <f t="shared" si="32"/>
        <v>0</v>
      </c>
      <c r="Y1088" s="1">
        <f t="shared" si="38"/>
        <v>1</v>
      </c>
      <c r="Z1088" s="1">
        <f>IF(COUNTIF($Y$6:Y1088,Y1088)=1,Y1088,Y1088+COUNTIF($Y$5:Y1087,Y1088))</f>
        <v>83</v>
      </c>
      <c r="AD1088" s="1" t="str">
        <f t="shared" si="39"/>
        <v/>
      </c>
      <c r="BA1088" s="1">
        <f>IF(W1088&lt;=Leltar_iv!$Y$1,I1088,0)</f>
        <v>0</v>
      </c>
    </row>
    <row r="1089" spans="1:53" s="1" customFormat="1" x14ac:dyDescent="0.25">
      <c r="A1089" s="18">
        <f>IF(COUNTIF($Y$6:Y1089,Y1089)=1,Y1089,Y1089+COUNTIF($Y$5:Y1088,Y1089))</f>
        <v>84</v>
      </c>
      <c r="B1089" s="1">
        <f>IF(AND(Kisero_iv!$N$2=C1089,Kisero_iv!$K$5=$B$3,SUM(I1089:L1093)&lt;&gt;0,$B$4=YEAR(W1089)),B1088+1,0)</f>
        <v>0</v>
      </c>
      <c r="C1089" s="1">
        <f t="shared" si="33"/>
        <v>84</v>
      </c>
      <c r="D1089" s="102" t="str">
        <f t="shared" si="34"/>
        <v/>
      </c>
      <c r="E1089" s="44"/>
      <c r="F1089" s="45"/>
      <c r="G1089" s="45"/>
      <c r="H1089" s="45"/>
      <c r="I1089" s="46"/>
      <c r="J1089" s="111" t="str">
        <f>IF(AND(G1089&lt;&gt;"",ISERROR(VLOOKUP(G1089,Keszlet!$C$5:$H$200,6,FALSE))=FALSE),VLOOKUP(G1089,Keszlet!$C$5:$H$200,6,FALSE),"")</f>
        <v/>
      </c>
      <c r="K1089" s="106" t="str">
        <f>IF(AND(G1089&lt;&gt;"",ISERROR(VLOOKUP(G1089,Keszlet!$C$5:$G$200,5,FALSE))=FALSE),VLOOKUP(G1089,Keszlet!$C$5:$G$200,5,FALSE),"")</f>
        <v/>
      </c>
      <c r="L1089" s="106" t="str">
        <f t="shared" si="35"/>
        <v/>
      </c>
      <c r="M1089" s="115" t="str">
        <f>IF(ISERROR(VLOOKUP(G1089,Keszlet!$C$5:$I$200,7,FALSE))=TRUE,"",IF(AND(J1088&lt;&gt;"",J1090=""),VLOOKUP(G1089,Keszlet!$C$5:$I$200,7,FALSE),""))</f>
        <v/>
      </c>
      <c r="Q1089" s="1">
        <f>VLOOKUP(G1089,Keszlet!$C$5:$E$205,3,FALSE)</f>
        <v>0</v>
      </c>
      <c r="T1089" s="1" t="str">
        <f t="shared" si="36"/>
        <v/>
      </c>
      <c r="U1089" s="1">
        <f t="shared" si="37"/>
        <v>0</v>
      </c>
      <c r="W1089" s="6">
        <f t="shared" si="40"/>
        <v>0</v>
      </c>
      <c r="X1089" s="6">
        <f t="shared" si="32"/>
        <v>0</v>
      </c>
      <c r="Y1089" s="1">
        <f t="shared" si="38"/>
        <v>1</v>
      </c>
      <c r="Z1089" s="1">
        <f>IF(COUNTIF($Y$6:Y1089,Y1089)=1,Y1089,Y1089+COUNTIF($Y$5:Y1088,Y1089))</f>
        <v>84</v>
      </c>
      <c r="AD1089" s="1" t="str">
        <f t="shared" si="39"/>
        <v/>
      </c>
      <c r="BA1089" s="1">
        <f>IF(W1089&lt;=Leltar_iv!$Y$1,I1089,0)</f>
        <v>0</v>
      </c>
    </row>
    <row r="1090" spans="1:53" s="1" customFormat="1" x14ac:dyDescent="0.25">
      <c r="A1090" s="18">
        <f>IF(COUNTIF($Y$6:Y1090,Y1090)=1,Y1090,Y1090+COUNTIF($Y$5:Y1089,Y1090))</f>
        <v>85</v>
      </c>
      <c r="B1090" s="1">
        <f>IF(AND(Kisero_iv!$N$2=C1090,Kisero_iv!$K$5=$B$3,SUM(I1090:L1094)&lt;&gt;0,$B$4=YEAR(W1090)),B1089+1,0)</f>
        <v>0</v>
      </c>
      <c r="C1090" s="1">
        <f t="shared" si="33"/>
        <v>85</v>
      </c>
      <c r="D1090" s="102" t="str">
        <f t="shared" si="34"/>
        <v/>
      </c>
      <c r="E1090" s="44"/>
      <c r="F1090" s="45"/>
      <c r="G1090" s="45"/>
      <c r="H1090" s="45"/>
      <c r="I1090" s="46"/>
      <c r="J1090" s="111" t="str">
        <f>IF(AND(G1090&lt;&gt;"",ISERROR(VLOOKUP(G1090,Keszlet!$C$5:$H$200,6,FALSE))=FALSE),VLOOKUP(G1090,Keszlet!$C$5:$H$200,6,FALSE),"")</f>
        <v/>
      </c>
      <c r="K1090" s="106" t="str">
        <f>IF(AND(G1090&lt;&gt;"",ISERROR(VLOOKUP(G1090,Keszlet!$C$5:$G$200,5,FALSE))=FALSE),VLOOKUP(G1090,Keszlet!$C$5:$G$200,5,FALSE),"")</f>
        <v/>
      </c>
      <c r="L1090" s="106" t="str">
        <f t="shared" si="35"/>
        <v/>
      </c>
      <c r="M1090" s="115" t="str">
        <f>IF(ISERROR(VLOOKUP(G1090,Keszlet!$C$5:$I$200,7,FALSE))=TRUE,"",IF(AND(J1089&lt;&gt;"",J1091=""),VLOOKUP(G1090,Keszlet!$C$5:$I$200,7,FALSE),""))</f>
        <v/>
      </c>
      <c r="Q1090" s="1">
        <f>VLOOKUP(G1090,Keszlet!$C$5:$E$205,3,FALSE)</f>
        <v>0</v>
      </c>
      <c r="T1090" s="1" t="str">
        <f t="shared" si="36"/>
        <v/>
      </c>
      <c r="U1090" s="1">
        <f t="shared" si="37"/>
        <v>0</v>
      </c>
      <c r="W1090" s="6">
        <f t="shared" si="40"/>
        <v>0</v>
      </c>
      <c r="X1090" s="6">
        <f t="shared" si="32"/>
        <v>0</v>
      </c>
      <c r="Y1090" s="1">
        <f t="shared" si="38"/>
        <v>1</v>
      </c>
      <c r="Z1090" s="1">
        <f>IF(COUNTIF($Y$6:Y1090,Y1090)=1,Y1090,Y1090+COUNTIF($Y$5:Y1089,Y1090))</f>
        <v>85</v>
      </c>
      <c r="AD1090" s="1" t="str">
        <f t="shared" si="39"/>
        <v/>
      </c>
      <c r="BA1090" s="1">
        <f>IF(W1090&lt;=Leltar_iv!$Y$1,I1090,0)</f>
        <v>0</v>
      </c>
    </row>
    <row r="1091" spans="1:53" s="1" customFormat="1" x14ac:dyDescent="0.25">
      <c r="A1091" s="18">
        <f>IF(COUNTIF($Y$6:Y1091,Y1091)=1,Y1091,Y1091+COUNTIF($Y$5:Y1090,Y1091))</f>
        <v>86</v>
      </c>
      <c r="B1091" s="1">
        <f>IF(AND(Kisero_iv!$N$2=C1091,Kisero_iv!$K$5=$B$3,SUM(I1091:L1095)&lt;&gt;0,$B$4=YEAR(W1091)),B1090+1,0)</f>
        <v>0</v>
      </c>
      <c r="C1091" s="1">
        <f t="shared" si="33"/>
        <v>86</v>
      </c>
      <c r="D1091" s="102" t="str">
        <f t="shared" si="34"/>
        <v/>
      </c>
      <c r="E1091" s="44"/>
      <c r="F1091" s="45"/>
      <c r="G1091" s="45"/>
      <c r="H1091" s="45"/>
      <c r="I1091" s="46"/>
      <c r="J1091" s="111" t="str">
        <f>IF(AND(G1091&lt;&gt;"",ISERROR(VLOOKUP(G1091,Keszlet!$C$5:$H$200,6,FALSE))=FALSE),VLOOKUP(G1091,Keszlet!$C$5:$H$200,6,FALSE),"")</f>
        <v/>
      </c>
      <c r="K1091" s="106" t="str">
        <f>IF(AND(G1091&lt;&gt;"",ISERROR(VLOOKUP(G1091,Keszlet!$C$5:$G$200,5,FALSE))=FALSE),VLOOKUP(G1091,Keszlet!$C$5:$G$200,5,FALSE),"")</f>
        <v/>
      </c>
      <c r="L1091" s="106" t="str">
        <f t="shared" si="35"/>
        <v/>
      </c>
      <c r="M1091" s="115" t="str">
        <f>IF(ISERROR(VLOOKUP(G1091,Keszlet!$C$5:$I$200,7,FALSE))=TRUE,"",IF(AND(J1090&lt;&gt;"",J1092=""),VLOOKUP(G1091,Keszlet!$C$5:$I$200,7,FALSE),""))</f>
        <v/>
      </c>
      <c r="Q1091" s="1">
        <f>VLOOKUP(G1091,Keszlet!$C$5:$E$205,3,FALSE)</f>
        <v>0</v>
      </c>
      <c r="T1091" s="1" t="str">
        <f t="shared" si="36"/>
        <v/>
      </c>
      <c r="U1091" s="1">
        <f t="shared" si="37"/>
        <v>0</v>
      </c>
      <c r="W1091" s="6">
        <f t="shared" si="40"/>
        <v>0</v>
      </c>
      <c r="X1091" s="6">
        <f t="shared" si="32"/>
        <v>0</v>
      </c>
      <c r="Y1091" s="1">
        <f t="shared" si="38"/>
        <v>1</v>
      </c>
      <c r="Z1091" s="1">
        <f>IF(COUNTIF($Y$6:Y1091,Y1091)=1,Y1091,Y1091+COUNTIF($Y$5:Y1090,Y1091))</f>
        <v>86</v>
      </c>
      <c r="AD1091" s="1" t="str">
        <f t="shared" si="39"/>
        <v/>
      </c>
      <c r="BA1091" s="1">
        <f>IF(W1091&lt;=Leltar_iv!$Y$1,I1091,0)</f>
        <v>0</v>
      </c>
    </row>
    <row r="1092" spans="1:53" s="1" customFormat="1" x14ac:dyDescent="0.25">
      <c r="A1092" s="18">
        <f>IF(COUNTIF($Y$6:Y1092,Y1092)=1,Y1092,Y1092+COUNTIF($Y$5:Y1091,Y1092))</f>
        <v>87</v>
      </c>
      <c r="B1092" s="1">
        <f>IF(AND(Kisero_iv!$N$2=C1092,Kisero_iv!$K$5=$B$3,SUM(I1092:L1096)&lt;&gt;0,$B$4=YEAR(W1092)),B1091+1,0)</f>
        <v>0</v>
      </c>
      <c r="C1092" s="1">
        <f t="shared" si="33"/>
        <v>87</v>
      </c>
      <c r="D1092" s="102" t="str">
        <f t="shared" si="34"/>
        <v/>
      </c>
      <c r="E1092" s="44"/>
      <c r="F1092" s="45"/>
      <c r="G1092" s="45"/>
      <c r="H1092" s="45"/>
      <c r="I1092" s="46"/>
      <c r="J1092" s="111" t="str">
        <f>IF(AND(G1092&lt;&gt;"",ISERROR(VLOOKUP(G1092,Keszlet!$C$5:$H$200,6,FALSE))=FALSE),VLOOKUP(G1092,Keszlet!$C$5:$H$200,6,FALSE),"")</f>
        <v/>
      </c>
      <c r="K1092" s="106" t="str">
        <f>IF(AND(G1092&lt;&gt;"",ISERROR(VLOOKUP(G1092,Keszlet!$C$5:$G$200,5,FALSE))=FALSE),VLOOKUP(G1092,Keszlet!$C$5:$G$200,5,FALSE),"")</f>
        <v/>
      </c>
      <c r="L1092" s="106" t="str">
        <f t="shared" si="35"/>
        <v/>
      </c>
      <c r="M1092" s="115" t="str">
        <f>IF(ISERROR(VLOOKUP(G1092,Keszlet!$C$5:$I$200,7,FALSE))=TRUE,"",IF(AND(J1091&lt;&gt;"",J1093=""),VLOOKUP(G1092,Keszlet!$C$5:$I$200,7,FALSE),""))</f>
        <v/>
      </c>
      <c r="Q1092" s="1">
        <f>VLOOKUP(G1092,Keszlet!$C$5:$E$205,3,FALSE)</f>
        <v>0</v>
      </c>
      <c r="T1092" s="1" t="str">
        <f t="shared" si="36"/>
        <v/>
      </c>
      <c r="U1092" s="1">
        <f t="shared" si="37"/>
        <v>0</v>
      </c>
      <c r="W1092" s="6">
        <f t="shared" si="40"/>
        <v>0</v>
      </c>
      <c r="X1092" s="6">
        <f t="shared" si="32"/>
        <v>0</v>
      </c>
      <c r="Y1092" s="1">
        <f t="shared" si="38"/>
        <v>1</v>
      </c>
      <c r="Z1092" s="1">
        <f>IF(COUNTIF($Y$6:Y1092,Y1092)=1,Y1092,Y1092+COUNTIF($Y$5:Y1091,Y1092))</f>
        <v>87</v>
      </c>
      <c r="AD1092" s="1" t="str">
        <f t="shared" si="39"/>
        <v/>
      </c>
      <c r="BA1092" s="1">
        <f>IF(W1092&lt;=Leltar_iv!$Y$1,I1092,0)</f>
        <v>0</v>
      </c>
    </row>
    <row r="1093" spans="1:53" s="1" customFormat="1" x14ac:dyDescent="0.25">
      <c r="A1093" s="18">
        <f>IF(COUNTIF($Y$6:Y1093,Y1093)=1,Y1093,Y1093+COUNTIF($Y$5:Y1092,Y1093))</f>
        <v>88</v>
      </c>
      <c r="B1093" s="1">
        <f>IF(AND(Kisero_iv!$N$2=C1093,Kisero_iv!$K$5=$B$3,SUM(I1093:L1097)&lt;&gt;0,$B$4=YEAR(W1093)),B1092+1,0)</f>
        <v>0</v>
      </c>
      <c r="C1093" s="1">
        <f t="shared" si="33"/>
        <v>88</v>
      </c>
      <c r="D1093" s="102" t="str">
        <f t="shared" si="34"/>
        <v/>
      </c>
      <c r="E1093" s="44"/>
      <c r="F1093" s="45"/>
      <c r="G1093" s="45"/>
      <c r="H1093" s="45"/>
      <c r="I1093" s="46"/>
      <c r="J1093" s="111" t="str">
        <f>IF(AND(G1093&lt;&gt;"",ISERROR(VLOOKUP(G1093,Keszlet!$C$5:$H$200,6,FALSE))=FALSE),VLOOKUP(G1093,Keszlet!$C$5:$H$200,6,FALSE),"")</f>
        <v/>
      </c>
      <c r="K1093" s="106" t="str">
        <f>IF(AND(G1093&lt;&gt;"",ISERROR(VLOOKUP(G1093,Keszlet!$C$5:$G$200,5,FALSE))=FALSE),VLOOKUP(G1093,Keszlet!$C$5:$G$200,5,FALSE),"")</f>
        <v/>
      </c>
      <c r="L1093" s="106" t="str">
        <f t="shared" si="35"/>
        <v/>
      </c>
      <c r="M1093" s="115" t="str">
        <f>IF(ISERROR(VLOOKUP(G1093,Keszlet!$C$5:$I$200,7,FALSE))=TRUE,"",IF(AND(J1092&lt;&gt;"",J1094=""),VLOOKUP(G1093,Keszlet!$C$5:$I$200,7,FALSE),""))</f>
        <v/>
      </c>
      <c r="Q1093" s="1">
        <f>VLOOKUP(G1093,Keszlet!$C$5:$E$205,3,FALSE)</f>
        <v>0</v>
      </c>
      <c r="T1093" s="1" t="str">
        <f t="shared" si="36"/>
        <v/>
      </c>
      <c r="U1093" s="1">
        <f t="shared" si="37"/>
        <v>0</v>
      </c>
      <c r="W1093" s="6">
        <f t="shared" si="40"/>
        <v>0</v>
      </c>
      <c r="X1093" s="6">
        <f t="shared" si="32"/>
        <v>0</v>
      </c>
      <c r="Y1093" s="1">
        <f t="shared" si="38"/>
        <v>1</v>
      </c>
      <c r="Z1093" s="1">
        <f>IF(COUNTIF($Y$6:Y1093,Y1093)=1,Y1093,Y1093+COUNTIF($Y$5:Y1092,Y1093))</f>
        <v>88</v>
      </c>
      <c r="AD1093" s="1" t="str">
        <f t="shared" si="39"/>
        <v/>
      </c>
      <c r="BA1093" s="1">
        <f>IF(W1093&lt;=Leltar_iv!$Y$1,I1093,0)</f>
        <v>0</v>
      </c>
    </row>
    <row r="1094" spans="1:53" s="1" customFormat="1" x14ac:dyDescent="0.25">
      <c r="A1094" s="18">
        <f>IF(COUNTIF($Y$6:Y1094,Y1094)=1,Y1094,Y1094+COUNTIF($Y$5:Y1093,Y1094))</f>
        <v>89</v>
      </c>
      <c r="B1094" s="1">
        <f>IF(AND(Kisero_iv!$N$2=C1094,Kisero_iv!$K$5=$B$3,SUM(I1094:L1098)&lt;&gt;0,$B$4=YEAR(W1094)),B1093+1,0)</f>
        <v>0</v>
      </c>
      <c r="C1094" s="1">
        <f t="shared" si="33"/>
        <v>89</v>
      </c>
      <c r="D1094" s="102" t="str">
        <f t="shared" si="34"/>
        <v/>
      </c>
      <c r="E1094" s="44"/>
      <c r="F1094" s="45"/>
      <c r="G1094" s="45"/>
      <c r="H1094" s="45"/>
      <c r="I1094" s="46"/>
      <c r="J1094" s="111" t="str">
        <f>IF(AND(G1094&lt;&gt;"",ISERROR(VLOOKUP(G1094,Keszlet!$C$5:$H$200,6,FALSE))=FALSE),VLOOKUP(G1094,Keszlet!$C$5:$H$200,6,FALSE),"")</f>
        <v/>
      </c>
      <c r="K1094" s="106" t="str">
        <f>IF(AND(G1094&lt;&gt;"",ISERROR(VLOOKUP(G1094,Keszlet!$C$5:$G$200,5,FALSE))=FALSE),VLOOKUP(G1094,Keszlet!$C$5:$G$200,5,FALSE),"")</f>
        <v/>
      </c>
      <c r="L1094" s="106" t="str">
        <f t="shared" si="35"/>
        <v/>
      </c>
      <c r="M1094" s="115" t="str">
        <f>IF(ISERROR(VLOOKUP(G1094,Keszlet!$C$5:$I$200,7,FALSE))=TRUE,"",IF(AND(J1093&lt;&gt;"",J1095=""),VLOOKUP(G1094,Keszlet!$C$5:$I$200,7,FALSE),""))</f>
        <v/>
      </c>
      <c r="Q1094" s="1">
        <f>VLOOKUP(G1094,Keszlet!$C$5:$E$205,3,FALSE)</f>
        <v>0</v>
      </c>
      <c r="T1094" s="1" t="str">
        <f t="shared" si="36"/>
        <v/>
      </c>
      <c r="U1094" s="1">
        <f t="shared" si="37"/>
        <v>0</v>
      </c>
      <c r="W1094" s="6">
        <f t="shared" si="40"/>
        <v>0</v>
      </c>
      <c r="X1094" s="6">
        <f t="shared" si="32"/>
        <v>0</v>
      </c>
      <c r="Y1094" s="1">
        <f t="shared" si="38"/>
        <v>1</v>
      </c>
      <c r="Z1094" s="1">
        <f>IF(COUNTIF($Y$6:Y1094,Y1094)=1,Y1094,Y1094+COUNTIF($Y$5:Y1093,Y1094))</f>
        <v>89</v>
      </c>
      <c r="AD1094" s="1" t="str">
        <f t="shared" si="39"/>
        <v/>
      </c>
      <c r="BA1094" s="1">
        <f>IF(W1094&lt;=Leltar_iv!$Y$1,I1094,0)</f>
        <v>0</v>
      </c>
    </row>
    <row r="1095" spans="1:53" s="1" customFormat="1" x14ac:dyDescent="0.25">
      <c r="A1095" s="18">
        <f>IF(COUNTIF($Y$6:Y1095,Y1095)=1,Y1095,Y1095+COUNTIF($Y$5:Y1094,Y1095))</f>
        <v>90</v>
      </c>
      <c r="B1095" s="1">
        <f>IF(AND(Kisero_iv!$N$2=C1095,Kisero_iv!$K$5=$B$3,SUM(I1095:L1099)&lt;&gt;0,$B$4=YEAR(W1095)),B1094+1,0)</f>
        <v>0</v>
      </c>
      <c r="C1095" s="1">
        <f t="shared" si="33"/>
        <v>90</v>
      </c>
      <c r="D1095" s="102" t="str">
        <f t="shared" si="34"/>
        <v/>
      </c>
      <c r="E1095" s="44"/>
      <c r="F1095" s="45"/>
      <c r="G1095" s="45"/>
      <c r="H1095" s="45"/>
      <c r="I1095" s="46"/>
      <c r="J1095" s="111" t="str">
        <f>IF(AND(G1095&lt;&gt;"",ISERROR(VLOOKUP(G1095,Keszlet!$C$5:$H$200,6,FALSE))=FALSE),VLOOKUP(G1095,Keszlet!$C$5:$H$200,6,FALSE),"")</f>
        <v/>
      </c>
      <c r="K1095" s="106" t="str">
        <f>IF(AND(G1095&lt;&gt;"",ISERROR(VLOOKUP(G1095,Keszlet!$C$5:$G$200,5,FALSE))=FALSE),VLOOKUP(G1095,Keszlet!$C$5:$G$200,5,FALSE),"")</f>
        <v/>
      </c>
      <c r="L1095" s="106" t="str">
        <f t="shared" si="35"/>
        <v/>
      </c>
      <c r="M1095" s="115" t="str">
        <f>IF(ISERROR(VLOOKUP(G1095,Keszlet!$C$5:$I$200,7,FALSE))=TRUE,"",IF(AND(J1094&lt;&gt;"",J1096=""),VLOOKUP(G1095,Keszlet!$C$5:$I$200,7,FALSE),""))</f>
        <v/>
      </c>
      <c r="Q1095" s="1">
        <f>VLOOKUP(G1095,Keszlet!$C$5:$E$205,3,FALSE)</f>
        <v>0</v>
      </c>
      <c r="T1095" s="1" t="str">
        <f t="shared" si="36"/>
        <v/>
      </c>
      <c r="U1095" s="1">
        <f t="shared" si="37"/>
        <v>0</v>
      </c>
      <c r="W1095" s="6">
        <f t="shared" si="40"/>
        <v>0</v>
      </c>
      <c r="X1095" s="6">
        <f t="shared" si="32"/>
        <v>0</v>
      </c>
      <c r="Y1095" s="1">
        <f t="shared" si="38"/>
        <v>1</v>
      </c>
      <c r="Z1095" s="1">
        <f>IF(COUNTIF($Y$6:Y1095,Y1095)=1,Y1095,Y1095+COUNTIF($Y$5:Y1094,Y1095))</f>
        <v>90</v>
      </c>
      <c r="AD1095" s="1" t="str">
        <f t="shared" si="39"/>
        <v/>
      </c>
      <c r="BA1095" s="1">
        <f>IF(W1095&lt;=Leltar_iv!$Y$1,I1095,0)</f>
        <v>0</v>
      </c>
    </row>
    <row r="1096" spans="1:53" s="1" customFormat="1" x14ac:dyDescent="0.25">
      <c r="A1096" s="18">
        <f>IF(COUNTIF($Y$6:Y1096,Y1096)=1,Y1096,Y1096+COUNTIF($Y$5:Y1095,Y1096))</f>
        <v>91</v>
      </c>
      <c r="B1096" s="1">
        <f>IF(AND(Kisero_iv!$N$2=C1096,Kisero_iv!$K$5=$B$3,SUM(I1096:L1100)&lt;&gt;0,$B$4=YEAR(W1096)),B1095+1,0)</f>
        <v>0</v>
      </c>
      <c r="C1096" s="1">
        <f t="shared" si="33"/>
        <v>91</v>
      </c>
      <c r="D1096" s="102" t="str">
        <f t="shared" si="34"/>
        <v/>
      </c>
      <c r="E1096" s="44"/>
      <c r="F1096" s="45"/>
      <c r="G1096" s="45"/>
      <c r="H1096" s="45"/>
      <c r="I1096" s="46"/>
      <c r="J1096" s="111" t="str">
        <f>IF(AND(G1096&lt;&gt;"",ISERROR(VLOOKUP(G1096,Keszlet!$C$5:$H$200,6,FALSE))=FALSE),VLOOKUP(G1096,Keszlet!$C$5:$H$200,6,FALSE),"")</f>
        <v/>
      </c>
      <c r="K1096" s="106" t="str">
        <f>IF(AND(G1096&lt;&gt;"",ISERROR(VLOOKUP(G1096,Keszlet!$C$5:$G$200,5,FALSE))=FALSE),VLOOKUP(G1096,Keszlet!$C$5:$G$200,5,FALSE),"")</f>
        <v/>
      </c>
      <c r="L1096" s="106" t="str">
        <f t="shared" si="35"/>
        <v/>
      </c>
      <c r="M1096" s="115" t="str">
        <f>IF(ISERROR(VLOOKUP(G1096,Keszlet!$C$5:$I$200,7,FALSE))=TRUE,"",IF(AND(J1095&lt;&gt;"",J1097=""),VLOOKUP(G1096,Keszlet!$C$5:$I$200,7,FALSE),""))</f>
        <v/>
      </c>
      <c r="Q1096" s="1">
        <f>VLOOKUP(G1096,Keszlet!$C$5:$E$205,3,FALSE)</f>
        <v>0</v>
      </c>
      <c r="T1096" s="1" t="str">
        <f t="shared" si="36"/>
        <v/>
      </c>
      <c r="U1096" s="1">
        <f t="shared" si="37"/>
        <v>0</v>
      </c>
      <c r="W1096" s="6">
        <f t="shared" si="40"/>
        <v>0</v>
      </c>
      <c r="X1096" s="6">
        <f t="shared" si="32"/>
        <v>0</v>
      </c>
      <c r="Y1096" s="1">
        <f t="shared" si="38"/>
        <v>1</v>
      </c>
      <c r="Z1096" s="1">
        <f>IF(COUNTIF($Y$6:Y1096,Y1096)=1,Y1096,Y1096+COUNTIF($Y$5:Y1095,Y1096))</f>
        <v>91</v>
      </c>
      <c r="AD1096" s="1" t="str">
        <f t="shared" si="39"/>
        <v/>
      </c>
      <c r="BA1096" s="1">
        <f>IF(W1096&lt;=Leltar_iv!$Y$1,I1096,0)</f>
        <v>0</v>
      </c>
    </row>
    <row r="1097" spans="1:53" s="1" customFormat="1" x14ac:dyDescent="0.25">
      <c r="A1097" s="18">
        <f>IF(COUNTIF($Y$6:Y1097,Y1097)=1,Y1097,Y1097+COUNTIF($Y$5:Y1096,Y1097))</f>
        <v>92</v>
      </c>
      <c r="B1097" s="1">
        <f>IF(AND(Kisero_iv!$N$2=C1097,Kisero_iv!$K$5=$B$3,SUM(I1097:L1101)&lt;&gt;0,$B$4=YEAR(W1097)),B1096+1,0)</f>
        <v>0</v>
      </c>
      <c r="C1097" s="1">
        <f t="shared" si="33"/>
        <v>92</v>
      </c>
      <c r="D1097" s="102" t="str">
        <f t="shared" si="34"/>
        <v/>
      </c>
      <c r="E1097" s="44"/>
      <c r="F1097" s="45"/>
      <c r="G1097" s="45"/>
      <c r="H1097" s="45"/>
      <c r="I1097" s="46"/>
      <c r="J1097" s="111" t="str">
        <f>IF(AND(G1097&lt;&gt;"",ISERROR(VLOOKUP(G1097,Keszlet!$C$5:$H$200,6,FALSE))=FALSE),VLOOKUP(G1097,Keszlet!$C$5:$H$200,6,FALSE),"")</f>
        <v/>
      </c>
      <c r="K1097" s="106" t="str">
        <f>IF(AND(G1097&lt;&gt;"",ISERROR(VLOOKUP(G1097,Keszlet!$C$5:$G$200,5,FALSE))=FALSE),VLOOKUP(G1097,Keszlet!$C$5:$G$200,5,FALSE),"")</f>
        <v/>
      </c>
      <c r="L1097" s="106" t="str">
        <f t="shared" si="35"/>
        <v/>
      </c>
      <c r="M1097" s="115" t="str">
        <f>IF(ISERROR(VLOOKUP(G1097,Keszlet!$C$5:$I$200,7,FALSE))=TRUE,"",IF(AND(J1096&lt;&gt;"",J1098=""),VLOOKUP(G1097,Keszlet!$C$5:$I$200,7,FALSE),""))</f>
        <v/>
      </c>
      <c r="Q1097" s="1">
        <f>VLOOKUP(G1097,Keszlet!$C$5:$E$205,3,FALSE)</f>
        <v>0</v>
      </c>
      <c r="T1097" s="1" t="str">
        <f t="shared" si="36"/>
        <v/>
      </c>
      <c r="U1097" s="1">
        <f t="shared" si="37"/>
        <v>0</v>
      </c>
      <c r="W1097" s="6">
        <f t="shared" si="40"/>
        <v>0</v>
      </c>
      <c r="X1097" s="6">
        <f t="shared" si="32"/>
        <v>0</v>
      </c>
      <c r="Y1097" s="1">
        <f t="shared" si="38"/>
        <v>1</v>
      </c>
      <c r="Z1097" s="1">
        <f>IF(COUNTIF($Y$6:Y1097,Y1097)=1,Y1097,Y1097+COUNTIF($Y$5:Y1096,Y1097))</f>
        <v>92</v>
      </c>
      <c r="AD1097" s="1" t="str">
        <f t="shared" si="39"/>
        <v/>
      </c>
      <c r="BA1097" s="1">
        <f>IF(W1097&lt;=Leltar_iv!$Y$1,I1097,0)</f>
        <v>0</v>
      </c>
    </row>
    <row r="1098" spans="1:53" s="1" customFormat="1" x14ac:dyDescent="0.25">
      <c r="A1098" s="18">
        <f>IF(COUNTIF($Y$6:Y1098,Y1098)=1,Y1098,Y1098+COUNTIF($Y$5:Y1097,Y1098))</f>
        <v>93</v>
      </c>
      <c r="B1098" s="1">
        <f>IF(AND(Kisero_iv!$N$2=C1098,Kisero_iv!$K$5=$B$3,SUM(I1098:L1102)&lt;&gt;0,$B$4=YEAR(W1098)),B1097+1,0)</f>
        <v>0</v>
      </c>
      <c r="C1098" s="1">
        <f t="shared" si="33"/>
        <v>93</v>
      </c>
      <c r="D1098" s="102" t="str">
        <f t="shared" si="34"/>
        <v/>
      </c>
      <c r="E1098" s="44"/>
      <c r="F1098" s="45"/>
      <c r="G1098" s="45"/>
      <c r="H1098" s="45"/>
      <c r="I1098" s="46"/>
      <c r="J1098" s="111" t="str">
        <f>IF(AND(G1098&lt;&gt;"",ISERROR(VLOOKUP(G1098,Keszlet!$C$5:$H$200,6,FALSE))=FALSE),VLOOKUP(G1098,Keszlet!$C$5:$H$200,6,FALSE),"")</f>
        <v/>
      </c>
      <c r="K1098" s="106" t="str">
        <f>IF(AND(G1098&lt;&gt;"",ISERROR(VLOOKUP(G1098,Keszlet!$C$5:$G$200,5,FALSE))=FALSE),VLOOKUP(G1098,Keszlet!$C$5:$G$200,5,FALSE),"")</f>
        <v/>
      </c>
      <c r="L1098" s="106" t="str">
        <f t="shared" si="35"/>
        <v/>
      </c>
      <c r="M1098" s="115" t="str">
        <f>IF(ISERROR(VLOOKUP(G1098,Keszlet!$C$5:$I$200,7,FALSE))=TRUE,"",IF(AND(J1097&lt;&gt;"",J1099=""),VLOOKUP(G1098,Keszlet!$C$5:$I$200,7,FALSE),""))</f>
        <v/>
      </c>
      <c r="Q1098" s="1">
        <f>VLOOKUP(G1098,Keszlet!$C$5:$E$205,3,FALSE)</f>
        <v>0</v>
      </c>
      <c r="T1098" s="1" t="str">
        <f t="shared" si="36"/>
        <v/>
      </c>
      <c r="U1098" s="1">
        <f t="shared" si="37"/>
        <v>0</v>
      </c>
      <c r="W1098" s="6">
        <f t="shared" si="40"/>
        <v>0</v>
      </c>
      <c r="X1098" s="6">
        <f t="shared" si="32"/>
        <v>0</v>
      </c>
      <c r="Y1098" s="1">
        <f t="shared" si="38"/>
        <v>1</v>
      </c>
      <c r="Z1098" s="1">
        <f>IF(COUNTIF($Y$6:Y1098,Y1098)=1,Y1098,Y1098+COUNTIF($Y$5:Y1097,Y1098))</f>
        <v>93</v>
      </c>
      <c r="AD1098" s="1" t="str">
        <f t="shared" si="39"/>
        <v/>
      </c>
      <c r="BA1098" s="1">
        <f>IF(W1098&lt;=Leltar_iv!$Y$1,I1098,0)</f>
        <v>0</v>
      </c>
    </row>
    <row r="1099" spans="1:53" s="1" customFormat="1" x14ac:dyDescent="0.25">
      <c r="A1099" s="18">
        <f>IF(COUNTIF($Y$6:Y1099,Y1099)=1,Y1099,Y1099+COUNTIF($Y$5:Y1098,Y1099))</f>
        <v>94</v>
      </c>
      <c r="B1099" s="1">
        <f>IF(AND(Kisero_iv!$N$2=C1099,Kisero_iv!$K$5=$B$3,SUM(I1099:L1103)&lt;&gt;0,$B$4=YEAR(W1099)),B1098+1,0)</f>
        <v>0</v>
      </c>
      <c r="C1099" s="1">
        <f t="shared" si="33"/>
        <v>94</v>
      </c>
      <c r="D1099" s="102" t="str">
        <f t="shared" si="34"/>
        <v/>
      </c>
      <c r="E1099" s="44"/>
      <c r="F1099" s="45"/>
      <c r="G1099" s="45"/>
      <c r="H1099" s="45"/>
      <c r="I1099" s="46"/>
      <c r="J1099" s="111" t="str">
        <f>IF(AND(G1099&lt;&gt;"",ISERROR(VLOOKUP(G1099,Keszlet!$C$5:$H$200,6,FALSE))=FALSE),VLOOKUP(G1099,Keszlet!$C$5:$H$200,6,FALSE),"")</f>
        <v/>
      </c>
      <c r="K1099" s="106" t="str">
        <f>IF(AND(G1099&lt;&gt;"",ISERROR(VLOOKUP(G1099,Keszlet!$C$5:$G$200,5,FALSE))=FALSE),VLOOKUP(G1099,Keszlet!$C$5:$G$200,5,FALSE),"")</f>
        <v/>
      </c>
      <c r="L1099" s="106" t="str">
        <f t="shared" si="35"/>
        <v/>
      </c>
      <c r="M1099" s="115" t="str">
        <f>IF(ISERROR(VLOOKUP(G1099,Keszlet!$C$5:$I$200,7,FALSE))=TRUE,"",IF(AND(J1098&lt;&gt;"",J1100=""),VLOOKUP(G1099,Keszlet!$C$5:$I$200,7,FALSE),""))</f>
        <v/>
      </c>
      <c r="Q1099" s="1">
        <f>VLOOKUP(G1099,Keszlet!$C$5:$E$205,3,FALSE)</f>
        <v>0</v>
      </c>
      <c r="T1099" s="1" t="str">
        <f t="shared" si="36"/>
        <v/>
      </c>
      <c r="U1099" s="1">
        <f t="shared" si="37"/>
        <v>0</v>
      </c>
      <c r="W1099" s="6">
        <f t="shared" si="40"/>
        <v>0</v>
      </c>
      <c r="X1099" s="6">
        <f t="shared" si="32"/>
        <v>0</v>
      </c>
      <c r="Y1099" s="1">
        <f t="shared" si="38"/>
        <v>1</v>
      </c>
      <c r="Z1099" s="1">
        <f>IF(COUNTIF($Y$6:Y1099,Y1099)=1,Y1099,Y1099+COUNTIF($Y$5:Y1098,Y1099))</f>
        <v>94</v>
      </c>
      <c r="AD1099" s="1" t="str">
        <f t="shared" si="39"/>
        <v/>
      </c>
      <c r="BA1099" s="1">
        <f>IF(W1099&lt;=Leltar_iv!$Y$1,I1099,0)</f>
        <v>0</v>
      </c>
    </row>
    <row r="1100" spans="1:53" s="1" customFormat="1" x14ac:dyDescent="0.25">
      <c r="A1100" s="18">
        <f>IF(COUNTIF($Y$6:Y1100,Y1100)=1,Y1100,Y1100+COUNTIF($Y$5:Y1099,Y1100))</f>
        <v>95</v>
      </c>
      <c r="B1100" s="1">
        <f>IF(AND(Kisero_iv!$N$2=C1100,Kisero_iv!$K$5=$B$3,SUM(I1100:L1104)&lt;&gt;0,$B$4=YEAR(W1100)),B1099+1,0)</f>
        <v>0</v>
      </c>
      <c r="C1100" s="1">
        <f t="shared" si="33"/>
        <v>95</v>
      </c>
      <c r="D1100" s="102" t="str">
        <f t="shared" si="34"/>
        <v/>
      </c>
      <c r="E1100" s="44"/>
      <c r="F1100" s="45"/>
      <c r="G1100" s="45"/>
      <c r="H1100" s="45"/>
      <c r="I1100" s="46"/>
      <c r="J1100" s="111" t="str">
        <f>IF(AND(G1100&lt;&gt;"",ISERROR(VLOOKUP(G1100,Keszlet!$C$5:$H$200,6,FALSE))=FALSE),VLOOKUP(G1100,Keszlet!$C$5:$H$200,6,FALSE),"")</f>
        <v/>
      </c>
      <c r="K1100" s="106" t="str">
        <f>IF(AND(G1100&lt;&gt;"",ISERROR(VLOOKUP(G1100,Keszlet!$C$5:$G$200,5,FALSE))=FALSE),VLOOKUP(G1100,Keszlet!$C$5:$G$200,5,FALSE),"")</f>
        <v/>
      </c>
      <c r="L1100" s="106" t="str">
        <f t="shared" si="35"/>
        <v/>
      </c>
      <c r="M1100" s="115" t="str">
        <f>IF(ISERROR(VLOOKUP(G1100,Keszlet!$C$5:$I$200,7,FALSE))=TRUE,"",IF(AND(J1099&lt;&gt;"",J1101=""),VLOOKUP(G1100,Keszlet!$C$5:$I$200,7,FALSE),""))</f>
        <v/>
      </c>
      <c r="Q1100" s="1">
        <f>VLOOKUP(G1100,Keszlet!$C$5:$E$205,3,FALSE)</f>
        <v>0</v>
      </c>
      <c r="T1100" s="1" t="str">
        <f t="shared" si="36"/>
        <v/>
      </c>
      <c r="U1100" s="1">
        <f t="shared" si="37"/>
        <v>0</v>
      </c>
      <c r="W1100" s="6">
        <f t="shared" si="40"/>
        <v>0</v>
      </c>
      <c r="X1100" s="6">
        <f t="shared" si="32"/>
        <v>0</v>
      </c>
      <c r="Y1100" s="1">
        <f t="shared" si="38"/>
        <v>1</v>
      </c>
      <c r="Z1100" s="1">
        <f>IF(COUNTIF($Y$6:Y1100,Y1100)=1,Y1100,Y1100+COUNTIF($Y$5:Y1099,Y1100))</f>
        <v>95</v>
      </c>
      <c r="AD1100" s="1" t="str">
        <f t="shared" si="39"/>
        <v/>
      </c>
      <c r="BA1100" s="1">
        <f>IF(W1100&lt;=Leltar_iv!$Y$1,I1100,0)</f>
        <v>0</v>
      </c>
    </row>
    <row r="1101" spans="1:53" s="1" customFormat="1" x14ac:dyDescent="0.25">
      <c r="A1101" s="18">
        <f>IF(COUNTIF($Y$6:Y1101,Y1101)=1,Y1101,Y1101+COUNTIF($Y$5:Y1100,Y1101))</f>
        <v>96</v>
      </c>
      <c r="B1101" s="1">
        <f>IF(AND(Kisero_iv!$N$2=C1101,Kisero_iv!$K$5=$B$3,SUM(I1101:L1105)&lt;&gt;0,$B$4=YEAR(W1101)),B1100+1,0)</f>
        <v>0</v>
      </c>
      <c r="C1101" s="1">
        <f t="shared" si="33"/>
        <v>96</v>
      </c>
      <c r="D1101" s="102" t="str">
        <f t="shared" si="34"/>
        <v/>
      </c>
      <c r="E1101" s="44"/>
      <c r="F1101" s="45"/>
      <c r="G1101" s="45"/>
      <c r="H1101" s="45"/>
      <c r="I1101" s="46"/>
      <c r="J1101" s="111" t="str">
        <f>IF(AND(G1101&lt;&gt;"",ISERROR(VLOOKUP(G1101,Keszlet!$C$5:$H$200,6,FALSE))=FALSE),VLOOKUP(G1101,Keszlet!$C$5:$H$200,6,FALSE),"")</f>
        <v/>
      </c>
      <c r="K1101" s="106" t="str">
        <f>IF(AND(G1101&lt;&gt;"",ISERROR(VLOOKUP(G1101,Keszlet!$C$5:$G$200,5,FALSE))=FALSE),VLOOKUP(G1101,Keszlet!$C$5:$G$200,5,FALSE),"")</f>
        <v/>
      </c>
      <c r="L1101" s="106" t="str">
        <f t="shared" si="35"/>
        <v/>
      </c>
      <c r="M1101" s="115" t="str">
        <f>IF(ISERROR(VLOOKUP(G1101,Keszlet!$C$5:$I$200,7,FALSE))=TRUE,"",IF(AND(J1100&lt;&gt;"",J1102=""),VLOOKUP(G1101,Keszlet!$C$5:$I$200,7,FALSE),""))</f>
        <v/>
      </c>
      <c r="Q1101" s="1">
        <f>VLOOKUP(G1101,Keszlet!$C$5:$E$205,3,FALSE)</f>
        <v>0</v>
      </c>
      <c r="T1101" s="1" t="str">
        <f t="shared" si="36"/>
        <v/>
      </c>
      <c r="U1101" s="1">
        <f t="shared" si="37"/>
        <v>0</v>
      </c>
      <c r="W1101" s="6">
        <f t="shared" si="40"/>
        <v>0</v>
      </c>
      <c r="X1101" s="6">
        <f t="shared" si="32"/>
        <v>0</v>
      </c>
      <c r="Y1101" s="1">
        <f t="shared" si="38"/>
        <v>1</v>
      </c>
      <c r="Z1101" s="1">
        <f>IF(COUNTIF($Y$6:Y1101,Y1101)=1,Y1101,Y1101+COUNTIF($Y$5:Y1100,Y1101))</f>
        <v>96</v>
      </c>
      <c r="AD1101" s="1" t="str">
        <f t="shared" si="39"/>
        <v/>
      </c>
      <c r="BA1101" s="1">
        <f>IF(W1101&lt;=Leltar_iv!$Y$1,I1101,0)</f>
        <v>0</v>
      </c>
    </row>
    <row r="1102" spans="1:53" s="1" customFormat="1" x14ac:dyDescent="0.25">
      <c r="A1102" s="18">
        <f>IF(COUNTIF($Y$6:Y1102,Y1102)=1,Y1102,Y1102+COUNTIF($Y$5:Y1101,Y1102))</f>
        <v>97</v>
      </c>
      <c r="B1102" s="1">
        <f>IF(AND(Kisero_iv!$N$2=C1102,Kisero_iv!$K$5=$B$3,SUM(I1102:L1106)&lt;&gt;0,$B$4=YEAR(W1102)),B1101+1,0)</f>
        <v>0</v>
      </c>
      <c r="C1102" s="1">
        <f t="shared" si="33"/>
        <v>97</v>
      </c>
      <c r="D1102" s="102" t="str">
        <f t="shared" si="34"/>
        <v/>
      </c>
      <c r="E1102" s="44"/>
      <c r="F1102" s="45"/>
      <c r="G1102" s="45"/>
      <c r="H1102" s="45"/>
      <c r="I1102" s="46"/>
      <c r="J1102" s="111" t="str">
        <f>IF(AND(G1102&lt;&gt;"",ISERROR(VLOOKUP(G1102,Keszlet!$C$5:$H$200,6,FALSE))=FALSE),VLOOKUP(G1102,Keszlet!$C$5:$H$200,6,FALSE),"")</f>
        <v/>
      </c>
      <c r="K1102" s="106" t="str">
        <f>IF(AND(G1102&lt;&gt;"",ISERROR(VLOOKUP(G1102,Keszlet!$C$5:$G$200,5,FALSE))=FALSE),VLOOKUP(G1102,Keszlet!$C$5:$G$200,5,FALSE),"")</f>
        <v/>
      </c>
      <c r="L1102" s="106" t="str">
        <f t="shared" si="35"/>
        <v/>
      </c>
      <c r="M1102" s="115" t="str">
        <f>IF(ISERROR(VLOOKUP(G1102,Keszlet!$C$5:$I$200,7,FALSE))=TRUE,"",IF(AND(J1101&lt;&gt;"",J1103=""),VLOOKUP(G1102,Keszlet!$C$5:$I$200,7,FALSE),""))</f>
        <v/>
      </c>
      <c r="Q1102" s="1">
        <f>VLOOKUP(G1102,Keszlet!$C$5:$E$205,3,FALSE)</f>
        <v>0</v>
      </c>
      <c r="T1102" s="1" t="str">
        <f t="shared" si="36"/>
        <v/>
      </c>
      <c r="U1102" s="1">
        <f t="shared" si="37"/>
        <v>0</v>
      </c>
      <c r="W1102" s="6">
        <f t="shared" si="40"/>
        <v>0</v>
      </c>
      <c r="X1102" s="6">
        <f t="shared" si="32"/>
        <v>0</v>
      </c>
      <c r="Y1102" s="1">
        <f t="shared" si="38"/>
        <v>1</v>
      </c>
      <c r="Z1102" s="1">
        <f>IF(COUNTIF($Y$6:Y1102,Y1102)=1,Y1102,Y1102+COUNTIF($Y$5:Y1101,Y1102))</f>
        <v>97</v>
      </c>
      <c r="AD1102" s="1" t="str">
        <f t="shared" si="39"/>
        <v/>
      </c>
      <c r="BA1102" s="1">
        <f>IF(W1102&lt;=Leltar_iv!$Y$1,I1102,0)</f>
        <v>0</v>
      </c>
    </row>
    <row r="1103" spans="1:53" s="1" customFormat="1" x14ac:dyDescent="0.25">
      <c r="A1103" s="18">
        <f>IF(COUNTIF($Y$6:Y1103,Y1103)=1,Y1103,Y1103+COUNTIF($Y$5:Y1102,Y1103))</f>
        <v>98</v>
      </c>
      <c r="B1103" s="1">
        <f>IF(AND(Kisero_iv!$N$2=C1103,Kisero_iv!$K$5=$B$3,SUM(I1103:L1107)&lt;&gt;0,$B$4=YEAR(W1103)),B1102+1,0)</f>
        <v>0</v>
      </c>
      <c r="C1103" s="1">
        <f t="shared" si="33"/>
        <v>98</v>
      </c>
      <c r="D1103" s="102" t="str">
        <f t="shared" si="34"/>
        <v/>
      </c>
      <c r="E1103" s="44"/>
      <c r="F1103" s="45"/>
      <c r="G1103" s="45"/>
      <c r="H1103" s="45"/>
      <c r="I1103" s="46"/>
      <c r="J1103" s="111" t="str">
        <f>IF(AND(G1103&lt;&gt;"",ISERROR(VLOOKUP(G1103,Keszlet!$C$5:$H$200,6,FALSE))=FALSE),VLOOKUP(G1103,Keszlet!$C$5:$H$200,6,FALSE),"")</f>
        <v/>
      </c>
      <c r="K1103" s="106" t="str">
        <f>IF(AND(G1103&lt;&gt;"",ISERROR(VLOOKUP(G1103,Keszlet!$C$5:$G$200,5,FALSE))=FALSE),VLOOKUP(G1103,Keszlet!$C$5:$G$200,5,FALSE),"")</f>
        <v/>
      </c>
      <c r="L1103" s="106" t="str">
        <f t="shared" si="35"/>
        <v/>
      </c>
      <c r="M1103" s="115" t="str">
        <f>IF(ISERROR(VLOOKUP(G1103,Keszlet!$C$5:$I$200,7,FALSE))=TRUE,"",IF(AND(J1102&lt;&gt;"",J1104=""),VLOOKUP(G1103,Keszlet!$C$5:$I$200,7,FALSE),""))</f>
        <v/>
      </c>
      <c r="Q1103" s="1">
        <f>VLOOKUP(G1103,Keszlet!$C$5:$E$205,3,FALSE)</f>
        <v>0</v>
      </c>
      <c r="T1103" s="1" t="str">
        <f t="shared" si="36"/>
        <v/>
      </c>
      <c r="U1103" s="1">
        <f t="shared" si="37"/>
        <v>0</v>
      </c>
      <c r="W1103" s="6">
        <f t="shared" si="40"/>
        <v>0</v>
      </c>
      <c r="X1103" s="6">
        <f t="shared" si="32"/>
        <v>0</v>
      </c>
      <c r="Y1103" s="1">
        <f t="shared" si="38"/>
        <v>1</v>
      </c>
      <c r="Z1103" s="1">
        <f>IF(COUNTIF($Y$6:Y1103,Y1103)=1,Y1103,Y1103+COUNTIF($Y$5:Y1102,Y1103))</f>
        <v>98</v>
      </c>
      <c r="AD1103" s="1" t="str">
        <f t="shared" si="39"/>
        <v/>
      </c>
      <c r="BA1103" s="1">
        <f>IF(W1103&lt;=Leltar_iv!$Y$1,I1103,0)</f>
        <v>0</v>
      </c>
    </row>
    <row r="1104" spans="1:53" s="1" customFormat="1" x14ac:dyDescent="0.25">
      <c r="A1104" s="18">
        <f>IF(COUNTIF($Y$6:Y1104,Y1104)=1,Y1104,Y1104+COUNTIF($Y$5:Y1103,Y1104))</f>
        <v>99</v>
      </c>
      <c r="B1104" s="1">
        <f>IF(AND(Kisero_iv!$N$2=C1104,Kisero_iv!$K$5=$B$3,SUM(I1104:L1108)&lt;&gt;0,$B$4=YEAR(W1104)),B1103+1,0)</f>
        <v>0</v>
      </c>
      <c r="C1104" s="1">
        <f t="shared" si="33"/>
        <v>99</v>
      </c>
      <c r="D1104" s="102" t="str">
        <f t="shared" si="34"/>
        <v/>
      </c>
      <c r="E1104" s="44"/>
      <c r="F1104" s="45"/>
      <c r="G1104" s="45"/>
      <c r="H1104" s="45"/>
      <c r="I1104" s="46"/>
      <c r="J1104" s="111" t="str">
        <f>IF(AND(G1104&lt;&gt;"",ISERROR(VLOOKUP(G1104,Keszlet!$C$5:$H$200,6,FALSE))=FALSE),VLOOKUP(G1104,Keszlet!$C$5:$H$200,6,FALSE),"")</f>
        <v/>
      </c>
      <c r="K1104" s="106" t="str">
        <f>IF(AND(G1104&lt;&gt;"",ISERROR(VLOOKUP(G1104,Keszlet!$C$5:$G$200,5,FALSE))=FALSE),VLOOKUP(G1104,Keszlet!$C$5:$G$200,5,FALSE),"")</f>
        <v/>
      </c>
      <c r="L1104" s="106" t="str">
        <f t="shared" si="35"/>
        <v/>
      </c>
      <c r="M1104" s="115" t="str">
        <f>IF(ISERROR(VLOOKUP(G1104,Keszlet!$C$5:$I$200,7,FALSE))=TRUE,"",IF(AND(J1103&lt;&gt;"",J1105=""),VLOOKUP(G1104,Keszlet!$C$5:$I$200,7,FALSE),""))</f>
        <v/>
      </c>
      <c r="Q1104" s="1">
        <f>VLOOKUP(G1104,Keszlet!$C$5:$E$205,3,FALSE)</f>
        <v>0</v>
      </c>
      <c r="T1104" s="1" t="str">
        <f t="shared" si="36"/>
        <v/>
      </c>
      <c r="U1104" s="1">
        <f t="shared" si="37"/>
        <v>0</v>
      </c>
      <c r="W1104" s="6">
        <f t="shared" si="40"/>
        <v>0</v>
      </c>
      <c r="X1104" s="6">
        <f t="shared" si="32"/>
        <v>0</v>
      </c>
      <c r="Y1104" s="1">
        <f t="shared" si="38"/>
        <v>1</v>
      </c>
      <c r="Z1104" s="1">
        <f>IF(COUNTIF($Y$6:Y1104,Y1104)=1,Y1104,Y1104+COUNTIF($Y$5:Y1103,Y1104))</f>
        <v>99</v>
      </c>
      <c r="AD1104" s="1" t="str">
        <f t="shared" si="39"/>
        <v/>
      </c>
      <c r="BA1104" s="1">
        <f>IF(W1104&lt;=Leltar_iv!$Y$1,I1104,0)</f>
        <v>0</v>
      </c>
    </row>
    <row r="1105" spans="1:53" s="1" customFormat="1" x14ac:dyDescent="0.25">
      <c r="A1105" s="18">
        <f>IF(COUNTIF($Y$6:Y1105,Y1105)=1,Y1105,Y1105+COUNTIF($Y$5:Y1104,Y1105))</f>
        <v>100</v>
      </c>
      <c r="B1105" s="1">
        <f>IF(AND(Kisero_iv!$N$2=C1105,Kisero_iv!$K$5=$B$3,SUM(I1105:L1109)&lt;&gt;0,$B$4=YEAR(W1105)),B1104+1,0)</f>
        <v>0</v>
      </c>
      <c r="C1105" s="1">
        <f t="shared" si="33"/>
        <v>100</v>
      </c>
      <c r="D1105" s="102" t="str">
        <f t="shared" si="34"/>
        <v/>
      </c>
      <c r="E1105" s="44"/>
      <c r="F1105" s="45"/>
      <c r="G1105" s="45"/>
      <c r="H1105" s="45"/>
      <c r="I1105" s="46"/>
      <c r="J1105" s="111" t="str">
        <f>IF(AND(G1105&lt;&gt;"",ISERROR(VLOOKUP(G1105,Keszlet!$C$5:$H$200,6,FALSE))=FALSE),VLOOKUP(G1105,Keszlet!$C$5:$H$200,6,FALSE),"")</f>
        <v/>
      </c>
      <c r="K1105" s="106" t="str">
        <f>IF(AND(G1105&lt;&gt;"",ISERROR(VLOOKUP(G1105,Keszlet!$C$5:$G$200,5,FALSE))=FALSE),VLOOKUP(G1105,Keszlet!$C$5:$G$200,5,FALSE),"")</f>
        <v/>
      </c>
      <c r="L1105" s="106" t="str">
        <f t="shared" si="35"/>
        <v/>
      </c>
      <c r="M1105" s="115" t="str">
        <f>IF(ISERROR(VLOOKUP(G1105,Keszlet!$C$5:$I$200,7,FALSE))=TRUE,"",IF(AND(J1104&lt;&gt;"",J1106=""),VLOOKUP(G1105,Keszlet!$C$5:$I$200,7,FALSE),""))</f>
        <v/>
      </c>
      <c r="Q1105" s="1">
        <f>VLOOKUP(G1105,Keszlet!$C$5:$E$205,3,FALSE)</f>
        <v>0</v>
      </c>
      <c r="T1105" s="1" t="str">
        <f t="shared" si="36"/>
        <v/>
      </c>
      <c r="U1105" s="1">
        <f t="shared" si="37"/>
        <v>0</v>
      </c>
      <c r="W1105" s="6">
        <f t="shared" si="40"/>
        <v>0</v>
      </c>
      <c r="X1105" s="6">
        <f t="shared" si="32"/>
        <v>0</v>
      </c>
      <c r="Y1105" s="1">
        <f t="shared" si="38"/>
        <v>1</v>
      </c>
      <c r="Z1105" s="1">
        <f>IF(COUNTIF($Y$6:Y1105,Y1105)=1,Y1105,Y1105+COUNTIF($Y$5:Y1104,Y1105))</f>
        <v>100</v>
      </c>
      <c r="AD1105" s="1" t="str">
        <f t="shared" si="39"/>
        <v/>
      </c>
      <c r="BA1105" s="1">
        <f>IF(W1105&lt;=Leltar_iv!$Y$1,I1105,0)</f>
        <v>0</v>
      </c>
    </row>
    <row r="1106" spans="1:53" s="1" customFormat="1" x14ac:dyDescent="0.25">
      <c r="A1106" s="18">
        <f>IF(COUNTIF($Y$6:Y1106,Y1106)=1,Y1106,Y1106+COUNTIF($Y$5:Y1105,Y1106))</f>
        <v>101</v>
      </c>
      <c r="B1106" s="1">
        <f>IF(AND(Kisero_iv!$N$2=C1106,Kisero_iv!$K$5=$B$3,SUM(I1106:L1110)&lt;&gt;0,$B$4=YEAR(W1106)),B1105+1,0)</f>
        <v>0</v>
      </c>
      <c r="C1106" s="1">
        <f t="shared" si="33"/>
        <v>101</v>
      </c>
      <c r="D1106" s="102" t="str">
        <f t="shared" si="34"/>
        <v/>
      </c>
      <c r="E1106" s="44"/>
      <c r="F1106" s="45"/>
      <c r="G1106" s="45"/>
      <c r="H1106" s="45"/>
      <c r="I1106" s="46"/>
      <c r="J1106" s="111" t="str">
        <f>IF(AND(G1106&lt;&gt;"",ISERROR(VLOOKUP(G1106,Keszlet!$C$5:$H$200,6,FALSE))=FALSE),VLOOKUP(G1106,Keszlet!$C$5:$H$200,6,FALSE),"")</f>
        <v/>
      </c>
      <c r="K1106" s="106" t="str">
        <f>IF(AND(G1106&lt;&gt;"",ISERROR(VLOOKUP(G1106,Keszlet!$C$5:$G$200,5,FALSE))=FALSE),VLOOKUP(G1106,Keszlet!$C$5:$G$200,5,FALSE),"")</f>
        <v/>
      </c>
      <c r="L1106" s="106" t="str">
        <f t="shared" si="35"/>
        <v/>
      </c>
      <c r="M1106" s="115" t="str">
        <f>IF(ISERROR(VLOOKUP(G1106,Keszlet!$C$5:$I$200,7,FALSE))=TRUE,"",IF(AND(J1105&lt;&gt;"",J1107=""),VLOOKUP(G1106,Keszlet!$C$5:$I$200,7,FALSE),""))</f>
        <v/>
      </c>
      <c r="Q1106" s="1">
        <f>VLOOKUP(G1106,Keszlet!$C$5:$E$205,3,FALSE)</f>
        <v>0</v>
      </c>
      <c r="T1106" s="1" t="str">
        <f t="shared" si="36"/>
        <v/>
      </c>
      <c r="U1106" s="1">
        <f t="shared" si="37"/>
        <v>0</v>
      </c>
      <c r="W1106" s="6">
        <f t="shared" si="40"/>
        <v>0</v>
      </c>
      <c r="X1106" s="6">
        <f t="shared" si="32"/>
        <v>0</v>
      </c>
      <c r="Y1106" s="1">
        <f t="shared" si="38"/>
        <v>1</v>
      </c>
      <c r="Z1106" s="1">
        <f>IF(COUNTIF($Y$6:Y1106,Y1106)=1,Y1106,Y1106+COUNTIF($Y$5:Y1105,Y1106))</f>
        <v>101</v>
      </c>
      <c r="AD1106" s="1" t="str">
        <f t="shared" si="39"/>
        <v/>
      </c>
      <c r="BA1106" s="1">
        <f>IF(W1106&lt;=Leltar_iv!$Y$1,I1106,0)</f>
        <v>0</v>
      </c>
    </row>
    <row r="1107" spans="1:53" s="1" customFormat="1" x14ac:dyDescent="0.25">
      <c r="A1107" s="18">
        <f>IF(COUNTIF($Y$6:Y1107,Y1107)=1,Y1107,Y1107+COUNTIF($Y$5:Y1106,Y1107))</f>
        <v>102</v>
      </c>
      <c r="B1107" s="1">
        <f>IF(AND(Kisero_iv!$N$2=C1107,Kisero_iv!$K$5=$B$3,SUM(I1107:L1111)&lt;&gt;0,$B$4=YEAR(W1107)),B1106+1,0)</f>
        <v>0</v>
      </c>
      <c r="C1107" s="1">
        <f t="shared" si="33"/>
        <v>102</v>
      </c>
      <c r="D1107" s="102" t="str">
        <f t="shared" si="34"/>
        <v/>
      </c>
      <c r="E1107" s="44"/>
      <c r="F1107" s="45"/>
      <c r="G1107" s="45"/>
      <c r="H1107" s="45"/>
      <c r="I1107" s="46"/>
      <c r="J1107" s="111" t="str">
        <f>IF(AND(G1107&lt;&gt;"",ISERROR(VLOOKUP(G1107,Keszlet!$C$5:$H$200,6,FALSE))=FALSE),VLOOKUP(G1107,Keszlet!$C$5:$H$200,6,FALSE),"")</f>
        <v/>
      </c>
      <c r="K1107" s="106" t="str">
        <f>IF(AND(G1107&lt;&gt;"",ISERROR(VLOOKUP(G1107,Keszlet!$C$5:$G$200,5,FALSE))=FALSE),VLOOKUP(G1107,Keszlet!$C$5:$G$200,5,FALSE),"")</f>
        <v/>
      </c>
      <c r="L1107" s="106" t="str">
        <f t="shared" si="35"/>
        <v/>
      </c>
      <c r="M1107" s="115" t="str">
        <f>IF(ISERROR(VLOOKUP(G1107,Keszlet!$C$5:$I$200,7,FALSE))=TRUE,"",IF(AND(J1106&lt;&gt;"",J1108=""),VLOOKUP(G1107,Keszlet!$C$5:$I$200,7,FALSE),""))</f>
        <v/>
      </c>
      <c r="Q1107" s="1">
        <f>VLOOKUP(G1107,Keszlet!$C$5:$E$205,3,FALSE)</f>
        <v>0</v>
      </c>
      <c r="T1107" s="1" t="str">
        <f t="shared" si="36"/>
        <v/>
      </c>
      <c r="U1107" s="1">
        <f t="shared" si="37"/>
        <v>0</v>
      </c>
      <c r="W1107" s="6">
        <f t="shared" si="40"/>
        <v>0</v>
      </c>
      <c r="X1107" s="6">
        <f t="shared" si="32"/>
        <v>0</v>
      </c>
      <c r="Y1107" s="1">
        <f t="shared" si="38"/>
        <v>1</v>
      </c>
      <c r="Z1107" s="1">
        <f>IF(COUNTIF($Y$6:Y1107,Y1107)=1,Y1107,Y1107+COUNTIF($Y$5:Y1106,Y1107))</f>
        <v>102</v>
      </c>
      <c r="AD1107" s="1" t="str">
        <f t="shared" si="39"/>
        <v/>
      </c>
      <c r="BA1107" s="1">
        <f>IF(W1107&lt;=Leltar_iv!$Y$1,I1107,0)</f>
        <v>0</v>
      </c>
    </row>
    <row r="1108" spans="1:53" s="1" customFormat="1" x14ac:dyDescent="0.25">
      <c r="A1108" s="18">
        <f>IF(COUNTIF($Y$6:Y1108,Y1108)=1,Y1108,Y1108+COUNTIF($Y$5:Y1107,Y1108))</f>
        <v>103</v>
      </c>
      <c r="B1108" s="1">
        <f>IF(AND(Kisero_iv!$N$2=C1108,Kisero_iv!$K$5=$B$3,SUM(I1108:L1112)&lt;&gt;0,$B$4=YEAR(W1108)),B1107+1,0)</f>
        <v>0</v>
      </c>
      <c r="C1108" s="1">
        <f t="shared" si="33"/>
        <v>103</v>
      </c>
      <c r="D1108" s="102" t="str">
        <f t="shared" si="34"/>
        <v/>
      </c>
      <c r="E1108" s="44"/>
      <c r="F1108" s="45"/>
      <c r="G1108" s="45"/>
      <c r="H1108" s="45"/>
      <c r="I1108" s="46"/>
      <c r="J1108" s="111" t="str">
        <f>IF(AND(G1108&lt;&gt;"",ISERROR(VLOOKUP(G1108,Keszlet!$C$5:$H$200,6,FALSE))=FALSE),VLOOKUP(G1108,Keszlet!$C$5:$H$200,6,FALSE),"")</f>
        <v/>
      </c>
      <c r="K1108" s="106" t="str">
        <f>IF(AND(G1108&lt;&gt;"",ISERROR(VLOOKUP(G1108,Keszlet!$C$5:$G$200,5,FALSE))=FALSE),VLOOKUP(G1108,Keszlet!$C$5:$G$200,5,FALSE),"")</f>
        <v/>
      </c>
      <c r="L1108" s="106" t="str">
        <f t="shared" si="35"/>
        <v/>
      </c>
      <c r="M1108" s="115" t="str">
        <f>IF(ISERROR(VLOOKUP(G1108,Keszlet!$C$5:$I$200,7,FALSE))=TRUE,"",IF(AND(J1107&lt;&gt;"",J1109=""),VLOOKUP(G1108,Keszlet!$C$5:$I$200,7,FALSE),""))</f>
        <v/>
      </c>
      <c r="Q1108" s="1">
        <f>VLOOKUP(G1108,Keszlet!$C$5:$E$205,3,FALSE)</f>
        <v>0</v>
      </c>
      <c r="T1108" s="1" t="str">
        <f t="shared" si="36"/>
        <v/>
      </c>
      <c r="U1108" s="1">
        <f t="shared" si="37"/>
        <v>0</v>
      </c>
      <c r="W1108" s="6">
        <f t="shared" si="40"/>
        <v>0</v>
      </c>
      <c r="X1108" s="6">
        <f t="shared" si="32"/>
        <v>0</v>
      </c>
      <c r="Y1108" s="1">
        <f t="shared" si="38"/>
        <v>1</v>
      </c>
      <c r="Z1108" s="1">
        <f>IF(COUNTIF($Y$6:Y1108,Y1108)=1,Y1108,Y1108+COUNTIF($Y$5:Y1107,Y1108))</f>
        <v>103</v>
      </c>
      <c r="AD1108" s="1" t="str">
        <f t="shared" si="39"/>
        <v/>
      </c>
      <c r="BA1108" s="1">
        <f>IF(W1108&lt;=Leltar_iv!$Y$1,I1108,0)</f>
        <v>0</v>
      </c>
    </row>
    <row r="1109" spans="1:53" s="1" customFormat="1" x14ac:dyDescent="0.25">
      <c r="A1109" s="18">
        <f>IF(COUNTIF($Y$6:Y1109,Y1109)=1,Y1109,Y1109+COUNTIF($Y$5:Y1108,Y1109))</f>
        <v>104</v>
      </c>
      <c r="B1109" s="1">
        <f>IF(AND(Kisero_iv!$N$2=C1109,Kisero_iv!$K$5=$B$3,SUM(I1109:L1113)&lt;&gt;0,$B$4=YEAR(W1109)),B1108+1,0)</f>
        <v>0</v>
      </c>
      <c r="C1109" s="1">
        <f t="shared" si="33"/>
        <v>104</v>
      </c>
      <c r="D1109" s="102" t="str">
        <f t="shared" si="34"/>
        <v/>
      </c>
      <c r="E1109" s="44"/>
      <c r="F1109" s="45"/>
      <c r="G1109" s="45"/>
      <c r="H1109" s="45"/>
      <c r="I1109" s="46"/>
      <c r="J1109" s="111" t="str">
        <f>IF(AND(G1109&lt;&gt;"",ISERROR(VLOOKUP(G1109,Keszlet!$C$5:$H$200,6,FALSE))=FALSE),VLOOKUP(G1109,Keszlet!$C$5:$H$200,6,FALSE),"")</f>
        <v/>
      </c>
      <c r="K1109" s="106" t="str">
        <f>IF(AND(G1109&lt;&gt;"",ISERROR(VLOOKUP(G1109,Keszlet!$C$5:$G$200,5,FALSE))=FALSE),VLOOKUP(G1109,Keszlet!$C$5:$G$200,5,FALSE),"")</f>
        <v/>
      </c>
      <c r="L1109" s="106" t="str">
        <f t="shared" si="35"/>
        <v/>
      </c>
      <c r="M1109" s="115" t="str">
        <f>IF(ISERROR(VLOOKUP(G1109,Keszlet!$C$5:$I$200,7,FALSE))=TRUE,"",IF(AND(J1108&lt;&gt;"",J1110=""),VLOOKUP(G1109,Keszlet!$C$5:$I$200,7,FALSE),""))</f>
        <v/>
      </c>
      <c r="Q1109" s="1">
        <f>VLOOKUP(G1109,Keszlet!$C$5:$E$205,3,FALSE)</f>
        <v>0</v>
      </c>
      <c r="T1109" s="1" t="str">
        <f t="shared" si="36"/>
        <v/>
      </c>
      <c r="U1109" s="1">
        <f t="shared" si="37"/>
        <v>0</v>
      </c>
      <c r="W1109" s="6">
        <f t="shared" si="40"/>
        <v>0</v>
      </c>
      <c r="X1109" s="6">
        <f t="shared" si="32"/>
        <v>0</v>
      </c>
      <c r="Y1109" s="1">
        <f t="shared" si="38"/>
        <v>1</v>
      </c>
      <c r="Z1109" s="1">
        <f>IF(COUNTIF($Y$6:Y1109,Y1109)=1,Y1109,Y1109+COUNTIF($Y$5:Y1108,Y1109))</f>
        <v>104</v>
      </c>
      <c r="AD1109" s="1" t="str">
        <f t="shared" si="39"/>
        <v/>
      </c>
      <c r="BA1109" s="1">
        <f>IF(W1109&lt;=Leltar_iv!$Y$1,I1109,0)</f>
        <v>0</v>
      </c>
    </row>
    <row r="1110" spans="1:53" s="1" customFormat="1" x14ac:dyDescent="0.25">
      <c r="A1110" s="18">
        <f>IF(COUNTIF($Y$6:Y1110,Y1110)=1,Y1110,Y1110+COUNTIF($Y$5:Y1109,Y1110))</f>
        <v>105</v>
      </c>
      <c r="B1110" s="1">
        <f>IF(AND(Kisero_iv!$N$2=C1110,Kisero_iv!$K$5=$B$3,SUM(I1110:L1114)&lt;&gt;0,$B$4=YEAR(W1110)),B1109+1,0)</f>
        <v>0</v>
      </c>
      <c r="C1110" s="1">
        <f t="shared" si="33"/>
        <v>105</v>
      </c>
      <c r="D1110" s="102" t="str">
        <f t="shared" si="34"/>
        <v/>
      </c>
      <c r="E1110" s="44"/>
      <c r="F1110" s="45"/>
      <c r="G1110" s="45"/>
      <c r="H1110" s="45"/>
      <c r="I1110" s="46"/>
      <c r="J1110" s="111" t="str">
        <f>IF(AND(G1110&lt;&gt;"",ISERROR(VLOOKUP(G1110,Keszlet!$C$5:$H$200,6,FALSE))=FALSE),VLOOKUP(G1110,Keszlet!$C$5:$H$200,6,FALSE),"")</f>
        <v/>
      </c>
      <c r="K1110" s="106" t="str">
        <f>IF(AND(G1110&lt;&gt;"",ISERROR(VLOOKUP(G1110,Keszlet!$C$5:$G$200,5,FALSE))=FALSE),VLOOKUP(G1110,Keszlet!$C$5:$G$200,5,FALSE),"")</f>
        <v/>
      </c>
      <c r="L1110" s="106" t="str">
        <f t="shared" si="35"/>
        <v/>
      </c>
      <c r="M1110" s="115" t="str">
        <f>IF(ISERROR(VLOOKUP(G1110,Keszlet!$C$5:$I$200,7,FALSE))=TRUE,"",IF(AND(J1109&lt;&gt;"",J1111=""),VLOOKUP(G1110,Keszlet!$C$5:$I$200,7,FALSE),""))</f>
        <v/>
      </c>
      <c r="Q1110" s="1">
        <f>VLOOKUP(G1110,Keszlet!$C$5:$E$205,3,FALSE)</f>
        <v>0</v>
      </c>
      <c r="T1110" s="1" t="str">
        <f t="shared" si="36"/>
        <v/>
      </c>
      <c r="U1110" s="1">
        <f t="shared" si="37"/>
        <v>0</v>
      </c>
      <c r="W1110" s="6">
        <f t="shared" si="40"/>
        <v>0</v>
      </c>
      <c r="X1110" s="6">
        <f t="shared" si="32"/>
        <v>0</v>
      </c>
      <c r="Y1110" s="1">
        <f t="shared" si="38"/>
        <v>1</v>
      </c>
      <c r="Z1110" s="1">
        <f>IF(COUNTIF($Y$6:Y1110,Y1110)=1,Y1110,Y1110+COUNTIF($Y$5:Y1109,Y1110))</f>
        <v>105</v>
      </c>
      <c r="AD1110" s="1" t="str">
        <f t="shared" si="39"/>
        <v/>
      </c>
      <c r="BA1110" s="1">
        <f>IF(W1110&lt;=Leltar_iv!$Y$1,I1110,0)</f>
        <v>0</v>
      </c>
    </row>
    <row r="1111" spans="1:53" s="1" customFormat="1" x14ac:dyDescent="0.25">
      <c r="A1111" s="18">
        <f>IF(COUNTIF($Y$6:Y1111,Y1111)=1,Y1111,Y1111+COUNTIF($Y$5:Y1110,Y1111))</f>
        <v>106</v>
      </c>
      <c r="B1111" s="1">
        <f>IF(AND(Kisero_iv!$N$2=C1111,Kisero_iv!$K$5=$B$3,SUM(I1111:L1115)&lt;&gt;0,$B$4=YEAR(W1111)),B1110+1,0)</f>
        <v>0</v>
      </c>
      <c r="C1111" s="1">
        <f t="shared" si="33"/>
        <v>106</v>
      </c>
      <c r="D1111" s="102" t="str">
        <f t="shared" si="34"/>
        <v/>
      </c>
      <c r="E1111" s="44"/>
      <c r="F1111" s="45"/>
      <c r="G1111" s="45"/>
      <c r="H1111" s="45"/>
      <c r="I1111" s="46"/>
      <c r="J1111" s="111" t="str">
        <f>IF(AND(G1111&lt;&gt;"",ISERROR(VLOOKUP(G1111,Keszlet!$C$5:$H$200,6,FALSE))=FALSE),VLOOKUP(G1111,Keszlet!$C$5:$H$200,6,FALSE),"")</f>
        <v/>
      </c>
      <c r="K1111" s="106" t="str">
        <f>IF(AND(G1111&lt;&gt;"",ISERROR(VLOOKUP(G1111,Keszlet!$C$5:$G$200,5,FALSE))=FALSE),VLOOKUP(G1111,Keszlet!$C$5:$G$200,5,FALSE),"")</f>
        <v/>
      </c>
      <c r="L1111" s="106" t="str">
        <f t="shared" si="35"/>
        <v/>
      </c>
      <c r="M1111" s="115" t="str">
        <f>IF(ISERROR(VLOOKUP(G1111,Keszlet!$C$5:$I$200,7,FALSE))=TRUE,"",IF(AND(J1110&lt;&gt;"",J1112=""),VLOOKUP(G1111,Keszlet!$C$5:$I$200,7,FALSE),""))</f>
        <v/>
      </c>
      <c r="Q1111" s="1">
        <f>VLOOKUP(G1111,Keszlet!$C$5:$E$205,3,FALSE)</f>
        <v>0</v>
      </c>
      <c r="T1111" s="1" t="str">
        <f t="shared" si="36"/>
        <v/>
      </c>
      <c r="U1111" s="1">
        <f t="shared" si="37"/>
        <v>0</v>
      </c>
      <c r="W1111" s="6">
        <f t="shared" si="40"/>
        <v>0</v>
      </c>
      <c r="X1111" s="6">
        <f t="shared" si="32"/>
        <v>0</v>
      </c>
      <c r="Y1111" s="1">
        <f t="shared" si="38"/>
        <v>1</v>
      </c>
      <c r="Z1111" s="1">
        <f>IF(COUNTIF($Y$6:Y1111,Y1111)=1,Y1111,Y1111+COUNTIF($Y$5:Y1110,Y1111))</f>
        <v>106</v>
      </c>
      <c r="AD1111" s="1" t="str">
        <f t="shared" si="39"/>
        <v/>
      </c>
      <c r="BA1111" s="1">
        <f>IF(W1111&lt;=Leltar_iv!$Y$1,I1111,0)</f>
        <v>0</v>
      </c>
    </row>
    <row r="1112" spans="1:53" s="1" customFormat="1" x14ac:dyDescent="0.25">
      <c r="A1112" s="18">
        <f>IF(COUNTIF($Y$6:Y1112,Y1112)=1,Y1112,Y1112+COUNTIF($Y$5:Y1111,Y1112))</f>
        <v>107</v>
      </c>
      <c r="B1112" s="1">
        <f>IF(AND(Kisero_iv!$N$2=C1112,Kisero_iv!$K$5=$B$3,SUM(I1112:L1116)&lt;&gt;0,$B$4=YEAR(W1112)),B1111+1,0)</f>
        <v>0</v>
      </c>
      <c r="C1112" s="1">
        <f t="shared" si="33"/>
        <v>107</v>
      </c>
      <c r="D1112" s="102" t="str">
        <f t="shared" si="34"/>
        <v/>
      </c>
      <c r="E1112" s="44"/>
      <c r="F1112" s="45"/>
      <c r="G1112" s="45"/>
      <c r="H1112" s="45"/>
      <c r="I1112" s="46"/>
      <c r="J1112" s="111" t="str">
        <f>IF(AND(G1112&lt;&gt;"",ISERROR(VLOOKUP(G1112,Keszlet!$C$5:$H$200,6,FALSE))=FALSE),VLOOKUP(G1112,Keszlet!$C$5:$H$200,6,FALSE),"")</f>
        <v/>
      </c>
      <c r="K1112" s="106" t="str">
        <f>IF(AND(G1112&lt;&gt;"",ISERROR(VLOOKUP(G1112,Keszlet!$C$5:$G$200,5,FALSE))=FALSE),VLOOKUP(G1112,Keszlet!$C$5:$G$200,5,FALSE),"")</f>
        <v/>
      </c>
      <c r="L1112" s="106" t="str">
        <f t="shared" si="35"/>
        <v/>
      </c>
      <c r="M1112" s="115" t="str">
        <f>IF(ISERROR(VLOOKUP(G1112,Keszlet!$C$5:$I$200,7,FALSE))=TRUE,"",IF(AND(J1111&lt;&gt;"",J1113=""),VLOOKUP(G1112,Keszlet!$C$5:$I$200,7,FALSE),""))</f>
        <v/>
      </c>
      <c r="Q1112" s="1">
        <f>VLOOKUP(G1112,Keszlet!$C$5:$E$205,3,FALSE)</f>
        <v>0</v>
      </c>
      <c r="T1112" s="1" t="str">
        <f t="shared" si="36"/>
        <v/>
      </c>
      <c r="U1112" s="1">
        <f t="shared" si="37"/>
        <v>0</v>
      </c>
      <c r="W1112" s="6">
        <f t="shared" si="40"/>
        <v>0</v>
      </c>
      <c r="X1112" s="6">
        <f t="shared" si="32"/>
        <v>0</v>
      </c>
      <c r="Y1112" s="1">
        <f t="shared" si="38"/>
        <v>1</v>
      </c>
      <c r="Z1112" s="1">
        <f>IF(COUNTIF($Y$6:Y1112,Y1112)=1,Y1112,Y1112+COUNTIF($Y$5:Y1111,Y1112))</f>
        <v>107</v>
      </c>
      <c r="AD1112" s="1" t="str">
        <f t="shared" si="39"/>
        <v/>
      </c>
      <c r="BA1112" s="1">
        <f>IF(W1112&lt;=Leltar_iv!$Y$1,I1112,0)</f>
        <v>0</v>
      </c>
    </row>
    <row r="1113" spans="1:53" s="1" customFormat="1" x14ac:dyDescent="0.25">
      <c r="A1113" s="18">
        <f>IF(COUNTIF($Y$6:Y1113,Y1113)=1,Y1113,Y1113+COUNTIF($Y$5:Y1112,Y1113))</f>
        <v>108</v>
      </c>
      <c r="B1113" s="1">
        <f>IF(AND(Kisero_iv!$N$2=C1113,Kisero_iv!$K$5=$B$3,SUM(I1113:L1117)&lt;&gt;0,$B$4=YEAR(W1113)),B1112+1,0)</f>
        <v>0</v>
      </c>
      <c r="C1113" s="1">
        <f t="shared" si="33"/>
        <v>108</v>
      </c>
      <c r="D1113" s="102" t="str">
        <f t="shared" si="34"/>
        <v/>
      </c>
      <c r="E1113" s="44"/>
      <c r="F1113" s="45"/>
      <c r="G1113" s="45"/>
      <c r="H1113" s="45"/>
      <c r="I1113" s="46"/>
      <c r="J1113" s="111" t="str">
        <f>IF(AND(G1113&lt;&gt;"",ISERROR(VLOOKUP(G1113,Keszlet!$C$5:$H$200,6,FALSE))=FALSE),VLOOKUP(G1113,Keszlet!$C$5:$H$200,6,FALSE),"")</f>
        <v/>
      </c>
      <c r="K1113" s="106" t="str">
        <f>IF(AND(G1113&lt;&gt;"",ISERROR(VLOOKUP(G1113,Keszlet!$C$5:$G$200,5,FALSE))=FALSE),VLOOKUP(G1113,Keszlet!$C$5:$G$200,5,FALSE),"")</f>
        <v/>
      </c>
      <c r="L1113" s="106" t="str">
        <f t="shared" si="35"/>
        <v/>
      </c>
      <c r="M1113" s="115" t="str">
        <f>IF(ISERROR(VLOOKUP(G1113,Keszlet!$C$5:$I$200,7,FALSE))=TRUE,"",IF(AND(J1112&lt;&gt;"",J1114=""),VLOOKUP(G1113,Keszlet!$C$5:$I$200,7,FALSE),""))</f>
        <v/>
      </c>
      <c r="Q1113" s="1">
        <f>VLOOKUP(G1113,Keszlet!$C$5:$E$205,3,FALSE)</f>
        <v>0</v>
      </c>
      <c r="T1113" s="1" t="str">
        <f t="shared" si="36"/>
        <v/>
      </c>
      <c r="U1113" s="1">
        <f t="shared" si="37"/>
        <v>0</v>
      </c>
      <c r="W1113" s="6">
        <f t="shared" si="40"/>
        <v>0</v>
      </c>
      <c r="X1113" s="6">
        <f t="shared" si="32"/>
        <v>0</v>
      </c>
      <c r="Y1113" s="1">
        <f t="shared" si="38"/>
        <v>1</v>
      </c>
      <c r="Z1113" s="1">
        <f>IF(COUNTIF($Y$6:Y1113,Y1113)=1,Y1113,Y1113+COUNTIF($Y$5:Y1112,Y1113))</f>
        <v>108</v>
      </c>
      <c r="AD1113" s="1" t="str">
        <f t="shared" si="39"/>
        <v/>
      </c>
      <c r="BA1113" s="1">
        <f>IF(W1113&lt;=Leltar_iv!$Y$1,I1113,0)</f>
        <v>0</v>
      </c>
    </row>
    <row r="1114" spans="1:53" s="1" customFormat="1" x14ac:dyDescent="0.25">
      <c r="A1114" s="18">
        <f>IF(COUNTIF($Y$6:Y1114,Y1114)=1,Y1114,Y1114+COUNTIF($Y$5:Y1113,Y1114))</f>
        <v>109</v>
      </c>
      <c r="B1114" s="1">
        <f>IF(AND(Kisero_iv!$N$2=C1114,Kisero_iv!$K$5=$B$3,SUM(I1114:L1118)&lt;&gt;0,$B$4=YEAR(W1114)),B1113+1,0)</f>
        <v>0</v>
      </c>
      <c r="C1114" s="1">
        <f t="shared" si="33"/>
        <v>109</v>
      </c>
      <c r="D1114" s="102" t="str">
        <f t="shared" si="34"/>
        <v/>
      </c>
      <c r="E1114" s="44"/>
      <c r="F1114" s="45"/>
      <c r="G1114" s="45"/>
      <c r="H1114" s="45"/>
      <c r="I1114" s="46"/>
      <c r="J1114" s="111" t="str">
        <f>IF(AND(G1114&lt;&gt;"",ISERROR(VLOOKUP(G1114,Keszlet!$C$5:$H$200,6,FALSE))=FALSE),VLOOKUP(G1114,Keszlet!$C$5:$H$200,6,FALSE),"")</f>
        <v/>
      </c>
      <c r="K1114" s="106" t="str">
        <f>IF(AND(G1114&lt;&gt;"",ISERROR(VLOOKUP(G1114,Keszlet!$C$5:$G$200,5,FALSE))=FALSE),VLOOKUP(G1114,Keszlet!$C$5:$G$200,5,FALSE),"")</f>
        <v/>
      </c>
      <c r="L1114" s="106" t="str">
        <f t="shared" si="35"/>
        <v/>
      </c>
      <c r="M1114" s="115" t="str">
        <f>IF(ISERROR(VLOOKUP(G1114,Keszlet!$C$5:$I$200,7,FALSE))=TRUE,"",IF(AND(J1113&lt;&gt;"",J1115=""),VLOOKUP(G1114,Keszlet!$C$5:$I$200,7,FALSE),""))</f>
        <v/>
      </c>
      <c r="Q1114" s="1">
        <f>VLOOKUP(G1114,Keszlet!$C$5:$E$205,3,FALSE)</f>
        <v>0</v>
      </c>
      <c r="T1114" s="1" t="str">
        <f t="shared" si="36"/>
        <v/>
      </c>
      <c r="U1114" s="1">
        <f t="shared" si="37"/>
        <v>0</v>
      </c>
      <c r="W1114" s="6">
        <f t="shared" si="40"/>
        <v>0</v>
      </c>
      <c r="X1114" s="6">
        <f t="shared" si="32"/>
        <v>0</v>
      </c>
      <c r="Y1114" s="1">
        <f t="shared" si="38"/>
        <v>1</v>
      </c>
      <c r="Z1114" s="1">
        <f>IF(COUNTIF($Y$6:Y1114,Y1114)=1,Y1114,Y1114+COUNTIF($Y$5:Y1113,Y1114))</f>
        <v>109</v>
      </c>
      <c r="AD1114" s="1" t="str">
        <f t="shared" si="39"/>
        <v/>
      </c>
      <c r="BA1114" s="1">
        <f>IF(W1114&lt;=Leltar_iv!$Y$1,I1114,0)</f>
        <v>0</v>
      </c>
    </row>
    <row r="1115" spans="1:53" s="1" customFormat="1" x14ac:dyDescent="0.25">
      <c r="A1115" s="18">
        <f>IF(COUNTIF($Y$6:Y1115,Y1115)=1,Y1115,Y1115+COUNTIF($Y$5:Y1114,Y1115))</f>
        <v>110</v>
      </c>
      <c r="B1115" s="1">
        <f>IF(AND(Kisero_iv!$N$2=C1115,Kisero_iv!$K$5=$B$3,SUM(I1115:L1119)&lt;&gt;0,$B$4=YEAR(W1115)),B1114+1,0)</f>
        <v>0</v>
      </c>
      <c r="C1115" s="1">
        <f t="shared" si="33"/>
        <v>110</v>
      </c>
      <c r="D1115" s="102" t="str">
        <f t="shared" si="34"/>
        <v/>
      </c>
      <c r="E1115" s="44"/>
      <c r="F1115" s="45"/>
      <c r="G1115" s="45"/>
      <c r="H1115" s="45"/>
      <c r="I1115" s="46"/>
      <c r="J1115" s="111" t="str">
        <f>IF(AND(G1115&lt;&gt;"",ISERROR(VLOOKUP(G1115,Keszlet!$C$5:$H$200,6,FALSE))=FALSE),VLOOKUP(G1115,Keszlet!$C$5:$H$200,6,FALSE),"")</f>
        <v/>
      </c>
      <c r="K1115" s="106" t="str">
        <f>IF(AND(G1115&lt;&gt;"",ISERROR(VLOOKUP(G1115,Keszlet!$C$5:$G$200,5,FALSE))=FALSE),VLOOKUP(G1115,Keszlet!$C$5:$G$200,5,FALSE),"")</f>
        <v/>
      </c>
      <c r="L1115" s="106" t="str">
        <f t="shared" si="35"/>
        <v/>
      </c>
      <c r="M1115" s="115" t="str">
        <f>IF(ISERROR(VLOOKUP(G1115,Keszlet!$C$5:$I$200,7,FALSE))=TRUE,"",IF(AND(J1114&lt;&gt;"",J1116=""),VLOOKUP(G1115,Keszlet!$C$5:$I$200,7,FALSE),""))</f>
        <v/>
      </c>
      <c r="Q1115" s="1">
        <f>VLOOKUP(G1115,Keszlet!$C$5:$E$205,3,FALSE)</f>
        <v>0</v>
      </c>
      <c r="T1115" s="1" t="str">
        <f t="shared" si="36"/>
        <v/>
      </c>
      <c r="U1115" s="1">
        <f t="shared" si="37"/>
        <v>0</v>
      </c>
      <c r="W1115" s="6">
        <f t="shared" si="40"/>
        <v>0</v>
      </c>
      <c r="X1115" s="6">
        <f t="shared" si="32"/>
        <v>0</v>
      </c>
      <c r="Y1115" s="1">
        <f t="shared" si="38"/>
        <v>1</v>
      </c>
      <c r="Z1115" s="1">
        <f>IF(COUNTIF($Y$6:Y1115,Y1115)=1,Y1115,Y1115+COUNTIF($Y$5:Y1114,Y1115))</f>
        <v>110</v>
      </c>
      <c r="AD1115" s="1" t="str">
        <f t="shared" si="39"/>
        <v/>
      </c>
      <c r="BA1115" s="1">
        <f>IF(W1115&lt;=Leltar_iv!$Y$1,I1115,0)</f>
        <v>0</v>
      </c>
    </row>
    <row r="1116" spans="1:53" s="1" customFormat="1" x14ac:dyDescent="0.25">
      <c r="A1116" s="18">
        <f>IF(COUNTIF($Y$6:Y1116,Y1116)=1,Y1116,Y1116+COUNTIF($Y$5:Y1115,Y1116))</f>
        <v>111</v>
      </c>
      <c r="B1116" s="1">
        <f>IF(AND(Kisero_iv!$N$2=C1116,Kisero_iv!$K$5=$B$3,SUM(I1116:L1120)&lt;&gt;0,$B$4=YEAR(W1116)),B1115+1,0)</f>
        <v>0</v>
      </c>
      <c r="C1116" s="1">
        <f t="shared" si="33"/>
        <v>111</v>
      </c>
      <c r="D1116" s="102" t="str">
        <f t="shared" si="34"/>
        <v/>
      </c>
      <c r="E1116" s="44"/>
      <c r="F1116" s="45"/>
      <c r="G1116" s="45"/>
      <c r="H1116" s="45"/>
      <c r="I1116" s="46"/>
      <c r="J1116" s="111" t="str">
        <f>IF(AND(G1116&lt;&gt;"",ISERROR(VLOOKUP(G1116,Keszlet!$C$5:$H$200,6,FALSE))=FALSE),VLOOKUP(G1116,Keszlet!$C$5:$H$200,6,FALSE),"")</f>
        <v/>
      </c>
      <c r="K1116" s="106" t="str">
        <f>IF(AND(G1116&lt;&gt;"",ISERROR(VLOOKUP(G1116,Keszlet!$C$5:$G$200,5,FALSE))=FALSE),VLOOKUP(G1116,Keszlet!$C$5:$G$200,5,FALSE),"")</f>
        <v/>
      </c>
      <c r="L1116" s="106" t="str">
        <f t="shared" si="35"/>
        <v/>
      </c>
      <c r="M1116" s="115" t="str">
        <f>IF(ISERROR(VLOOKUP(G1116,Keszlet!$C$5:$I$200,7,FALSE))=TRUE,"",IF(AND(J1115&lt;&gt;"",J1117=""),VLOOKUP(G1116,Keszlet!$C$5:$I$200,7,FALSE),""))</f>
        <v/>
      </c>
      <c r="Q1116" s="1">
        <f>VLOOKUP(G1116,Keszlet!$C$5:$E$205,3,FALSE)</f>
        <v>0</v>
      </c>
      <c r="T1116" s="1" t="str">
        <f t="shared" si="36"/>
        <v/>
      </c>
      <c r="U1116" s="1">
        <f t="shared" si="37"/>
        <v>0</v>
      </c>
      <c r="W1116" s="6">
        <f t="shared" si="40"/>
        <v>0</v>
      </c>
      <c r="X1116" s="6">
        <f t="shared" si="32"/>
        <v>0</v>
      </c>
      <c r="Y1116" s="1">
        <f t="shared" si="38"/>
        <v>1</v>
      </c>
      <c r="Z1116" s="1">
        <f>IF(COUNTIF($Y$6:Y1116,Y1116)=1,Y1116,Y1116+COUNTIF($Y$5:Y1115,Y1116))</f>
        <v>111</v>
      </c>
      <c r="AD1116" s="1" t="str">
        <f t="shared" si="39"/>
        <v/>
      </c>
      <c r="BA1116" s="1">
        <f>IF(W1116&lt;=Leltar_iv!$Y$1,I1116,0)</f>
        <v>0</v>
      </c>
    </row>
    <row r="1117" spans="1:53" s="1" customFormat="1" x14ac:dyDescent="0.25">
      <c r="A1117" s="18">
        <f>IF(COUNTIF($Y$6:Y1117,Y1117)=1,Y1117,Y1117+COUNTIF($Y$5:Y1116,Y1117))</f>
        <v>112</v>
      </c>
      <c r="B1117" s="1">
        <f>IF(AND(Kisero_iv!$N$2=C1117,Kisero_iv!$K$5=$B$3,SUM(I1117:L1121)&lt;&gt;0,$B$4=YEAR(W1117)),B1116+1,0)</f>
        <v>0</v>
      </c>
      <c r="C1117" s="1">
        <f t="shared" si="33"/>
        <v>112</v>
      </c>
      <c r="D1117" s="102" t="str">
        <f t="shared" si="34"/>
        <v/>
      </c>
      <c r="E1117" s="44"/>
      <c r="F1117" s="45"/>
      <c r="G1117" s="45"/>
      <c r="H1117" s="45"/>
      <c r="I1117" s="46"/>
      <c r="J1117" s="111" t="str">
        <f>IF(AND(G1117&lt;&gt;"",ISERROR(VLOOKUP(G1117,Keszlet!$C$5:$H$200,6,FALSE))=FALSE),VLOOKUP(G1117,Keszlet!$C$5:$H$200,6,FALSE),"")</f>
        <v/>
      </c>
      <c r="K1117" s="106" t="str">
        <f>IF(AND(G1117&lt;&gt;"",ISERROR(VLOOKUP(G1117,Keszlet!$C$5:$G$200,5,FALSE))=FALSE),VLOOKUP(G1117,Keszlet!$C$5:$G$200,5,FALSE),"")</f>
        <v/>
      </c>
      <c r="L1117" s="106" t="str">
        <f t="shared" si="35"/>
        <v/>
      </c>
      <c r="M1117" s="115" t="str">
        <f>IF(ISERROR(VLOOKUP(G1117,Keszlet!$C$5:$I$200,7,FALSE))=TRUE,"",IF(AND(J1116&lt;&gt;"",J1118=""),VLOOKUP(G1117,Keszlet!$C$5:$I$200,7,FALSE),""))</f>
        <v/>
      </c>
      <c r="Q1117" s="1">
        <f>VLOOKUP(G1117,Keszlet!$C$5:$E$205,3,FALSE)</f>
        <v>0</v>
      </c>
      <c r="T1117" s="1" t="str">
        <f t="shared" si="36"/>
        <v/>
      </c>
      <c r="U1117" s="1">
        <f t="shared" si="37"/>
        <v>0</v>
      </c>
      <c r="W1117" s="6">
        <f t="shared" si="40"/>
        <v>0</v>
      </c>
      <c r="X1117" s="6">
        <f t="shared" si="32"/>
        <v>0</v>
      </c>
      <c r="Y1117" s="1">
        <f t="shared" si="38"/>
        <v>1</v>
      </c>
      <c r="Z1117" s="1">
        <f>IF(COUNTIF($Y$6:Y1117,Y1117)=1,Y1117,Y1117+COUNTIF($Y$5:Y1116,Y1117))</f>
        <v>112</v>
      </c>
      <c r="AD1117" s="1" t="str">
        <f t="shared" si="39"/>
        <v/>
      </c>
      <c r="BA1117" s="1">
        <f>IF(W1117&lt;=Leltar_iv!$Y$1,I1117,0)</f>
        <v>0</v>
      </c>
    </row>
    <row r="1118" spans="1:53" s="1" customFormat="1" x14ac:dyDescent="0.25">
      <c r="A1118" s="18">
        <f>IF(COUNTIF($Y$6:Y1118,Y1118)=1,Y1118,Y1118+COUNTIF($Y$5:Y1117,Y1118))</f>
        <v>113</v>
      </c>
      <c r="B1118" s="1">
        <f>IF(AND(Kisero_iv!$N$2=C1118,Kisero_iv!$K$5=$B$3,SUM(I1118:L1122)&lt;&gt;0,$B$4=YEAR(W1118)),B1117+1,0)</f>
        <v>0</v>
      </c>
      <c r="C1118" s="1">
        <f t="shared" si="33"/>
        <v>113</v>
      </c>
      <c r="D1118" s="102" t="str">
        <f t="shared" si="34"/>
        <v/>
      </c>
      <c r="E1118" s="44"/>
      <c r="F1118" s="45"/>
      <c r="G1118" s="45"/>
      <c r="H1118" s="45"/>
      <c r="I1118" s="46"/>
      <c r="J1118" s="111" t="str">
        <f>IF(AND(G1118&lt;&gt;"",ISERROR(VLOOKUP(G1118,Keszlet!$C$5:$H$200,6,FALSE))=FALSE),VLOOKUP(G1118,Keszlet!$C$5:$H$200,6,FALSE),"")</f>
        <v/>
      </c>
      <c r="K1118" s="106" t="str">
        <f>IF(AND(G1118&lt;&gt;"",ISERROR(VLOOKUP(G1118,Keszlet!$C$5:$G$200,5,FALSE))=FALSE),VLOOKUP(G1118,Keszlet!$C$5:$G$200,5,FALSE),"")</f>
        <v/>
      </c>
      <c r="L1118" s="106" t="str">
        <f t="shared" si="35"/>
        <v/>
      </c>
      <c r="M1118" s="115" t="str">
        <f>IF(ISERROR(VLOOKUP(G1118,Keszlet!$C$5:$I$200,7,FALSE))=TRUE,"",IF(AND(J1117&lt;&gt;"",J1119=""),VLOOKUP(G1118,Keszlet!$C$5:$I$200,7,FALSE),""))</f>
        <v/>
      </c>
      <c r="Q1118" s="1">
        <f>VLOOKUP(G1118,Keszlet!$C$5:$E$205,3,FALSE)</f>
        <v>0</v>
      </c>
      <c r="T1118" s="1" t="str">
        <f t="shared" si="36"/>
        <v/>
      </c>
      <c r="U1118" s="1">
        <f t="shared" si="37"/>
        <v>0</v>
      </c>
      <c r="W1118" s="6">
        <f t="shared" si="40"/>
        <v>0</v>
      </c>
      <c r="X1118" s="6">
        <f t="shared" si="32"/>
        <v>0</v>
      </c>
      <c r="Y1118" s="1">
        <f t="shared" si="38"/>
        <v>1</v>
      </c>
      <c r="Z1118" s="1">
        <f>IF(COUNTIF($Y$6:Y1118,Y1118)=1,Y1118,Y1118+COUNTIF($Y$5:Y1117,Y1118))</f>
        <v>113</v>
      </c>
      <c r="AD1118" s="1" t="str">
        <f t="shared" si="39"/>
        <v/>
      </c>
      <c r="BA1118" s="1">
        <f>IF(W1118&lt;=Leltar_iv!$Y$1,I1118,0)</f>
        <v>0</v>
      </c>
    </row>
    <row r="1119" spans="1:53" s="1" customFormat="1" x14ac:dyDescent="0.25">
      <c r="A1119" s="18">
        <f>IF(COUNTIF($Y$6:Y1119,Y1119)=1,Y1119,Y1119+COUNTIF($Y$5:Y1118,Y1119))</f>
        <v>114</v>
      </c>
      <c r="B1119" s="1">
        <f>IF(AND(Kisero_iv!$N$2=C1119,Kisero_iv!$K$5=$B$3,SUM(I1119:L1123)&lt;&gt;0,$B$4=YEAR(W1119)),B1118+1,0)</f>
        <v>0</v>
      </c>
      <c r="C1119" s="1">
        <f t="shared" si="33"/>
        <v>114</v>
      </c>
      <c r="D1119" s="102" t="str">
        <f t="shared" si="34"/>
        <v/>
      </c>
      <c r="E1119" s="44"/>
      <c r="F1119" s="45"/>
      <c r="G1119" s="45"/>
      <c r="H1119" s="45"/>
      <c r="I1119" s="46"/>
      <c r="J1119" s="111" t="str">
        <f>IF(AND(G1119&lt;&gt;"",ISERROR(VLOOKUP(G1119,Keszlet!$C$5:$H$200,6,FALSE))=FALSE),VLOOKUP(G1119,Keszlet!$C$5:$H$200,6,FALSE),"")</f>
        <v/>
      </c>
      <c r="K1119" s="106" t="str">
        <f>IF(AND(G1119&lt;&gt;"",ISERROR(VLOOKUP(G1119,Keszlet!$C$5:$G$200,5,FALSE))=FALSE),VLOOKUP(G1119,Keszlet!$C$5:$G$200,5,FALSE),"")</f>
        <v/>
      </c>
      <c r="L1119" s="106" t="str">
        <f t="shared" si="35"/>
        <v/>
      </c>
      <c r="M1119" s="115" t="str">
        <f>IF(ISERROR(VLOOKUP(G1119,Keszlet!$C$5:$I$200,7,FALSE))=TRUE,"",IF(AND(J1118&lt;&gt;"",J1120=""),VLOOKUP(G1119,Keszlet!$C$5:$I$200,7,FALSE),""))</f>
        <v/>
      </c>
      <c r="Q1119" s="1">
        <f>VLOOKUP(G1119,Keszlet!$C$5:$E$205,3,FALSE)</f>
        <v>0</v>
      </c>
      <c r="T1119" s="1" t="str">
        <f t="shared" si="36"/>
        <v/>
      </c>
      <c r="U1119" s="1">
        <f t="shared" si="37"/>
        <v>0</v>
      </c>
      <c r="W1119" s="6">
        <f t="shared" si="40"/>
        <v>0</v>
      </c>
      <c r="X1119" s="6">
        <f t="shared" si="32"/>
        <v>0</v>
      </c>
      <c r="Y1119" s="1">
        <f t="shared" si="38"/>
        <v>1</v>
      </c>
      <c r="Z1119" s="1">
        <f>IF(COUNTIF($Y$6:Y1119,Y1119)=1,Y1119,Y1119+COUNTIF($Y$5:Y1118,Y1119))</f>
        <v>114</v>
      </c>
      <c r="AD1119" s="1" t="str">
        <f t="shared" si="39"/>
        <v/>
      </c>
      <c r="BA1119" s="1">
        <f>IF(W1119&lt;=Leltar_iv!$Y$1,I1119,0)</f>
        <v>0</v>
      </c>
    </row>
    <row r="1120" spans="1:53" s="1" customFormat="1" x14ac:dyDescent="0.25">
      <c r="A1120" s="18">
        <f>IF(COUNTIF($Y$6:Y1120,Y1120)=1,Y1120,Y1120+COUNTIF($Y$5:Y1119,Y1120))</f>
        <v>115</v>
      </c>
      <c r="B1120" s="1">
        <f>IF(AND(Kisero_iv!$N$2=C1120,Kisero_iv!$K$5=$B$3,SUM(I1120:L1124)&lt;&gt;0,$B$4=YEAR(W1120)),B1119+1,0)</f>
        <v>0</v>
      </c>
      <c r="C1120" s="1">
        <f t="shared" si="33"/>
        <v>115</v>
      </c>
      <c r="D1120" s="102" t="str">
        <f t="shared" si="34"/>
        <v/>
      </c>
      <c r="E1120" s="44"/>
      <c r="F1120" s="45"/>
      <c r="G1120" s="45"/>
      <c r="H1120" s="45"/>
      <c r="I1120" s="46"/>
      <c r="J1120" s="111" t="str">
        <f>IF(AND(G1120&lt;&gt;"",ISERROR(VLOOKUP(G1120,Keszlet!$C$5:$H$200,6,FALSE))=FALSE),VLOOKUP(G1120,Keszlet!$C$5:$H$200,6,FALSE),"")</f>
        <v/>
      </c>
      <c r="K1120" s="106" t="str">
        <f>IF(AND(G1120&lt;&gt;"",ISERROR(VLOOKUP(G1120,Keszlet!$C$5:$G$200,5,FALSE))=FALSE),VLOOKUP(G1120,Keszlet!$C$5:$G$200,5,FALSE),"")</f>
        <v/>
      </c>
      <c r="L1120" s="106" t="str">
        <f t="shared" si="35"/>
        <v/>
      </c>
      <c r="M1120" s="115" t="str">
        <f>IF(ISERROR(VLOOKUP(G1120,Keszlet!$C$5:$I$200,7,FALSE))=TRUE,"",IF(AND(J1119&lt;&gt;"",J1121=""),VLOOKUP(G1120,Keszlet!$C$5:$I$200,7,FALSE),""))</f>
        <v/>
      </c>
      <c r="Q1120" s="1">
        <f>VLOOKUP(G1120,Keszlet!$C$5:$E$205,3,FALSE)</f>
        <v>0</v>
      </c>
      <c r="T1120" s="1" t="str">
        <f t="shared" si="36"/>
        <v/>
      </c>
      <c r="U1120" s="1">
        <f t="shared" si="37"/>
        <v>0</v>
      </c>
      <c r="W1120" s="6">
        <f t="shared" si="40"/>
        <v>0</v>
      </c>
      <c r="X1120" s="6">
        <f t="shared" si="32"/>
        <v>0</v>
      </c>
      <c r="Y1120" s="1">
        <f t="shared" si="38"/>
        <v>1</v>
      </c>
      <c r="Z1120" s="1">
        <f>IF(COUNTIF($Y$6:Y1120,Y1120)=1,Y1120,Y1120+COUNTIF($Y$5:Y1119,Y1120))</f>
        <v>115</v>
      </c>
      <c r="AD1120" s="1" t="str">
        <f t="shared" si="39"/>
        <v/>
      </c>
      <c r="BA1120" s="1">
        <f>IF(W1120&lt;=Leltar_iv!$Y$1,I1120,0)</f>
        <v>0</v>
      </c>
    </row>
    <row r="1121" spans="1:53" s="1" customFormat="1" x14ac:dyDescent="0.25">
      <c r="A1121" s="18">
        <f>IF(COUNTIF($Y$6:Y1121,Y1121)=1,Y1121,Y1121+COUNTIF($Y$5:Y1120,Y1121))</f>
        <v>116</v>
      </c>
      <c r="B1121" s="1">
        <f>IF(AND(Kisero_iv!$N$2=C1121,Kisero_iv!$K$5=$B$3,SUM(I1121:L1125)&lt;&gt;0,$B$4=YEAR(W1121)),B1120+1,0)</f>
        <v>0</v>
      </c>
      <c r="C1121" s="1">
        <f t="shared" si="33"/>
        <v>116</v>
      </c>
      <c r="D1121" s="102" t="str">
        <f t="shared" si="34"/>
        <v/>
      </c>
      <c r="E1121" s="44"/>
      <c r="F1121" s="45"/>
      <c r="G1121" s="45"/>
      <c r="H1121" s="45"/>
      <c r="I1121" s="46"/>
      <c r="J1121" s="111" t="str">
        <f>IF(AND(G1121&lt;&gt;"",ISERROR(VLOOKUP(G1121,Keszlet!$C$5:$H$200,6,FALSE))=FALSE),VLOOKUP(G1121,Keszlet!$C$5:$H$200,6,FALSE),"")</f>
        <v/>
      </c>
      <c r="K1121" s="106" t="str">
        <f>IF(AND(G1121&lt;&gt;"",ISERROR(VLOOKUP(G1121,Keszlet!$C$5:$G$200,5,FALSE))=FALSE),VLOOKUP(G1121,Keszlet!$C$5:$G$200,5,FALSE),"")</f>
        <v/>
      </c>
      <c r="L1121" s="106" t="str">
        <f t="shared" si="35"/>
        <v/>
      </c>
      <c r="M1121" s="115" t="str">
        <f>IF(ISERROR(VLOOKUP(G1121,Keszlet!$C$5:$I$200,7,FALSE))=TRUE,"",IF(AND(J1120&lt;&gt;"",J1122=""),VLOOKUP(G1121,Keszlet!$C$5:$I$200,7,FALSE),""))</f>
        <v/>
      </c>
      <c r="Q1121" s="1">
        <f>VLOOKUP(G1121,Keszlet!$C$5:$E$205,3,FALSE)</f>
        <v>0</v>
      </c>
      <c r="T1121" s="1" t="str">
        <f t="shared" si="36"/>
        <v/>
      </c>
      <c r="U1121" s="1">
        <f t="shared" si="37"/>
        <v>0</v>
      </c>
      <c r="W1121" s="6">
        <f t="shared" si="40"/>
        <v>0</v>
      </c>
      <c r="X1121" s="6">
        <f t="shared" si="32"/>
        <v>0</v>
      </c>
      <c r="Y1121" s="1">
        <f t="shared" si="38"/>
        <v>1</v>
      </c>
      <c r="Z1121" s="1">
        <f>IF(COUNTIF($Y$6:Y1121,Y1121)=1,Y1121,Y1121+COUNTIF($Y$5:Y1120,Y1121))</f>
        <v>116</v>
      </c>
      <c r="AD1121" s="1" t="str">
        <f t="shared" si="39"/>
        <v/>
      </c>
      <c r="BA1121" s="1">
        <f>IF(W1121&lt;=Leltar_iv!$Y$1,I1121,0)</f>
        <v>0</v>
      </c>
    </row>
    <row r="1122" spans="1:53" s="1" customFormat="1" x14ac:dyDescent="0.25">
      <c r="A1122" s="18">
        <f>IF(COUNTIF($Y$6:Y1122,Y1122)=1,Y1122,Y1122+COUNTIF($Y$5:Y1121,Y1122))</f>
        <v>117</v>
      </c>
      <c r="B1122" s="1">
        <f>IF(AND(Kisero_iv!$N$2=C1122,Kisero_iv!$K$5=$B$3,SUM(I1122:L1126)&lt;&gt;0,$B$4=YEAR(W1122)),B1121+1,0)</f>
        <v>0</v>
      </c>
      <c r="C1122" s="1">
        <f t="shared" si="33"/>
        <v>117</v>
      </c>
      <c r="D1122" s="102" t="str">
        <f t="shared" si="34"/>
        <v/>
      </c>
      <c r="E1122" s="44"/>
      <c r="F1122" s="45"/>
      <c r="G1122" s="45"/>
      <c r="H1122" s="45"/>
      <c r="I1122" s="46"/>
      <c r="J1122" s="111" t="str">
        <f>IF(AND(G1122&lt;&gt;"",ISERROR(VLOOKUP(G1122,Keszlet!$C$5:$H$200,6,FALSE))=FALSE),VLOOKUP(G1122,Keszlet!$C$5:$H$200,6,FALSE),"")</f>
        <v/>
      </c>
      <c r="K1122" s="106" t="str">
        <f>IF(AND(G1122&lt;&gt;"",ISERROR(VLOOKUP(G1122,Keszlet!$C$5:$G$200,5,FALSE))=FALSE),VLOOKUP(G1122,Keszlet!$C$5:$G$200,5,FALSE),"")</f>
        <v/>
      </c>
      <c r="L1122" s="106" t="str">
        <f t="shared" si="35"/>
        <v/>
      </c>
      <c r="M1122" s="115" t="str">
        <f>IF(ISERROR(VLOOKUP(G1122,Keszlet!$C$5:$I$200,7,FALSE))=TRUE,"",IF(AND(J1121&lt;&gt;"",J1123=""),VLOOKUP(G1122,Keszlet!$C$5:$I$200,7,FALSE),""))</f>
        <v/>
      </c>
      <c r="Q1122" s="1">
        <f>VLOOKUP(G1122,Keszlet!$C$5:$E$205,3,FALSE)</f>
        <v>0</v>
      </c>
      <c r="T1122" s="1" t="str">
        <f t="shared" si="36"/>
        <v/>
      </c>
      <c r="U1122" s="1">
        <f t="shared" si="37"/>
        <v>0</v>
      </c>
      <c r="W1122" s="6">
        <f t="shared" si="40"/>
        <v>0</v>
      </c>
      <c r="X1122" s="6">
        <f t="shared" si="32"/>
        <v>0</v>
      </c>
      <c r="Y1122" s="1">
        <f t="shared" si="38"/>
        <v>1</v>
      </c>
      <c r="Z1122" s="1">
        <f>IF(COUNTIF($Y$6:Y1122,Y1122)=1,Y1122,Y1122+COUNTIF($Y$5:Y1121,Y1122))</f>
        <v>117</v>
      </c>
      <c r="AD1122" s="1" t="str">
        <f t="shared" si="39"/>
        <v/>
      </c>
      <c r="BA1122" s="1">
        <f>IF(W1122&lt;=Leltar_iv!$Y$1,I1122,0)</f>
        <v>0</v>
      </c>
    </row>
    <row r="1123" spans="1:53" s="1" customFormat="1" x14ac:dyDescent="0.25">
      <c r="A1123" s="18">
        <f>IF(COUNTIF($Y$6:Y1123,Y1123)=1,Y1123,Y1123+COUNTIF($Y$5:Y1122,Y1123))</f>
        <v>118</v>
      </c>
      <c r="B1123" s="1">
        <f>IF(AND(Kisero_iv!$N$2=C1123,Kisero_iv!$K$5=$B$3,SUM(I1123:L1127)&lt;&gt;0,$B$4=YEAR(W1123)),B1122+1,0)</f>
        <v>0</v>
      </c>
      <c r="C1123" s="1">
        <f t="shared" si="33"/>
        <v>118</v>
      </c>
      <c r="D1123" s="102" t="str">
        <f t="shared" si="34"/>
        <v/>
      </c>
      <c r="E1123" s="44"/>
      <c r="F1123" s="45"/>
      <c r="G1123" s="45"/>
      <c r="H1123" s="45"/>
      <c r="I1123" s="46"/>
      <c r="J1123" s="111" t="str">
        <f>IF(AND(G1123&lt;&gt;"",ISERROR(VLOOKUP(G1123,Keszlet!$C$5:$H$200,6,FALSE))=FALSE),VLOOKUP(G1123,Keszlet!$C$5:$H$200,6,FALSE),"")</f>
        <v/>
      </c>
      <c r="K1123" s="106" t="str">
        <f>IF(AND(G1123&lt;&gt;"",ISERROR(VLOOKUP(G1123,Keszlet!$C$5:$G$200,5,FALSE))=FALSE),VLOOKUP(G1123,Keszlet!$C$5:$G$200,5,FALSE),"")</f>
        <v/>
      </c>
      <c r="L1123" s="106" t="str">
        <f t="shared" si="35"/>
        <v/>
      </c>
      <c r="M1123" s="115" t="str">
        <f>IF(ISERROR(VLOOKUP(G1123,Keszlet!$C$5:$I$200,7,FALSE))=TRUE,"",IF(AND(J1122&lt;&gt;"",J1124=""),VLOOKUP(G1123,Keszlet!$C$5:$I$200,7,FALSE),""))</f>
        <v/>
      </c>
      <c r="Q1123" s="1">
        <f>VLOOKUP(G1123,Keszlet!$C$5:$E$205,3,FALSE)</f>
        <v>0</v>
      </c>
      <c r="T1123" s="1" t="str">
        <f t="shared" si="36"/>
        <v/>
      </c>
      <c r="U1123" s="1">
        <f t="shared" si="37"/>
        <v>0</v>
      </c>
      <c r="W1123" s="6">
        <f t="shared" si="40"/>
        <v>0</v>
      </c>
      <c r="X1123" s="6">
        <f t="shared" si="32"/>
        <v>0</v>
      </c>
      <c r="Y1123" s="1">
        <f t="shared" si="38"/>
        <v>1</v>
      </c>
      <c r="Z1123" s="1">
        <f>IF(COUNTIF($Y$6:Y1123,Y1123)=1,Y1123,Y1123+COUNTIF($Y$5:Y1122,Y1123))</f>
        <v>118</v>
      </c>
      <c r="AD1123" s="1" t="str">
        <f t="shared" si="39"/>
        <v/>
      </c>
      <c r="BA1123" s="1">
        <f>IF(W1123&lt;=Leltar_iv!$Y$1,I1123,0)</f>
        <v>0</v>
      </c>
    </row>
    <row r="1124" spans="1:53" s="1" customFormat="1" x14ac:dyDescent="0.25">
      <c r="A1124" s="18">
        <f>IF(COUNTIF($Y$6:Y1124,Y1124)=1,Y1124,Y1124+COUNTIF($Y$5:Y1123,Y1124))</f>
        <v>119</v>
      </c>
      <c r="B1124" s="1">
        <f>IF(AND(Kisero_iv!$N$2=C1124,Kisero_iv!$K$5=$B$3,SUM(I1124:L1128)&lt;&gt;0,$B$4=YEAR(W1124)),B1123+1,0)</f>
        <v>0</v>
      </c>
      <c r="C1124" s="1">
        <f t="shared" si="33"/>
        <v>119</v>
      </c>
      <c r="D1124" s="102" t="str">
        <f t="shared" si="34"/>
        <v/>
      </c>
      <c r="E1124" s="44"/>
      <c r="F1124" s="45"/>
      <c r="G1124" s="45"/>
      <c r="H1124" s="45"/>
      <c r="I1124" s="46"/>
      <c r="J1124" s="111" t="str">
        <f>IF(AND(G1124&lt;&gt;"",ISERROR(VLOOKUP(G1124,Keszlet!$C$5:$H$200,6,FALSE))=FALSE),VLOOKUP(G1124,Keszlet!$C$5:$H$200,6,FALSE),"")</f>
        <v/>
      </c>
      <c r="K1124" s="106" t="str">
        <f>IF(AND(G1124&lt;&gt;"",ISERROR(VLOOKUP(G1124,Keszlet!$C$5:$G$200,5,FALSE))=FALSE),VLOOKUP(G1124,Keszlet!$C$5:$G$200,5,FALSE),"")</f>
        <v/>
      </c>
      <c r="L1124" s="106" t="str">
        <f t="shared" si="35"/>
        <v/>
      </c>
      <c r="M1124" s="115" t="str">
        <f>IF(ISERROR(VLOOKUP(G1124,Keszlet!$C$5:$I$200,7,FALSE))=TRUE,"",IF(AND(J1123&lt;&gt;"",J1125=""),VLOOKUP(G1124,Keszlet!$C$5:$I$200,7,FALSE),""))</f>
        <v/>
      </c>
      <c r="Q1124" s="1">
        <f>VLOOKUP(G1124,Keszlet!$C$5:$E$205,3,FALSE)</f>
        <v>0</v>
      </c>
      <c r="T1124" s="1" t="str">
        <f t="shared" si="36"/>
        <v/>
      </c>
      <c r="U1124" s="1">
        <f t="shared" si="37"/>
        <v>0</v>
      </c>
      <c r="W1124" s="6">
        <f t="shared" si="40"/>
        <v>0</v>
      </c>
      <c r="X1124" s="6">
        <f t="shared" si="32"/>
        <v>0</v>
      </c>
      <c r="Y1124" s="1">
        <f t="shared" si="38"/>
        <v>1</v>
      </c>
      <c r="Z1124" s="1">
        <f>IF(COUNTIF($Y$6:Y1124,Y1124)=1,Y1124,Y1124+COUNTIF($Y$5:Y1123,Y1124))</f>
        <v>119</v>
      </c>
      <c r="AD1124" s="1" t="str">
        <f t="shared" si="39"/>
        <v/>
      </c>
      <c r="BA1124" s="1">
        <f>IF(W1124&lt;=Leltar_iv!$Y$1,I1124,0)</f>
        <v>0</v>
      </c>
    </row>
    <row r="1125" spans="1:53" s="1" customFormat="1" x14ac:dyDescent="0.25">
      <c r="A1125" s="18">
        <f>IF(COUNTIF($Y$6:Y1125,Y1125)=1,Y1125,Y1125+COUNTIF($Y$5:Y1124,Y1125))</f>
        <v>120</v>
      </c>
      <c r="B1125" s="1">
        <f>IF(AND(Kisero_iv!$N$2=C1125,Kisero_iv!$K$5=$B$3,SUM(I1125:L1129)&lt;&gt;0,$B$4=YEAR(W1125)),B1124+1,0)</f>
        <v>0</v>
      </c>
      <c r="C1125" s="1">
        <f t="shared" si="33"/>
        <v>120</v>
      </c>
      <c r="D1125" s="102" t="str">
        <f t="shared" si="34"/>
        <v/>
      </c>
      <c r="E1125" s="44"/>
      <c r="F1125" s="45"/>
      <c r="G1125" s="45"/>
      <c r="H1125" s="45"/>
      <c r="I1125" s="46"/>
      <c r="J1125" s="111" t="str">
        <f>IF(AND(G1125&lt;&gt;"",ISERROR(VLOOKUP(G1125,Keszlet!$C$5:$H$200,6,FALSE))=FALSE),VLOOKUP(G1125,Keszlet!$C$5:$H$200,6,FALSE),"")</f>
        <v/>
      </c>
      <c r="K1125" s="106" t="str">
        <f>IF(AND(G1125&lt;&gt;"",ISERROR(VLOOKUP(G1125,Keszlet!$C$5:$G$200,5,FALSE))=FALSE),VLOOKUP(G1125,Keszlet!$C$5:$G$200,5,FALSE),"")</f>
        <v/>
      </c>
      <c r="L1125" s="106" t="str">
        <f t="shared" si="35"/>
        <v/>
      </c>
      <c r="M1125" s="115" t="str">
        <f>IF(ISERROR(VLOOKUP(G1125,Keszlet!$C$5:$I$200,7,FALSE))=TRUE,"",IF(AND(J1124&lt;&gt;"",J1126=""),VLOOKUP(G1125,Keszlet!$C$5:$I$200,7,FALSE),""))</f>
        <v/>
      </c>
      <c r="Q1125" s="1">
        <f>VLOOKUP(G1125,Keszlet!$C$5:$E$205,3,FALSE)</f>
        <v>0</v>
      </c>
      <c r="T1125" s="1" t="str">
        <f t="shared" si="36"/>
        <v/>
      </c>
      <c r="U1125" s="1">
        <f t="shared" si="37"/>
        <v>0</v>
      </c>
      <c r="W1125" s="6">
        <f t="shared" si="40"/>
        <v>0</v>
      </c>
      <c r="X1125" s="6">
        <f t="shared" si="32"/>
        <v>0</v>
      </c>
      <c r="Y1125" s="1">
        <f t="shared" si="38"/>
        <v>1</v>
      </c>
      <c r="Z1125" s="1">
        <f>IF(COUNTIF($Y$6:Y1125,Y1125)=1,Y1125,Y1125+COUNTIF($Y$5:Y1124,Y1125))</f>
        <v>120</v>
      </c>
      <c r="AD1125" s="1" t="str">
        <f t="shared" si="39"/>
        <v/>
      </c>
      <c r="BA1125" s="1">
        <f>IF(W1125&lt;=Leltar_iv!$Y$1,I1125,0)</f>
        <v>0</v>
      </c>
    </row>
    <row r="1126" spans="1:53" s="1" customFormat="1" x14ac:dyDescent="0.25">
      <c r="A1126" s="18">
        <f>IF(COUNTIF($Y$6:Y1126,Y1126)=1,Y1126,Y1126+COUNTIF($Y$5:Y1125,Y1126))</f>
        <v>121</v>
      </c>
      <c r="B1126" s="1">
        <f>IF(AND(Kisero_iv!$N$2=C1126,Kisero_iv!$K$5=$B$3,SUM(I1126:L1130)&lt;&gt;0,$B$4=YEAR(W1126)),B1125+1,0)</f>
        <v>0</v>
      </c>
      <c r="C1126" s="1">
        <f t="shared" si="33"/>
        <v>121</v>
      </c>
      <c r="D1126" s="102" t="str">
        <f t="shared" si="34"/>
        <v/>
      </c>
      <c r="E1126" s="44"/>
      <c r="F1126" s="45"/>
      <c r="G1126" s="45"/>
      <c r="H1126" s="45"/>
      <c r="I1126" s="46"/>
      <c r="J1126" s="111" t="str">
        <f>IF(AND(G1126&lt;&gt;"",ISERROR(VLOOKUP(G1126,Keszlet!$C$5:$H$200,6,FALSE))=FALSE),VLOOKUP(G1126,Keszlet!$C$5:$H$200,6,FALSE),"")</f>
        <v/>
      </c>
      <c r="K1126" s="106" t="str">
        <f>IF(AND(G1126&lt;&gt;"",ISERROR(VLOOKUP(G1126,Keszlet!$C$5:$G$200,5,FALSE))=FALSE),VLOOKUP(G1126,Keszlet!$C$5:$G$200,5,FALSE),"")</f>
        <v/>
      </c>
      <c r="L1126" s="106" t="str">
        <f t="shared" si="35"/>
        <v/>
      </c>
      <c r="M1126" s="115" t="str">
        <f>IF(ISERROR(VLOOKUP(G1126,Keszlet!$C$5:$I$200,7,FALSE))=TRUE,"",IF(AND(J1125&lt;&gt;"",J1127=""),VLOOKUP(G1126,Keszlet!$C$5:$I$200,7,FALSE),""))</f>
        <v/>
      </c>
      <c r="Q1126" s="1">
        <f>VLOOKUP(G1126,Keszlet!$C$5:$E$205,3,FALSE)</f>
        <v>0</v>
      </c>
      <c r="T1126" s="1" t="str">
        <f t="shared" si="36"/>
        <v/>
      </c>
      <c r="U1126" s="1">
        <f t="shared" si="37"/>
        <v>0</v>
      </c>
      <c r="W1126" s="6">
        <f t="shared" si="40"/>
        <v>0</v>
      </c>
      <c r="X1126" s="6">
        <f t="shared" si="32"/>
        <v>0</v>
      </c>
      <c r="Y1126" s="1">
        <f t="shared" si="38"/>
        <v>1</v>
      </c>
      <c r="Z1126" s="1">
        <f>IF(COUNTIF($Y$6:Y1126,Y1126)=1,Y1126,Y1126+COUNTIF($Y$5:Y1125,Y1126))</f>
        <v>121</v>
      </c>
      <c r="AD1126" s="1" t="str">
        <f t="shared" si="39"/>
        <v/>
      </c>
      <c r="BA1126" s="1">
        <f>IF(W1126&lt;=Leltar_iv!$Y$1,I1126,0)</f>
        <v>0</v>
      </c>
    </row>
    <row r="1127" spans="1:53" s="1" customFormat="1" x14ac:dyDescent="0.25">
      <c r="A1127" s="18">
        <f>IF(COUNTIF($Y$6:Y1127,Y1127)=1,Y1127,Y1127+COUNTIF($Y$5:Y1126,Y1127))</f>
        <v>122</v>
      </c>
      <c r="B1127" s="1">
        <f>IF(AND(Kisero_iv!$N$2=C1127,Kisero_iv!$K$5=$B$3,SUM(I1127:L1131)&lt;&gt;0,$B$4=YEAR(W1127)),B1126+1,0)</f>
        <v>0</v>
      </c>
      <c r="C1127" s="1">
        <f t="shared" si="33"/>
        <v>122</v>
      </c>
      <c r="D1127" s="102" t="str">
        <f t="shared" si="34"/>
        <v/>
      </c>
      <c r="E1127" s="44"/>
      <c r="F1127" s="45"/>
      <c r="G1127" s="45"/>
      <c r="H1127" s="45"/>
      <c r="I1127" s="46"/>
      <c r="J1127" s="111" t="str">
        <f>IF(AND(G1127&lt;&gt;"",ISERROR(VLOOKUP(G1127,Keszlet!$C$5:$H$200,6,FALSE))=FALSE),VLOOKUP(G1127,Keszlet!$C$5:$H$200,6,FALSE),"")</f>
        <v/>
      </c>
      <c r="K1127" s="106" t="str">
        <f>IF(AND(G1127&lt;&gt;"",ISERROR(VLOOKUP(G1127,Keszlet!$C$5:$G$200,5,FALSE))=FALSE),VLOOKUP(G1127,Keszlet!$C$5:$G$200,5,FALSE),"")</f>
        <v/>
      </c>
      <c r="L1127" s="106" t="str">
        <f t="shared" si="35"/>
        <v/>
      </c>
      <c r="M1127" s="115" t="str">
        <f>IF(ISERROR(VLOOKUP(G1127,Keszlet!$C$5:$I$200,7,FALSE))=TRUE,"",IF(AND(J1126&lt;&gt;"",J1128=""),VLOOKUP(G1127,Keszlet!$C$5:$I$200,7,FALSE),""))</f>
        <v/>
      </c>
      <c r="Q1127" s="1">
        <f>VLOOKUP(G1127,Keszlet!$C$5:$E$205,3,FALSE)</f>
        <v>0</v>
      </c>
      <c r="T1127" s="1" t="str">
        <f t="shared" si="36"/>
        <v/>
      </c>
      <c r="U1127" s="1">
        <f t="shared" si="37"/>
        <v>0</v>
      </c>
      <c r="W1127" s="6">
        <f t="shared" si="40"/>
        <v>0</v>
      </c>
      <c r="X1127" s="6">
        <f t="shared" si="32"/>
        <v>0</v>
      </c>
      <c r="Y1127" s="1">
        <f t="shared" si="38"/>
        <v>1</v>
      </c>
      <c r="Z1127" s="1">
        <f>IF(COUNTIF($Y$6:Y1127,Y1127)=1,Y1127,Y1127+COUNTIF($Y$5:Y1126,Y1127))</f>
        <v>122</v>
      </c>
      <c r="AD1127" s="1" t="str">
        <f t="shared" si="39"/>
        <v/>
      </c>
      <c r="BA1127" s="1">
        <f>IF(W1127&lt;=Leltar_iv!$Y$1,I1127,0)</f>
        <v>0</v>
      </c>
    </row>
    <row r="1128" spans="1:53" s="1" customFormat="1" x14ac:dyDescent="0.25">
      <c r="A1128" s="18">
        <f>IF(COUNTIF($Y$6:Y1128,Y1128)=1,Y1128,Y1128+COUNTIF($Y$5:Y1127,Y1128))</f>
        <v>123</v>
      </c>
      <c r="B1128" s="1">
        <f>IF(AND(Kisero_iv!$N$2=C1128,Kisero_iv!$K$5=$B$3,SUM(I1128:L1132)&lt;&gt;0,$B$4=YEAR(W1128)),B1127+1,0)</f>
        <v>0</v>
      </c>
      <c r="C1128" s="1">
        <f t="shared" si="33"/>
        <v>123</v>
      </c>
      <c r="D1128" s="102" t="str">
        <f t="shared" si="34"/>
        <v/>
      </c>
      <c r="E1128" s="44"/>
      <c r="F1128" s="45"/>
      <c r="G1128" s="45"/>
      <c r="H1128" s="45"/>
      <c r="I1128" s="46"/>
      <c r="J1128" s="111" t="str">
        <f>IF(AND(G1128&lt;&gt;"",ISERROR(VLOOKUP(G1128,Keszlet!$C$5:$H$200,6,FALSE))=FALSE),VLOOKUP(G1128,Keszlet!$C$5:$H$200,6,FALSE),"")</f>
        <v/>
      </c>
      <c r="K1128" s="106" t="str">
        <f>IF(AND(G1128&lt;&gt;"",ISERROR(VLOOKUP(G1128,Keszlet!$C$5:$G$200,5,FALSE))=FALSE),VLOOKUP(G1128,Keszlet!$C$5:$G$200,5,FALSE),"")</f>
        <v/>
      </c>
      <c r="L1128" s="106" t="str">
        <f t="shared" si="35"/>
        <v/>
      </c>
      <c r="M1128" s="115" t="str">
        <f>IF(ISERROR(VLOOKUP(G1128,Keszlet!$C$5:$I$200,7,FALSE))=TRUE,"",IF(AND(J1127&lt;&gt;"",J1129=""),VLOOKUP(G1128,Keszlet!$C$5:$I$200,7,FALSE),""))</f>
        <v/>
      </c>
      <c r="Q1128" s="1">
        <f>VLOOKUP(G1128,Keszlet!$C$5:$E$205,3,FALSE)</f>
        <v>0</v>
      </c>
      <c r="T1128" s="1" t="str">
        <f t="shared" si="36"/>
        <v/>
      </c>
      <c r="U1128" s="1">
        <f t="shared" si="37"/>
        <v>0</v>
      </c>
      <c r="W1128" s="6">
        <f t="shared" si="40"/>
        <v>0</v>
      </c>
      <c r="X1128" s="6">
        <f t="shared" si="32"/>
        <v>0</v>
      </c>
      <c r="Y1128" s="1">
        <f t="shared" si="38"/>
        <v>1</v>
      </c>
      <c r="Z1128" s="1">
        <f>IF(COUNTIF($Y$6:Y1128,Y1128)=1,Y1128,Y1128+COUNTIF($Y$5:Y1127,Y1128))</f>
        <v>123</v>
      </c>
      <c r="AD1128" s="1" t="str">
        <f t="shared" si="39"/>
        <v/>
      </c>
      <c r="BA1128" s="1">
        <f>IF(W1128&lt;=Leltar_iv!$Y$1,I1128,0)</f>
        <v>0</v>
      </c>
    </row>
    <row r="1129" spans="1:53" s="1" customFormat="1" x14ac:dyDescent="0.25">
      <c r="A1129" s="18">
        <f>IF(COUNTIF($Y$6:Y1129,Y1129)=1,Y1129,Y1129+COUNTIF($Y$5:Y1128,Y1129))</f>
        <v>124</v>
      </c>
      <c r="B1129" s="1">
        <f>IF(AND(Kisero_iv!$N$2=C1129,Kisero_iv!$K$5=$B$3,SUM(I1129:L1133)&lt;&gt;0,$B$4=YEAR(W1129)),B1128+1,0)</f>
        <v>0</v>
      </c>
      <c r="C1129" s="1">
        <f t="shared" si="33"/>
        <v>124</v>
      </c>
      <c r="D1129" s="102" t="str">
        <f t="shared" si="34"/>
        <v/>
      </c>
      <c r="E1129" s="44"/>
      <c r="F1129" s="45"/>
      <c r="G1129" s="45"/>
      <c r="H1129" s="45"/>
      <c r="I1129" s="46"/>
      <c r="J1129" s="111" t="str">
        <f>IF(AND(G1129&lt;&gt;"",ISERROR(VLOOKUP(G1129,Keszlet!$C$5:$H$200,6,FALSE))=FALSE),VLOOKUP(G1129,Keszlet!$C$5:$H$200,6,FALSE),"")</f>
        <v/>
      </c>
      <c r="K1129" s="106" t="str">
        <f>IF(AND(G1129&lt;&gt;"",ISERROR(VLOOKUP(G1129,Keszlet!$C$5:$G$200,5,FALSE))=FALSE),VLOOKUP(G1129,Keszlet!$C$5:$G$200,5,FALSE),"")</f>
        <v/>
      </c>
      <c r="L1129" s="106" t="str">
        <f t="shared" si="35"/>
        <v/>
      </c>
      <c r="M1129" s="115" t="str">
        <f>IF(ISERROR(VLOOKUP(G1129,Keszlet!$C$5:$I$200,7,FALSE))=TRUE,"",IF(AND(J1128&lt;&gt;"",J1130=""),VLOOKUP(G1129,Keszlet!$C$5:$I$200,7,FALSE),""))</f>
        <v/>
      </c>
      <c r="Q1129" s="1">
        <f>VLOOKUP(G1129,Keszlet!$C$5:$E$205,3,FALSE)</f>
        <v>0</v>
      </c>
      <c r="T1129" s="1" t="str">
        <f t="shared" si="36"/>
        <v/>
      </c>
      <c r="U1129" s="1">
        <f t="shared" si="37"/>
        <v>0</v>
      </c>
      <c r="W1129" s="6">
        <f t="shared" si="40"/>
        <v>0</v>
      </c>
      <c r="X1129" s="6">
        <f t="shared" si="32"/>
        <v>0</v>
      </c>
      <c r="Y1129" s="1">
        <f t="shared" si="38"/>
        <v>1</v>
      </c>
      <c r="Z1129" s="1">
        <f>IF(COUNTIF($Y$6:Y1129,Y1129)=1,Y1129,Y1129+COUNTIF($Y$5:Y1128,Y1129))</f>
        <v>124</v>
      </c>
      <c r="AD1129" s="1" t="str">
        <f t="shared" si="39"/>
        <v/>
      </c>
      <c r="BA1129" s="1">
        <f>IF(W1129&lt;=Leltar_iv!$Y$1,I1129,0)</f>
        <v>0</v>
      </c>
    </row>
    <row r="1130" spans="1:53" s="1" customFormat="1" x14ac:dyDescent="0.25">
      <c r="A1130" s="18">
        <f>IF(COUNTIF($Y$6:Y1130,Y1130)=1,Y1130,Y1130+COUNTIF($Y$5:Y1129,Y1130))</f>
        <v>125</v>
      </c>
      <c r="B1130" s="1">
        <f>IF(AND(Kisero_iv!$N$2=C1130,Kisero_iv!$K$5=$B$3,SUM(I1130:L1134)&lt;&gt;0,$B$4=YEAR(W1130)),B1129+1,0)</f>
        <v>0</v>
      </c>
      <c r="C1130" s="1">
        <f t="shared" si="33"/>
        <v>125</v>
      </c>
      <c r="D1130" s="102" t="str">
        <f t="shared" si="34"/>
        <v/>
      </c>
      <c r="E1130" s="44"/>
      <c r="F1130" s="45"/>
      <c r="G1130" s="45"/>
      <c r="H1130" s="45"/>
      <c r="I1130" s="46"/>
      <c r="J1130" s="111" t="str">
        <f>IF(AND(G1130&lt;&gt;"",ISERROR(VLOOKUP(G1130,Keszlet!$C$5:$H$200,6,FALSE))=FALSE),VLOOKUP(G1130,Keszlet!$C$5:$H$200,6,FALSE),"")</f>
        <v/>
      </c>
      <c r="K1130" s="106" t="str">
        <f>IF(AND(G1130&lt;&gt;"",ISERROR(VLOOKUP(G1130,Keszlet!$C$5:$G$200,5,FALSE))=FALSE),VLOOKUP(G1130,Keszlet!$C$5:$G$200,5,FALSE),"")</f>
        <v/>
      </c>
      <c r="L1130" s="106" t="str">
        <f t="shared" si="35"/>
        <v/>
      </c>
      <c r="M1130" s="115" t="str">
        <f>IF(ISERROR(VLOOKUP(G1130,Keszlet!$C$5:$I$200,7,FALSE))=TRUE,"",IF(AND(J1129&lt;&gt;"",J1131=""),VLOOKUP(G1130,Keszlet!$C$5:$I$200,7,FALSE),""))</f>
        <v/>
      </c>
      <c r="Q1130" s="1">
        <f>VLOOKUP(G1130,Keszlet!$C$5:$E$205,3,FALSE)</f>
        <v>0</v>
      </c>
      <c r="T1130" s="1" t="str">
        <f t="shared" si="36"/>
        <v/>
      </c>
      <c r="U1130" s="1">
        <f t="shared" si="37"/>
        <v>0</v>
      </c>
      <c r="W1130" s="6">
        <f t="shared" si="40"/>
        <v>0</v>
      </c>
      <c r="X1130" s="6">
        <f t="shared" si="32"/>
        <v>0</v>
      </c>
      <c r="Y1130" s="1">
        <f t="shared" si="38"/>
        <v>1</v>
      </c>
      <c r="Z1130" s="1">
        <f>IF(COUNTIF($Y$6:Y1130,Y1130)=1,Y1130,Y1130+COUNTIF($Y$5:Y1129,Y1130))</f>
        <v>125</v>
      </c>
      <c r="AD1130" s="1" t="str">
        <f t="shared" si="39"/>
        <v/>
      </c>
      <c r="BA1130" s="1">
        <f>IF(W1130&lt;=Leltar_iv!$Y$1,I1130,0)</f>
        <v>0</v>
      </c>
    </row>
    <row r="1131" spans="1:53" s="1" customFormat="1" x14ac:dyDescent="0.25">
      <c r="A1131" s="18">
        <f>IF(COUNTIF($Y$6:Y1131,Y1131)=1,Y1131,Y1131+COUNTIF($Y$5:Y1130,Y1131))</f>
        <v>126</v>
      </c>
      <c r="B1131" s="1">
        <f>IF(AND(Kisero_iv!$N$2=C1131,Kisero_iv!$K$5=$B$3,SUM(I1131:L1135)&lt;&gt;0,$B$4=YEAR(W1131)),B1130+1,0)</f>
        <v>0</v>
      </c>
      <c r="C1131" s="1">
        <f t="shared" si="33"/>
        <v>126</v>
      </c>
      <c r="D1131" s="102" t="str">
        <f t="shared" si="34"/>
        <v/>
      </c>
      <c r="E1131" s="44"/>
      <c r="F1131" s="45"/>
      <c r="G1131" s="45"/>
      <c r="H1131" s="45"/>
      <c r="I1131" s="46"/>
      <c r="J1131" s="111" t="str">
        <f>IF(AND(G1131&lt;&gt;"",ISERROR(VLOOKUP(G1131,Keszlet!$C$5:$H$200,6,FALSE))=FALSE),VLOOKUP(G1131,Keszlet!$C$5:$H$200,6,FALSE),"")</f>
        <v/>
      </c>
      <c r="K1131" s="106" t="str">
        <f>IF(AND(G1131&lt;&gt;"",ISERROR(VLOOKUP(G1131,Keszlet!$C$5:$G$200,5,FALSE))=FALSE),VLOOKUP(G1131,Keszlet!$C$5:$G$200,5,FALSE),"")</f>
        <v/>
      </c>
      <c r="L1131" s="106" t="str">
        <f t="shared" si="35"/>
        <v/>
      </c>
      <c r="M1131" s="115" t="str">
        <f>IF(ISERROR(VLOOKUP(G1131,Keszlet!$C$5:$I$200,7,FALSE))=TRUE,"",IF(AND(J1130&lt;&gt;"",J1132=""),VLOOKUP(G1131,Keszlet!$C$5:$I$200,7,FALSE),""))</f>
        <v/>
      </c>
      <c r="Q1131" s="1">
        <f>VLOOKUP(G1131,Keszlet!$C$5:$E$205,3,FALSE)</f>
        <v>0</v>
      </c>
      <c r="T1131" s="1" t="str">
        <f t="shared" si="36"/>
        <v/>
      </c>
      <c r="U1131" s="1">
        <f t="shared" si="37"/>
        <v>0</v>
      </c>
      <c r="W1131" s="6">
        <f t="shared" si="40"/>
        <v>0</v>
      </c>
      <c r="X1131" s="6">
        <f t="shared" si="32"/>
        <v>0</v>
      </c>
      <c r="Y1131" s="1">
        <f t="shared" si="38"/>
        <v>1</v>
      </c>
      <c r="Z1131" s="1">
        <f>IF(COUNTIF($Y$6:Y1131,Y1131)=1,Y1131,Y1131+COUNTIF($Y$5:Y1130,Y1131))</f>
        <v>126</v>
      </c>
      <c r="AD1131" s="1" t="str">
        <f t="shared" si="39"/>
        <v/>
      </c>
      <c r="BA1131" s="1">
        <f>IF(W1131&lt;=Leltar_iv!$Y$1,I1131,0)</f>
        <v>0</v>
      </c>
    </row>
    <row r="1132" spans="1:53" s="1" customFormat="1" x14ac:dyDescent="0.25">
      <c r="A1132" s="18">
        <f>IF(COUNTIF($Y$6:Y1132,Y1132)=1,Y1132,Y1132+COUNTIF($Y$5:Y1131,Y1132))</f>
        <v>127</v>
      </c>
      <c r="B1132" s="1">
        <f>IF(AND(Kisero_iv!$N$2=C1132,Kisero_iv!$K$5=$B$3,SUM(I1132:L1136)&lt;&gt;0,$B$4=YEAR(W1132)),B1131+1,0)</f>
        <v>0</v>
      </c>
      <c r="C1132" s="1">
        <f t="shared" si="33"/>
        <v>127</v>
      </c>
      <c r="D1132" s="102" t="str">
        <f t="shared" si="34"/>
        <v/>
      </c>
      <c r="E1132" s="44"/>
      <c r="F1132" s="45"/>
      <c r="G1132" s="45"/>
      <c r="H1132" s="45"/>
      <c r="I1132" s="46"/>
      <c r="J1132" s="111" t="str">
        <f>IF(AND(G1132&lt;&gt;"",ISERROR(VLOOKUP(G1132,Keszlet!$C$5:$H$200,6,FALSE))=FALSE),VLOOKUP(G1132,Keszlet!$C$5:$H$200,6,FALSE),"")</f>
        <v/>
      </c>
      <c r="K1132" s="106" t="str">
        <f>IF(AND(G1132&lt;&gt;"",ISERROR(VLOOKUP(G1132,Keszlet!$C$5:$G$200,5,FALSE))=FALSE),VLOOKUP(G1132,Keszlet!$C$5:$G$200,5,FALSE),"")</f>
        <v/>
      </c>
      <c r="L1132" s="106" t="str">
        <f t="shared" si="35"/>
        <v/>
      </c>
      <c r="M1132" s="115" t="str">
        <f>IF(ISERROR(VLOOKUP(G1132,Keszlet!$C$5:$I$200,7,FALSE))=TRUE,"",IF(AND(J1131&lt;&gt;"",J1133=""),VLOOKUP(G1132,Keszlet!$C$5:$I$200,7,FALSE),""))</f>
        <v/>
      </c>
      <c r="Q1132" s="1">
        <f>VLOOKUP(G1132,Keszlet!$C$5:$E$205,3,FALSE)</f>
        <v>0</v>
      </c>
      <c r="T1132" s="1" t="str">
        <f t="shared" si="36"/>
        <v/>
      </c>
      <c r="U1132" s="1">
        <f t="shared" si="37"/>
        <v>0</v>
      </c>
      <c r="W1132" s="6">
        <f t="shared" si="40"/>
        <v>0</v>
      </c>
      <c r="X1132" s="6">
        <f t="shared" si="32"/>
        <v>0</v>
      </c>
      <c r="Y1132" s="1">
        <f t="shared" si="38"/>
        <v>1</v>
      </c>
      <c r="Z1132" s="1">
        <f>IF(COUNTIF($Y$6:Y1132,Y1132)=1,Y1132,Y1132+COUNTIF($Y$5:Y1131,Y1132))</f>
        <v>127</v>
      </c>
      <c r="AD1132" s="1" t="str">
        <f t="shared" si="39"/>
        <v/>
      </c>
      <c r="BA1132" s="1">
        <f>IF(W1132&lt;=Leltar_iv!$Y$1,I1132,0)</f>
        <v>0</v>
      </c>
    </row>
    <row r="1133" spans="1:53" s="1" customFormat="1" x14ac:dyDescent="0.25">
      <c r="A1133" s="18">
        <f>IF(COUNTIF($Y$6:Y1133,Y1133)=1,Y1133,Y1133+COUNTIF($Y$5:Y1132,Y1133))</f>
        <v>128</v>
      </c>
      <c r="B1133" s="1">
        <f>IF(AND(Kisero_iv!$N$2=C1133,Kisero_iv!$K$5=$B$3,SUM(I1133:L1137)&lt;&gt;0,$B$4=YEAR(W1133)),B1132+1,0)</f>
        <v>0</v>
      </c>
      <c r="C1133" s="1">
        <f t="shared" si="33"/>
        <v>128</v>
      </c>
      <c r="D1133" s="102" t="str">
        <f t="shared" si="34"/>
        <v/>
      </c>
      <c r="E1133" s="44"/>
      <c r="F1133" s="45"/>
      <c r="G1133" s="45"/>
      <c r="H1133" s="45"/>
      <c r="I1133" s="46"/>
      <c r="J1133" s="111" t="str">
        <f>IF(AND(G1133&lt;&gt;"",ISERROR(VLOOKUP(G1133,Keszlet!$C$5:$H$200,6,FALSE))=FALSE),VLOOKUP(G1133,Keszlet!$C$5:$H$200,6,FALSE),"")</f>
        <v/>
      </c>
      <c r="K1133" s="106" t="str">
        <f>IF(AND(G1133&lt;&gt;"",ISERROR(VLOOKUP(G1133,Keszlet!$C$5:$G$200,5,FALSE))=FALSE),VLOOKUP(G1133,Keszlet!$C$5:$G$200,5,FALSE),"")</f>
        <v/>
      </c>
      <c r="L1133" s="106" t="str">
        <f t="shared" si="35"/>
        <v/>
      </c>
      <c r="M1133" s="115" t="str">
        <f>IF(ISERROR(VLOOKUP(G1133,Keszlet!$C$5:$I$200,7,FALSE))=TRUE,"",IF(AND(J1132&lt;&gt;"",J1134=""),VLOOKUP(G1133,Keszlet!$C$5:$I$200,7,FALSE),""))</f>
        <v/>
      </c>
      <c r="Q1133" s="1">
        <f>VLOOKUP(G1133,Keszlet!$C$5:$E$205,3,FALSE)</f>
        <v>0</v>
      </c>
      <c r="T1133" s="1" t="str">
        <f t="shared" si="36"/>
        <v/>
      </c>
      <c r="U1133" s="1">
        <f t="shared" si="37"/>
        <v>0</v>
      </c>
      <c r="W1133" s="6">
        <f t="shared" si="40"/>
        <v>0</v>
      </c>
      <c r="X1133" s="6">
        <f t="shared" si="32"/>
        <v>0</v>
      </c>
      <c r="Y1133" s="1">
        <f t="shared" si="38"/>
        <v>1</v>
      </c>
      <c r="Z1133" s="1">
        <f>IF(COUNTIF($Y$6:Y1133,Y1133)=1,Y1133,Y1133+COUNTIF($Y$5:Y1132,Y1133))</f>
        <v>128</v>
      </c>
      <c r="AD1133" s="1" t="str">
        <f t="shared" si="39"/>
        <v/>
      </c>
      <c r="BA1133" s="1">
        <f>IF(W1133&lt;=Leltar_iv!$Y$1,I1133,0)</f>
        <v>0</v>
      </c>
    </row>
    <row r="1134" spans="1:53" s="1" customFormat="1" x14ac:dyDescent="0.25">
      <c r="A1134" s="18">
        <f>IF(COUNTIF($Y$6:Y1134,Y1134)=1,Y1134,Y1134+COUNTIF($Y$5:Y1133,Y1134))</f>
        <v>129</v>
      </c>
      <c r="B1134" s="1">
        <f>IF(AND(Kisero_iv!$N$2=C1134,Kisero_iv!$K$5=$B$3,SUM(I1134:L1138)&lt;&gt;0,$B$4=YEAR(W1134)),B1133+1,0)</f>
        <v>0</v>
      </c>
      <c r="C1134" s="1">
        <f t="shared" si="33"/>
        <v>129</v>
      </c>
      <c r="D1134" s="102" t="str">
        <f t="shared" si="34"/>
        <v/>
      </c>
      <c r="E1134" s="44"/>
      <c r="F1134" s="45"/>
      <c r="G1134" s="45"/>
      <c r="H1134" s="45"/>
      <c r="I1134" s="46"/>
      <c r="J1134" s="111" t="str">
        <f>IF(AND(G1134&lt;&gt;"",ISERROR(VLOOKUP(G1134,Keszlet!$C$5:$H$200,6,FALSE))=FALSE),VLOOKUP(G1134,Keszlet!$C$5:$H$200,6,FALSE),"")</f>
        <v/>
      </c>
      <c r="K1134" s="106" t="str">
        <f>IF(AND(G1134&lt;&gt;"",ISERROR(VLOOKUP(G1134,Keszlet!$C$5:$G$200,5,FALSE))=FALSE),VLOOKUP(G1134,Keszlet!$C$5:$G$200,5,FALSE),"")</f>
        <v/>
      </c>
      <c r="L1134" s="106" t="str">
        <f t="shared" si="35"/>
        <v/>
      </c>
      <c r="M1134" s="115" t="str">
        <f>IF(ISERROR(VLOOKUP(G1134,Keszlet!$C$5:$I$200,7,FALSE))=TRUE,"",IF(AND(J1133&lt;&gt;"",J1135=""),VLOOKUP(G1134,Keszlet!$C$5:$I$200,7,FALSE),""))</f>
        <v/>
      </c>
      <c r="Q1134" s="1">
        <f>VLOOKUP(G1134,Keszlet!$C$5:$E$205,3,FALSE)</f>
        <v>0</v>
      </c>
      <c r="T1134" s="1" t="str">
        <f t="shared" si="36"/>
        <v/>
      </c>
      <c r="U1134" s="1">
        <f t="shared" si="37"/>
        <v>0</v>
      </c>
      <c r="W1134" s="6">
        <f t="shared" si="40"/>
        <v>0</v>
      </c>
      <c r="X1134" s="6">
        <f t="shared" ref="X1134:X1197" si="41">IF(G1134=q,W1134,$X$1)</f>
        <v>0</v>
      </c>
      <c r="Y1134" s="1">
        <f t="shared" si="38"/>
        <v>1</v>
      </c>
      <c r="Z1134" s="1">
        <f>IF(COUNTIF($Y$6:Y1134,Y1134)=1,Y1134,Y1134+COUNTIF($Y$5:Y1133,Y1134))</f>
        <v>129</v>
      </c>
      <c r="AD1134" s="1" t="str">
        <f t="shared" si="39"/>
        <v/>
      </c>
      <c r="BA1134" s="1">
        <f>IF(W1134&lt;=Leltar_iv!$Y$1,I1134,0)</f>
        <v>0</v>
      </c>
    </row>
    <row r="1135" spans="1:53" s="1" customFormat="1" x14ac:dyDescent="0.25">
      <c r="A1135" s="18">
        <f>IF(COUNTIF($Y$6:Y1135,Y1135)=1,Y1135,Y1135+COUNTIF($Y$5:Y1134,Y1135))</f>
        <v>130</v>
      </c>
      <c r="B1135" s="1">
        <f>IF(AND(Kisero_iv!$N$2=C1135,Kisero_iv!$K$5=$B$3,SUM(I1135:L1139)&lt;&gt;0,$B$4=YEAR(W1135)),B1134+1,0)</f>
        <v>0</v>
      </c>
      <c r="C1135" s="1">
        <f t="shared" ref="C1135:C1198" si="42">IF(YEAR(W1134)&lt;&gt;YEAR(W1135),1,IF(T1135&lt;&gt;0,C1134+1,C1134))</f>
        <v>130</v>
      </c>
      <c r="D1135" s="102" t="str">
        <f t="shared" ref="D1135:D1198" si="43">IF(AND(OR(C1134&lt;&gt;C1135,C1135=1),SUM(L1135:L1155)&lt;&gt;0),YEAR(W1135)&amp;"/"&amp;C1135,"")</f>
        <v/>
      </c>
      <c r="E1135" s="44"/>
      <c r="F1135" s="45"/>
      <c r="G1135" s="45"/>
      <c r="H1135" s="45"/>
      <c r="I1135" s="46"/>
      <c r="J1135" s="111" t="str">
        <f>IF(AND(G1135&lt;&gt;"",ISERROR(VLOOKUP(G1135,Keszlet!$C$5:$H$200,6,FALSE))=FALSE),VLOOKUP(G1135,Keszlet!$C$5:$H$200,6,FALSE),"")</f>
        <v/>
      </c>
      <c r="K1135" s="106" t="str">
        <f>IF(AND(G1135&lt;&gt;"",ISERROR(VLOOKUP(G1135,Keszlet!$C$5:$G$200,5,FALSE))=FALSE),VLOOKUP(G1135,Keszlet!$C$5:$G$200,5,FALSE),"")</f>
        <v/>
      </c>
      <c r="L1135" s="106" t="str">
        <f t="shared" ref="L1135:L1198" si="44">IF(AND(G1135&lt;&gt;0,K1135&lt;&gt;""),I1135*K1135,"")</f>
        <v/>
      </c>
      <c r="M1135" s="115" t="str">
        <f>IF(ISERROR(VLOOKUP(G1135,Keszlet!$C$5:$I$200,7,FALSE))=TRUE,"",IF(AND(J1134&lt;&gt;"",J1136=""),VLOOKUP(G1135,Keszlet!$C$5:$I$200,7,FALSE),""))</f>
        <v/>
      </c>
      <c r="Q1135" s="1">
        <f>VLOOKUP(G1135,Keszlet!$C$5:$E$205,3,FALSE)</f>
        <v>0</v>
      </c>
      <c r="T1135" s="1" t="str">
        <f t="shared" ref="T1135:T1198" si="45">IF(OR(E1135&lt;&gt;0,COUNTIF(T1126:T1134,0)=9,F1135&lt;&gt;0,SUM(L1135:L1155)=0),E1135&amp;F1135,0)</f>
        <v/>
      </c>
      <c r="U1135" s="1">
        <f t="shared" ref="U1135:U1198" si="46">IF(F1135&lt;&gt;"",F1135,U1134)</f>
        <v>0</v>
      </c>
      <c r="W1135" s="6">
        <f t="shared" si="40"/>
        <v>0</v>
      </c>
      <c r="X1135" s="6">
        <f t="shared" si="41"/>
        <v>0</v>
      </c>
      <c r="Y1135" s="1">
        <f t="shared" ref="Y1135:Y1198" si="47">RANK(X1135,$X$6:$X$10000,1)</f>
        <v>1</v>
      </c>
      <c r="Z1135" s="1">
        <f>IF(COUNTIF($Y$6:Y1135,Y1135)=1,Y1135,Y1135+COUNTIF($Y$5:Y1134,Y1135))</f>
        <v>130</v>
      </c>
      <c r="AD1135" s="1" t="str">
        <f t="shared" ref="AD1135:AD1198" si="48">IF(AND(OR(C1134&lt;&gt;C1135,YEAR(W1135)&lt;&gt;YEAR(W1134)),SUM(L1135:L1155)&lt;&gt;0,$B$4=YEAR(W1135)),C1135,"")</f>
        <v/>
      </c>
      <c r="BA1135" s="1">
        <f>IF(W1135&lt;=Leltar_iv!$Y$1,I1135,0)</f>
        <v>0</v>
      </c>
    </row>
    <row r="1136" spans="1:53" s="1" customFormat="1" x14ac:dyDescent="0.25">
      <c r="A1136" s="18">
        <f>IF(COUNTIF($Y$6:Y1136,Y1136)=1,Y1136,Y1136+COUNTIF($Y$5:Y1135,Y1136))</f>
        <v>131</v>
      </c>
      <c r="B1136" s="1">
        <f>IF(AND(Kisero_iv!$N$2=C1136,Kisero_iv!$K$5=$B$3,SUM(I1136:L1140)&lt;&gt;0,$B$4=YEAR(W1136)),B1135+1,0)</f>
        <v>0</v>
      </c>
      <c r="C1136" s="1">
        <f t="shared" si="42"/>
        <v>131</v>
      </c>
      <c r="D1136" s="102" t="str">
        <f t="shared" si="43"/>
        <v/>
      </c>
      <c r="E1136" s="44"/>
      <c r="F1136" s="45"/>
      <c r="G1136" s="45"/>
      <c r="H1136" s="45"/>
      <c r="I1136" s="46"/>
      <c r="J1136" s="111" t="str">
        <f>IF(AND(G1136&lt;&gt;"",ISERROR(VLOOKUP(G1136,Keszlet!$C$5:$H$200,6,FALSE))=FALSE),VLOOKUP(G1136,Keszlet!$C$5:$H$200,6,FALSE),"")</f>
        <v/>
      </c>
      <c r="K1136" s="106" t="str">
        <f>IF(AND(G1136&lt;&gt;"",ISERROR(VLOOKUP(G1136,Keszlet!$C$5:$G$200,5,FALSE))=FALSE),VLOOKUP(G1136,Keszlet!$C$5:$G$200,5,FALSE),"")</f>
        <v/>
      </c>
      <c r="L1136" s="106" t="str">
        <f t="shared" si="44"/>
        <v/>
      </c>
      <c r="M1136" s="115" t="str">
        <f>IF(ISERROR(VLOOKUP(G1136,Keszlet!$C$5:$I$200,7,FALSE))=TRUE,"",IF(AND(J1135&lt;&gt;"",J1137=""),VLOOKUP(G1136,Keszlet!$C$5:$I$200,7,FALSE),""))</f>
        <v/>
      </c>
      <c r="Q1136" s="1">
        <f>VLOOKUP(G1136,Keszlet!$C$5:$E$205,3,FALSE)</f>
        <v>0</v>
      </c>
      <c r="T1136" s="1" t="str">
        <f t="shared" si="45"/>
        <v/>
      </c>
      <c r="U1136" s="1">
        <f t="shared" si="46"/>
        <v>0</v>
      </c>
      <c r="W1136" s="6">
        <f t="shared" si="40"/>
        <v>0</v>
      </c>
      <c r="X1136" s="6">
        <f t="shared" si="41"/>
        <v>0</v>
      </c>
      <c r="Y1136" s="1">
        <f t="shared" si="47"/>
        <v>1</v>
      </c>
      <c r="Z1136" s="1">
        <f>IF(COUNTIF($Y$6:Y1136,Y1136)=1,Y1136,Y1136+COUNTIF($Y$5:Y1135,Y1136))</f>
        <v>131</v>
      </c>
      <c r="AD1136" s="1" t="str">
        <f t="shared" si="48"/>
        <v/>
      </c>
      <c r="BA1136" s="1">
        <f>IF(W1136&lt;=Leltar_iv!$Y$1,I1136,0)</f>
        <v>0</v>
      </c>
    </row>
    <row r="1137" spans="1:53" s="1" customFormat="1" x14ac:dyDescent="0.25">
      <c r="A1137" s="18">
        <f>IF(COUNTIF($Y$6:Y1137,Y1137)=1,Y1137,Y1137+COUNTIF($Y$5:Y1136,Y1137))</f>
        <v>132</v>
      </c>
      <c r="B1137" s="1">
        <f>IF(AND(Kisero_iv!$N$2=C1137,Kisero_iv!$K$5=$B$3,SUM(I1137:L1141)&lt;&gt;0,$B$4=YEAR(W1137)),B1136+1,0)</f>
        <v>0</v>
      </c>
      <c r="C1137" s="1">
        <f t="shared" si="42"/>
        <v>132</v>
      </c>
      <c r="D1137" s="102" t="str">
        <f t="shared" si="43"/>
        <v/>
      </c>
      <c r="E1137" s="44"/>
      <c r="F1137" s="45"/>
      <c r="G1137" s="45"/>
      <c r="H1137" s="45"/>
      <c r="I1137" s="46"/>
      <c r="J1137" s="111" t="str">
        <f>IF(AND(G1137&lt;&gt;"",ISERROR(VLOOKUP(G1137,Keszlet!$C$5:$H$200,6,FALSE))=FALSE),VLOOKUP(G1137,Keszlet!$C$5:$H$200,6,FALSE),"")</f>
        <v/>
      </c>
      <c r="K1137" s="106" t="str">
        <f>IF(AND(G1137&lt;&gt;"",ISERROR(VLOOKUP(G1137,Keszlet!$C$5:$G$200,5,FALSE))=FALSE),VLOOKUP(G1137,Keszlet!$C$5:$G$200,5,FALSE),"")</f>
        <v/>
      </c>
      <c r="L1137" s="106" t="str">
        <f t="shared" si="44"/>
        <v/>
      </c>
      <c r="M1137" s="115" t="str">
        <f>IF(ISERROR(VLOOKUP(G1137,Keszlet!$C$5:$I$200,7,FALSE))=TRUE,"",IF(AND(J1136&lt;&gt;"",J1138=""),VLOOKUP(G1137,Keszlet!$C$5:$I$200,7,FALSE),""))</f>
        <v/>
      </c>
      <c r="Q1137" s="1">
        <f>VLOOKUP(G1137,Keszlet!$C$5:$E$205,3,FALSE)</f>
        <v>0</v>
      </c>
      <c r="T1137" s="1" t="str">
        <f t="shared" si="45"/>
        <v/>
      </c>
      <c r="U1137" s="1">
        <f t="shared" si="46"/>
        <v>0</v>
      </c>
      <c r="W1137" s="6">
        <f t="shared" ref="W1137:W1200" si="49">IF(E1137&lt;&gt;0,E1137,W1136)</f>
        <v>0</v>
      </c>
      <c r="X1137" s="6">
        <f t="shared" si="41"/>
        <v>0</v>
      </c>
      <c r="Y1137" s="1">
        <f t="shared" si="47"/>
        <v>1</v>
      </c>
      <c r="Z1137" s="1">
        <f>IF(COUNTIF($Y$6:Y1137,Y1137)=1,Y1137,Y1137+COUNTIF($Y$5:Y1136,Y1137))</f>
        <v>132</v>
      </c>
      <c r="AD1137" s="1" t="str">
        <f t="shared" si="48"/>
        <v/>
      </c>
      <c r="BA1137" s="1">
        <f>IF(W1137&lt;=Leltar_iv!$Y$1,I1137,0)</f>
        <v>0</v>
      </c>
    </row>
    <row r="1138" spans="1:53" s="1" customFormat="1" x14ac:dyDescent="0.25">
      <c r="A1138" s="18">
        <f>IF(COUNTIF($Y$6:Y1138,Y1138)=1,Y1138,Y1138+COUNTIF($Y$5:Y1137,Y1138))</f>
        <v>133</v>
      </c>
      <c r="B1138" s="1">
        <f>IF(AND(Kisero_iv!$N$2=C1138,Kisero_iv!$K$5=$B$3,SUM(I1138:L1142)&lt;&gt;0,$B$4=YEAR(W1138)),B1137+1,0)</f>
        <v>0</v>
      </c>
      <c r="C1138" s="1">
        <f t="shared" si="42"/>
        <v>133</v>
      </c>
      <c r="D1138" s="102" t="str">
        <f t="shared" si="43"/>
        <v/>
      </c>
      <c r="E1138" s="44"/>
      <c r="F1138" s="45"/>
      <c r="G1138" s="45"/>
      <c r="H1138" s="45"/>
      <c r="I1138" s="46"/>
      <c r="J1138" s="111" t="str">
        <f>IF(AND(G1138&lt;&gt;"",ISERROR(VLOOKUP(G1138,Keszlet!$C$5:$H$200,6,FALSE))=FALSE),VLOOKUP(G1138,Keszlet!$C$5:$H$200,6,FALSE),"")</f>
        <v/>
      </c>
      <c r="K1138" s="106" t="str">
        <f>IF(AND(G1138&lt;&gt;"",ISERROR(VLOOKUP(G1138,Keszlet!$C$5:$G$200,5,FALSE))=FALSE),VLOOKUP(G1138,Keszlet!$C$5:$G$200,5,FALSE),"")</f>
        <v/>
      </c>
      <c r="L1138" s="106" t="str">
        <f t="shared" si="44"/>
        <v/>
      </c>
      <c r="M1138" s="115" t="str">
        <f>IF(ISERROR(VLOOKUP(G1138,Keszlet!$C$5:$I$200,7,FALSE))=TRUE,"",IF(AND(J1137&lt;&gt;"",J1139=""),VLOOKUP(G1138,Keszlet!$C$5:$I$200,7,FALSE),""))</f>
        <v/>
      </c>
      <c r="Q1138" s="1">
        <f>VLOOKUP(G1138,Keszlet!$C$5:$E$205,3,FALSE)</f>
        <v>0</v>
      </c>
      <c r="T1138" s="1" t="str">
        <f t="shared" si="45"/>
        <v/>
      </c>
      <c r="U1138" s="1">
        <f t="shared" si="46"/>
        <v>0</v>
      </c>
      <c r="W1138" s="6">
        <f t="shared" si="49"/>
        <v>0</v>
      </c>
      <c r="X1138" s="6">
        <f t="shared" si="41"/>
        <v>0</v>
      </c>
      <c r="Y1138" s="1">
        <f t="shared" si="47"/>
        <v>1</v>
      </c>
      <c r="Z1138" s="1">
        <f>IF(COUNTIF($Y$6:Y1138,Y1138)=1,Y1138,Y1138+COUNTIF($Y$5:Y1137,Y1138))</f>
        <v>133</v>
      </c>
      <c r="AD1138" s="1" t="str">
        <f t="shared" si="48"/>
        <v/>
      </c>
      <c r="BA1138" s="1">
        <f>IF(W1138&lt;=Leltar_iv!$Y$1,I1138,0)</f>
        <v>0</v>
      </c>
    </row>
    <row r="1139" spans="1:53" s="1" customFormat="1" x14ac:dyDescent="0.25">
      <c r="A1139" s="18">
        <f>IF(COUNTIF($Y$6:Y1139,Y1139)=1,Y1139,Y1139+COUNTIF($Y$5:Y1138,Y1139))</f>
        <v>134</v>
      </c>
      <c r="B1139" s="1">
        <f>IF(AND(Kisero_iv!$N$2=C1139,Kisero_iv!$K$5=$B$3,SUM(I1139:L1143)&lt;&gt;0,$B$4=YEAR(W1139)),B1138+1,0)</f>
        <v>0</v>
      </c>
      <c r="C1139" s="1">
        <f t="shared" si="42"/>
        <v>134</v>
      </c>
      <c r="D1139" s="102" t="str">
        <f t="shared" si="43"/>
        <v/>
      </c>
      <c r="E1139" s="44"/>
      <c r="F1139" s="45"/>
      <c r="G1139" s="45"/>
      <c r="H1139" s="45"/>
      <c r="I1139" s="46"/>
      <c r="J1139" s="111" t="str">
        <f>IF(AND(G1139&lt;&gt;"",ISERROR(VLOOKUP(G1139,Keszlet!$C$5:$H$200,6,FALSE))=FALSE),VLOOKUP(G1139,Keszlet!$C$5:$H$200,6,FALSE),"")</f>
        <v/>
      </c>
      <c r="K1139" s="106" t="str">
        <f>IF(AND(G1139&lt;&gt;"",ISERROR(VLOOKUP(G1139,Keszlet!$C$5:$G$200,5,FALSE))=FALSE),VLOOKUP(G1139,Keszlet!$C$5:$G$200,5,FALSE),"")</f>
        <v/>
      </c>
      <c r="L1139" s="106" t="str">
        <f t="shared" si="44"/>
        <v/>
      </c>
      <c r="M1139" s="115" t="str">
        <f>IF(ISERROR(VLOOKUP(G1139,Keszlet!$C$5:$I$200,7,FALSE))=TRUE,"",IF(AND(J1138&lt;&gt;"",J1140=""),VLOOKUP(G1139,Keszlet!$C$5:$I$200,7,FALSE),""))</f>
        <v/>
      </c>
      <c r="Q1139" s="1">
        <f>VLOOKUP(G1139,Keszlet!$C$5:$E$205,3,FALSE)</f>
        <v>0</v>
      </c>
      <c r="T1139" s="1" t="str">
        <f t="shared" si="45"/>
        <v/>
      </c>
      <c r="U1139" s="1">
        <f t="shared" si="46"/>
        <v>0</v>
      </c>
      <c r="W1139" s="6">
        <f t="shared" si="49"/>
        <v>0</v>
      </c>
      <c r="X1139" s="6">
        <f t="shared" si="41"/>
        <v>0</v>
      </c>
      <c r="Y1139" s="1">
        <f t="shared" si="47"/>
        <v>1</v>
      </c>
      <c r="Z1139" s="1">
        <f>IF(COUNTIF($Y$6:Y1139,Y1139)=1,Y1139,Y1139+COUNTIF($Y$5:Y1138,Y1139))</f>
        <v>134</v>
      </c>
      <c r="AD1139" s="1" t="str">
        <f t="shared" si="48"/>
        <v/>
      </c>
      <c r="BA1139" s="1">
        <f>IF(W1139&lt;=Leltar_iv!$Y$1,I1139,0)</f>
        <v>0</v>
      </c>
    </row>
    <row r="1140" spans="1:53" s="1" customFormat="1" x14ac:dyDescent="0.25">
      <c r="A1140" s="18">
        <f>IF(COUNTIF($Y$6:Y1140,Y1140)=1,Y1140,Y1140+COUNTIF($Y$5:Y1139,Y1140))</f>
        <v>135</v>
      </c>
      <c r="B1140" s="1">
        <f>IF(AND(Kisero_iv!$N$2=C1140,Kisero_iv!$K$5=$B$3,SUM(I1140:L1144)&lt;&gt;0,$B$4=YEAR(W1140)),B1139+1,0)</f>
        <v>0</v>
      </c>
      <c r="C1140" s="1">
        <f t="shared" si="42"/>
        <v>135</v>
      </c>
      <c r="D1140" s="102" t="str">
        <f t="shared" si="43"/>
        <v/>
      </c>
      <c r="E1140" s="44"/>
      <c r="F1140" s="45"/>
      <c r="G1140" s="45"/>
      <c r="H1140" s="45"/>
      <c r="I1140" s="46"/>
      <c r="J1140" s="111" t="str">
        <f>IF(AND(G1140&lt;&gt;"",ISERROR(VLOOKUP(G1140,Keszlet!$C$5:$H$200,6,FALSE))=FALSE),VLOOKUP(G1140,Keszlet!$C$5:$H$200,6,FALSE),"")</f>
        <v/>
      </c>
      <c r="K1140" s="106" t="str">
        <f>IF(AND(G1140&lt;&gt;"",ISERROR(VLOOKUP(G1140,Keszlet!$C$5:$G$200,5,FALSE))=FALSE),VLOOKUP(G1140,Keszlet!$C$5:$G$200,5,FALSE),"")</f>
        <v/>
      </c>
      <c r="L1140" s="106" t="str">
        <f t="shared" si="44"/>
        <v/>
      </c>
      <c r="M1140" s="115" t="str">
        <f>IF(ISERROR(VLOOKUP(G1140,Keszlet!$C$5:$I$200,7,FALSE))=TRUE,"",IF(AND(J1139&lt;&gt;"",J1141=""),VLOOKUP(G1140,Keszlet!$C$5:$I$200,7,FALSE),""))</f>
        <v/>
      </c>
      <c r="Q1140" s="1">
        <f>VLOOKUP(G1140,Keszlet!$C$5:$E$205,3,FALSE)</f>
        <v>0</v>
      </c>
      <c r="T1140" s="1" t="str">
        <f t="shared" si="45"/>
        <v/>
      </c>
      <c r="U1140" s="1">
        <f t="shared" si="46"/>
        <v>0</v>
      </c>
      <c r="W1140" s="6">
        <f t="shared" si="49"/>
        <v>0</v>
      </c>
      <c r="X1140" s="6">
        <f t="shared" si="41"/>
        <v>0</v>
      </c>
      <c r="Y1140" s="1">
        <f t="shared" si="47"/>
        <v>1</v>
      </c>
      <c r="Z1140" s="1">
        <f>IF(COUNTIF($Y$6:Y1140,Y1140)=1,Y1140,Y1140+COUNTIF($Y$5:Y1139,Y1140))</f>
        <v>135</v>
      </c>
      <c r="AD1140" s="1" t="str">
        <f t="shared" si="48"/>
        <v/>
      </c>
      <c r="BA1140" s="1">
        <f>IF(W1140&lt;=Leltar_iv!$Y$1,I1140,0)</f>
        <v>0</v>
      </c>
    </row>
    <row r="1141" spans="1:53" s="1" customFormat="1" x14ac:dyDescent="0.25">
      <c r="A1141" s="18">
        <f>IF(COUNTIF($Y$6:Y1141,Y1141)=1,Y1141,Y1141+COUNTIF($Y$5:Y1140,Y1141))</f>
        <v>136</v>
      </c>
      <c r="B1141" s="1">
        <f>IF(AND(Kisero_iv!$N$2=C1141,Kisero_iv!$K$5=$B$3,SUM(I1141:L1145)&lt;&gt;0,$B$4=YEAR(W1141)),B1140+1,0)</f>
        <v>0</v>
      </c>
      <c r="C1141" s="1">
        <f t="shared" si="42"/>
        <v>136</v>
      </c>
      <c r="D1141" s="102" t="str">
        <f t="shared" si="43"/>
        <v/>
      </c>
      <c r="E1141" s="44"/>
      <c r="F1141" s="45"/>
      <c r="G1141" s="45"/>
      <c r="H1141" s="45"/>
      <c r="I1141" s="46"/>
      <c r="J1141" s="111" t="str">
        <f>IF(AND(G1141&lt;&gt;"",ISERROR(VLOOKUP(G1141,Keszlet!$C$5:$H$200,6,FALSE))=FALSE),VLOOKUP(G1141,Keszlet!$C$5:$H$200,6,FALSE),"")</f>
        <v/>
      </c>
      <c r="K1141" s="106" t="str">
        <f>IF(AND(G1141&lt;&gt;"",ISERROR(VLOOKUP(G1141,Keszlet!$C$5:$G$200,5,FALSE))=FALSE),VLOOKUP(G1141,Keszlet!$C$5:$G$200,5,FALSE),"")</f>
        <v/>
      </c>
      <c r="L1141" s="106" t="str">
        <f t="shared" si="44"/>
        <v/>
      </c>
      <c r="M1141" s="115" t="str">
        <f>IF(ISERROR(VLOOKUP(G1141,Keszlet!$C$5:$I$200,7,FALSE))=TRUE,"",IF(AND(J1140&lt;&gt;"",J1142=""),VLOOKUP(G1141,Keszlet!$C$5:$I$200,7,FALSE),""))</f>
        <v/>
      </c>
      <c r="Q1141" s="1">
        <f>VLOOKUP(G1141,Keszlet!$C$5:$E$205,3,FALSE)</f>
        <v>0</v>
      </c>
      <c r="T1141" s="1" t="str">
        <f t="shared" si="45"/>
        <v/>
      </c>
      <c r="U1141" s="1">
        <f t="shared" si="46"/>
        <v>0</v>
      </c>
      <c r="W1141" s="6">
        <f t="shared" si="49"/>
        <v>0</v>
      </c>
      <c r="X1141" s="6">
        <f t="shared" si="41"/>
        <v>0</v>
      </c>
      <c r="Y1141" s="1">
        <f t="shared" si="47"/>
        <v>1</v>
      </c>
      <c r="Z1141" s="1">
        <f>IF(COUNTIF($Y$6:Y1141,Y1141)=1,Y1141,Y1141+COUNTIF($Y$5:Y1140,Y1141))</f>
        <v>136</v>
      </c>
      <c r="AD1141" s="1" t="str">
        <f t="shared" si="48"/>
        <v/>
      </c>
      <c r="BA1141" s="1">
        <f>IF(W1141&lt;=Leltar_iv!$Y$1,I1141,0)</f>
        <v>0</v>
      </c>
    </row>
    <row r="1142" spans="1:53" s="1" customFormat="1" x14ac:dyDescent="0.25">
      <c r="A1142" s="18">
        <f>IF(COUNTIF($Y$6:Y1142,Y1142)=1,Y1142,Y1142+COUNTIF($Y$5:Y1141,Y1142))</f>
        <v>137</v>
      </c>
      <c r="B1142" s="1">
        <f>IF(AND(Kisero_iv!$N$2=C1142,Kisero_iv!$K$5=$B$3,SUM(I1142:L1146)&lt;&gt;0,$B$4=YEAR(W1142)),B1141+1,0)</f>
        <v>0</v>
      </c>
      <c r="C1142" s="1">
        <f t="shared" si="42"/>
        <v>137</v>
      </c>
      <c r="D1142" s="102" t="str">
        <f t="shared" si="43"/>
        <v/>
      </c>
      <c r="E1142" s="44"/>
      <c r="F1142" s="45"/>
      <c r="G1142" s="45"/>
      <c r="H1142" s="45"/>
      <c r="I1142" s="46"/>
      <c r="J1142" s="111" t="str">
        <f>IF(AND(G1142&lt;&gt;"",ISERROR(VLOOKUP(G1142,Keszlet!$C$5:$H$200,6,FALSE))=FALSE),VLOOKUP(G1142,Keszlet!$C$5:$H$200,6,FALSE),"")</f>
        <v/>
      </c>
      <c r="K1142" s="106" t="str">
        <f>IF(AND(G1142&lt;&gt;"",ISERROR(VLOOKUP(G1142,Keszlet!$C$5:$G$200,5,FALSE))=FALSE),VLOOKUP(G1142,Keszlet!$C$5:$G$200,5,FALSE),"")</f>
        <v/>
      </c>
      <c r="L1142" s="106" t="str">
        <f t="shared" si="44"/>
        <v/>
      </c>
      <c r="M1142" s="115" t="str">
        <f>IF(ISERROR(VLOOKUP(G1142,Keszlet!$C$5:$I$200,7,FALSE))=TRUE,"",IF(AND(J1141&lt;&gt;"",J1143=""),VLOOKUP(G1142,Keszlet!$C$5:$I$200,7,FALSE),""))</f>
        <v/>
      </c>
      <c r="Q1142" s="1">
        <f>VLOOKUP(G1142,Keszlet!$C$5:$E$205,3,FALSE)</f>
        <v>0</v>
      </c>
      <c r="T1142" s="1" t="str">
        <f t="shared" si="45"/>
        <v/>
      </c>
      <c r="U1142" s="1">
        <f t="shared" si="46"/>
        <v>0</v>
      </c>
      <c r="W1142" s="6">
        <f t="shared" si="49"/>
        <v>0</v>
      </c>
      <c r="X1142" s="6">
        <f t="shared" si="41"/>
        <v>0</v>
      </c>
      <c r="Y1142" s="1">
        <f t="shared" si="47"/>
        <v>1</v>
      </c>
      <c r="Z1142" s="1">
        <f>IF(COUNTIF($Y$6:Y1142,Y1142)=1,Y1142,Y1142+COUNTIF($Y$5:Y1141,Y1142))</f>
        <v>137</v>
      </c>
      <c r="AD1142" s="1" t="str">
        <f t="shared" si="48"/>
        <v/>
      </c>
      <c r="BA1142" s="1">
        <f>IF(W1142&lt;=Leltar_iv!$Y$1,I1142,0)</f>
        <v>0</v>
      </c>
    </row>
    <row r="1143" spans="1:53" s="1" customFormat="1" x14ac:dyDescent="0.25">
      <c r="A1143" s="18">
        <f>IF(COUNTIF($Y$6:Y1143,Y1143)=1,Y1143,Y1143+COUNTIF($Y$5:Y1142,Y1143))</f>
        <v>138</v>
      </c>
      <c r="B1143" s="1">
        <f>IF(AND(Kisero_iv!$N$2=C1143,Kisero_iv!$K$5=$B$3,SUM(I1143:L1147)&lt;&gt;0,$B$4=YEAR(W1143)),B1142+1,0)</f>
        <v>0</v>
      </c>
      <c r="C1143" s="1">
        <f t="shared" si="42"/>
        <v>138</v>
      </c>
      <c r="D1143" s="102" t="str">
        <f t="shared" si="43"/>
        <v/>
      </c>
      <c r="E1143" s="44"/>
      <c r="F1143" s="45"/>
      <c r="G1143" s="45"/>
      <c r="H1143" s="45"/>
      <c r="I1143" s="46"/>
      <c r="J1143" s="111" t="str">
        <f>IF(AND(G1143&lt;&gt;"",ISERROR(VLOOKUP(G1143,Keszlet!$C$5:$H$200,6,FALSE))=FALSE),VLOOKUP(G1143,Keszlet!$C$5:$H$200,6,FALSE),"")</f>
        <v/>
      </c>
      <c r="K1143" s="106" t="str">
        <f>IF(AND(G1143&lt;&gt;"",ISERROR(VLOOKUP(G1143,Keszlet!$C$5:$G$200,5,FALSE))=FALSE),VLOOKUP(G1143,Keszlet!$C$5:$G$200,5,FALSE),"")</f>
        <v/>
      </c>
      <c r="L1143" s="106" t="str">
        <f t="shared" si="44"/>
        <v/>
      </c>
      <c r="M1143" s="115" t="str">
        <f>IF(ISERROR(VLOOKUP(G1143,Keszlet!$C$5:$I$200,7,FALSE))=TRUE,"",IF(AND(J1142&lt;&gt;"",J1144=""),VLOOKUP(G1143,Keszlet!$C$5:$I$200,7,FALSE),""))</f>
        <v/>
      </c>
      <c r="Q1143" s="1">
        <f>VLOOKUP(G1143,Keszlet!$C$5:$E$205,3,FALSE)</f>
        <v>0</v>
      </c>
      <c r="T1143" s="1" t="str">
        <f t="shared" si="45"/>
        <v/>
      </c>
      <c r="U1143" s="1">
        <f t="shared" si="46"/>
        <v>0</v>
      </c>
      <c r="W1143" s="6">
        <f t="shared" si="49"/>
        <v>0</v>
      </c>
      <c r="X1143" s="6">
        <f t="shared" si="41"/>
        <v>0</v>
      </c>
      <c r="Y1143" s="1">
        <f t="shared" si="47"/>
        <v>1</v>
      </c>
      <c r="Z1143" s="1">
        <f>IF(COUNTIF($Y$6:Y1143,Y1143)=1,Y1143,Y1143+COUNTIF($Y$5:Y1142,Y1143))</f>
        <v>138</v>
      </c>
      <c r="AD1143" s="1" t="str">
        <f t="shared" si="48"/>
        <v/>
      </c>
      <c r="BA1143" s="1">
        <f>IF(W1143&lt;=Leltar_iv!$Y$1,I1143,0)</f>
        <v>0</v>
      </c>
    </row>
    <row r="1144" spans="1:53" s="1" customFormat="1" x14ac:dyDescent="0.25">
      <c r="A1144" s="18">
        <f>IF(COUNTIF($Y$6:Y1144,Y1144)=1,Y1144,Y1144+COUNTIF($Y$5:Y1143,Y1144))</f>
        <v>139</v>
      </c>
      <c r="B1144" s="1">
        <f>IF(AND(Kisero_iv!$N$2=C1144,Kisero_iv!$K$5=$B$3,SUM(I1144:L1148)&lt;&gt;0,$B$4=YEAR(W1144)),B1143+1,0)</f>
        <v>0</v>
      </c>
      <c r="C1144" s="1">
        <f t="shared" si="42"/>
        <v>139</v>
      </c>
      <c r="D1144" s="102" t="str">
        <f t="shared" si="43"/>
        <v/>
      </c>
      <c r="E1144" s="44"/>
      <c r="F1144" s="45"/>
      <c r="G1144" s="45"/>
      <c r="H1144" s="45"/>
      <c r="I1144" s="46"/>
      <c r="J1144" s="111" t="str">
        <f>IF(AND(G1144&lt;&gt;"",ISERROR(VLOOKUP(G1144,Keszlet!$C$5:$H$200,6,FALSE))=FALSE),VLOOKUP(G1144,Keszlet!$C$5:$H$200,6,FALSE),"")</f>
        <v/>
      </c>
      <c r="K1144" s="106" t="str">
        <f>IF(AND(G1144&lt;&gt;"",ISERROR(VLOOKUP(G1144,Keszlet!$C$5:$G$200,5,FALSE))=FALSE),VLOOKUP(G1144,Keszlet!$C$5:$G$200,5,FALSE),"")</f>
        <v/>
      </c>
      <c r="L1144" s="106" t="str">
        <f t="shared" si="44"/>
        <v/>
      </c>
      <c r="M1144" s="115" t="str">
        <f>IF(ISERROR(VLOOKUP(G1144,Keszlet!$C$5:$I$200,7,FALSE))=TRUE,"",IF(AND(J1143&lt;&gt;"",J1145=""),VLOOKUP(G1144,Keszlet!$C$5:$I$200,7,FALSE),""))</f>
        <v/>
      </c>
      <c r="Q1144" s="1">
        <f>VLOOKUP(G1144,Keszlet!$C$5:$E$205,3,FALSE)</f>
        <v>0</v>
      </c>
      <c r="T1144" s="1" t="str">
        <f t="shared" si="45"/>
        <v/>
      </c>
      <c r="U1144" s="1">
        <f t="shared" si="46"/>
        <v>0</v>
      </c>
      <c r="W1144" s="6">
        <f t="shared" si="49"/>
        <v>0</v>
      </c>
      <c r="X1144" s="6">
        <f t="shared" si="41"/>
        <v>0</v>
      </c>
      <c r="Y1144" s="1">
        <f t="shared" si="47"/>
        <v>1</v>
      </c>
      <c r="Z1144" s="1">
        <f>IF(COUNTIF($Y$6:Y1144,Y1144)=1,Y1144,Y1144+COUNTIF($Y$5:Y1143,Y1144))</f>
        <v>139</v>
      </c>
      <c r="AD1144" s="1" t="str">
        <f t="shared" si="48"/>
        <v/>
      </c>
      <c r="BA1144" s="1">
        <f>IF(W1144&lt;=Leltar_iv!$Y$1,I1144,0)</f>
        <v>0</v>
      </c>
    </row>
    <row r="1145" spans="1:53" s="1" customFormat="1" x14ac:dyDescent="0.25">
      <c r="A1145" s="18">
        <f>IF(COUNTIF($Y$6:Y1145,Y1145)=1,Y1145,Y1145+COUNTIF($Y$5:Y1144,Y1145))</f>
        <v>140</v>
      </c>
      <c r="B1145" s="1">
        <f>IF(AND(Kisero_iv!$N$2=C1145,Kisero_iv!$K$5=$B$3,SUM(I1145:L1149)&lt;&gt;0,$B$4=YEAR(W1145)),B1144+1,0)</f>
        <v>0</v>
      </c>
      <c r="C1145" s="1">
        <f t="shared" si="42"/>
        <v>140</v>
      </c>
      <c r="D1145" s="102" t="str">
        <f t="shared" si="43"/>
        <v/>
      </c>
      <c r="E1145" s="44"/>
      <c r="F1145" s="45"/>
      <c r="G1145" s="45"/>
      <c r="H1145" s="45"/>
      <c r="I1145" s="46"/>
      <c r="J1145" s="111" t="str">
        <f>IF(AND(G1145&lt;&gt;"",ISERROR(VLOOKUP(G1145,Keszlet!$C$5:$H$200,6,FALSE))=FALSE),VLOOKUP(G1145,Keszlet!$C$5:$H$200,6,FALSE),"")</f>
        <v/>
      </c>
      <c r="K1145" s="106" t="str">
        <f>IF(AND(G1145&lt;&gt;"",ISERROR(VLOOKUP(G1145,Keszlet!$C$5:$G$200,5,FALSE))=FALSE),VLOOKUP(G1145,Keszlet!$C$5:$G$200,5,FALSE),"")</f>
        <v/>
      </c>
      <c r="L1145" s="106" t="str">
        <f t="shared" si="44"/>
        <v/>
      </c>
      <c r="M1145" s="115" t="str">
        <f>IF(ISERROR(VLOOKUP(G1145,Keszlet!$C$5:$I$200,7,FALSE))=TRUE,"",IF(AND(J1144&lt;&gt;"",J1146=""),VLOOKUP(G1145,Keszlet!$C$5:$I$200,7,FALSE),""))</f>
        <v/>
      </c>
      <c r="Q1145" s="1">
        <f>VLOOKUP(G1145,Keszlet!$C$5:$E$205,3,FALSE)</f>
        <v>0</v>
      </c>
      <c r="T1145" s="1" t="str">
        <f t="shared" si="45"/>
        <v/>
      </c>
      <c r="U1145" s="1">
        <f t="shared" si="46"/>
        <v>0</v>
      </c>
      <c r="W1145" s="6">
        <f t="shared" si="49"/>
        <v>0</v>
      </c>
      <c r="X1145" s="6">
        <f t="shared" si="41"/>
        <v>0</v>
      </c>
      <c r="Y1145" s="1">
        <f t="shared" si="47"/>
        <v>1</v>
      </c>
      <c r="Z1145" s="1">
        <f>IF(COUNTIF($Y$6:Y1145,Y1145)=1,Y1145,Y1145+COUNTIF($Y$5:Y1144,Y1145))</f>
        <v>140</v>
      </c>
      <c r="AD1145" s="1" t="str">
        <f t="shared" si="48"/>
        <v/>
      </c>
      <c r="BA1145" s="1">
        <f>IF(W1145&lt;=Leltar_iv!$Y$1,I1145,0)</f>
        <v>0</v>
      </c>
    </row>
    <row r="1146" spans="1:53" s="1" customFormat="1" x14ac:dyDescent="0.25">
      <c r="A1146" s="18">
        <f>IF(COUNTIF($Y$6:Y1146,Y1146)=1,Y1146,Y1146+COUNTIF($Y$5:Y1145,Y1146))</f>
        <v>141</v>
      </c>
      <c r="B1146" s="1">
        <f>IF(AND(Kisero_iv!$N$2=C1146,Kisero_iv!$K$5=$B$3,SUM(I1146:L1150)&lt;&gt;0,$B$4=YEAR(W1146)),B1145+1,0)</f>
        <v>0</v>
      </c>
      <c r="C1146" s="1">
        <f t="shared" si="42"/>
        <v>141</v>
      </c>
      <c r="D1146" s="102" t="str">
        <f t="shared" si="43"/>
        <v/>
      </c>
      <c r="E1146" s="44"/>
      <c r="F1146" s="45"/>
      <c r="G1146" s="45"/>
      <c r="H1146" s="45"/>
      <c r="I1146" s="46"/>
      <c r="J1146" s="111" t="str">
        <f>IF(AND(G1146&lt;&gt;"",ISERROR(VLOOKUP(G1146,Keszlet!$C$5:$H$200,6,FALSE))=FALSE),VLOOKUP(G1146,Keszlet!$C$5:$H$200,6,FALSE),"")</f>
        <v/>
      </c>
      <c r="K1146" s="106" t="str">
        <f>IF(AND(G1146&lt;&gt;"",ISERROR(VLOOKUP(G1146,Keszlet!$C$5:$G$200,5,FALSE))=FALSE),VLOOKUP(G1146,Keszlet!$C$5:$G$200,5,FALSE),"")</f>
        <v/>
      </c>
      <c r="L1146" s="106" t="str">
        <f t="shared" si="44"/>
        <v/>
      </c>
      <c r="M1146" s="115" t="str">
        <f>IF(ISERROR(VLOOKUP(G1146,Keszlet!$C$5:$I$200,7,FALSE))=TRUE,"",IF(AND(J1145&lt;&gt;"",J1147=""),VLOOKUP(G1146,Keszlet!$C$5:$I$200,7,FALSE),""))</f>
        <v/>
      </c>
      <c r="Q1146" s="1">
        <f>VLOOKUP(G1146,Keszlet!$C$5:$E$205,3,FALSE)</f>
        <v>0</v>
      </c>
      <c r="T1146" s="1" t="str">
        <f t="shared" si="45"/>
        <v/>
      </c>
      <c r="U1146" s="1">
        <f t="shared" si="46"/>
        <v>0</v>
      </c>
      <c r="W1146" s="6">
        <f t="shared" si="49"/>
        <v>0</v>
      </c>
      <c r="X1146" s="6">
        <f t="shared" si="41"/>
        <v>0</v>
      </c>
      <c r="Y1146" s="1">
        <f t="shared" si="47"/>
        <v>1</v>
      </c>
      <c r="Z1146" s="1">
        <f>IF(COUNTIF($Y$6:Y1146,Y1146)=1,Y1146,Y1146+COUNTIF($Y$5:Y1145,Y1146))</f>
        <v>141</v>
      </c>
      <c r="AD1146" s="1" t="str">
        <f t="shared" si="48"/>
        <v/>
      </c>
      <c r="BA1146" s="1">
        <f>IF(W1146&lt;=Leltar_iv!$Y$1,I1146,0)</f>
        <v>0</v>
      </c>
    </row>
    <row r="1147" spans="1:53" s="1" customFormat="1" x14ac:dyDescent="0.25">
      <c r="A1147" s="18">
        <f>IF(COUNTIF($Y$6:Y1147,Y1147)=1,Y1147,Y1147+COUNTIF($Y$5:Y1146,Y1147))</f>
        <v>142</v>
      </c>
      <c r="B1147" s="1">
        <f>IF(AND(Kisero_iv!$N$2=C1147,Kisero_iv!$K$5=$B$3,SUM(I1147:L1151)&lt;&gt;0,$B$4=YEAR(W1147)),B1146+1,0)</f>
        <v>0</v>
      </c>
      <c r="C1147" s="1">
        <f t="shared" si="42"/>
        <v>142</v>
      </c>
      <c r="D1147" s="102" t="str">
        <f t="shared" si="43"/>
        <v/>
      </c>
      <c r="E1147" s="44"/>
      <c r="F1147" s="45"/>
      <c r="G1147" s="45"/>
      <c r="H1147" s="45"/>
      <c r="I1147" s="46"/>
      <c r="J1147" s="111" t="str">
        <f>IF(AND(G1147&lt;&gt;"",ISERROR(VLOOKUP(G1147,Keszlet!$C$5:$H$200,6,FALSE))=FALSE),VLOOKUP(G1147,Keszlet!$C$5:$H$200,6,FALSE),"")</f>
        <v/>
      </c>
      <c r="K1147" s="106" t="str">
        <f>IF(AND(G1147&lt;&gt;"",ISERROR(VLOOKUP(G1147,Keszlet!$C$5:$G$200,5,FALSE))=FALSE),VLOOKUP(G1147,Keszlet!$C$5:$G$200,5,FALSE),"")</f>
        <v/>
      </c>
      <c r="L1147" s="106" t="str">
        <f t="shared" si="44"/>
        <v/>
      </c>
      <c r="M1147" s="115" t="str">
        <f>IF(ISERROR(VLOOKUP(G1147,Keszlet!$C$5:$I$200,7,FALSE))=TRUE,"",IF(AND(J1146&lt;&gt;"",J1148=""),VLOOKUP(G1147,Keszlet!$C$5:$I$200,7,FALSE),""))</f>
        <v/>
      </c>
      <c r="Q1147" s="1">
        <f>VLOOKUP(G1147,Keszlet!$C$5:$E$205,3,FALSE)</f>
        <v>0</v>
      </c>
      <c r="T1147" s="1" t="str">
        <f t="shared" si="45"/>
        <v/>
      </c>
      <c r="U1147" s="1">
        <f t="shared" si="46"/>
        <v>0</v>
      </c>
      <c r="W1147" s="6">
        <f t="shared" si="49"/>
        <v>0</v>
      </c>
      <c r="X1147" s="6">
        <f t="shared" si="41"/>
        <v>0</v>
      </c>
      <c r="Y1147" s="1">
        <f t="shared" si="47"/>
        <v>1</v>
      </c>
      <c r="Z1147" s="1">
        <f>IF(COUNTIF($Y$6:Y1147,Y1147)=1,Y1147,Y1147+COUNTIF($Y$5:Y1146,Y1147))</f>
        <v>142</v>
      </c>
      <c r="AD1147" s="1" t="str">
        <f t="shared" si="48"/>
        <v/>
      </c>
      <c r="BA1147" s="1">
        <f>IF(W1147&lt;=Leltar_iv!$Y$1,I1147,0)</f>
        <v>0</v>
      </c>
    </row>
    <row r="1148" spans="1:53" s="1" customFormat="1" x14ac:dyDescent="0.25">
      <c r="A1148" s="18">
        <f>IF(COUNTIF($Y$6:Y1148,Y1148)=1,Y1148,Y1148+COUNTIF($Y$5:Y1147,Y1148))</f>
        <v>143</v>
      </c>
      <c r="B1148" s="1">
        <f>IF(AND(Kisero_iv!$N$2=C1148,Kisero_iv!$K$5=$B$3,SUM(I1148:L1152)&lt;&gt;0,$B$4=YEAR(W1148)),B1147+1,0)</f>
        <v>0</v>
      </c>
      <c r="C1148" s="1">
        <f t="shared" si="42"/>
        <v>143</v>
      </c>
      <c r="D1148" s="102" t="str">
        <f t="shared" si="43"/>
        <v/>
      </c>
      <c r="E1148" s="44"/>
      <c r="F1148" s="45"/>
      <c r="G1148" s="45"/>
      <c r="H1148" s="45"/>
      <c r="I1148" s="46"/>
      <c r="J1148" s="111" t="str">
        <f>IF(AND(G1148&lt;&gt;"",ISERROR(VLOOKUP(G1148,Keszlet!$C$5:$H$200,6,FALSE))=FALSE),VLOOKUP(G1148,Keszlet!$C$5:$H$200,6,FALSE),"")</f>
        <v/>
      </c>
      <c r="K1148" s="106" t="str">
        <f>IF(AND(G1148&lt;&gt;"",ISERROR(VLOOKUP(G1148,Keszlet!$C$5:$G$200,5,FALSE))=FALSE),VLOOKUP(G1148,Keszlet!$C$5:$G$200,5,FALSE),"")</f>
        <v/>
      </c>
      <c r="L1148" s="106" t="str">
        <f t="shared" si="44"/>
        <v/>
      </c>
      <c r="M1148" s="115" t="str">
        <f>IF(ISERROR(VLOOKUP(G1148,Keszlet!$C$5:$I$200,7,FALSE))=TRUE,"",IF(AND(J1147&lt;&gt;"",J1149=""),VLOOKUP(G1148,Keszlet!$C$5:$I$200,7,FALSE),""))</f>
        <v/>
      </c>
      <c r="Q1148" s="1">
        <f>VLOOKUP(G1148,Keszlet!$C$5:$E$205,3,FALSE)</f>
        <v>0</v>
      </c>
      <c r="T1148" s="1" t="str">
        <f t="shared" si="45"/>
        <v/>
      </c>
      <c r="U1148" s="1">
        <f t="shared" si="46"/>
        <v>0</v>
      </c>
      <c r="W1148" s="6">
        <f t="shared" si="49"/>
        <v>0</v>
      </c>
      <c r="X1148" s="6">
        <f t="shared" si="41"/>
        <v>0</v>
      </c>
      <c r="Y1148" s="1">
        <f t="shared" si="47"/>
        <v>1</v>
      </c>
      <c r="Z1148" s="1">
        <f>IF(COUNTIF($Y$6:Y1148,Y1148)=1,Y1148,Y1148+COUNTIF($Y$5:Y1147,Y1148))</f>
        <v>143</v>
      </c>
      <c r="AD1148" s="1" t="str">
        <f t="shared" si="48"/>
        <v/>
      </c>
      <c r="BA1148" s="1">
        <f>IF(W1148&lt;=Leltar_iv!$Y$1,I1148,0)</f>
        <v>0</v>
      </c>
    </row>
    <row r="1149" spans="1:53" s="1" customFormat="1" x14ac:dyDescent="0.25">
      <c r="A1149" s="18">
        <f>IF(COUNTIF($Y$6:Y1149,Y1149)=1,Y1149,Y1149+COUNTIF($Y$5:Y1148,Y1149))</f>
        <v>144</v>
      </c>
      <c r="B1149" s="1">
        <f>IF(AND(Kisero_iv!$N$2=C1149,Kisero_iv!$K$5=$B$3,SUM(I1149:L1153)&lt;&gt;0,$B$4=YEAR(W1149)),B1148+1,0)</f>
        <v>0</v>
      </c>
      <c r="C1149" s="1">
        <f t="shared" si="42"/>
        <v>144</v>
      </c>
      <c r="D1149" s="102" t="str">
        <f t="shared" si="43"/>
        <v/>
      </c>
      <c r="E1149" s="44"/>
      <c r="F1149" s="45"/>
      <c r="G1149" s="45"/>
      <c r="H1149" s="45"/>
      <c r="I1149" s="46"/>
      <c r="J1149" s="111" t="str">
        <f>IF(AND(G1149&lt;&gt;"",ISERROR(VLOOKUP(G1149,Keszlet!$C$5:$H$200,6,FALSE))=FALSE),VLOOKUP(G1149,Keszlet!$C$5:$H$200,6,FALSE),"")</f>
        <v/>
      </c>
      <c r="K1149" s="106" t="str">
        <f>IF(AND(G1149&lt;&gt;"",ISERROR(VLOOKUP(G1149,Keszlet!$C$5:$G$200,5,FALSE))=FALSE),VLOOKUP(G1149,Keszlet!$C$5:$G$200,5,FALSE),"")</f>
        <v/>
      </c>
      <c r="L1149" s="106" t="str">
        <f t="shared" si="44"/>
        <v/>
      </c>
      <c r="M1149" s="115" t="str">
        <f>IF(ISERROR(VLOOKUP(G1149,Keszlet!$C$5:$I$200,7,FALSE))=TRUE,"",IF(AND(J1148&lt;&gt;"",J1150=""),VLOOKUP(G1149,Keszlet!$C$5:$I$200,7,FALSE),""))</f>
        <v/>
      </c>
      <c r="Q1149" s="1">
        <f>VLOOKUP(G1149,Keszlet!$C$5:$E$205,3,FALSE)</f>
        <v>0</v>
      </c>
      <c r="T1149" s="1" t="str">
        <f t="shared" si="45"/>
        <v/>
      </c>
      <c r="U1149" s="1">
        <f t="shared" si="46"/>
        <v>0</v>
      </c>
      <c r="W1149" s="6">
        <f t="shared" si="49"/>
        <v>0</v>
      </c>
      <c r="X1149" s="6">
        <f t="shared" si="41"/>
        <v>0</v>
      </c>
      <c r="Y1149" s="1">
        <f t="shared" si="47"/>
        <v>1</v>
      </c>
      <c r="Z1149" s="1">
        <f>IF(COUNTIF($Y$6:Y1149,Y1149)=1,Y1149,Y1149+COUNTIF($Y$5:Y1148,Y1149))</f>
        <v>144</v>
      </c>
      <c r="AD1149" s="1" t="str">
        <f t="shared" si="48"/>
        <v/>
      </c>
      <c r="BA1149" s="1">
        <f>IF(W1149&lt;=Leltar_iv!$Y$1,I1149,0)</f>
        <v>0</v>
      </c>
    </row>
    <row r="1150" spans="1:53" s="1" customFormat="1" x14ac:dyDescent="0.25">
      <c r="A1150" s="18">
        <f>IF(COUNTIF($Y$6:Y1150,Y1150)=1,Y1150,Y1150+COUNTIF($Y$5:Y1149,Y1150))</f>
        <v>145</v>
      </c>
      <c r="B1150" s="1">
        <f>IF(AND(Kisero_iv!$N$2=C1150,Kisero_iv!$K$5=$B$3,SUM(I1150:L1154)&lt;&gt;0,$B$4=YEAR(W1150)),B1149+1,0)</f>
        <v>0</v>
      </c>
      <c r="C1150" s="1">
        <f t="shared" si="42"/>
        <v>145</v>
      </c>
      <c r="D1150" s="102" t="str">
        <f t="shared" si="43"/>
        <v/>
      </c>
      <c r="E1150" s="44"/>
      <c r="F1150" s="45"/>
      <c r="G1150" s="45"/>
      <c r="H1150" s="45"/>
      <c r="I1150" s="46"/>
      <c r="J1150" s="111" t="str">
        <f>IF(AND(G1150&lt;&gt;"",ISERROR(VLOOKUP(G1150,Keszlet!$C$5:$H$200,6,FALSE))=FALSE),VLOOKUP(G1150,Keszlet!$C$5:$H$200,6,FALSE),"")</f>
        <v/>
      </c>
      <c r="K1150" s="106" t="str">
        <f>IF(AND(G1150&lt;&gt;"",ISERROR(VLOOKUP(G1150,Keszlet!$C$5:$G$200,5,FALSE))=FALSE),VLOOKUP(G1150,Keszlet!$C$5:$G$200,5,FALSE),"")</f>
        <v/>
      </c>
      <c r="L1150" s="106" t="str">
        <f t="shared" si="44"/>
        <v/>
      </c>
      <c r="M1150" s="115" t="str">
        <f>IF(ISERROR(VLOOKUP(G1150,Keszlet!$C$5:$I$200,7,FALSE))=TRUE,"",IF(AND(J1149&lt;&gt;"",J1151=""),VLOOKUP(G1150,Keszlet!$C$5:$I$200,7,FALSE),""))</f>
        <v/>
      </c>
      <c r="Q1150" s="1">
        <f>VLOOKUP(G1150,Keszlet!$C$5:$E$205,3,FALSE)</f>
        <v>0</v>
      </c>
      <c r="T1150" s="1" t="str">
        <f t="shared" si="45"/>
        <v/>
      </c>
      <c r="U1150" s="1">
        <f t="shared" si="46"/>
        <v>0</v>
      </c>
      <c r="W1150" s="6">
        <f t="shared" si="49"/>
        <v>0</v>
      </c>
      <c r="X1150" s="6">
        <f t="shared" si="41"/>
        <v>0</v>
      </c>
      <c r="Y1150" s="1">
        <f t="shared" si="47"/>
        <v>1</v>
      </c>
      <c r="Z1150" s="1">
        <f>IF(COUNTIF($Y$6:Y1150,Y1150)=1,Y1150,Y1150+COUNTIF($Y$5:Y1149,Y1150))</f>
        <v>145</v>
      </c>
      <c r="AD1150" s="1" t="str">
        <f t="shared" si="48"/>
        <v/>
      </c>
      <c r="BA1150" s="1">
        <f>IF(W1150&lt;=Leltar_iv!$Y$1,I1150,0)</f>
        <v>0</v>
      </c>
    </row>
    <row r="1151" spans="1:53" s="1" customFormat="1" x14ac:dyDescent="0.25">
      <c r="A1151" s="18">
        <f>IF(COUNTIF($Y$6:Y1151,Y1151)=1,Y1151,Y1151+COUNTIF($Y$5:Y1150,Y1151))</f>
        <v>146</v>
      </c>
      <c r="B1151" s="1">
        <f>IF(AND(Kisero_iv!$N$2=C1151,Kisero_iv!$K$5=$B$3,SUM(I1151:L1155)&lt;&gt;0,$B$4=YEAR(W1151)),B1150+1,0)</f>
        <v>0</v>
      </c>
      <c r="C1151" s="1">
        <f t="shared" si="42"/>
        <v>146</v>
      </c>
      <c r="D1151" s="102" t="str">
        <f t="shared" si="43"/>
        <v/>
      </c>
      <c r="E1151" s="44"/>
      <c r="F1151" s="45"/>
      <c r="G1151" s="45"/>
      <c r="H1151" s="45"/>
      <c r="I1151" s="46"/>
      <c r="J1151" s="111" t="str">
        <f>IF(AND(G1151&lt;&gt;"",ISERROR(VLOOKUP(G1151,Keszlet!$C$5:$H$200,6,FALSE))=FALSE),VLOOKUP(G1151,Keszlet!$C$5:$H$200,6,FALSE),"")</f>
        <v/>
      </c>
      <c r="K1151" s="106" t="str">
        <f>IF(AND(G1151&lt;&gt;"",ISERROR(VLOOKUP(G1151,Keszlet!$C$5:$G$200,5,FALSE))=FALSE),VLOOKUP(G1151,Keszlet!$C$5:$G$200,5,FALSE),"")</f>
        <v/>
      </c>
      <c r="L1151" s="106" t="str">
        <f t="shared" si="44"/>
        <v/>
      </c>
      <c r="M1151" s="115" t="str">
        <f>IF(ISERROR(VLOOKUP(G1151,Keszlet!$C$5:$I$200,7,FALSE))=TRUE,"",IF(AND(J1150&lt;&gt;"",J1152=""),VLOOKUP(G1151,Keszlet!$C$5:$I$200,7,FALSE),""))</f>
        <v/>
      </c>
      <c r="Q1151" s="1">
        <f>VLOOKUP(G1151,Keszlet!$C$5:$E$205,3,FALSE)</f>
        <v>0</v>
      </c>
      <c r="T1151" s="1" t="str">
        <f t="shared" si="45"/>
        <v/>
      </c>
      <c r="U1151" s="1">
        <f t="shared" si="46"/>
        <v>0</v>
      </c>
      <c r="W1151" s="6">
        <f t="shared" si="49"/>
        <v>0</v>
      </c>
      <c r="X1151" s="6">
        <f t="shared" si="41"/>
        <v>0</v>
      </c>
      <c r="Y1151" s="1">
        <f t="shared" si="47"/>
        <v>1</v>
      </c>
      <c r="Z1151" s="1">
        <f>IF(COUNTIF($Y$6:Y1151,Y1151)=1,Y1151,Y1151+COUNTIF($Y$5:Y1150,Y1151))</f>
        <v>146</v>
      </c>
      <c r="AD1151" s="1" t="str">
        <f t="shared" si="48"/>
        <v/>
      </c>
      <c r="BA1151" s="1">
        <f>IF(W1151&lt;=Leltar_iv!$Y$1,I1151,0)</f>
        <v>0</v>
      </c>
    </row>
    <row r="1152" spans="1:53" s="1" customFormat="1" x14ac:dyDescent="0.25">
      <c r="A1152" s="18">
        <f>IF(COUNTIF($Y$6:Y1152,Y1152)=1,Y1152,Y1152+COUNTIF($Y$5:Y1151,Y1152))</f>
        <v>147</v>
      </c>
      <c r="B1152" s="1">
        <f>IF(AND(Kisero_iv!$N$2=C1152,Kisero_iv!$K$5=$B$3,SUM(I1152:L1156)&lt;&gt;0,$B$4=YEAR(W1152)),B1151+1,0)</f>
        <v>0</v>
      </c>
      <c r="C1152" s="1">
        <f t="shared" si="42"/>
        <v>147</v>
      </c>
      <c r="D1152" s="102" t="str">
        <f t="shared" si="43"/>
        <v/>
      </c>
      <c r="E1152" s="44"/>
      <c r="F1152" s="45"/>
      <c r="G1152" s="45"/>
      <c r="H1152" s="45"/>
      <c r="I1152" s="46"/>
      <c r="J1152" s="111" t="str">
        <f>IF(AND(G1152&lt;&gt;"",ISERROR(VLOOKUP(G1152,Keszlet!$C$5:$H$200,6,FALSE))=FALSE),VLOOKUP(G1152,Keszlet!$C$5:$H$200,6,FALSE),"")</f>
        <v/>
      </c>
      <c r="K1152" s="106" t="str">
        <f>IF(AND(G1152&lt;&gt;"",ISERROR(VLOOKUP(G1152,Keszlet!$C$5:$G$200,5,FALSE))=FALSE),VLOOKUP(G1152,Keszlet!$C$5:$G$200,5,FALSE),"")</f>
        <v/>
      </c>
      <c r="L1152" s="106" t="str">
        <f t="shared" si="44"/>
        <v/>
      </c>
      <c r="M1152" s="115" t="str">
        <f>IF(ISERROR(VLOOKUP(G1152,Keszlet!$C$5:$I$200,7,FALSE))=TRUE,"",IF(AND(J1151&lt;&gt;"",J1153=""),VLOOKUP(G1152,Keszlet!$C$5:$I$200,7,FALSE),""))</f>
        <v/>
      </c>
      <c r="Q1152" s="1">
        <f>VLOOKUP(G1152,Keszlet!$C$5:$E$205,3,FALSE)</f>
        <v>0</v>
      </c>
      <c r="T1152" s="1" t="str">
        <f t="shared" si="45"/>
        <v/>
      </c>
      <c r="U1152" s="1">
        <f t="shared" si="46"/>
        <v>0</v>
      </c>
      <c r="W1152" s="6">
        <f t="shared" si="49"/>
        <v>0</v>
      </c>
      <c r="X1152" s="6">
        <f t="shared" si="41"/>
        <v>0</v>
      </c>
      <c r="Y1152" s="1">
        <f t="shared" si="47"/>
        <v>1</v>
      </c>
      <c r="Z1152" s="1">
        <f>IF(COUNTIF($Y$6:Y1152,Y1152)=1,Y1152,Y1152+COUNTIF($Y$5:Y1151,Y1152))</f>
        <v>147</v>
      </c>
      <c r="AD1152" s="1" t="str">
        <f t="shared" si="48"/>
        <v/>
      </c>
      <c r="BA1152" s="1">
        <f>IF(W1152&lt;=Leltar_iv!$Y$1,I1152,0)</f>
        <v>0</v>
      </c>
    </row>
    <row r="1153" spans="1:53" s="1" customFormat="1" x14ac:dyDescent="0.25">
      <c r="A1153" s="18">
        <f>IF(COUNTIF($Y$6:Y1153,Y1153)=1,Y1153,Y1153+COUNTIF($Y$5:Y1152,Y1153))</f>
        <v>148</v>
      </c>
      <c r="B1153" s="1">
        <f>IF(AND(Kisero_iv!$N$2=C1153,Kisero_iv!$K$5=$B$3,SUM(I1153:L1157)&lt;&gt;0,$B$4=YEAR(W1153)),B1152+1,0)</f>
        <v>0</v>
      </c>
      <c r="C1153" s="1">
        <f t="shared" si="42"/>
        <v>148</v>
      </c>
      <c r="D1153" s="102" t="str">
        <f t="shared" si="43"/>
        <v/>
      </c>
      <c r="E1153" s="44"/>
      <c r="F1153" s="45"/>
      <c r="G1153" s="45"/>
      <c r="H1153" s="45"/>
      <c r="I1153" s="46"/>
      <c r="J1153" s="111" t="str">
        <f>IF(AND(G1153&lt;&gt;"",ISERROR(VLOOKUP(G1153,Keszlet!$C$5:$H$200,6,FALSE))=FALSE),VLOOKUP(G1153,Keszlet!$C$5:$H$200,6,FALSE),"")</f>
        <v/>
      </c>
      <c r="K1153" s="106" t="str">
        <f>IF(AND(G1153&lt;&gt;"",ISERROR(VLOOKUP(G1153,Keszlet!$C$5:$G$200,5,FALSE))=FALSE),VLOOKUP(G1153,Keszlet!$C$5:$G$200,5,FALSE),"")</f>
        <v/>
      </c>
      <c r="L1153" s="106" t="str">
        <f t="shared" si="44"/>
        <v/>
      </c>
      <c r="M1153" s="115" t="str">
        <f>IF(ISERROR(VLOOKUP(G1153,Keszlet!$C$5:$I$200,7,FALSE))=TRUE,"",IF(AND(J1152&lt;&gt;"",J1154=""),VLOOKUP(G1153,Keszlet!$C$5:$I$200,7,FALSE),""))</f>
        <v/>
      </c>
      <c r="Q1153" s="1">
        <f>VLOOKUP(G1153,Keszlet!$C$5:$E$205,3,FALSE)</f>
        <v>0</v>
      </c>
      <c r="T1153" s="1" t="str">
        <f t="shared" si="45"/>
        <v/>
      </c>
      <c r="U1153" s="1">
        <f t="shared" si="46"/>
        <v>0</v>
      </c>
      <c r="W1153" s="6">
        <f t="shared" si="49"/>
        <v>0</v>
      </c>
      <c r="X1153" s="6">
        <f t="shared" si="41"/>
        <v>0</v>
      </c>
      <c r="Y1153" s="1">
        <f t="shared" si="47"/>
        <v>1</v>
      </c>
      <c r="Z1153" s="1">
        <f>IF(COUNTIF($Y$6:Y1153,Y1153)=1,Y1153,Y1153+COUNTIF($Y$5:Y1152,Y1153))</f>
        <v>148</v>
      </c>
      <c r="AD1153" s="1" t="str">
        <f t="shared" si="48"/>
        <v/>
      </c>
      <c r="BA1153" s="1">
        <f>IF(W1153&lt;=Leltar_iv!$Y$1,I1153,0)</f>
        <v>0</v>
      </c>
    </row>
    <row r="1154" spans="1:53" s="1" customFormat="1" x14ac:dyDescent="0.25">
      <c r="A1154" s="18">
        <f>IF(COUNTIF($Y$6:Y1154,Y1154)=1,Y1154,Y1154+COUNTIF($Y$5:Y1153,Y1154))</f>
        <v>149</v>
      </c>
      <c r="B1154" s="1">
        <f>IF(AND(Kisero_iv!$N$2=C1154,Kisero_iv!$K$5=$B$3,SUM(I1154:L1158)&lt;&gt;0,$B$4=YEAR(W1154)),B1153+1,0)</f>
        <v>0</v>
      </c>
      <c r="C1154" s="1">
        <f t="shared" si="42"/>
        <v>149</v>
      </c>
      <c r="D1154" s="102" t="str">
        <f t="shared" si="43"/>
        <v/>
      </c>
      <c r="E1154" s="44"/>
      <c r="F1154" s="45"/>
      <c r="G1154" s="45"/>
      <c r="H1154" s="45"/>
      <c r="I1154" s="46"/>
      <c r="J1154" s="111" t="str">
        <f>IF(AND(G1154&lt;&gt;"",ISERROR(VLOOKUP(G1154,Keszlet!$C$5:$H$200,6,FALSE))=FALSE),VLOOKUP(G1154,Keszlet!$C$5:$H$200,6,FALSE),"")</f>
        <v/>
      </c>
      <c r="K1154" s="106" t="str">
        <f>IF(AND(G1154&lt;&gt;"",ISERROR(VLOOKUP(G1154,Keszlet!$C$5:$G$200,5,FALSE))=FALSE),VLOOKUP(G1154,Keszlet!$C$5:$G$200,5,FALSE),"")</f>
        <v/>
      </c>
      <c r="L1154" s="106" t="str">
        <f t="shared" si="44"/>
        <v/>
      </c>
      <c r="M1154" s="115" t="str">
        <f>IF(ISERROR(VLOOKUP(G1154,Keszlet!$C$5:$I$200,7,FALSE))=TRUE,"",IF(AND(J1153&lt;&gt;"",J1155=""),VLOOKUP(G1154,Keszlet!$C$5:$I$200,7,FALSE),""))</f>
        <v/>
      </c>
      <c r="Q1154" s="1">
        <f>VLOOKUP(G1154,Keszlet!$C$5:$E$205,3,FALSE)</f>
        <v>0</v>
      </c>
      <c r="T1154" s="1" t="str">
        <f t="shared" si="45"/>
        <v/>
      </c>
      <c r="U1154" s="1">
        <f t="shared" si="46"/>
        <v>0</v>
      </c>
      <c r="W1154" s="6">
        <f t="shared" si="49"/>
        <v>0</v>
      </c>
      <c r="X1154" s="6">
        <f t="shared" si="41"/>
        <v>0</v>
      </c>
      <c r="Y1154" s="1">
        <f t="shared" si="47"/>
        <v>1</v>
      </c>
      <c r="Z1154" s="1">
        <f>IF(COUNTIF($Y$6:Y1154,Y1154)=1,Y1154,Y1154+COUNTIF($Y$5:Y1153,Y1154))</f>
        <v>149</v>
      </c>
      <c r="AD1154" s="1" t="str">
        <f t="shared" si="48"/>
        <v/>
      </c>
      <c r="BA1154" s="1">
        <f>IF(W1154&lt;=Leltar_iv!$Y$1,I1154,0)</f>
        <v>0</v>
      </c>
    </row>
    <row r="1155" spans="1:53" s="1" customFormat="1" x14ac:dyDescent="0.25">
      <c r="A1155" s="18">
        <f>IF(COUNTIF($Y$6:Y1155,Y1155)=1,Y1155,Y1155+COUNTIF($Y$5:Y1154,Y1155))</f>
        <v>150</v>
      </c>
      <c r="B1155" s="1">
        <f>IF(AND(Kisero_iv!$N$2=C1155,Kisero_iv!$K$5=$B$3,SUM(I1155:L1159)&lt;&gt;0,$B$4=YEAR(W1155)),B1154+1,0)</f>
        <v>0</v>
      </c>
      <c r="C1155" s="1">
        <f t="shared" si="42"/>
        <v>150</v>
      </c>
      <c r="D1155" s="102" t="str">
        <f t="shared" si="43"/>
        <v/>
      </c>
      <c r="E1155" s="44"/>
      <c r="F1155" s="45"/>
      <c r="G1155" s="45"/>
      <c r="H1155" s="45"/>
      <c r="I1155" s="46"/>
      <c r="J1155" s="111" t="str">
        <f>IF(AND(G1155&lt;&gt;"",ISERROR(VLOOKUP(G1155,Keszlet!$C$5:$H$200,6,FALSE))=FALSE),VLOOKUP(G1155,Keszlet!$C$5:$H$200,6,FALSE),"")</f>
        <v/>
      </c>
      <c r="K1155" s="106" t="str">
        <f>IF(AND(G1155&lt;&gt;"",ISERROR(VLOOKUP(G1155,Keszlet!$C$5:$G$200,5,FALSE))=FALSE),VLOOKUP(G1155,Keszlet!$C$5:$G$200,5,FALSE),"")</f>
        <v/>
      </c>
      <c r="L1155" s="106" t="str">
        <f t="shared" si="44"/>
        <v/>
      </c>
      <c r="M1155" s="115" t="str">
        <f>IF(ISERROR(VLOOKUP(G1155,Keszlet!$C$5:$I$200,7,FALSE))=TRUE,"",IF(AND(J1154&lt;&gt;"",J1156=""),VLOOKUP(G1155,Keszlet!$C$5:$I$200,7,FALSE),""))</f>
        <v/>
      </c>
      <c r="Q1155" s="1">
        <f>VLOOKUP(G1155,Keszlet!$C$5:$E$205,3,FALSE)</f>
        <v>0</v>
      </c>
      <c r="T1155" s="1" t="str">
        <f t="shared" si="45"/>
        <v/>
      </c>
      <c r="U1155" s="1">
        <f t="shared" si="46"/>
        <v>0</v>
      </c>
      <c r="W1155" s="6">
        <f t="shared" si="49"/>
        <v>0</v>
      </c>
      <c r="X1155" s="6">
        <f t="shared" si="41"/>
        <v>0</v>
      </c>
      <c r="Y1155" s="1">
        <f t="shared" si="47"/>
        <v>1</v>
      </c>
      <c r="Z1155" s="1">
        <f>IF(COUNTIF($Y$6:Y1155,Y1155)=1,Y1155,Y1155+COUNTIF($Y$5:Y1154,Y1155))</f>
        <v>150</v>
      </c>
      <c r="AD1155" s="1" t="str">
        <f t="shared" si="48"/>
        <v/>
      </c>
      <c r="BA1155" s="1">
        <f>IF(W1155&lt;=Leltar_iv!$Y$1,I1155,0)</f>
        <v>0</v>
      </c>
    </row>
    <row r="1156" spans="1:53" s="1" customFormat="1" x14ac:dyDescent="0.25">
      <c r="A1156" s="18">
        <f>IF(COUNTIF($Y$6:Y1156,Y1156)=1,Y1156,Y1156+COUNTIF($Y$5:Y1155,Y1156))</f>
        <v>151</v>
      </c>
      <c r="B1156" s="1">
        <f>IF(AND(Kisero_iv!$N$2=C1156,Kisero_iv!$K$5=$B$3,SUM(I1156:L1160)&lt;&gt;0,$B$4=YEAR(W1156)),B1155+1,0)</f>
        <v>0</v>
      </c>
      <c r="C1156" s="1">
        <f t="shared" si="42"/>
        <v>151</v>
      </c>
      <c r="D1156" s="102" t="str">
        <f t="shared" si="43"/>
        <v/>
      </c>
      <c r="E1156" s="44"/>
      <c r="F1156" s="45"/>
      <c r="G1156" s="45"/>
      <c r="H1156" s="45"/>
      <c r="I1156" s="46"/>
      <c r="J1156" s="111" t="str">
        <f>IF(AND(G1156&lt;&gt;"",ISERROR(VLOOKUP(G1156,Keszlet!$C$5:$H$200,6,FALSE))=FALSE),VLOOKUP(G1156,Keszlet!$C$5:$H$200,6,FALSE),"")</f>
        <v/>
      </c>
      <c r="K1156" s="106" t="str">
        <f>IF(AND(G1156&lt;&gt;"",ISERROR(VLOOKUP(G1156,Keszlet!$C$5:$G$200,5,FALSE))=FALSE),VLOOKUP(G1156,Keszlet!$C$5:$G$200,5,FALSE),"")</f>
        <v/>
      </c>
      <c r="L1156" s="106" t="str">
        <f t="shared" si="44"/>
        <v/>
      </c>
      <c r="M1156" s="115" t="str">
        <f>IF(ISERROR(VLOOKUP(G1156,Keszlet!$C$5:$I$200,7,FALSE))=TRUE,"",IF(AND(J1155&lt;&gt;"",J1157=""),VLOOKUP(G1156,Keszlet!$C$5:$I$200,7,FALSE),""))</f>
        <v/>
      </c>
      <c r="Q1156" s="1">
        <f>VLOOKUP(G1156,Keszlet!$C$5:$E$205,3,FALSE)</f>
        <v>0</v>
      </c>
      <c r="T1156" s="1" t="str">
        <f t="shared" si="45"/>
        <v/>
      </c>
      <c r="U1156" s="1">
        <f t="shared" si="46"/>
        <v>0</v>
      </c>
      <c r="W1156" s="6">
        <f t="shared" si="49"/>
        <v>0</v>
      </c>
      <c r="X1156" s="6">
        <f t="shared" si="41"/>
        <v>0</v>
      </c>
      <c r="Y1156" s="1">
        <f t="shared" si="47"/>
        <v>1</v>
      </c>
      <c r="Z1156" s="1">
        <f>IF(COUNTIF($Y$6:Y1156,Y1156)=1,Y1156,Y1156+COUNTIF($Y$5:Y1155,Y1156))</f>
        <v>151</v>
      </c>
      <c r="AD1156" s="1" t="str">
        <f t="shared" si="48"/>
        <v/>
      </c>
      <c r="BA1156" s="1">
        <f>IF(W1156&lt;=Leltar_iv!$Y$1,I1156,0)</f>
        <v>0</v>
      </c>
    </row>
    <row r="1157" spans="1:53" s="1" customFormat="1" x14ac:dyDescent="0.25">
      <c r="A1157" s="18">
        <f>IF(COUNTIF($Y$6:Y1157,Y1157)=1,Y1157,Y1157+COUNTIF($Y$5:Y1156,Y1157))</f>
        <v>152</v>
      </c>
      <c r="B1157" s="1">
        <f>IF(AND(Kisero_iv!$N$2=C1157,Kisero_iv!$K$5=$B$3,SUM(I1157:L1161)&lt;&gt;0,$B$4=YEAR(W1157)),B1156+1,0)</f>
        <v>0</v>
      </c>
      <c r="C1157" s="1">
        <f t="shared" si="42"/>
        <v>152</v>
      </c>
      <c r="D1157" s="102" t="str">
        <f t="shared" si="43"/>
        <v/>
      </c>
      <c r="E1157" s="44"/>
      <c r="F1157" s="45"/>
      <c r="G1157" s="45"/>
      <c r="H1157" s="45"/>
      <c r="I1157" s="46"/>
      <c r="J1157" s="111" t="str">
        <f>IF(AND(G1157&lt;&gt;"",ISERROR(VLOOKUP(G1157,Keszlet!$C$5:$H$200,6,FALSE))=FALSE),VLOOKUP(G1157,Keszlet!$C$5:$H$200,6,FALSE),"")</f>
        <v/>
      </c>
      <c r="K1157" s="106" t="str">
        <f>IF(AND(G1157&lt;&gt;"",ISERROR(VLOOKUP(G1157,Keszlet!$C$5:$G$200,5,FALSE))=FALSE),VLOOKUP(G1157,Keszlet!$C$5:$G$200,5,FALSE),"")</f>
        <v/>
      </c>
      <c r="L1157" s="106" t="str">
        <f t="shared" si="44"/>
        <v/>
      </c>
      <c r="M1157" s="115" t="str">
        <f>IF(ISERROR(VLOOKUP(G1157,Keszlet!$C$5:$I$200,7,FALSE))=TRUE,"",IF(AND(J1156&lt;&gt;"",J1158=""),VLOOKUP(G1157,Keszlet!$C$5:$I$200,7,FALSE),""))</f>
        <v/>
      </c>
      <c r="Q1157" s="1">
        <f>VLOOKUP(G1157,Keszlet!$C$5:$E$205,3,FALSE)</f>
        <v>0</v>
      </c>
      <c r="T1157" s="1" t="str">
        <f t="shared" si="45"/>
        <v/>
      </c>
      <c r="U1157" s="1">
        <f t="shared" si="46"/>
        <v>0</v>
      </c>
      <c r="W1157" s="6">
        <f t="shared" si="49"/>
        <v>0</v>
      </c>
      <c r="X1157" s="6">
        <f t="shared" si="41"/>
        <v>0</v>
      </c>
      <c r="Y1157" s="1">
        <f t="shared" si="47"/>
        <v>1</v>
      </c>
      <c r="Z1157" s="1">
        <f>IF(COUNTIF($Y$6:Y1157,Y1157)=1,Y1157,Y1157+COUNTIF($Y$5:Y1156,Y1157))</f>
        <v>152</v>
      </c>
      <c r="AD1157" s="1" t="str">
        <f t="shared" si="48"/>
        <v/>
      </c>
      <c r="BA1157" s="1">
        <f>IF(W1157&lt;=Leltar_iv!$Y$1,I1157,0)</f>
        <v>0</v>
      </c>
    </row>
    <row r="1158" spans="1:53" s="1" customFormat="1" x14ac:dyDescent="0.25">
      <c r="A1158" s="18">
        <f>IF(COUNTIF($Y$6:Y1158,Y1158)=1,Y1158,Y1158+COUNTIF($Y$5:Y1157,Y1158))</f>
        <v>153</v>
      </c>
      <c r="B1158" s="1">
        <f>IF(AND(Kisero_iv!$N$2=C1158,Kisero_iv!$K$5=$B$3,SUM(I1158:L1162)&lt;&gt;0,$B$4=YEAR(W1158)),B1157+1,0)</f>
        <v>0</v>
      </c>
      <c r="C1158" s="1">
        <f t="shared" si="42"/>
        <v>153</v>
      </c>
      <c r="D1158" s="102" t="str">
        <f t="shared" si="43"/>
        <v/>
      </c>
      <c r="E1158" s="44"/>
      <c r="F1158" s="45"/>
      <c r="G1158" s="45"/>
      <c r="H1158" s="45"/>
      <c r="I1158" s="46"/>
      <c r="J1158" s="111" t="str">
        <f>IF(AND(G1158&lt;&gt;"",ISERROR(VLOOKUP(G1158,Keszlet!$C$5:$H$200,6,FALSE))=FALSE),VLOOKUP(G1158,Keszlet!$C$5:$H$200,6,FALSE),"")</f>
        <v/>
      </c>
      <c r="K1158" s="106" t="str">
        <f>IF(AND(G1158&lt;&gt;"",ISERROR(VLOOKUP(G1158,Keszlet!$C$5:$G$200,5,FALSE))=FALSE),VLOOKUP(G1158,Keszlet!$C$5:$G$200,5,FALSE),"")</f>
        <v/>
      </c>
      <c r="L1158" s="106" t="str">
        <f t="shared" si="44"/>
        <v/>
      </c>
      <c r="M1158" s="115" t="str">
        <f>IF(ISERROR(VLOOKUP(G1158,Keszlet!$C$5:$I$200,7,FALSE))=TRUE,"",IF(AND(J1157&lt;&gt;"",J1159=""),VLOOKUP(G1158,Keszlet!$C$5:$I$200,7,FALSE),""))</f>
        <v/>
      </c>
      <c r="Q1158" s="1">
        <f>VLOOKUP(G1158,Keszlet!$C$5:$E$205,3,FALSE)</f>
        <v>0</v>
      </c>
      <c r="T1158" s="1" t="str">
        <f t="shared" si="45"/>
        <v/>
      </c>
      <c r="U1158" s="1">
        <f t="shared" si="46"/>
        <v>0</v>
      </c>
      <c r="W1158" s="6">
        <f t="shared" si="49"/>
        <v>0</v>
      </c>
      <c r="X1158" s="6">
        <f t="shared" si="41"/>
        <v>0</v>
      </c>
      <c r="Y1158" s="1">
        <f t="shared" si="47"/>
        <v>1</v>
      </c>
      <c r="Z1158" s="1">
        <f>IF(COUNTIF($Y$6:Y1158,Y1158)=1,Y1158,Y1158+COUNTIF($Y$5:Y1157,Y1158))</f>
        <v>153</v>
      </c>
      <c r="AD1158" s="1" t="str">
        <f t="shared" si="48"/>
        <v/>
      </c>
      <c r="BA1158" s="1">
        <f>IF(W1158&lt;=Leltar_iv!$Y$1,I1158,0)</f>
        <v>0</v>
      </c>
    </row>
    <row r="1159" spans="1:53" s="1" customFormat="1" x14ac:dyDescent="0.25">
      <c r="A1159" s="18">
        <f>IF(COUNTIF($Y$6:Y1159,Y1159)=1,Y1159,Y1159+COUNTIF($Y$5:Y1158,Y1159))</f>
        <v>154</v>
      </c>
      <c r="B1159" s="1">
        <f>IF(AND(Kisero_iv!$N$2=C1159,Kisero_iv!$K$5=$B$3,SUM(I1159:L1163)&lt;&gt;0,$B$4=YEAR(W1159)),B1158+1,0)</f>
        <v>0</v>
      </c>
      <c r="C1159" s="1">
        <f t="shared" si="42"/>
        <v>154</v>
      </c>
      <c r="D1159" s="102" t="str">
        <f t="shared" si="43"/>
        <v/>
      </c>
      <c r="E1159" s="44"/>
      <c r="F1159" s="45"/>
      <c r="G1159" s="45"/>
      <c r="H1159" s="45"/>
      <c r="I1159" s="46"/>
      <c r="J1159" s="111" t="str">
        <f>IF(AND(G1159&lt;&gt;"",ISERROR(VLOOKUP(G1159,Keszlet!$C$5:$H$200,6,FALSE))=FALSE),VLOOKUP(G1159,Keszlet!$C$5:$H$200,6,FALSE),"")</f>
        <v/>
      </c>
      <c r="K1159" s="106" t="str">
        <f>IF(AND(G1159&lt;&gt;"",ISERROR(VLOOKUP(G1159,Keszlet!$C$5:$G$200,5,FALSE))=FALSE),VLOOKUP(G1159,Keszlet!$C$5:$G$200,5,FALSE),"")</f>
        <v/>
      </c>
      <c r="L1159" s="106" t="str">
        <f t="shared" si="44"/>
        <v/>
      </c>
      <c r="M1159" s="115" t="str">
        <f>IF(ISERROR(VLOOKUP(G1159,Keszlet!$C$5:$I$200,7,FALSE))=TRUE,"",IF(AND(J1158&lt;&gt;"",J1160=""),VLOOKUP(G1159,Keszlet!$C$5:$I$200,7,FALSE),""))</f>
        <v/>
      </c>
      <c r="Q1159" s="1">
        <f>VLOOKUP(G1159,Keszlet!$C$5:$E$205,3,FALSE)</f>
        <v>0</v>
      </c>
      <c r="T1159" s="1" t="str">
        <f t="shared" si="45"/>
        <v/>
      </c>
      <c r="U1159" s="1">
        <f t="shared" si="46"/>
        <v>0</v>
      </c>
      <c r="W1159" s="6">
        <f t="shared" si="49"/>
        <v>0</v>
      </c>
      <c r="X1159" s="6">
        <f t="shared" si="41"/>
        <v>0</v>
      </c>
      <c r="Y1159" s="1">
        <f t="shared" si="47"/>
        <v>1</v>
      </c>
      <c r="Z1159" s="1">
        <f>IF(COUNTIF($Y$6:Y1159,Y1159)=1,Y1159,Y1159+COUNTIF($Y$5:Y1158,Y1159))</f>
        <v>154</v>
      </c>
      <c r="AD1159" s="1" t="str">
        <f t="shared" si="48"/>
        <v/>
      </c>
      <c r="BA1159" s="1">
        <f>IF(W1159&lt;=Leltar_iv!$Y$1,I1159,0)</f>
        <v>0</v>
      </c>
    </row>
    <row r="1160" spans="1:53" s="1" customFormat="1" x14ac:dyDescent="0.25">
      <c r="A1160" s="18">
        <f>IF(COUNTIF($Y$6:Y1160,Y1160)=1,Y1160,Y1160+COUNTIF($Y$5:Y1159,Y1160))</f>
        <v>155</v>
      </c>
      <c r="B1160" s="1">
        <f>IF(AND(Kisero_iv!$N$2=C1160,Kisero_iv!$K$5=$B$3,SUM(I1160:L1164)&lt;&gt;0,$B$4=YEAR(W1160)),B1159+1,0)</f>
        <v>0</v>
      </c>
      <c r="C1160" s="1">
        <f t="shared" si="42"/>
        <v>155</v>
      </c>
      <c r="D1160" s="102" t="str">
        <f t="shared" si="43"/>
        <v/>
      </c>
      <c r="E1160" s="44"/>
      <c r="F1160" s="45"/>
      <c r="G1160" s="45"/>
      <c r="H1160" s="45"/>
      <c r="I1160" s="46"/>
      <c r="J1160" s="111" t="str">
        <f>IF(AND(G1160&lt;&gt;"",ISERROR(VLOOKUP(G1160,Keszlet!$C$5:$H$200,6,FALSE))=FALSE),VLOOKUP(G1160,Keszlet!$C$5:$H$200,6,FALSE),"")</f>
        <v/>
      </c>
      <c r="K1160" s="106" t="str">
        <f>IF(AND(G1160&lt;&gt;"",ISERROR(VLOOKUP(G1160,Keszlet!$C$5:$G$200,5,FALSE))=FALSE),VLOOKUP(G1160,Keszlet!$C$5:$G$200,5,FALSE),"")</f>
        <v/>
      </c>
      <c r="L1160" s="106" t="str">
        <f t="shared" si="44"/>
        <v/>
      </c>
      <c r="M1160" s="115" t="str">
        <f>IF(ISERROR(VLOOKUP(G1160,Keszlet!$C$5:$I$200,7,FALSE))=TRUE,"",IF(AND(J1159&lt;&gt;"",J1161=""),VLOOKUP(G1160,Keszlet!$C$5:$I$200,7,FALSE),""))</f>
        <v/>
      </c>
      <c r="Q1160" s="1">
        <f>VLOOKUP(G1160,Keszlet!$C$5:$E$205,3,FALSE)</f>
        <v>0</v>
      </c>
      <c r="T1160" s="1" t="str">
        <f t="shared" si="45"/>
        <v/>
      </c>
      <c r="U1160" s="1">
        <f t="shared" si="46"/>
        <v>0</v>
      </c>
      <c r="W1160" s="6">
        <f t="shared" si="49"/>
        <v>0</v>
      </c>
      <c r="X1160" s="6">
        <f t="shared" si="41"/>
        <v>0</v>
      </c>
      <c r="Y1160" s="1">
        <f t="shared" si="47"/>
        <v>1</v>
      </c>
      <c r="Z1160" s="1">
        <f>IF(COUNTIF($Y$6:Y1160,Y1160)=1,Y1160,Y1160+COUNTIF($Y$5:Y1159,Y1160))</f>
        <v>155</v>
      </c>
      <c r="AD1160" s="1" t="str">
        <f t="shared" si="48"/>
        <v/>
      </c>
      <c r="BA1160" s="1">
        <f>IF(W1160&lt;=Leltar_iv!$Y$1,I1160,0)</f>
        <v>0</v>
      </c>
    </row>
    <row r="1161" spans="1:53" s="1" customFormat="1" x14ac:dyDescent="0.25">
      <c r="A1161" s="18">
        <f>IF(COUNTIF($Y$6:Y1161,Y1161)=1,Y1161,Y1161+COUNTIF($Y$5:Y1160,Y1161))</f>
        <v>156</v>
      </c>
      <c r="B1161" s="1">
        <f>IF(AND(Kisero_iv!$N$2=C1161,Kisero_iv!$K$5=$B$3,SUM(I1161:L1165)&lt;&gt;0,$B$4=YEAR(W1161)),B1160+1,0)</f>
        <v>0</v>
      </c>
      <c r="C1161" s="1">
        <f t="shared" si="42"/>
        <v>156</v>
      </c>
      <c r="D1161" s="102" t="str">
        <f t="shared" si="43"/>
        <v/>
      </c>
      <c r="E1161" s="44"/>
      <c r="F1161" s="45"/>
      <c r="G1161" s="45"/>
      <c r="H1161" s="45"/>
      <c r="I1161" s="46"/>
      <c r="J1161" s="111" t="str">
        <f>IF(AND(G1161&lt;&gt;"",ISERROR(VLOOKUP(G1161,Keszlet!$C$5:$H$200,6,FALSE))=FALSE),VLOOKUP(G1161,Keszlet!$C$5:$H$200,6,FALSE),"")</f>
        <v/>
      </c>
      <c r="K1161" s="106" t="str">
        <f>IF(AND(G1161&lt;&gt;"",ISERROR(VLOOKUP(G1161,Keszlet!$C$5:$G$200,5,FALSE))=FALSE),VLOOKUP(G1161,Keszlet!$C$5:$G$200,5,FALSE),"")</f>
        <v/>
      </c>
      <c r="L1161" s="106" t="str">
        <f t="shared" si="44"/>
        <v/>
      </c>
      <c r="M1161" s="115" t="str">
        <f>IF(ISERROR(VLOOKUP(G1161,Keszlet!$C$5:$I$200,7,FALSE))=TRUE,"",IF(AND(J1160&lt;&gt;"",J1162=""),VLOOKUP(G1161,Keszlet!$C$5:$I$200,7,FALSE),""))</f>
        <v/>
      </c>
      <c r="Q1161" s="1">
        <f>VLOOKUP(G1161,Keszlet!$C$5:$E$205,3,FALSE)</f>
        <v>0</v>
      </c>
      <c r="T1161" s="1" t="str">
        <f t="shared" si="45"/>
        <v/>
      </c>
      <c r="U1161" s="1">
        <f t="shared" si="46"/>
        <v>0</v>
      </c>
      <c r="W1161" s="6">
        <f t="shared" si="49"/>
        <v>0</v>
      </c>
      <c r="X1161" s="6">
        <f t="shared" si="41"/>
        <v>0</v>
      </c>
      <c r="Y1161" s="1">
        <f t="shared" si="47"/>
        <v>1</v>
      </c>
      <c r="Z1161" s="1">
        <f>IF(COUNTIF($Y$6:Y1161,Y1161)=1,Y1161,Y1161+COUNTIF($Y$5:Y1160,Y1161))</f>
        <v>156</v>
      </c>
      <c r="AD1161" s="1" t="str">
        <f t="shared" si="48"/>
        <v/>
      </c>
      <c r="BA1161" s="1">
        <f>IF(W1161&lt;=Leltar_iv!$Y$1,I1161,0)</f>
        <v>0</v>
      </c>
    </row>
    <row r="1162" spans="1:53" s="1" customFormat="1" x14ac:dyDescent="0.25">
      <c r="A1162" s="18">
        <f>IF(COUNTIF($Y$6:Y1162,Y1162)=1,Y1162,Y1162+COUNTIF($Y$5:Y1161,Y1162))</f>
        <v>157</v>
      </c>
      <c r="B1162" s="1">
        <f>IF(AND(Kisero_iv!$N$2=C1162,Kisero_iv!$K$5=$B$3,SUM(I1162:L1166)&lt;&gt;0,$B$4=YEAR(W1162)),B1161+1,0)</f>
        <v>0</v>
      </c>
      <c r="C1162" s="1">
        <f t="shared" si="42"/>
        <v>157</v>
      </c>
      <c r="D1162" s="102" t="str">
        <f t="shared" si="43"/>
        <v/>
      </c>
      <c r="E1162" s="44"/>
      <c r="F1162" s="45"/>
      <c r="G1162" s="45"/>
      <c r="H1162" s="45"/>
      <c r="I1162" s="46"/>
      <c r="J1162" s="111" t="str">
        <f>IF(AND(G1162&lt;&gt;"",ISERROR(VLOOKUP(G1162,Keszlet!$C$5:$H$200,6,FALSE))=FALSE),VLOOKUP(G1162,Keszlet!$C$5:$H$200,6,FALSE),"")</f>
        <v/>
      </c>
      <c r="K1162" s="106" t="str">
        <f>IF(AND(G1162&lt;&gt;"",ISERROR(VLOOKUP(G1162,Keszlet!$C$5:$G$200,5,FALSE))=FALSE),VLOOKUP(G1162,Keszlet!$C$5:$G$200,5,FALSE),"")</f>
        <v/>
      </c>
      <c r="L1162" s="106" t="str">
        <f t="shared" si="44"/>
        <v/>
      </c>
      <c r="M1162" s="115" t="str">
        <f>IF(ISERROR(VLOOKUP(G1162,Keszlet!$C$5:$I$200,7,FALSE))=TRUE,"",IF(AND(J1161&lt;&gt;"",J1163=""),VLOOKUP(G1162,Keszlet!$C$5:$I$200,7,FALSE),""))</f>
        <v/>
      </c>
      <c r="Q1162" s="1">
        <f>VLOOKUP(G1162,Keszlet!$C$5:$E$205,3,FALSE)</f>
        <v>0</v>
      </c>
      <c r="T1162" s="1" t="str">
        <f t="shared" si="45"/>
        <v/>
      </c>
      <c r="U1162" s="1">
        <f t="shared" si="46"/>
        <v>0</v>
      </c>
      <c r="W1162" s="6">
        <f t="shared" si="49"/>
        <v>0</v>
      </c>
      <c r="X1162" s="6">
        <f t="shared" si="41"/>
        <v>0</v>
      </c>
      <c r="Y1162" s="1">
        <f t="shared" si="47"/>
        <v>1</v>
      </c>
      <c r="Z1162" s="1">
        <f>IF(COUNTIF($Y$6:Y1162,Y1162)=1,Y1162,Y1162+COUNTIF($Y$5:Y1161,Y1162))</f>
        <v>157</v>
      </c>
      <c r="AD1162" s="1" t="str">
        <f t="shared" si="48"/>
        <v/>
      </c>
      <c r="BA1162" s="1">
        <f>IF(W1162&lt;=Leltar_iv!$Y$1,I1162,0)</f>
        <v>0</v>
      </c>
    </row>
    <row r="1163" spans="1:53" s="1" customFormat="1" x14ac:dyDescent="0.25">
      <c r="A1163" s="18">
        <f>IF(COUNTIF($Y$6:Y1163,Y1163)=1,Y1163,Y1163+COUNTIF($Y$5:Y1162,Y1163))</f>
        <v>158</v>
      </c>
      <c r="B1163" s="1">
        <f>IF(AND(Kisero_iv!$N$2=C1163,Kisero_iv!$K$5=$B$3,SUM(I1163:L1167)&lt;&gt;0,$B$4=YEAR(W1163)),B1162+1,0)</f>
        <v>0</v>
      </c>
      <c r="C1163" s="1">
        <f t="shared" si="42"/>
        <v>158</v>
      </c>
      <c r="D1163" s="102" t="str">
        <f t="shared" si="43"/>
        <v/>
      </c>
      <c r="E1163" s="44"/>
      <c r="F1163" s="45"/>
      <c r="G1163" s="45"/>
      <c r="H1163" s="45"/>
      <c r="I1163" s="46"/>
      <c r="J1163" s="111" t="str">
        <f>IF(AND(G1163&lt;&gt;"",ISERROR(VLOOKUP(G1163,Keszlet!$C$5:$H$200,6,FALSE))=FALSE),VLOOKUP(G1163,Keszlet!$C$5:$H$200,6,FALSE),"")</f>
        <v/>
      </c>
      <c r="K1163" s="106" t="str">
        <f>IF(AND(G1163&lt;&gt;"",ISERROR(VLOOKUP(G1163,Keszlet!$C$5:$G$200,5,FALSE))=FALSE),VLOOKUP(G1163,Keszlet!$C$5:$G$200,5,FALSE),"")</f>
        <v/>
      </c>
      <c r="L1163" s="106" t="str">
        <f t="shared" si="44"/>
        <v/>
      </c>
      <c r="M1163" s="115" t="str">
        <f>IF(ISERROR(VLOOKUP(G1163,Keszlet!$C$5:$I$200,7,FALSE))=TRUE,"",IF(AND(J1162&lt;&gt;"",J1164=""),VLOOKUP(G1163,Keszlet!$C$5:$I$200,7,FALSE),""))</f>
        <v/>
      </c>
      <c r="Q1163" s="1">
        <f>VLOOKUP(G1163,Keszlet!$C$5:$E$205,3,FALSE)</f>
        <v>0</v>
      </c>
      <c r="T1163" s="1" t="str">
        <f t="shared" si="45"/>
        <v/>
      </c>
      <c r="U1163" s="1">
        <f t="shared" si="46"/>
        <v>0</v>
      </c>
      <c r="W1163" s="6">
        <f t="shared" si="49"/>
        <v>0</v>
      </c>
      <c r="X1163" s="6">
        <f t="shared" si="41"/>
        <v>0</v>
      </c>
      <c r="Y1163" s="1">
        <f t="shared" si="47"/>
        <v>1</v>
      </c>
      <c r="Z1163" s="1">
        <f>IF(COUNTIF($Y$6:Y1163,Y1163)=1,Y1163,Y1163+COUNTIF($Y$5:Y1162,Y1163))</f>
        <v>158</v>
      </c>
      <c r="AD1163" s="1" t="str">
        <f t="shared" si="48"/>
        <v/>
      </c>
      <c r="BA1163" s="1">
        <f>IF(W1163&lt;=Leltar_iv!$Y$1,I1163,0)</f>
        <v>0</v>
      </c>
    </row>
    <row r="1164" spans="1:53" s="1" customFormat="1" x14ac:dyDescent="0.25">
      <c r="A1164" s="18">
        <f>IF(COUNTIF($Y$6:Y1164,Y1164)=1,Y1164,Y1164+COUNTIF($Y$5:Y1163,Y1164))</f>
        <v>159</v>
      </c>
      <c r="B1164" s="1">
        <f>IF(AND(Kisero_iv!$N$2=C1164,Kisero_iv!$K$5=$B$3,SUM(I1164:L1168)&lt;&gt;0,$B$4=YEAR(W1164)),B1163+1,0)</f>
        <v>0</v>
      </c>
      <c r="C1164" s="1">
        <f t="shared" si="42"/>
        <v>159</v>
      </c>
      <c r="D1164" s="102" t="str">
        <f t="shared" si="43"/>
        <v/>
      </c>
      <c r="E1164" s="44"/>
      <c r="F1164" s="45"/>
      <c r="G1164" s="45"/>
      <c r="H1164" s="45"/>
      <c r="I1164" s="46"/>
      <c r="J1164" s="111" t="str">
        <f>IF(AND(G1164&lt;&gt;"",ISERROR(VLOOKUP(G1164,Keszlet!$C$5:$H$200,6,FALSE))=FALSE),VLOOKUP(G1164,Keszlet!$C$5:$H$200,6,FALSE),"")</f>
        <v/>
      </c>
      <c r="K1164" s="106" t="str">
        <f>IF(AND(G1164&lt;&gt;"",ISERROR(VLOOKUP(G1164,Keszlet!$C$5:$G$200,5,FALSE))=FALSE),VLOOKUP(G1164,Keszlet!$C$5:$G$200,5,FALSE),"")</f>
        <v/>
      </c>
      <c r="L1164" s="106" t="str">
        <f t="shared" si="44"/>
        <v/>
      </c>
      <c r="M1164" s="115" t="str">
        <f>IF(ISERROR(VLOOKUP(G1164,Keszlet!$C$5:$I$200,7,FALSE))=TRUE,"",IF(AND(J1163&lt;&gt;"",J1165=""),VLOOKUP(G1164,Keszlet!$C$5:$I$200,7,FALSE),""))</f>
        <v/>
      </c>
      <c r="Q1164" s="1">
        <f>VLOOKUP(G1164,Keszlet!$C$5:$E$205,3,FALSE)</f>
        <v>0</v>
      </c>
      <c r="T1164" s="1" t="str">
        <f t="shared" si="45"/>
        <v/>
      </c>
      <c r="U1164" s="1">
        <f t="shared" si="46"/>
        <v>0</v>
      </c>
      <c r="W1164" s="6">
        <f t="shared" si="49"/>
        <v>0</v>
      </c>
      <c r="X1164" s="6">
        <f t="shared" si="41"/>
        <v>0</v>
      </c>
      <c r="Y1164" s="1">
        <f t="shared" si="47"/>
        <v>1</v>
      </c>
      <c r="Z1164" s="1">
        <f>IF(COUNTIF($Y$6:Y1164,Y1164)=1,Y1164,Y1164+COUNTIF($Y$5:Y1163,Y1164))</f>
        <v>159</v>
      </c>
      <c r="AD1164" s="1" t="str">
        <f t="shared" si="48"/>
        <v/>
      </c>
      <c r="BA1164" s="1">
        <f>IF(W1164&lt;=Leltar_iv!$Y$1,I1164,0)</f>
        <v>0</v>
      </c>
    </row>
    <row r="1165" spans="1:53" s="1" customFormat="1" x14ac:dyDescent="0.25">
      <c r="A1165" s="18">
        <f>IF(COUNTIF($Y$6:Y1165,Y1165)=1,Y1165,Y1165+COUNTIF($Y$5:Y1164,Y1165))</f>
        <v>160</v>
      </c>
      <c r="B1165" s="1">
        <f>IF(AND(Kisero_iv!$N$2=C1165,Kisero_iv!$K$5=$B$3,SUM(I1165:L1169)&lt;&gt;0,$B$4=YEAR(W1165)),B1164+1,0)</f>
        <v>0</v>
      </c>
      <c r="C1165" s="1">
        <f t="shared" si="42"/>
        <v>160</v>
      </c>
      <c r="D1165" s="102" t="str">
        <f t="shared" si="43"/>
        <v/>
      </c>
      <c r="E1165" s="44"/>
      <c r="F1165" s="45"/>
      <c r="G1165" s="45"/>
      <c r="H1165" s="45"/>
      <c r="I1165" s="46"/>
      <c r="J1165" s="111" t="str">
        <f>IF(AND(G1165&lt;&gt;"",ISERROR(VLOOKUP(G1165,Keszlet!$C$5:$H$200,6,FALSE))=FALSE),VLOOKUP(G1165,Keszlet!$C$5:$H$200,6,FALSE),"")</f>
        <v/>
      </c>
      <c r="K1165" s="106" t="str">
        <f>IF(AND(G1165&lt;&gt;"",ISERROR(VLOOKUP(G1165,Keszlet!$C$5:$G$200,5,FALSE))=FALSE),VLOOKUP(G1165,Keszlet!$C$5:$G$200,5,FALSE),"")</f>
        <v/>
      </c>
      <c r="L1165" s="106" t="str">
        <f t="shared" si="44"/>
        <v/>
      </c>
      <c r="M1165" s="115" t="str">
        <f>IF(ISERROR(VLOOKUP(G1165,Keszlet!$C$5:$I$200,7,FALSE))=TRUE,"",IF(AND(J1164&lt;&gt;"",J1166=""),VLOOKUP(G1165,Keszlet!$C$5:$I$200,7,FALSE),""))</f>
        <v/>
      </c>
      <c r="Q1165" s="1">
        <f>VLOOKUP(G1165,Keszlet!$C$5:$E$205,3,FALSE)</f>
        <v>0</v>
      </c>
      <c r="T1165" s="1" t="str">
        <f t="shared" si="45"/>
        <v/>
      </c>
      <c r="U1165" s="1">
        <f t="shared" si="46"/>
        <v>0</v>
      </c>
      <c r="W1165" s="6">
        <f t="shared" si="49"/>
        <v>0</v>
      </c>
      <c r="X1165" s="6">
        <f t="shared" si="41"/>
        <v>0</v>
      </c>
      <c r="Y1165" s="1">
        <f t="shared" si="47"/>
        <v>1</v>
      </c>
      <c r="Z1165" s="1">
        <f>IF(COUNTIF($Y$6:Y1165,Y1165)=1,Y1165,Y1165+COUNTIF($Y$5:Y1164,Y1165))</f>
        <v>160</v>
      </c>
      <c r="AD1165" s="1" t="str">
        <f t="shared" si="48"/>
        <v/>
      </c>
      <c r="BA1165" s="1">
        <f>IF(W1165&lt;=Leltar_iv!$Y$1,I1165,0)</f>
        <v>0</v>
      </c>
    </row>
    <row r="1166" spans="1:53" s="1" customFormat="1" x14ac:dyDescent="0.25">
      <c r="A1166" s="18">
        <f>IF(COUNTIF($Y$6:Y1166,Y1166)=1,Y1166,Y1166+COUNTIF($Y$5:Y1165,Y1166))</f>
        <v>161</v>
      </c>
      <c r="B1166" s="1">
        <f>IF(AND(Kisero_iv!$N$2=C1166,Kisero_iv!$K$5=$B$3,SUM(I1166:L1170)&lt;&gt;0,$B$4=YEAR(W1166)),B1165+1,0)</f>
        <v>0</v>
      </c>
      <c r="C1166" s="1">
        <f t="shared" si="42"/>
        <v>161</v>
      </c>
      <c r="D1166" s="102" t="str">
        <f t="shared" si="43"/>
        <v/>
      </c>
      <c r="E1166" s="44"/>
      <c r="F1166" s="45"/>
      <c r="G1166" s="45"/>
      <c r="H1166" s="45"/>
      <c r="I1166" s="46"/>
      <c r="J1166" s="111" t="str">
        <f>IF(AND(G1166&lt;&gt;"",ISERROR(VLOOKUP(G1166,Keszlet!$C$5:$H$200,6,FALSE))=FALSE),VLOOKUP(G1166,Keszlet!$C$5:$H$200,6,FALSE),"")</f>
        <v/>
      </c>
      <c r="K1166" s="106" t="str">
        <f>IF(AND(G1166&lt;&gt;"",ISERROR(VLOOKUP(G1166,Keszlet!$C$5:$G$200,5,FALSE))=FALSE),VLOOKUP(G1166,Keszlet!$C$5:$G$200,5,FALSE),"")</f>
        <v/>
      </c>
      <c r="L1166" s="106" t="str">
        <f t="shared" si="44"/>
        <v/>
      </c>
      <c r="M1166" s="115" t="str">
        <f>IF(ISERROR(VLOOKUP(G1166,Keszlet!$C$5:$I$200,7,FALSE))=TRUE,"",IF(AND(J1165&lt;&gt;"",J1167=""),VLOOKUP(G1166,Keszlet!$C$5:$I$200,7,FALSE),""))</f>
        <v/>
      </c>
      <c r="Q1166" s="1">
        <f>VLOOKUP(G1166,Keszlet!$C$5:$E$205,3,FALSE)</f>
        <v>0</v>
      </c>
      <c r="T1166" s="1" t="str">
        <f t="shared" si="45"/>
        <v/>
      </c>
      <c r="U1166" s="1">
        <f t="shared" si="46"/>
        <v>0</v>
      </c>
      <c r="W1166" s="6">
        <f t="shared" si="49"/>
        <v>0</v>
      </c>
      <c r="X1166" s="6">
        <f t="shared" si="41"/>
        <v>0</v>
      </c>
      <c r="Y1166" s="1">
        <f t="shared" si="47"/>
        <v>1</v>
      </c>
      <c r="Z1166" s="1">
        <f>IF(COUNTIF($Y$6:Y1166,Y1166)=1,Y1166,Y1166+COUNTIF($Y$5:Y1165,Y1166))</f>
        <v>161</v>
      </c>
      <c r="AD1166" s="1" t="str">
        <f t="shared" si="48"/>
        <v/>
      </c>
      <c r="BA1166" s="1">
        <f>IF(W1166&lt;=Leltar_iv!$Y$1,I1166,0)</f>
        <v>0</v>
      </c>
    </row>
    <row r="1167" spans="1:53" s="1" customFormat="1" x14ac:dyDescent="0.25">
      <c r="A1167" s="18">
        <f>IF(COUNTIF($Y$6:Y1167,Y1167)=1,Y1167,Y1167+COUNTIF($Y$5:Y1166,Y1167))</f>
        <v>162</v>
      </c>
      <c r="B1167" s="1">
        <f>IF(AND(Kisero_iv!$N$2=C1167,Kisero_iv!$K$5=$B$3,SUM(I1167:L1171)&lt;&gt;0,$B$4=YEAR(W1167)),B1166+1,0)</f>
        <v>0</v>
      </c>
      <c r="C1167" s="1">
        <f t="shared" si="42"/>
        <v>162</v>
      </c>
      <c r="D1167" s="102" t="str">
        <f t="shared" si="43"/>
        <v/>
      </c>
      <c r="E1167" s="44"/>
      <c r="F1167" s="45"/>
      <c r="G1167" s="45"/>
      <c r="H1167" s="45"/>
      <c r="I1167" s="46"/>
      <c r="J1167" s="111" t="str">
        <f>IF(AND(G1167&lt;&gt;"",ISERROR(VLOOKUP(G1167,Keszlet!$C$5:$H$200,6,FALSE))=FALSE),VLOOKUP(G1167,Keszlet!$C$5:$H$200,6,FALSE),"")</f>
        <v/>
      </c>
      <c r="K1167" s="106" t="str">
        <f>IF(AND(G1167&lt;&gt;"",ISERROR(VLOOKUP(G1167,Keszlet!$C$5:$G$200,5,FALSE))=FALSE),VLOOKUP(G1167,Keszlet!$C$5:$G$200,5,FALSE),"")</f>
        <v/>
      </c>
      <c r="L1167" s="106" t="str">
        <f t="shared" si="44"/>
        <v/>
      </c>
      <c r="M1167" s="115" t="str">
        <f>IF(ISERROR(VLOOKUP(G1167,Keszlet!$C$5:$I$200,7,FALSE))=TRUE,"",IF(AND(J1166&lt;&gt;"",J1168=""),VLOOKUP(G1167,Keszlet!$C$5:$I$200,7,FALSE),""))</f>
        <v/>
      </c>
      <c r="Q1167" s="1">
        <f>VLOOKUP(G1167,Keszlet!$C$5:$E$205,3,FALSE)</f>
        <v>0</v>
      </c>
      <c r="T1167" s="1" t="str">
        <f t="shared" si="45"/>
        <v/>
      </c>
      <c r="U1167" s="1">
        <f t="shared" si="46"/>
        <v>0</v>
      </c>
      <c r="W1167" s="6">
        <f t="shared" si="49"/>
        <v>0</v>
      </c>
      <c r="X1167" s="6">
        <f t="shared" si="41"/>
        <v>0</v>
      </c>
      <c r="Y1167" s="1">
        <f t="shared" si="47"/>
        <v>1</v>
      </c>
      <c r="Z1167" s="1">
        <f>IF(COUNTIF($Y$6:Y1167,Y1167)=1,Y1167,Y1167+COUNTIF($Y$5:Y1166,Y1167))</f>
        <v>162</v>
      </c>
      <c r="AD1167" s="1" t="str">
        <f t="shared" si="48"/>
        <v/>
      </c>
      <c r="BA1167" s="1">
        <f>IF(W1167&lt;=Leltar_iv!$Y$1,I1167,0)</f>
        <v>0</v>
      </c>
    </row>
    <row r="1168" spans="1:53" s="1" customFormat="1" x14ac:dyDescent="0.25">
      <c r="A1168" s="18">
        <f>IF(COUNTIF($Y$6:Y1168,Y1168)=1,Y1168,Y1168+COUNTIF($Y$5:Y1167,Y1168))</f>
        <v>163</v>
      </c>
      <c r="B1168" s="1">
        <f>IF(AND(Kisero_iv!$N$2=C1168,Kisero_iv!$K$5=$B$3,SUM(I1168:L1172)&lt;&gt;0,$B$4=YEAR(W1168)),B1167+1,0)</f>
        <v>0</v>
      </c>
      <c r="C1168" s="1">
        <f t="shared" si="42"/>
        <v>163</v>
      </c>
      <c r="D1168" s="102" t="str">
        <f t="shared" si="43"/>
        <v/>
      </c>
      <c r="E1168" s="44"/>
      <c r="F1168" s="45"/>
      <c r="G1168" s="45"/>
      <c r="H1168" s="45"/>
      <c r="I1168" s="46"/>
      <c r="J1168" s="111" t="str">
        <f>IF(AND(G1168&lt;&gt;"",ISERROR(VLOOKUP(G1168,Keszlet!$C$5:$H$200,6,FALSE))=FALSE),VLOOKUP(G1168,Keszlet!$C$5:$H$200,6,FALSE),"")</f>
        <v/>
      </c>
      <c r="K1168" s="106" t="str">
        <f>IF(AND(G1168&lt;&gt;"",ISERROR(VLOOKUP(G1168,Keszlet!$C$5:$G$200,5,FALSE))=FALSE),VLOOKUP(G1168,Keszlet!$C$5:$G$200,5,FALSE),"")</f>
        <v/>
      </c>
      <c r="L1168" s="106" t="str">
        <f t="shared" si="44"/>
        <v/>
      </c>
      <c r="M1168" s="115" t="str">
        <f>IF(ISERROR(VLOOKUP(G1168,Keszlet!$C$5:$I$200,7,FALSE))=TRUE,"",IF(AND(J1167&lt;&gt;"",J1169=""),VLOOKUP(G1168,Keszlet!$C$5:$I$200,7,FALSE),""))</f>
        <v/>
      </c>
      <c r="Q1168" s="1">
        <f>VLOOKUP(G1168,Keszlet!$C$5:$E$205,3,FALSE)</f>
        <v>0</v>
      </c>
      <c r="T1168" s="1" t="str">
        <f t="shared" si="45"/>
        <v/>
      </c>
      <c r="U1168" s="1">
        <f t="shared" si="46"/>
        <v>0</v>
      </c>
      <c r="W1168" s="6">
        <f t="shared" si="49"/>
        <v>0</v>
      </c>
      <c r="X1168" s="6">
        <f t="shared" si="41"/>
        <v>0</v>
      </c>
      <c r="Y1168" s="1">
        <f t="shared" si="47"/>
        <v>1</v>
      </c>
      <c r="Z1168" s="1">
        <f>IF(COUNTIF($Y$6:Y1168,Y1168)=1,Y1168,Y1168+COUNTIF($Y$5:Y1167,Y1168))</f>
        <v>163</v>
      </c>
      <c r="AD1168" s="1" t="str">
        <f t="shared" si="48"/>
        <v/>
      </c>
      <c r="BA1168" s="1">
        <f>IF(W1168&lt;=Leltar_iv!$Y$1,I1168,0)</f>
        <v>0</v>
      </c>
    </row>
    <row r="1169" spans="1:53" s="1" customFormat="1" x14ac:dyDescent="0.25">
      <c r="A1169" s="18">
        <f>IF(COUNTIF($Y$6:Y1169,Y1169)=1,Y1169,Y1169+COUNTIF($Y$5:Y1168,Y1169))</f>
        <v>164</v>
      </c>
      <c r="B1169" s="1">
        <f>IF(AND(Kisero_iv!$N$2=C1169,Kisero_iv!$K$5=$B$3,SUM(I1169:L1173)&lt;&gt;0,$B$4=YEAR(W1169)),B1168+1,0)</f>
        <v>0</v>
      </c>
      <c r="C1169" s="1">
        <f t="shared" si="42"/>
        <v>164</v>
      </c>
      <c r="D1169" s="102" t="str">
        <f t="shared" si="43"/>
        <v/>
      </c>
      <c r="E1169" s="44"/>
      <c r="F1169" s="45"/>
      <c r="G1169" s="45"/>
      <c r="H1169" s="45"/>
      <c r="I1169" s="46"/>
      <c r="J1169" s="111" t="str">
        <f>IF(AND(G1169&lt;&gt;"",ISERROR(VLOOKUP(G1169,Keszlet!$C$5:$H$200,6,FALSE))=FALSE),VLOOKUP(G1169,Keszlet!$C$5:$H$200,6,FALSE),"")</f>
        <v/>
      </c>
      <c r="K1169" s="106" t="str">
        <f>IF(AND(G1169&lt;&gt;"",ISERROR(VLOOKUP(G1169,Keszlet!$C$5:$G$200,5,FALSE))=FALSE),VLOOKUP(G1169,Keszlet!$C$5:$G$200,5,FALSE),"")</f>
        <v/>
      </c>
      <c r="L1169" s="106" t="str">
        <f t="shared" si="44"/>
        <v/>
      </c>
      <c r="M1169" s="115" t="str">
        <f>IF(ISERROR(VLOOKUP(G1169,Keszlet!$C$5:$I$200,7,FALSE))=TRUE,"",IF(AND(J1168&lt;&gt;"",J1170=""),VLOOKUP(G1169,Keszlet!$C$5:$I$200,7,FALSE),""))</f>
        <v/>
      </c>
      <c r="Q1169" s="1">
        <f>VLOOKUP(G1169,Keszlet!$C$5:$E$205,3,FALSE)</f>
        <v>0</v>
      </c>
      <c r="T1169" s="1" t="str">
        <f t="shared" si="45"/>
        <v/>
      </c>
      <c r="U1169" s="1">
        <f t="shared" si="46"/>
        <v>0</v>
      </c>
      <c r="W1169" s="6">
        <f t="shared" si="49"/>
        <v>0</v>
      </c>
      <c r="X1169" s="6">
        <f t="shared" si="41"/>
        <v>0</v>
      </c>
      <c r="Y1169" s="1">
        <f t="shared" si="47"/>
        <v>1</v>
      </c>
      <c r="Z1169" s="1">
        <f>IF(COUNTIF($Y$6:Y1169,Y1169)=1,Y1169,Y1169+COUNTIF($Y$5:Y1168,Y1169))</f>
        <v>164</v>
      </c>
      <c r="AD1169" s="1" t="str">
        <f t="shared" si="48"/>
        <v/>
      </c>
      <c r="BA1169" s="1">
        <f>IF(W1169&lt;=Leltar_iv!$Y$1,I1169,0)</f>
        <v>0</v>
      </c>
    </row>
    <row r="1170" spans="1:53" s="1" customFormat="1" x14ac:dyDescent="0.25">
      <c r="A1170" s="18">
        <f>IF(COUNTIF($Y$6:Y1170,Y1170)=1,Y1170,Y1170+COUNTIF($Y$5:Y1169,Y1170))</f>
        <v>165</v>
      </c>
      <c r="B1170" s="1">
        <f>IF(AND(Kisero_iv!$N$2=C1170,Kisero_iv!$K$5=$B$3,SUM(I1170:L1174)&lt;&gt;0,$B$4=YEAR(W1170)),B1169+1,0)</f>
        <v>0</v>
      </c>
      <c r="C1170" s="1">
        <f t="shared" si="42"/>
        <v>165</v>
      </c>
      <c r="D1170" s="102" t="str">
        <f t="shared" si="43"/>
        <v/>
      </c>
      <c r="E1170" s="44"/>
      <c r="F1170" s="45"/>
      <c r="G1170" s="45"/>
      <c r="H1170" s="45"/>
      <c r="I1170" s="46"/>
      <c r="J1170" s="111" t="str">
        <f>IF(AND(G1170&lt;&gt;"",ISERROR(VLOOKUP(G1170,Keszlet!$C$5:$H$200,6,FALSE))=FALSE),VLOOKUP(G1170,Keszlet!$C$5:$H$200,6,FALSE),"")</f>
        <v/>
      </c>
      <c r="K1170" s="106" t="str">
        <f>IF(AND(G1170&lt;&gt;"",ISERROR(VLOOKUP(G1170,Keszlet!$C$5:$G$200,5,FALSE))=FALSE),VLOOKUP(G1170,Keszlet!$C$5:$G$200,5,FALSE),"")</f>
        <v/>
      </c>
      <c r="L1170" s="106" t="str">
        <f t="shared" si="44"/>
        <v/>
      </c>
      <c r="M1170" s="115" t="str">
        <f>IF(ISERROR(VLOOKUP(G1170,Keszlet!$C$5:$I$200,7,FALSE))=TRUE,"",IF(AND(J1169&lt;&gt;"",J1171=""),VLOOKUP(G1170,Keszlet!$C$5:$I$200,7,FALSE),""))</f>
        <v/>
      </c>
      <c r="Q1170" s="1">
        <f>VLOOKUP(G1170,Keszlet!$C$5:$E$205,3,FALSE)</f>
        <v>0</v>
      </c>
      <c r="T1170" s="1" t="str">
        <f t="shared" si="45"/>
        <v/>
      </c>
      <c r="U1170" s="1">
        <f t="shared" si="46"/>
        <v>0</v>
      </c>
      <c r="W1170" s="6">
        <f t="shared" si="49"/>
        <v>0</v>
      </c>
      <c r="X1170" s="6">
        <f t="shared" si="41"/>
        <v>0</v>
      </c>
      <c r="Y1170" s="1">
        <f t="shared" si="47"/>
        <v>1</v>
      </c>
      <c r="Z1170" s="1">
        <f>IF(COUNTIF($Y$6:Y1170,Y1170)=1,Y1170,Y1170+COUNTIF($Y$5:Y1169,Y1170))</f>
        <v>165</v>
      </c>
      <c r="AD1170" s="1" t="str">
        <f t="shared" si="48"/>
        <v/>
      </c>
      <c r="BA1170" s="1">
        <f>IF(W1170&lt;=Leltar_iv!$Y$1,I1170,0)</f>
        <v>0</v>
      </c>
    </row>
    <row r="1171" spans="1:53" s="1" customFormat="1" x14ac:dyDescent="0.25">
      <c r="A1171" s="18">
        <f>IF(COUNTIF($Y$6:Y1171,Y1171)=1,Y1171,Y1171+COUNTIF($Y$5:Y1170,Y1171))</f>
        <v>166</v>
      </c>
      <c r="B1171" s="1">
        <f>IF(AND(Kisero_iv!$N$2=C1171,Kisero_iv!$K$5=$B$3,SUM(I1171:L1175)&lt;&gt;0,$B$4=YEAR(W1171)),B1170+1,0)</f>
        <v>0</v>
      </c>
      <c r="C1171" s="1">
        <f t="shared" si="42"/>
        <v>166</v>
      </c>
      <c r="D1171" s="102" t="str">
        <f t="shared" si="43"/>
        <v/>
      </c>
      <c r="E1171" s="44"/>
      <c r="F1171" s="45"/>
      <c r="G1171" s="45"/>
      <c r="H1171" s="45"/>
      <c r="I1171" s="46"/>
      <c r="J1171" s="111" t="str">
        <f>IF(AND(G1171&lt;&gt;"",ISERROR(VLOOKUP(G1171,Keszlet!$C$5:$H$200,6,FALSE))=FALSE),VLOOKUP(G1171,Keszlet!$C$5:$H$200,6,FALSE),"")</f>
        <v/>
      </c>
      <c r="K1171" s="106" t="str">
        <f>IF(AND(G1171&lt;&gt;"",ISERROR(VLOOKUP(G1171,Keszlet!$C$5:$G$200,5,FALSE))=FALSE),VLOOKUP(G1171,Keszlet!$C$5:$G$200,5,FALSE),"")</f>
        <v/>
      </c>
      <c r="L1171" s="106" t="str">
        <f t="shared" si="44"/>
        <v/>
      </c>
      <c r="M1171" s="115" t="str">
        <f>IF(ISERROR(VLOOKUP(G1171,Keszlet!$C$5:$I$200,7,FALSE))=TRUE,"",IF(AND(J1170&lt;&gt;"",J1172=""),VLOOKUP(G1171,Keszlet!$C$5:$I$200,7,FALSE),""))</f>
        <v/>
      </c>
      <c r="Q1171" s="1">
        <f>VLOOKUP(G1171,Keszlet!$C$5:$E$205,3,FALSE)</f>
        <v>0</v>
      </c>
      <c r="T1171" s="1" t="str">
        <f t="shared" si="45"/>
        <v/>
      </c>
      <c r="U1171" s="1">
        <f t="shared" si="46"/>
        <v>0</v>
      </c>
      <c r="W1171" s="6">
        <f t="shared" si="49"/>
        <v>0</v>
      </c>
      <c r="X1171" s="6">
        <f t="shared" si="41"/>
        <v>0</v>
      </c>
      <c r="Y1171" s="1">
        <f t="shared" si="47"/>
        <v>1</v>
      </c>
      <c r="Z1171" s="1">
        <f>IF(COUNTIF($Y$6:Y1171,Y1171)=1,Y1171,Y1171+COUNTIF($Y$5:Y1170,Y1171))</f>
        <v>166</v>
      </c>
      <c r="AD1171" s="1" t="str">
        <f t="shared" si="48"/>
        <v/>
      </c>
      <c r="BA1171" s="1">
        <f>IF(W1171&lt;=Leltar_iv!$Y$1,I1171,0)</f>
        <v>0</v>
      </c>
    </row>
    <row r="1172" spans="1:53" s="1" customFormat="1" x14ac:dyDescent="0.25">
      <c r="A1172" s="18">
        <f>IF(COUNTIF($Y$6:Y1172,Y1172)=1,Y1172,Y1172+COUNTIF($Y$5:Y1171,Y1172))</f>
        <v>167</v>
      </c>
      <c r="B1172" s="1">
        <f>IF(AND(Kisero_iv!$N$2=C1172,Kisero_iv!$K$5=$B$3,SUM(I1172:L1176)&lt;&gt;0,$B$4=YEAR(W1172)),B1171+1,0)</f>
        <v>0</v>
      </c>
      <c r="C1172" s="1">
        <f t="shared" si="42"/>
        <v>167</v>
      </c>
      <c r="D1172" s="102" t="str">
        <f t="shared" si="43"/>
        <v/>
      </c>
      <c r="E1172" s="44"/>
      <c r="F1172" s="45"/>
      <c r="G1172" s="45"/>
      <c r="H1172" s="45"/>
      <c r="I1172" s="46"/>
      <c r="J1172" s="111" t="str">
        <f>IF(AND(G1172&lt;&gt;"",ISERROR(VLOOKUP(G1172,Keszlet!$C$5:$H$200,6,FALSE))=FALSE),VLOOKUP(G1172,Keszlet!$C$5:$H$200,6,FALSE),"")</f>
        <v/>
      </c>
      <c r="K1172" s="106" t="str">
        <f>IF(AND(G1172&lt;&gt;"",ISERROR(VLOOKUP(G1172,Keszlet!$C$5:$G$200,5,FALSE))=FALSE),VLOOKUP(G1172,Keszlet!$C$5:$G$200,5,FALSE),"")</f>
        <v/>
      </c>
      <c r="L1172" s="106" t="str">
        <f t="shared" si="44"/>
        <v/>
      </c>
      <c r="M1172" s="115" t="str">
        <f>IF(ISERROR(VLOOKUP(G1172,Keszlet!$C$5:$I$200,7,FALSE))=TRUE,"",IF(AND(J1171&lt;&gt;"",J1173=""),VLOOKUP(G1172,Keszlet!$C$5:$I$200,7,FALSE),""))</f>
        <v/>
      </c>
      <c r="Q1172" s="1">
        <f>VLOOKUP(G1172,Keszlet!$C$5:$E$205,3,FALSE)</f>
        <v>0</v>
      </c>
      <c r="T1172" s="1" t="str">
        <f t="shared" si="45"/>
        <v/>
      </c>
      <c r="U1172" s="1">
        <f t="shared" si="46"/>
        <v>0</v>
      </c>
      <c r="W1172" s="6">
        <f t="shared" si="49"/>
        <v>0</v>
      </c>
      <c r="X1172" s="6">
        <f t="shared" si="41"/>
        <v>0</v>
      </c>
      <c r="Y1172" s="1">
        <f t="shared" si="47"/>
        <v>1</v>
      </c>
      <c r="Z1172" s="1">
        <f>IF(COUNTIF($Y$6:Y1172,Y1172)=1,Y1172,Y1172+COUNTIF($Y$5:Y1171,Y1172))</f>
        <v>167</v>
      </c>
      <c r="AD1172" s="1" t="str">
        <f t="shared" si="48"/>
        <v/>
      </c>
      <c r="BA1172" s="1">
        <f>IF(W1172&lt;=Leltar_iv!$Y$1,I1172,0)</f>
        <v>0</v>
      </c>
    </row>
    <row r="1173" spans="1:53" s="1" customFormat="1" x14ac:dyDescent="0.25">
      <c r="A1173" s="18">
        <f>IF(COUNTIF($Y$6:Y1173,Y1173)=1,Y1173,Y1173+COUNTIF($Y$5:Y1172,Y1173))</f>
        <v>168</v>
      </c>
      <c r="B1173" s="1">
        <f>IF(AND(Kisero_iv!$N$2=C1173,Kisero_iv!$K$5=$B$3,SUM(I1173:L1177)&lt;&gt;0,$B$4=YEAR(W1173)),B1172+1,0)</f>
        <v>0</v>
      </c>
      <c r="C1173" s="1">
        <f t="shared" si="42"/>
        <v>168</v>
      </c>
      <c r="D1173" s="102" t="str">
        <f t="shared" si="43"/>
        <v/>
      </c>
      <c r="E1173" s="44"/>
      <c r="F1173" s="45"/>
      <c r="G1173" s="45"/>
      <c r="H1173" s="45"/>
      <c r="I1173" s="46"/>
      <c r="J1173" s="111" t="str">
        <f>IF(AND(G1173&lt;&gt;"",ISERROR(VLOOKUP(G1173,Keszlet!$C$5:$H$200,6,FALSE))=FALSE),VLOOKUP(G1173,Keszlet!$C$5:$H$200,6,FALSE),"")</f>
        <v/>
      </c>
      <c r="K1173" s="106" t="str">
        <f>IF(AND(G1173&lt;&gt;"",ISERROR(VLOOKUP(G1173,Keszlet!$C$5:$G$200,5,FALSE))=FALSE),VLOOKUP(G1173,Keszlet!$C$5:$G$200,5,FALSE),"")</f>
        <v/>
      </c>
      <c r="L1173" s="106" t="str">
        <f t="shared" si="44"/>
        <v/>
      </c>
      <c r="M1173" s="115" t="str">
        <f>IF(ISERROR(VLOOKUP(G1173,Keszlet!$C$5:$I$200,7,FALSE))=TRUE,"",IF(AND(J1172&lt;&gt;"",J1174=""),VLOOKUP(G1173,Keszlet!$C$5:$I$200,7,FALSE),""))</f>
        <v/>
      </c>
      <c r="Q1173" s="1">
        <f>VLOOKUP(G1173,Keszlet!$C$5:$E$205,3,FALSE)</f>
        <v>0</v>
      </c>
      <c r="T1173" s="1" t="str">
        <f t="shared" si="45"/>
        <v/>
      </c>
      <c r="U1173" s="1">
        <f t="shared" si="46"/>
        <v>0</v>
      </c>
      <c r="W1173" s="6">
        <f t="shared" si="49"/>
        <v>0</v>
      </c>
      <c r="X1173" s="6">
        <f t="shared" si="41"/>
        <v>0</v>
      </c>
      <c r="Y1173" s="1">
        <f t="shared" si="47"/>
        <v>1</v>
      </c>
      <c r="Z1173" s="1">
        <f>IF(COUNTIF($Y$6:Y1173,Y1173)=1,Y1173,Y1173+COUNTIF($Y$5:Y1172,Y1173))</f>
        <v>168</v>
      </c>
      <c r="AD1173" s="1" t="str">
        <f t="shared" si="48"/>
        <v/>
      </c>
      <c r="BA1173" s="1">
        <f>IF(W1173&lt;=Leltar_iv!$Y$1,I1173,0)</f>
        <v>0</v>
      </c>
    </row>
    <row r="1174" spans="1:53" s="1" customFormat="1" x14ac:dyDescent="0.25">
      <c r="A1174" s="18">
        <f>IF(COUNTIF($Y$6:Y1174,Y1174)=1,Y1174,Y1174+COUNTIF($Y$5:Y1173,Y1174))</f>
        <v>169</v>
      </c>
      <c r="B1174" s="1">
        <f>IF(AND(Kisero_iv!$N$2=C1174,Kisero_iv!$K$5=$B$3,SUM(I1174:L1178)&lt;&gt;0,$B$4=YEAR(W1174)),B1173+1,0)</f>
        <v>0</v>
      </c>
      <c r="C1174" s="1">
        <f t="shared" si="42"/>
        <v>169</v>
      </c>
      <c r="D1174" s="102" t="str">
        <f t="shared" si="43"/>
        <v/>
      </c>
      <c r="E1174" s="44"/>
      <c r="F1174" s="45"/>
      <c r="G1174" s="45"/>
      <c r="H1174" s="45"/>
      <c r="I1174" s="46"/>
      <c r="J1174" s="111" t="str">
        <f>IF(AND(G1174&lt;&gt;"",ISERROR(VLOOKUP(G1174,Keszlet!$C$5:$H$200,6,FALSE))=FALSE),VLOOKUP(G1174,Keszlet!$C$5:$H$200,6,FALSE),"")</f>
        <v/>
      </c>
      <c r="K1174" s="106" t="str">
        <f>IF(AND(G1174&lt;&gt;"",ISERROR(VLOOKUP(G1174,Keszlet!$C$5:$G$200,5,FALSE))=FALSE),VLOOKUP(G1174,Keszlet!$C$5:$G$200,5,FALSE),"")</f>
        <v/>
      </c>
      <c r="L1174" s="106" t="str">
        <f t="shared" si="44"/>
        <v/>
      </c>
      <c r="M1174" s="115" t="str">
        <f>IF(ISERROR(VLOOKUP(G1174,Keszlet!$C$5:$I$200,7,FALSE))=TRUE,"",IF(AND(J1173&lt;&gt;"",J1175=""),VLOOKUP(G1174,Keszlet!$C$5:$I$200,7,FALSE),""))</f>
        <v/>
      </c>
      <c r="Q1174" s="1">
        <f>VLOOKUP(G1174,Keszlet!$C$5:$E$205,3,FALSE)</f>
        <v>0</v>
      </c>
      <c r="T1174" s="1" t="str">
        <f t="shared" si="45"/>
        <v/>
      </c>
      <c r="U1174" s="1">
        <f t="shared" si="46"/>
        <v>0</v>
      </c>
      <c r="W1174" s="6">
        <f t="shared" si="49"/>
        <v>0</v>
      </c>
      <c r="X1174" s="6">
        <f t="shared" si="41"/>
        <v>0</v>
      </c>
      <c r="Y1174" s="1">
        <f t="shared" si="47"/>
        <v>1</v>
      </c>
      <c r="Z1174" s="1">
        <f>IF(COUNTIF($Y$6:Y1174,Y1174)=1,Y1174,Y1174+COUNTIF($Y$5:Y1173,Y1174))</f>
        <v>169</v>
      </c>
      <c r="AD1174" s="1" t="str">
        <f t="shared" si="48"/>
        <v/>
      </c>
      <c r="BA1174" s="1">
        <f>IF(W1174&lt;=Leltar_iv!$Y$1,I1174,0)</f>
        <v>0</v>
      </c>
    </row>
    <row r="1175" spans="1:53" s="1" customFormat="1" x14ac:dyDescent="0.25">
      <c r="A1175" s="18">
        <f>IF(COUNTIF($Y$6:Y1175,Y1175)=1,Y1175,Y1175+COUNTIF($Y$5:Y1174,Y1175))</f>
        <v>170</v>
      </c>
      <c r="B1175" s="1">
        <f>IF(AND(Kisero_iv!$N$2=C1175,Kisero_iv!$K$5=$B$3,SUM(I1175:L1179)&lt;&gt;0,$B$4=YEAR(W1175)),B1174+1,0)</f>
        <v>0</v>
      </c>
      <c r="C1175" s="1">
        <f t="shared" si="42"/>
        <v>170</v>
      </c>
      <c r="D1175" s="102" t="str">
        <f t="shared" si="43"/>
        <v/>
      </c>
      <c r="E1175" s="44"/>
      <c r="F1175" s="45"/>
      <c r="G1175" s="45"/>
      <c r="H1175" s="45"/>
      <c r="I1175" s="46"/>
      <c r="J1175" s="111" t="str">
        <f>IF(AND(G1175&lt;&gt;"",ISERROR(VLOOKUP(G1175,Keszlet!$C$5:$H$200,6,FALSE))=FALSE),VLOOKUP(G1175,Keszlet!$C$5:$H$200,6,FALSE),"")</f>
        <v/>
      </c>
      <c r="K1175" s="106" t="str">
        <f>IF(AND(G1175&lt;&gt;"",ISERROR(VLOOKUP(G1175,Keszlet!$C$5:$G$200,5,FALSE))=FALSE),VLOOKUP(G1175,Keszlet!$C$5:$G$200,5,FALSE),"")</f>
        <v/>
      </c>
      <c r="L1175" s="106" t="str">
        <f t="shared" si="44"/>
        <v/>
      </c>
      <c r="M1175" s="115" t="str">
        <f>IF(ISERROR(VLOOKUP(G1175,Keszlet!$C$5:$I$200,7,FALSE))=TRUE,"",IF(AND(J1174&lt;&gt;"",J1176=""),VLOOKUP(G1175,Keszlet!$C$5:$I$200,7,FALSE),""))</f>
        <v/>
      </c>
      <c r="Q1175" s="1">
        <f>VLOOKUP(G1175,Keszlet!$C$5:$E$205,3,FALSE)</f>
        <v>0</v>
      </c>
      <c r="T1175" s="1" t="str">
        <f t="shared" si="45"/>
        <v/>
      </c>
      <c r="U1175" s="1">
        <f t="shared" si="46"/>
        <v>0</v>
      </c>
      <c r="W1175" s="6">
        <f t="shared" si="49"/>
        <v>0</v>
      </c>
      <c r="X1175" s="6">
        <f t="shared" si="41"/>
        <v>0</v>
      </c>
      <c r="Y1175" s="1">
        <f t="shared" si="47"/>
        <v>1</v>
      </c>
      <c r="Z1175" s="1">
        <f>IF(COUNTIF($Y$6:Y1175,Y1175)=1,Y1175,Y1175+COUNTIF($Y$5:Y1174,Y1175))</f>
        <v>170</v>
      </c>
      <c r="AD1175" s="1" t="str">
        <f t="shared" si="48"/>
        <v/>
      </c>
      <c r="BA1175" s="1">
        <f>IF(W1175&lt;=Leltar_iv!$Y$1,I1175,0)</f>
        <v>0</v>
      </c>
    </row>
    <row r="1176" spans="1:53" s="1" customFormat="1" x14ac:dyDescent="0.25">
      <c r="A1176" s="18">
        <f>IF(COUNTIF($Y$6:Y1176,Y1176)=1,Y1176,Y1176+COUNTIF($Y$5:Y1175,Y1176))</f>
        <v>171</v>
      </c>
      <c r="B1176" s="1">
        <f>IF(AND(Kisero_iv!$N$2=C1176,Kisero_iv!$K$5=$B$3,SUM(I1176:L1180)&lt;&gt;0,$B$4=YEAR(W1176)),B1175+1,0)</f>
        <v>0</v>
      </c>
      <c r="C1176" s="1">
        <f t="shared" si="42"/>
        <v>171</v>
      </c>
      <c r="D1176" s="102" t="str">
        <f t="shared" si="43"/>
        <v/>
      </c>
      <c r="E1176" s="44"/>
      <c r="F1176" s="45"/>
      <c r="G1176" s="45"/>
      <c r="H1176" s="45"/>
      <c r="I1176" s="46"/>
      <c r="J1176" s="111" t="str">
        <f>IF(AND(G1176&lt;&gt;"",ISERROR(VLOOKUP(G1176,Keszlet!$C$5:$H$200,6,FALSE))=FALSE),VLOOKUP(G1176,Keszlet!$C$5:$H$200,6,FALSE),"")</f>
        <v/>
      </c>
      <c r="K1176" s="106" t="str">
        <f>IF(AND(G1176&lt;&gt;"",ISERROR(VLOOKUP(G1176,Keszlet!$C$5:$G$200,5,FALSE))=FALSE),VLOOKUP(G1176,Keszlet!$C$5:$G$200,5,FALSE),"")</f>
        <v/>
      </c>
      <c r="L1176" s="106" t="str">
        <f t="shared" si="44"/>
        <v/>
      </c>
      <c r="M1176" s="115" t="str">
        <f>IF(ISERROR(VLOOKUP(G1176,Keszlet!$C$5:$I$200,7,FALSE))=TRUE,"",IF(AND(J1175&lt;&gt;"",J1177=""),VLOOKUP(G1176,Keszlet!$C$5:$I$200,7,FALSE),""))</f>
        <v/>
      </c>
      <c r="Q1176" s="1">
        <f>VLOOKUP(G1176,Keszlet!$C$5:$E$205,3,FALSE)</f>
        <v>0</v>
      </c>
      <c r="T1176" s="1" t="str">
        <f t="shared" si="45"/>
        <v/>
      </c>
      <c r="U1176" s="1">
        <f t="shared" si="46"/>
        <v>0</v>
      </c>
      <c r="W1176" s="6">
        <f t="shared" si="49"/>
        <v>0</v>
      </c>
      <c r="X1176" s="6">
        <f t="shared" si="41"/>
        <v>0</v>
      </c>
      <c r="Y1176" s="1">
        <f t="shared" si="47"/>
        <v>1</v>
      </c>
      <c r="Z1176" s="1">
        <f>IF(COUNTIF($Y$6:Y1176,Y1176)=1,Y1176,Y1176+COUNTIF($Y$5:Y1175,Y1176))</f>
        <v>171</v>
      </c>
      <c r="AD1176" s="1" t="str">
        <f t="shared" si="48"/>
        <v/>
      </c>
      <c r="BA1176" s="1">
        <f>IF(W1176&lt;=Leltar_iv!$Y$1,I1176,0)</f>
        <v>0</v>
      </c>
    </row>
    <row r="1177" spans="1:53" s="1" customFormat="1" x14ac:dyDescent="0.25">
      <c r="A1177" s="18">
        <f>IF(COUNTIF($Y$6:Y1177,Y1177)=1,Y1177,Y1177+COUNTIF($Y$5:Y1176,Y1177))</f>
        <v>172</v>
      </c>
      <c r="B1177" s="1">
        <f>IF(AND(Kisero_iv!$N$2=C1177,Kisero_iv!$K$5=$B$3,SUM(I1177:L1181)&lt;&gt;0,$B$4=YEAR(W1177)),B1176+1,0)</f>
        <v>0</v>
      </c>
      <c r="C1177" s="1">
        <f t="shared" si="42"/>
        <v>172</v>
      </c>
      <c r="D1177" s="102" t="str">
        <f t="shared" si="43"/>
        <v/>
      </c>
      <c r="E1177" s="44"/>
      <c r="F1177" s="45"/>
      <c r="G1177" s="45"/>
      <c r="H1177" s="45"/>
      <c r="I1177" s="46"/>
      <c r="J1177" s="111" t="str">
        <f>IF(AND(G1177&lt;&gt;"",ISERROR(VLOOKUP(G1177,Keszlet!$C$5:$H$200,6,FALSE))=FALSE),VLOOKUP(G1177,Keszlet!$C$5:$H$200,6,FALSE),"")</f>
        <v/>
      </c>
      <c r="K1177" s="106" t="str">
        <f>IF(AND(G1177&lt;&gt;"",ISERROR(VLOOKUP(G1177,Keszlet!$C$5:$G$200,5,FALSE))=FALSE),VLOOKUP(G1177,Keszlet!$C$5:$G$200,5,FALSE),"")</f>
        <v/>
      </c>
      <c r="L1177" s="106" t="str">
        <f t="shared" si="44"/>
        <v/>
      </c>
      <c r="M1177" s="115" t="str">
        <f>IF(ISERROR(VLOOKUP(G1177,Keszlet!$C$5:$I$200,7,FALSE))=TRUE,"",IF(AND(J1176&lt;&gt;"",J1178=""),VLOOKUP(G1177,Keszlet!$C$5:$I$200,7,FALSE),""))</f>
        <v/>
      </c>
      <c r="Q1177" s="1">
        <f>VLOOKUP(G1177,Keszlet!$C$5:$E$205,3,FALSE)</f>
        <v>0</v>
      </c>
      <c r="T1177" s="1" t="str">
        <f t="shared" si="45"/>
        <v/>
      </c>
      <c r="U1177" s="1">
        <f t="shared" si="46"/>
        <v>0</v>
      </c>
      <c r="W1177" s="6">
        <f t="shared" si="49"/>
        <v>0</v>
      </c>
      <c r="X1177" s="6">
        <f t="shared" si="41"/>
        <v>0</v>
      </c>
      <c r="Y1177" s="1">
        <f t="shared" si="47"/>
        <v>1</v>
      </c>
      <c r="Z1177" s="1">
        <f>IF(COUNTIF($Y$6:Y1177,Y1177)=1,Y1177,Y1177+COUNTIF($Y$5:Y1176,Y1177))</f>
        <v>172</v>
      </c>
      <c r="AD1177" s="1" t="str">
        <f t="shared" si="48"/>
        <v/>
      </c>
      <c r="BA1177" s="1">
        <f>IF(W1177&lt;=Leltar_iv!$Y$1,I1177,0)</f>
        <v>0</v>
      </c>
    </row>
    <row r="1178" spans="1:53" s="1" customFormat="1" x14ac:dyDescent="0.25">
      <c r="A1178" s="18">
        <f>IF(COUNTIF($Y$6:Y1178,Y1178)=1,Y1178,Y1178+COUNTIF($Y$5:Y1177,Y1178))</f>
        <v>173</v>
      </c>
      <c r="B1178" s="1">
        <f>IF(AND(Kisero_iv!$N$2=C1178,Kisero_iv!$K$5=$B$3,SUM(I1178:L1182)&lt;&gt;0,$B$4=YEAR(W1178)),B1177+1,0)</f>
        <v>0</v>
      </c>
      <c r="C1178" s="1">
        <f t="shared" si="42"/>
        <v>173</v>
      </c>
      <c r="D1178" s="102" t="str">
        <f t="shared" si="43"/>
        <v/>
      </c>
      <c r="E1178" s="44"/>
      <c r="F1178" s="45"/>
      <c r="G1178" s="45"/>
      <c r="H1178" s="45"/>
      <c r="I1178" s="46"/>
      <c r="J1178" s="111" t="str">
        <f>IF(AND(G1178&lt;&gt;"",ISERROR(VLOOKUP(G1178,Keszlet!$C$5:$H$200,6,FALSE))=FALSE),VLOOKUP(G1178,Keszlet!$C$5:$H$200,6,FALSE),"")</f>
        <v/>
      </c>
      <c r="K1178" s="106" t="str">
        <f>IF(AND(G1178&lt;&gt;"",ISERROR(VLOOKUP(G1178,Keszlet!$C$5:$G$200,5,FALSE))=FALSE),VLOOKUP(G1178,Keszlet!$C$5:$G$200,5,FALSE),"")</f>
        <v/>
      </c>
      <c r="L1178" s="106" t="str">
        <f t="shared" si="44"/>
        <v/>
      </c>
      <c r="M1178" s="115" t="str">
        <f>IF(ISERROR(VLOOKUP(G1178,Keszlet!$C$5:$I$200,7,FALSE))=TRUE,"",IF(AND(J1177&lt;&gt;"",J1179=""),VLOOKUP(G1178,Keszlet!$C$5:$I$200,7,FALSE),""))</f>
        <v/>
      </c>
      <c r="Q1178" s="1">
        <f>VLOOKUP(G1178,Keszlet!$C$5:$E$205,3,FALSE)</f>
        <v>0</v>
      </c>
      <c r="T1178" s="1" t="str">
        <f t="shared" si="45"/>
        <v/>
      </c>
      <c r="U1178" s="1">
        <f t="shared" si="46"/>
        <v>0</v>
      </c>
      <c r="W1178" s="6">
        <f t="shared" si="49"/>
        <v>0</v>
      </c>
      <c r="X1178" s="6">
        <f t="shared" si="41"/>
        <v>0</v>
      </c>
      <c r="Y1178" s="1">
        <f t="shared" si="47"/>
        <v>1</v>
      </c>
      <c r="Z1178" s="1">
        <f>IF(COUNTIF($Y$6:Y1178,Y1178)=1,Y1178,Y1178+COUNTIF($Y$5:Y1177,Y1178))</f>
        <v>173</v>
      </c>
      <c r="AD1178" s="1" t="str">
        <f t="shared" si="48"/>
        <v/>
      </c>
      <c r="BA1178" s="1">
        <f>IF(W1178&lt;=Leltar_iv!$Y$1,I1178,0)</f>
        <v>0</v>
      </c>
    </row>
    <row r="1179" spans="1:53" s="1" customFormat="1" x14ac:dyDescent="0.25">
      <c r="A1179" s="18">
        <f>IF(COUNTIF($Y$6:Y1179,Y1179)=1,Y1179,Y1179+COUNTIF($Y$5:Y1178,Y1179))</f>
        <v>174</v>
      </c>
      <c r="B1179" s="1">
        <f>IF(AND(Kisero_iv!$N$2=C1179,Kisero_iv!$K$5=$B$3,SUM(I1179:L1183)&lt;&gt;0,$B$4=YEAR(W1179)),B1178+1,0)</f>
        <v>0</v>
      </c>
      <c r="C1179" s="1">
        <f t="shared" si="42"/>
        <v>174</v>
      </c>
      <c r="D1179" s="102" t="str">
        <f t="shared" si="43"/>
        <v/>
      </c>
      <c r="E1179" s="44"/>
      <c r="F1179" s="45"/>
      <c r="G1179" s="45"/>
      <c r="H1179" s="45"/>
      <c r="I1179" s="46"/>
      <c r="J1179" s="111" t="str">
        <f>IF(AND(G1179&lt;&gt;"",ISERROR(VLOOKUP(G1179,Keszlet!$C$5:$H$200,6,FALSE))=FALSE),VLOOKUP(G1179,Keszlet!$C$5:$H$200,6,FALSE),"")</f>
        <v/>
      </c>
      <c r="K1179" s="106" t="str">
        <f>IF(AND(G1179&lt;&gt;"",ISERROR(VLOOKUP(G1179,Keszlet!$C$5:$G$200,5,FALSE))=FALSE),VLOOKUP(G1179,Keszlet!$C$5:$G$200,5,FALSE),"")</f>
        <v/>
      </c>
      <c r="L1179" s="106" t="str">
        <f t="shared" si="44"/>
        <v/>
      </c>
      <c r="M1179" s="115" t="str">
        <f>IF(ISERROR(VLOOKUP(G1179,Keszlet!$C$5:$I$200,7,FALSE))=TRUE,"",IF(AND(J1178&lt;&gt;"",J1180=""),VLOOKUP(G1179,Keszlet!$C$5:$I$200,7,FALSE),""))</f>
        <v/>
      </c>
      <c r="Q1179" s="1">
        <f>VLOOKUP(G1179,Keszlet!$C$5:$E$205,3,FALSE)</f>
        <v>0</v>
      </c>
      <c r="T1179" s="1" t="str">
        <f t="shared" si="45"/>
        <v/>
      </c>
      <c r="U1179" s="1">
        <f t="shared" si="46"/>
        <v>0</v>
      </c>
      <c r="W1179" s="6">
        <f t="shared" si="49"/>
        <v>0</v>
      </c>
      <c r="X1179" s="6">
        <f t="shared" si="41"/>
        <v>0</v>
      </c>
      <c r="Y1179" s="1">
        <f t="shared" si="47"/>
        <v>1</v>
      </c>
      <c r="Z1179" s="1">
        <f>IF(COUNTIF($Y$6:Y1179,Y1179)=1,Y1179,Y1179+COUNTIF($Y$5:Y1178,Y1179))</f>
        <v>174</v>
      </c>
      <c r="AD1179" s="1" t="str">
        <f t="shared" si="48"/>
        <v/>
      </c>
      <c r="BA1179" s="1">
        <f>IF(W1179&lt;=Leltar_iv!$Y$1,I1179,0)</f>
        <v>0</v>
      </c>
    </row>
    <row r="1180" spans="1:53" s="1" customFormat="1" x14ac:dyDescent="0.25">
      <c r="A1180" s="18">
        <f>IF(COUNTIF($Y$6:Y1180,Y1180)=1,Y1180,Y1180+COUNTIF($Y$5:Y1179,Y1180))</f>
        <v>175</v>
      </c>
      <c r="B1180" s="1">
        <f>IF(AND(Kisero_iv!$N$2=C1180,Kisero_iv!$K$5=$B$3,SUM(I1180:L1184)&lt;&gt;0,$B$4=YEAR(W1180)),B1179+1,0)</f>
        <v>0</v>
      </c>
      <c r="C1180" s="1">
        <f t="shared" si="42"/>
        <v>175</v>
      </c>
      <c r="D1180" s="102" t="str">
        <f t="shared" si="43"/>
        <v/>
      </c>
      <c r="E1180" s="44"/>
      <c r="F1180" s="45"/>
      <c r="G1180" s="45"/>
      <c r="H1180" s="45"/>
      <c r="I1180" s="46"/>
      <c r="J1180" s="111" t="str">
        <f>IF(AND(G1180&lt;&gt;"",ISERROR(VLOOKUP(G1180,Keszlet!$C$5:$H$200,6,FALSE))=FALSE),VLOOKUP(G1180,Keszlet!$C$5:$H$200,6,FALSE),"")</f>
        <v/>
      </c>
      <c r="K1180" s="106" t="str">
        <f>IF(AND(G1180&lt;&gt;"",ISERROR(VLOOKUP(G1180,Keszlet!$C$5:$G$200,5,FALSE))=FALSE),VLOOKUP(G1180,Keszlet!$C$5:$G$200,5,FALSE),"")</f>
        <v/>
      </c>
      <c r="L1180" s="106" t="str">
        <f t="shared" si="44"/>
        <v/>
      </c>
      <c r="M1180" s="115" t="str">
        <f>IF(ISERROR(VLOOKUP(G1180,Keszlet!$C$5:$I$200,7,FALSE))=TRUE,"",IF(AND(J1179&lt;&gt;"",J1181=""),VLOOKUP(G1180,Keszlet!$C$5:$I$200,7,FALSE),""))</f>
        <v/>
      </c>
      <c r="Q1180" s="1">
        <f>VLOOKUP(G1180,Keszlet!$C$5:$E$205,3,FALSE)</f>
        <v>0</v>
      </c>
      <c r="T1180" s="1" t="str">
        <f t="shared" si="45"/>
        <v/>
      </c>
      <c r="U1180" s="1">
        <f t="shared" si="46"/>
        <v>0</v>
      </c>
      <c r="W1180" s="6">
        <f t="shared" si="49"/>
        <v>0</v>
      </c>
      <c r="X1180" s="6">
        <f t="shared" si="41"/>
        <v>0</v>
      </c>
      <c r="Y1180" s="1">
        <f t="shared" si="47"/>
        <v>1</v>
      </c>
      <c r="Z1180" s="1">
        <f>IF(COUNTIF($Y$6:Y1180,Y1180)=1,Y1180,Y1180+COUNTIF($Y$5:Y1179,Y1180))</f>
        <v>175</v>
      </c>
      <c r="AD1180" s="1" t="str">
        <f t="shared" si="48"/>
        <v/>
      </c>
      <c r="BA1180" s="1">
        <f>IF(W1180&lt;=Leltar_iv!$Y$1,I1180,0)</f>
        <v>0</v>
      </c>
    </row>
    <row r="1181" spans="1:53" s="1" customFormat="1" x14ac:dyDescent="0.25">
      <c r="A1181" s="18">
        <f>IF(COUNTIF($Y$6:Y1181,Y1181)=1,Y1181,Y1181+COUNTIF($Y$5:Y1180,Y1181))</f>
        <v>176</v>
      </c>
      <c r="B1181" s="1">
        <f>IF(AND(Kisero_iv!$N$2=C1181,Kisero_iv!$K$5=$B$3,SUM(I1181:L1185)&lt;&gt;0,$B$4=YEAR(W1181)),B1180+1,0)</f>
        <v>0</v>
      </c>
      <c r="C1181" s="1">
        <f t="shared" si="42"/>
        <v>176</v>
      </c>
      <c r="D1181" s="102" t="str">
        <f t="shared" si="43"/>
        <v/>
      </c>
      <c r="E1181" s="44"/>
      <c r="F1181" s="45"/>
      <c r="G1181" s="45"/>
      <c r="H1181" s="45"/>
      <c r="I1181" s="46"/>
      <c r="J1181" s="111" t="str">
        <f>IF(AND(G1181&lt;&gt;"",ISERROR(VLOOKUP(G1181,Keszlet!$C$5:$H$200,6,FALSE))=FALSE),VLOOKUP(G1181,Keszlet!$C$5:$H$200,6,FALSE),"")</f>
        <v/>
      </c>
      <c r="K1181" s="106" t="str">
        <f>IF(AND(G1181&lt;&gt;"",ISERROR(VLOOKUP(G1181,Keszlet!$C$5:$G$200,5,FALSE))=FALSE),VLOOKUP(G1181,Keszlet!$C$5:$G$200,5,FALSE),"")</f>
        <v/>
      </c>
      <c r="L1181" s="106" t="str">
        <f t="shared" si="44"/>
        <v/>
      </c>
      <c r="M1181" s="115" t="str">
        <f>IF(ISERROR(VLOOKUP(G1181,Keszlet!$C$5:$I$200,7,FALSE))=TRUE,"",IF(AND(J1180&lt;&gt;"",J1182=""),VLOOKUP(G1181,Keszlet!$C$5:$I$200,7,FALSE),""))</f>
        <v/>
      </c>
      <c r="Q1181" s="1">
        <f>VLOOKUP(G1181,Keszlet!$C$5:$E$205,3,FALSE)</f>
        <v>0</v>
      </c>
      <c r="T1181" s="1" t="str">
        <f t="shared" si="45"/>
        <v/>
      </c>
      <c r="U1181" s="1">
        <f t="shared" si="46"/>
        <v>0</v>
      </c>
      <c r="W1181" s="6">
        <f t="shared" si="49"/>
        <v>0</v>
      </c>
      <c r="X1181" s="6">
        <f t="shared" si="41"/>
        <v>0</v>
      </c>
      <c r="Y1181" s="1">
        <f t="shared" si="47"/>
        <v>1</v>
      </c>
      <c r="Z1181" s="1">
        <f>IF(COUNTIF($Y$6:Y1181,Y1181)=1,Y1181,Y1181+COUNTIF($Y$5:Y1180,Y1181))</f>
        <v>176</v>
      </c>
      <c r="AD1181" s="1" t="str">
        <f t="shared" si="48"/>
        <v/>
      </c>
      <c r="BA1181" s="1">
        <f>IF(W1181&lt;=Leltar_iv!$Y$1,I1181,0)</f>
        <v>0</v>
      </c>
    </row>
    <row r="1182" spans="1:53" s="1" customFormat="1" x14ac:dyDescent="0.25">
      <c r="A1182" s="18">
        <f>IF(COUNTIF($Y$6:Y1182,Y1182)=1,Y1182,Y1182+COUNTIF($Y$5:Y1181,Y1182))</f>
        <v>177</v>
      </c>
      <c r="B1182" s="1">
        <f>IF(AND(Kisero_iv!$N$2=C1182,Kisero_iv!$K$5=$B$3,SUM(I1182:L1186)&lt;&gt;0,$B$4=YEAR(W1182)),B1181+1,0)</f>
        <v>0</v>
      </c>
      <c r="C1182" s="1">
        <f t="shared" si="42"/>
        <v>177</v>
      </c>
      <c r="D1182" s="102" t="str">
        <f t="shared" si="43"/>
        <v/>
      </c>
      <c r="E1182" s="44"/>
      <c r="F1182" s="45"/>
      <c r="G1182" s="45"/>
      <c r="H1182" s="45"/>
      <c r="I1182" s="46"/>
      <c r="J1182" s="111" t="str">
        <f>IF(AND(G1182&lt;&gt;"",ISERROR(VLOOKUP(G1182,Keszlet!$C$5:$H$200,6,FALSE))=FALSE),VLOOKUP(G1182,Keszlet!$C$5:$H$200,6,FALSE),"")</f>
        <v/>
      </c>
      <c r="K1182" s="106" t="str">
        <f>IF(AND(G1182&lt;&gt;"",ISERROR(VLOOKUP(G1182,Keszlet!$C$5:$G$200,5,FALSE))=FALSE),VLOOKUP(G1182,Keszlet!$C$5:$G$200,5,FALSE),"")</f>
        <v/>
      </c>
      <c r="L1182" s="106" t="str">
        <f t="shared" si="44"/>
        <v/>
      </c>
      <c r="M1182" s="115" t="str">
        <f>IF(ISERROR(VLOOKUP(G1182,Keszlet!$C$5:$I$200,7,FALSE))=TRUE,"",IF(AND(J1181&lt;&gt;"",J1183=""),VLOOKUP(G1182,Keszlet!$C$5:$I$200,7,FALSE),""))</f>
        <v/>
      </c>
      <c r="Q1182" s="1">
        <f>VLOOKUP(G1182,Keszlet!$C$5:$E$205,3,FALSE)</f>
        <v>0</v>
      </c>
      <c r="T1182" s="1" t="str">
        <f t="shared" si="45"/>
        <v/>
      </c>
      <c r="U1182" s="1">
        <f t="shared" si="46"/>
        <v>0</v>
      </c>
      <c r="W1182" s="6">
        <f t="shared" si="49"/>
        <v>0</v>
      </c>
      <c r="X1182" s="6">
        <f t="shared" si="41"/>
        <v>0</v>
      </c>
      <c r="Y1182" s="1">
        <f t="shared" si="47"/>
        <v>1</v>
      </c>
      <c r="Z1182" s="1">
        <f>IF(COUNTIF($Y$6:Y1182,Y1182)=1,Y1182,Y1182+COUNTIF($Y$5:Y1181,Y1182))</f>
        <v>177</v>
      </c>
      <c r="AD1182" s="1" t="str">
        <f t="shared" si="48"/>
        <v/>
      </c>
      <c r="BA1182" s="1">
        <f>IF(W1182&lt;=Leltar_iv!$Y$1,I1182,0)</f>
        <v>0</v>
      </c>
    </row>
    <row r="1183" spans="1:53" s="1" customFormat="1" x14ac:dyDescent="0.25">
      <c r="A1183" s="18">
        <f>IF(COUNTIF($Y$6:Y1183,Y1183)=1,Y1183,Y1183+COUNTIF($Y$5:Y1182,Y1183))</f>
        <v>178</v>
      </c>
      <c r="B1183" s="1">
        <f>IF(AND(Kisero_iv!$N$2=C1183,Kisero_iv!$K$5=$B$3,SUM(I1183:L1187)&lt;&gt;0,$B$4=YEAR(W1183)),B1182+1,0)</f>
        <v>0</v>
      </c>
      <c r="C1183" s="1">
        <f t="shared" si="42"/>
        <v>178</v>
      </c>
      <c r="D1183" s="102" t="str">
        <f t="shared" si="43"/>
        <v/>
      </c>
      <c r="E1183" s="44"/>
      <c r="F1183" s="45"/>
      <c r="G1183" s="45"/>
      <c r="H1183" s="45"/>
      <c r="I1183" s="46"/>
      <c r="J1183" s="111" t="str">
        <f>IF(AND(G1183&lt;&gt;"",ISERROR(VLOOKUP(G1183,Keszlet!$C$5:$H$200,6,FALSE))=FALSE),VLOOKUP(G1183,Keszlet!$C$5:$H$200,6,FALSE),"")</f>
        <v/>
      </c>
      <c r="K1183" s="106" t="str">
        <f>IF(AND(G1183&lt;&gt;"",ISERROR(VLOOKUP(G1183,Keszlet!$C$5:$G$200,5,FALSE))=FALSE),VLOOKUP(G1183,Keszlet!$C$5:$G$200,5,FALSE),"")</f>
        <v/>
      </c>
      <c r="L1183" s="106" t="str">
        <f t="shared" si="44"/>
        <v/>
      </c>
      <c r="M1183" s="115" t="str">
        <f>IF(ISERROR(VLOOKUP(G1183,Keszlet!$C$5:$I$200,7,FALSE))=TRUE,"",IF(AND(J1182&lt;&gt;"",J1184=""),VLOOKUP(G1183,Keszlet!$C$5:$I$200,7,FALSE),""))</f>
        <v/>
      </c>
      <c r="Q1183" s="1">
        <f>VLOOKUP(G1183,Keszlet!$C$5:$E$205,3,FALSE)</f>
        <v>0</v>
      </c>
      <c r="T1183" s="1" t="str">
        <f t="shared" si="45"/>
        <v/>
      </c>
      <c r="U1183" s="1">
        <f t="shared" si="46"/>
        <v>0</v>
      </c>
      <c r="W1183" s="6">
        <f t="shared" si="49"/>
        <v>0</v>
      </c>
      <c r="X1183" s="6">
        <f t="shared" si="41"/>
        <v>0</v>
      </c>
      <c r="Y1183" s="1">
        <f t="shared" si="47"/>
        <v>1</v>
      </c>
      <c r="Z1183" s="1">
        <f>IF(COUNTIF($Y$6:Y1183,Y1183)=1,Y1183,Y1183+COUNTIF($Y$5:Y1182,Y1183))</f>
        <v>178</v>
      </c>
      <c r="AD1183" s="1" t="str">
        <f t="shared" si="48"/>
        <v/>
      </c>
      <c r="BA1183" s="1">
        <f>IF(W1183&lt;=Leltar_iv!$Y$1,I1183,0)</f>
        <v>0</v>
      </c>
    </row>
    <row r="1184" spans="1:53" s="1" customFormat="1" x14ac:dyDescent="0.25">
      <c r="A1184" s="18">
        <f>IF(COUNTIF($Y$6:Y1184,Y1184)=1,Y1184,Y1184+COUNTIF($Y$5:Y1183,Y1184))</f>
        <v>179</v>
      </c>
      <c r="B1184" s="1">
        <f>IF(AND(Kisero_iv!$N$2=C1184,Kisero_iv!$K$5=$B$3,SUM(I1184:L1188)&lt;&gt;0,$B$4=YEAR(W1184)),B1183+1,0)</f>
        <v>0</v>
      </c>
      <c r="C1184" s="1">
        <f t="shared" si="42"/>
        <v>179</v>
      </c>
      <c r="D1184" s="102" t="str">
        <f t="shared" si="43"/>
        <v/>
      </c>
      <c r="E1184" s="44"/>
      <c r="F1184" s="45"/>
      <c r="G1184" s="45"/>
      <c r="H1184" s="45"/>
      <c r="I1184" s="46"/>
      <c r="J1184" s="111" t="str">
        <f>IF(AND(G1184&lt;&gt;"",ISERROR(VLOOKUP(G1184,Keszlet!$C$5:$H$200,6,FALSE))=FALSE),VLOOKUP(G1184,Keszlet!$C$5:$H$200,6,FALSE),"")</f>
        <v/>
      </c>
      <c r="K1184" s="106" t="str">
        <f>IF(AND(G1184&lt;&gt;"",ISERROR(VLOOKUP(G1184,Keszlet!$C$5:$G$200,5,FALSE))=FALSE),VLOOKUP(G1184,Keszlet!$C$5:$G$200,5,FALSE),"")</f>
        <v/>
      </c>
      <c r="L1184" s="106" t="str">
        <f t="shared" si="44"/>
        <v/>
      </c>
      <c r="M1184" s="115" t="str">
        <f>IF(ISERROR(VLOOKUP(G1184,Keszlet!$C$5:$I$200,7,FALSE))=TRUE,"",IF(AND(J1183&lt;&gt;"",J1185=""),VLOOKUP(G1184,Keszlet!$C$5:$I$200,7,FALSE),""))</f>
        <v/>
      </c>
      <c r="Q1184" s="1">
        <f>VLOOKUP(G1184,Keszlet!$C$5:$E$205,3,FALSE)</f>
        <v>0</v>
      </c>
      <c r="T1184" s="1" t="str">
        <f t="shared" si="45"/>
        <v/>
      </c>
      <c r="U1184" s="1">
        <f t="shared" si="46"/>
        <v>0</v>
      </c>
      <c r="W1184" s="6">
        <f t="shared" si="49"/>
        <v>0</v>
      </c>
      <c r="X1184" s="6">
        <f t="shared" si="41"/>
        <v>0</v>
      </c>
      <c r="Y1184" s="1">
        <f t="shared" si="47"/>
        <v>1</v>
      </c>
      <c r="Z1184" s="1">
        <f>IF(COUNTIF($Y$6:Y1184,Y1184)=1,Y1184,Y1184+COUNTIF($Y$5:Y1183,Y1184))</f>
        <v>179</v>
      </c>
      <c r="AD1184" s="1" t="str">
        <f t="shared" si="48"/>
        <v/>
      </c>
      <c r="BA1184" s="1">
        <f>IF(W1184&lt;=Leltar_iv!$Y$1,I1184,0)</f>
        <v>0</v>
      </c>
    </row>
    <row r="1185" spans="1:53" s="1" customFormat="1" x14ac:dyDescent="0.25">
      <c r="A1185" s="18">
        <f>IF(COUNTIF($Y$6:Y1185,Y1185)=1,Y1185,Y1185+COUNTIF($Y$5:Y1184,Y1185))</f>
        <v>180</v>
      </c>
      <c r="B1185" s="1">
        <f>IF(AND(Kisero_iv!$N$2=C1185,Kisero_iv!$K$5=$B$3,SUM(I1185:L1189)&lt;&gt;0,$B$4=YEAR(W1185)),B1184+1,0)</f>
        <v>0</v>
      </c>
      <c r="C1185" s="1">
        <f t="shared" si="42"/>
        <v>180</v>
      </c>
      <c r="D1185" s="102" t="str">
        <f t="shared" si="43"/>
        <v/>
      </c>
      <c r="E1185" s="44"/>
      <c r="F1185" s="45"/>
      <c r="G1185" s="45"/>
      <c r="H1185" s="45"/>
      <c r="I1185" s="46"/>
      <c r="J1185" s="111" t="str">
        <f>IF(AND(G1185&lt;&gt;"",ISERROR(VLOOKUP(G1185,Keszlet!$C$5:$H$200,6,FALSE))=FALSE),VLOOKUP(G1185,Keszlet!$C$5:$H$200,6,FALSE),"")</f>
        <v/>
      </c>
      <c r="K1185" s="106" t="str">
        <f>IF(AND(G1185&lt;&gt;"",ISERROR(VLOOKUP(G1185,Keszlet!$C$5:$G$200,5,FALSE))=FALSE),VLOOKUP(G1185,Keszlet!$C$5:$G$200,5,FALSE),"")</f>
        <v/>
      </c>
      <c r="L1185" s="106" t="str">
        <f t="shared" si="44"/>
        <v/>
      </c>
      <c r="M1185" s="115" t="str">
        <f>IF(ISERROR(VLOOKUP(G1185,Keszlet!$C$5:$I$200,7,FALSE))=TRUE,"",IF(AND(J1184&lt;&gt;"",J1186=""),VLOOKUP(G1185,Keszlet!$C$5:$I$200,7,FALSE),""))</f>
        <v/>
      </c>
      <c r="Q1185" s="1">
        <f>VLOOKUP(G1185,Keszlet!$C$5:$E$205,3,FALSE)</f>
        <v>0</v>
      </c>
      <c r="T1185" s="1" t="str">
        <f t="shared" si="45"/>
        <v/>
      </c>
      <c r="U1185" s="1">
        <f t="shared" si="46"/>
        <v>0</v>
      </c>
      <c r="W1185" s="6">
        <f t="shared" si="49"/>
        <v>0</v>
      </c>
      <c r="X1185" s="6">
        <f t="shared" si="41"/>
        <v>0</v>
      </c>
      <c r="Y1185" s="1">
        <f t="shared" si="47"/>
        <v>1</v>
      </c>
      <c r="Z1185" s="1">
        <f>IF(COUNTIF($Y$6:Y1185,Y1185)=1,Y1185,Y1185+COUNTIF($Y$5:Y1184,Y1185))</f>
        <v>180</v>
      </c>
      <c r="AD1185" s="1" t="str">
        <f t="shared" si="48"/>
        <v/>
      </c>
      <c r="BA1185" s="1">
        <f>IF(W1185&lt;=Leltar_iv!$Y$1,I1185,0)</f>
        <v>0</v>
      </c>
    </row>
    <row r="1186" spans="1:53" s="1" customFormat="1" x14ac:dyDescent="0.25">
      <c r="A1186" s="18">
        <f>IF(COUNTIF($Y$6:Y1186,Y1186)=1,Y1186,Y1186+COUNTIF($Y$5:Y1185,Y1186))</f>
        <v>181</v>
      </c>
      <c r="B1186" s="1">
        <f>IF(AND(Kisero_iv!$N$2=C1186,Kisero_iv!$K$5=$B$3,SUM(I1186:L1190)&lt;&gt;0,$B$4=YEAR(W1186)),B1185+1,0)</f>
        <v>0</v>
      </c>
      <c r="C1186" s="1">
        <f t="shared" si="42"/>
        <v>181</v>
      </c>
      <c r="D1186" s="102" t="str">
        <f t="shared" si="43"/>
        <v/>
      </c>
      <c r="E1186" s="44"/>
      <c r="F1186" s="45"/>
      <c r="G1186" s="45"/>
      <c r="H1186" s="45"/>
      <c r="I1186" s="46"/>
      <c r="J1186" s="111" t="str">
        <f>IF(AND(G1186&lt;&gt;"",ISERROR(VLOOKUP(G1186,Keszlet!$C$5:$H$200,6,FALSE))=FALSE),VLOOKUP(G1186,Keszlet!$C$5:$H$200,6,FALSE),"")</f>
        <v/>
      </c>
      <c r="K1186" s="106" t="str">
        <f>IF(AND(G1186&lt;&gt;"",ISERROR(VLOOKUP(G1186,Keszlet!$C$5:$G$200,5,FALSE))=FALSE),VLOOKUP(G1186,Keszlet!$C$5:$G$200,5,FALSE),"")</f>
        <v/>
      </c>
      <c r="L1186" s="106" t="str">
        <f t="shared" si="44"/>
        <v/>
      </c>
      <c r="M1186" s="115" t="str">
        <f>IF(ISERROR(VLOOKUP(G1186,Keszlet!$C$5:$I$200,7,FALSE))=TRUE,"",IF(AND(J1185&lt;&gt;"",J1187=""),VLOOKUP(G1186,Keszlet!$C$5:$I$200,7,FALSE),""))</f>
        <v/>
      </c>
      <c r="Q1186" s="1">
        <f>VLOOKUP(G1186,Keszlet!$C$5:$E$205,3,FALSE)</f>
        <v>0</v>
      </c>
      <c r="T1186" s="1" t="str">
        <f t="shared" si="45"/>
        <v/>
      </c>
      <c r="U1186" s="1">
        <f t="shared" si="46"/>
        <v>0</v>
      </c>
      <c r="W1186" s="6">
        <f t="shared" si="49"/>
        <v>0</v>
      </c>
      <c r="X1186" s="6">
        <f t="shared" si="41"/>
        <v>0</v>
      </c>
      <c r="Y1186" s="1">
        <f t="shared" si="47"/>
        <v>1</v>
      </c>
      <c r="Z1186" s="1">
        <f>IF(COUNTIF($Y$6:Y1186,Y1186)=1,Y1186,Y1186+COUNTIF($Y$5:Y1185,Y1186))</f>
        <v>181</v>
      </c>
      <c r="AD1186" s="1" t="str">
        <f t="shared" si="48"/>
        <v/>
      </c>
      <c r="BA1186" s="1">
        <f>IF(W1186&lt;=Leltar_iv!$Y$1,I1186,0)</f>
        <v>0</v>
      </c>
    </row>
    <row r="1187" spans="1:53" s="1" customFormat="1" x14ac:dyDescent="0.25">
      <c r="A1187" s="18">
        <f>IF(COUNTIF($Y$6:Y1187,Y1187)=1,Y1187,Y1187+COUNTIF($Y$5:Y1186,Y1187))</f>
        <v>182</v>
      </c>
      <c r="B1187" s="1">
        <f>IF(AND(Kisero_iv!$N$2=C1187,Kisero_iv!$K$5=$B$3,SUM(I1187:L1191)&lt;&gt;0,$B$4=YEAR(W1187)),B1186+1,0)</f>
        <v>0</v>
      </c>
      <c r="C1187" s="1">
        <f t="shared" si="42"/>
        <v>182</v>
      </c>
      <c r="D1187" s="102" t="str">
        <f t="shared" si="43"/>
        <v/>
      </c>
      <c r="E1187" s="44"/>
      <c r="F1187" s="45"/>
      <c r="G1187" s="45"/>
      <c r="H1187" s="45"/>
      <c r="I1187" s="46"/>
      <c r="J1187" s="111" t="str">
        <f>IF(AND(G1187&lt;&gt;"",ISERROR(VLOOKUP(G1187,Keszlet!$C$5:$H$200,6,FALSE))=FALSE),VLOOKUP(G1187,Keszlet!$C$5:$H$200,6,FALSE),"")</f>
        <v/>
      </c>
      <c r="K1187" s="106" t="str">
        <f>IF(AND(G1187&lt;&gt;"",ISERROR(VLOOKUP(G1187,Keszlet!$C$5:$G$200,5,FALSE))=FALSE),VLOOKUP(G1187,Keszlet!$C$5:$G$200,5,FALSE),"")</f>
        <v/>
      </c>
      <c r="L1187" s="106" t="str">
        <f t="shared" si="44"/>
        <v/>
      </c>
      <c r="M1187" s="115" t="str">
        <f>IF(ISERROR(VLOOKUP(G1187,Keszlet!$C$5:$I$200,7,FALSE))=TRUE,"",IF(AND(J1186&lt;&gt;"",J1188=""),VLOOKUP(G1187,Keszlet!$C$5:$I$200,7,FALSE),""))</f>
        <v/>
      </c>
      <c r="Q1187" s="1">
        <f>VLOOKUP(G1187,Keszlet!$C$5:$E$205,3,FALSE)</f>
        <v>0</v>
      </c>
      <c r="T1187" s="1" t="str">
        <f t="shared" si="45"/>
        <v/>
      </c>
      <c r="U1187" s="1">
        <f t="shared" si="46"/>
        <v>0</v>
      </c>
      <c r="W1187" s="6">
        <f t="shared" si="49"/>
        <v>0</v>
      </c>
      <c r="X1187" s="6">
        <f t="shared" si="41"/>
        <v>0</v>
      </c>
      <c r="Y1187" s="1">
        <f t="shared" si="47"/>
        <v>1</v>
      </c>
      <c r="Z1187" s="1">
        <f>IF(COUNTIF($Y$6:Y1187,Y1187)=1,Y1187,Y1187+COUNTIF($Y$5:Y1186,Y1187))</f>
        <v>182</v>
      </c>
      <c r="AD1187" s="1" t="str">
        <f t="shared" si="48"/>
        <v/>
      </c>
      <c r="BA1187" s="1">
        <f>IF(W1187&lt;=Leltar_iv!$Y$1,I1187,0)</f>
        <v>0</v>
      </c>
    </row>
    <row r="1188" spans="1:53" s="1" customFormat="1" x14ac:dyDescent="0.25">
      <c r="A1188" s="18">
        <f>IF(COUNTIF($Y$6:Y1188,Y1188)=1,Y1188,Y1188+COUNTIF($Y$5:Y1187,Y1188))</f>
        <v>183</v>
      </c>
      <c r="B1188" s="1">
        <f>IF(AND(Kisero_iv!$N$2=C1188,Kisero_iv!$K$5=$B$3,SUM(I1188:L1192)&lt;&gt;0,$B$4=YEAR(W1188)),B1187+1,0)</f>
        <v>0</v>
      </c>
      <c r="C1188" s="1">
        <f t="shared" si="42"/>
        <v>183</v>
      </c>
      <c r="D1188" s="102" t="str">
        <f t="shared" si="43"/>
        <v/>
      </c>
      <c r="E1188" s="44"/>
      <c r="F1188" s="45"/>
      <c r="G1188" s="45"/>
      <c r="H1188" s="45"/>
      <c r="I1188" s="46"/>
      <c r="J1188" s="111" t="str">
        <f>IF(AND(G1188&lt;&gt;"",ISERROR(VLOOKUP(G1188,Keszlet!$C$5:$H$200,6,FALSE))=FALSE),VLOOKUP(G1188,Keszlet!$C$5:$H$200,6,FALSE),"")</f>
        <v/>
      </c>
      <c r="K1188" s="106" t="str">
        <f>IF(AND(G1188&lt;&gt;"",ISERROR(VLOOKUP(G1188,Keszlet!$C$5:$G$200,5,FALSE))=FALSE),VLOOKUP(G1188,Keszlet!$C$5:$G$200,5,FALSE),"")</f>
        <v/>
      </c>
      <c r="L1188" s="106" t="str">
        <f t="shared" si="44"/>
        <v/>
      </c>
      <c r="M1188" s="115" t="str">
        <f>IF(ISERROR(VLOOKUP(G1188,Keszlet!$C$5:$I$200,7,FALSE))=TRUE,"",IF(AND(J1187&lt;&gt;"",J1189=""),VLOOKUP(G1188,Keszlet!$C$5:$I$200,7,FALSE),""))</f>
        <v/>
      </c>
      <c r="Q1188" s="1">
        <f>VLOOKUP(G1188,Keszlet!$C$5:$E$205,3,FALSE)</f>
        <v>0</v>
      </c>
      <c r="T1188" s="1" t="str">
        <f t="shared" si="45"/>
        <v/>
      </c>
      <c r="U1188" s="1">
        <f t="shared" si="46"/>
        <v>0</v>
      </c>
      <c r="W1188" s="6">
        <f t="shared" si="49"/>
        <v>0</v>
      </c>
      <c r="X1188" s="6">
        <f t="shared" si="41"/>
        <v>0</v>
      </c>
      <c r="Y1188" s="1">
        <f t="shared" si="47"/>
        <v>1</v>
      </c>
      <c r="Z1188" s="1">
        <f>IF(COUNTIF($Y$6:Y1188,Y1188)=1,Y1188,Y1188+COUNTIF($Y$5:Y1187,Y1188))</f>
        <v>183</v>
      </c>
      <c r="AD1188" s="1" t="str">
        <f t="shared" si="48"/>
        <v/>
      </c>
      <c r="BA1188" s="1">
        <f>IF(W1188&lt;=Leltar_iv!$Y$1,I1188,0)</f>
        <v>0</v>
      </c>
    </row>
    <row r="1189" spans="1:53" s="1" customFormat="1" x14ac:dyDescent="0.25">
      <c r="A1189" s="18">
        <f>IF(COUNTIF($Y$6:Y1189,Y1189)=1,Y1189,Y1189+COUNTIF($Y$5:Y1188,Y1189))</f>
        <v>184</v>
      </c>
      <c r="B1189" s="1">
        <f>IF(AND(Kisero_iv!$N$2=C1189,Kisero_iv!$K$5=$B$3,SUM(I1189:L1193)&lt;&gt;0,$B$4=YEAR(W1189)),B1188+1,0)</f>
        <v>0</v>
      </c>
      <c r="C1189" s="1">
        <f t="shared" si="42"/>
        <v>184</v>
      </c>
      <c r="D1189" s="102" t="str">
        <f t="shared" si="43"/>
        <v/>
      </c>
      <c r="E1189" s="44"/>
      <c r="F1189" s="45"/>
      <c r="G1189" s="45"/>
      <c r="H1189" s="45"/>
      <c r="I1189" s="46"/>
      <c r="J1189" s="111" t="str">
        <f>IF(AND(G1189&lt;&gt;"",ISERROR(VLOOKUP(G1189,Keszlet!$C$5:$H$200,6,FALSE))=FALSE),VLOOKUP(G1189,Keszlet!$C$5:$H$200,6,FALSE),"")</f>
        <v/>
      </c>
      <c r="K1189" s="106" t="str">
        <f>IF(AND(G1189&lt;&gt;"",ISERROR(VLOOKUP(G1189,Keszlet!$C$5:$G$200,5,FALSE))=FALSE),VLOOKUP(G1189,Keszlet!$C$5:$G$200,5,FALSE),"")</f>
        <v/>
      </c>
      <c r="L1189" s="106" t="str">
        <f t="shared" si="44"/>
        <v/>
      </c>
      <c r="M1189" s="115" t="str">
        <f>IF(ISERROR(VLOOKUP(G1189,Keszlet!$C$5:$I$200,7,FALSE))=TRUE,"",IF(AND(J1188&lt;&gt;"",J1190=""),VLOOKUP(G1189,Keszlet!$C$5:$I$200,7,FALSE),""))</f>
        <v/>
      </c>
      <c r="Q1189" s="1">
        <f>VLOOKUP(G1189,Keszlet!$C$5:$E$205,3,FALSE)</f>
        <v>0</v>
      </c>
      <c r="T1189" s="1" t="str">
        <f t="shared" si="45"/>
        <v/>
      </c>
      <c r="U1189" s="1">
        <f t="shared" si="46"/>
        <v>0</v>
      </c>
      <c r="W1189" s="6">
        <f t="shared" si="49"/>
        <v>0</v>
      </c>
      <c r="X1189" s="6">
        <f t="shared" si="41"/>
        <v>0</v>
      </c>
      <c r="Y1189" s="1">
        <f t="shared" si="47"/>
        <v>1</v>
      </c>
      <c r="Z1189" s="1">
        <f>IF(COUNTIF($Y$6:Y1189,Y1189)=1,Y1189,Y1189+COUNTIF($Y$5:Y1188,Y1189))</f>
        <v>184</v>
      </c>
      <c r="AD1189" s="1" t="str">
        <f t="shared" si="48"/>
        <v/>
      </c>
      <c r="BA1189" s="1">
        <f>IF(W1189&lt;=Leltar_iv!$Y$1,I1189,0)</f>
        <v>0</v>
      </c>
    </row>
    <row r="1190" spans="1:53" s="1" customFormat="1" x14ac:dyDescent="0.25">
      <c r="A1190" s="18">
        <f>IF(COUNTIF($Y$6:Y1190,Y1190)=1,Y1190,Y1190+COUNTIF($Y$5:Y1189,Y1190))</f>
        <v>185</v>
      </c>
      <c r="B1190" s="1">
        <f>IF(AND(Kisero_iv!$N$2=C1190,Kisero_iv!$K$5=$B$3,SUM(I1190:L1194)&lt;&gt;0,$B$4=YEAR(W1190)),B1189+1,0)</f>
        <v>0</v>
      </c>
      <c r="C1190" s="1">
        <f t="shared" si="42"/>
        <v>185</v>
      </c>
      <c r="D1190" s="102" t="str">
        <f t="shared" si="43"/>
        <v/>
      </c>
      <c r="E1190" s="44"/>
      <c r="F1190" s="45"/>
      <c r="G1190" s="45"/>
      <c r="H1190" s="45"/>
      <c r="I1190" s="46"/>
      <c r="J1190" s="111" t="str">
        <f>IF(AND(G1190&lt;&gt;"",ISERROR(VLOOKUP(G1190,Keszlet!$C$5:$H$200,6,FALSE))=FALSE),VLOOKUP(G1190,Keszlet!$C$5:$H$200,6,FALSE),"")</f>
        <v/>
      </c>
      <c r="K1190" s="106" t="str">
        <f>IF(AND(G1190&lt;&gt;"",ISERROR(VLOOKUP(G1190,Keszlet!$C$5:$G$200,5,FALSE))=FALSE),VLOOKUP(G1190,Keszlet!$C$5:$G$200,5,FALSE),"")</f>
        <v/>
      </c>
      <c r="L1190" s="106" t="str">
        <f t="shared" si="44"/>
        <v/>
      </c>
      <c r="M1190" s="115" t="str">
        <f>IF(ISERROR(VLOOKUP(G1190,Keszlet!$C$5:$I$200,7,FALSE))=TRUE,"",IF(AND(J1189&lt;&gt;"",J1191=""),VLOOKUP(G1190,Keszlet!$C$5:$I$200,7,FALSE),""))</f>
        <v/>
      </c>
      <c r="Q1190" s="1">
        <f>VLOOKUP(G1190,Keszlet!$C$5:$E$205,3,FALSE)</f>
        <v>0</v>
      </c>
      <c r="T1190" s="1" t="str">
        <f t="shared" si="45"/>
        <v/>
      </c>
      <c r="U1190" s="1">
        <f t="shared" si="46"/>
        <v>0</v>
      </c>
      <c r="W1190" s="6">
        <f t="shared" si="49"/>
        <v>0</v>
      </c>
      <c r="X1190" s="6">
        <f t="shared" si="41"/>
        <v>0</v>
      </c>
      <c r="Y1190" s="1">
        <f t="shared" si="47"/>
        <v>1</v>
      </c>
      <c r="Z1190" s="1">
        <f>IF(COUNTIF($Y$6:Y1190,Y1190)=1,Y1190,Y1190+COUNTIF($Y$5:Y1189,Y1190))</f>
        <v>185</v>
      </c>
      <c r="AD1190" s="1" t="str">
        <f t="shared" si="48"/>
        <v/>
      </c>
      <c r="BA1190" s="1">
        <f>IF(W1190&lt;=Leltar_iv!$Y$1,I1190,0)</f>
        <v>0</v>
      </c>
    </row>
    <row r="1191" spans="1:53" s="1" customFormat="1" x14ac:dyDescent="0.25">
      <c r="A1191" s="18">
        <f>IF(COUNTIF($Y$6:Y1191,Y1191)=1,Y1191,Y1191+COUNTIF($Y$5:Y1190,Y1191))</f>
        <v>186</v>
      </c>
      <c r="B1191" s="1">
        <f>IF(AND(Kisero_iv!$N$2=C1191,Kisero_iv!$K$5=$B$3,SUM(I1191:L1195)&lt;&gt;0,$B$4=YEAR(W1191)),B1190+1,0)</f>
        <v>0</v>
      </c>
      <c r="C1191" s="1">
        <f t="shared" si="42"/>
        <v>186</v>
      </c>
      <c r="D1191" s="102" t="str">
        <f t="shared" si="43"/>
        <v/>
      </c>
      <c r="E1191" s="44"/>
      <c r="F1191" s="45"/>
      <c r="G1191" s="45"/>
      <c r="H1191" s="45"/>
      <c r="I1191" s="46"/>
      <c r="J1191" s="111" t="str">
        <f>IF(AND(G1191&lt;&gt;"",ISERROR(VLOOKUP(G1191,Keszlet!$C$5:$H$200,6,FALSE))=FALSE),VLOOKUP(G1191,Keszlet!$C$5:$H$200,6,FALSE),"")</f>
        <v/>
      </c>
      <c r="K1191" s="106" t="str">
        <f>IF(AND(G1191&lt;&gt;"",ISERROR(VLOOKUP(G1191,Keszlet!$C$5:$G$200,5,FALSE))=FALSE),VLOOKUP(G1191,Keszlet!$C$5:$G$200,5,FALSE),"")</f>
        <v/>
      </c>
      <c r="L1191" s="106" t="str">
        <f t="shared" si="44"/>
        <v/>
      </c>
      <c r="M1191" s="115" t="str">
        <f>IF(ISERROR(VLOOKUP(G1191,Keszlet!$C$5:$I$200,7,FALSE))=TRUE,"",IF(AND(J1190&lt;&gt;"",J1192=""),VLOOKUP(G1191,Keszlet!$C$5:$I$200,7,FALSE),""))</f>
        <v/>
      </c>
      <c r="Q1191" s="1">
        <f>VLOOKUP(G1191,Keszlet!$C$5:$E$205,3,FALSE)</f>
        <v>0</v>
      </c>
      <c r="T1191" s="1" t="str">
        <f t="shared" si="45"/>
        <v/>
      </c>
      <c r="U1191" s="1">
        <f t="shared" si="46"/>
        <v>0</v>
      </c>
      <c r="W1191" s="6">
        <f t="shared" si="49"/>
        <v>0</v>
      </c>
      <c r="X1191" s="6">
        <f t="shared" si="41"/>
        <v>0</v>
      </c>
      <c r="Y1191" s="1">
        <f t="shared" si="47"/>
        <v>1</v>
      </c>
      <c r="Z1191" s="1">
        <f>IF(COUNTIF($Y$6:Y1191,Y1191)=1,Y1191,Y1191+COUNTIF($Y$5:Y1190,Y1191))</f>
        <v>186</v>
      </c>
      <c r="AD1191" s="1" t="str">
        <f t="shared" si="48"/>
        <v/>
      </c>
      <c r="BA1191" s="1">
        <f>IF(W1191&lt;=Leltar_iv!$Y$1,I1191,0)</f>
        <v>0</v>
      </c>
    </row>
    <row r="1192" spans="1:53" s="1" customFormat="1" x14ac:dyDescent="0.25">
      <c r="A1192" s="18">
        <f>IF(COUNTIF($Y$6:Y1192,Y1192)=1,Y1192,Y1192+COUNTIF($Y$5:Y1191,Y1192))</f>
        <v>187</v>
      </c>
      <c r="B1192" s="1">
        <f>IF(AND(Kisero_iv!$N$2=C1192,Kisero_iv!$K$5=$B$3,SUM(I1192:L1196)&lt;&gt;0,$B$4=YEAR(W1192)),B1191+1,0)</f>
        <v>0</v>
      </c>
      <c r="C1192" s="1">
        <f t="shared" si="42"/>
        <v>187</v>
      </c>
      <c r="D1192" s="102" t="str">
        <f t="shared" si="43"/>
        <v/>
      </c>
      <c r="E1192" s="44"/>
      <c r="F1192" s="45"/>
      <c r="G1192" s="45"/>
      <c r="H1192" s="45"/>
      <c r="I1192" s="46"/>
      <c r="J1192" s="111" t="str">
        <f>IF(AND(G1192&lt;&gt;"",ISERROR(VLOOKUP(G1192,Keszlet!$C$5:$H$200,6,FALSE))=FALSE),VLOOKUP(G1192,Keszlet!$C$5:$H$200,6,FALSE),"")</f>
        <v/>
      </c>
      <c r="K1192" s="106" t="str">
        <f>IF(AND(G1192&lt;&gt;"",ISERROR(VLOOKUP(G1192,Keszlet!$C$5:$G$200,5,FALSE))=FALSE),VLOOKUP(G1192,Keszlet!$C$5:$G$200,5,FALSE),"")</f>
        <v/>
      </c>
      <c r="L1192" s="106" t="str">
        <f t="shared" si="44"/>
        <v/>
      </c>
      <c r="M1192" s="115" t="str">
        <f>IF(ISERROR(VLOOKUP(G1192,Keszlet!$C$5:$I$200,7,FALSE))=TRUE,"",IF(AND(J1191&lt;&gt;"",J1193=""),VLOOKUP(G1192,Keszlet!$C$5:$I$200,7,FALSE),""))</f>
        <v/>
      </c>
      <c r="Q1192" s="1">
        <f>VLOOKUP(G1192,Keszlet!$C$5:$E$205,3,FALSE)</f>
        <v>0</v>
      </c>
      <c r="T1192" s="1" t="str">
        <f t="shared" si="45"/>
        <v/>
      </c>
      <c r="U1192" s="1">
        <f t="shared" si="46"/>
        <v>0</v>
      </c>
      <c r="W1192" s="6">
        <f t="shared" si="49"/>
        <v>0</v>
      </c>
      <c r="X1192" s="6">
        <f t="shared" si="41"/>
        <v>0</v>
      </c>
      <c r="Y1192" s="1">
        <f t="shared" si="47"/>
        <v>1</v>
      </c>
      <c r="Z1192" s="1">
        <f>IF(COUNTIF($Y$6:Y1192,Y1192)=1,Y1192,Y1192+COUNTIF($Y$5:Y1191,Y1192))</f>
        <v>187</v>
      </c>
      <c r="AD1192" s="1" t="str">
        <f t="shared" si="48"/>
        <v/>
      </c>
      <c r="BA1192" s="1">
        <f>IF(W1192&lt;=Leltar_iv!$Y$1,I1192,0)</f>
        <v>0</v>
      </c>
    </row>
    <row r="1193" spans="1:53" s="1" customFormat="1" x14ac:dyDescent="0.25">
      <c r="A1193" s="18">
        <f>IF(COUNTIF($Y$6:Y1193,Y1193)=1,Y1193,Y1193+COUNTIF($Y$5:Y1192,Y1193))</f>
        <v>188</v>
      </c>
      <c r="B1193" s="1">
        <f>IF(AND(Kisero_iv!$N$2=C1193,Kisero_iv!$K$5=$B$3,SUM(I1193:L1197)&lt;&gt;0,$B$4=YEAR(W1193)),B1192+1,0)</f>
        <v>0</v>
      </c>
      <c r="C1193" s="1">
        <f t="shared" si="42"/>
        <v>188</v>
      </c>
      <c r="D1193" s="102" t="str">
        <f t="shared" si="43"/>
        <v/>
      </c>
      <c r="E1193" s="44"/>
      <c r="F1193" s="45"/>
      <c r="G1193" s="45"/>
      <c r="H1193" s="45"/>
      <c r="I1193" s="46"/>
      <c r="J1193" s="111" t="str">
        <f>IF(AND(G1193&lt;&gt;"",ISERROR(VLOOKUP(G1193,Keszlet!$C$5:$H$200,6,FALSE))=FALSE),VLOOKUP(G1193,Keszlet!$C$5:$H$200,6,FALSE),"")</f>
        <v/>
      </c>
      <c r="K1193" s="106" t="str">
        <f>IF(AND(G1193&lt;&gt;"",ISERROR(VLOOKUP(G1193,Keszlet!$C$5:$G$200,5,FALSE))=FALSE),VLOOKUP(G1193,Keszlet!$C$5:$G$200,5,FALSE),"")</f>
        <v/>
      </c>
      <c r="L1193" s="106" t="str">
        <f t="shared" si="44"/>
        <v/>
      </c>
      <c r="M1193" s="115" t="str">
        <f>IF(ISERROR(VLOOKUP(G1193,Keszlet!$C$5:$I$200,7,FALSE))=TRUE,"",IF(AND(J1192&lt;&gt;"",J1194=""),VLOOKUP(G1193,Keszlet!$C$5:$I$200,7,FALSE),""))</f>
        <v/>
      </c>
      <c r="Q1193" s="1">
        <f>VLOOKUP(G1193,Keszlet!$C$5:$E$205,3,FALSE)</f>
        <v>0</v>
      </c>
      <c r="T1193" s="1" t="str">
        <f t="shared" si="45"/>
        <v/>
      </c>
      <c r="U1193" s="1">
        <f t="shared" si="46"/>
        <v>0</v>
      </c>
      <c r="W1193" s="6">
        <f t="shared" si="49"/>
        <v>0</v>
      </c>
      <c r="X1193" s="6">
        <f t="shared" si="41"/>
        <v>0</v>
      </c>
      <c r="Y1193" s="1">
        <f t="shared" si="47"/>
        <v>1</v>
      </c>
      <c r="Z1193" s="1">
        <f>IF(COUNTIF($Y$6:Y1193,Y1193)=1,Y1193,Y1193+COUNTIF($Y$5:Y1192,Y1193))</f>
        <v>188</v>
      </c>
      <c r="AD1193" s="1" t="str">
        <f t="shared" si="48"/>
        <v/>
      </c>
      <c r="BA1193" s="1">
        <f>IF(W1193&lt;=Leltar_iv!$Y$1,I1193,0)</f>
        <v>0</v>
      </c>
    </row>
    <row r="1194" spans="1:53" s="1" customFormat="1" x14ac:dyDescent="0.25">
      <c r="A1194" s="18">
        <f>IF(COUNTIF($Y$6:Y1194,Y1194)=1,Y1194,Y1194+COUNTIF($Y$5:Y1193,Y1194))</f>
        <v>189</v>
      </c>
      <c r="B1194" s="1">
        <f>IF(AND(Kisero_iv!$N$2=C1194,Kisero_iv!$K$5=$B$3,SUM(I1194:L1198)&lt;&gt;0,$B$4=YEAR(W1194)),B1193+1,0)</f>
        <v>0</v>
      </c>
      <c r="C1194" s="1">
        <f t="shared" si="42"/>
        <v>189</v>
      </c>
      <c r="D1194" s="102" t="str">
        <f t="shared" si="43"/>
        <v/>
      </c>
      <c r="E1194" s="44"/>
      <c r="F1194" s="55"/>
      <c r="G1194" s="45"/>
      <c r="H1194" s="45"/>
      <c r="I1194" s="46"/>
      <c r="J1194" s="111" t="str">
        <f>IF(AND(G1194&lt;&gt;"",ISERROR(VLOOKUP(G1194,Keszlet!$C$5:$H$200,6,FALSE))=FALSE),VLOOKUP(G1194,Keszlet!$C$5:$H$200,6,FALSE),"")</f>
        <v/>
      </c>
      <c r="K1194" s="106" t="str">
        <f>IF(AND(G1194&lt;&gt;"",ISERROR(VLOOKUP(G1194,Keszlet!$C$5:$G$200,5,FALSE))=FALSE),VLOOKUP(G1194,Keszlet!$C$5:$G$200,5,FALSE),"")</f>
        <v/>
      </c>
      <c r="L1194" s="106" t="str">
        <f t="shared" si="44"/>
        <v/>
      </c>
      <c r="M1194" s="115" t="str">
        <f>IF(ISERROR(VLOOKUP(G1194,Keszlet!$C$5:$I$200,7,FALSE))=TRUE,"",IF(AND(J1193&lt;&gt;"",J1195=""),VLOOKUP(G1194,Keszlet!$C$5:$I$200,7,FALSE),""))</f>
        <v/>
      </c>
      <c r="Q1194" s="1">
        <f>VLOOKUP(G1194,Keszlet!$C$5:$E$205,3,FALSE)</f>
        <v>0</v>
      </c>
      <c r="T1194" s="1" t="str">
        <f t="shared" si="45"/>
        <v/>
      </c>
      <c r="U1194" s="1">
        <f t="shared" si="46"/>
        <v>0</v>
      </c>
      <c r="W1194" s="6">
        <f t="shared" si="49"/>
        <v>0</v>
      </c>
      <c r="X1194" s="6">
        <f t="shared" si="41"/>
        <v>0</v>
      </c>
      <c r="Y1194" s="1">
        <f t="shared" si="47"/>
        <v>1</v>
      </c>
      <c r="Z1194" s="1">
        <f>IF(COUNTIF($Y$6:Y1194,Y1194)=1,Y1194,Y1194+COUNTIF($Y$5:Y1193,Y1194))</f>
        <v>189</v>
      </c>
      <c r="AD1194" s="1" t="str">
        <f t="shared" si="48"/>
        <v/>
      </c>
      <c r="BA1194" s="1">
        <f>IF(W1194&lt;=Leltar_iv!$Y$1,I1194,0)</f>
        <v>0</v>
      </c>
    </row>
    <row r="1195" spans="1:53" s="1" customFormat="1" x14ac:dyDescent="0.25">
      <c r="A1195" s="18">
        <f>IF(COUNTIF($Y$6:Y1195,Y1195)=1,Y1195,Y1195+COUNTIF($Y$5:Y1194,Y1195))</f>
        <v>190</v>
      </c>
      <c r="B1195" s="1">
        <f>IF(AND(Kisero_iv!$N$2=C1195,Kisero_iv!$K$5=$B$3,SUM(I1195:L1199)&lt;&gt;0,$B$4=YEAR(W1195)),B1194+1,0)</f>
        <v>0</v>
      </c>
      <c r="C1195" s="1">
        <f t="shared" si="42"/>
        <v>190</v>
      </c>
      <c r="D1195" s="102" t="str">
        <f t="shared" si="43"/>
        <v/>
      </c>
      <c r="E1195" s="44"/>
      <c r="F1195" s="45"/>
      <c r="G1195" s="45"/>
      <c r="H1195" s="45"/>
      <c r="I1195" s="46"/>
      <c r="J1195" s="111" t="str">
        <f>IF(AND(G1195&lt;&gt;"",ISERROR(VLOOKUP(G1195,Keszlet!$C$5:$H$200,6,FALSE))=FALSE),VLOOKUP(G1195,Keszlet!$C$5:$H$200,6,FALSE),"")</f>
        <v/>
      </c>
      <c r="K1195" s="106" t="str">
        <f>IF(AND(G1195&lt;&gt;"",ISERROR(VLOOKUP(G1195,Keszlet!$C$5:$G$200,5,FALSE))=FALSE),VLOOKUP(G1195,Keszlet!$C$5:$G$200,5,FALSE),"")</f>
        <v/>
      </c>
      <c r="L1195" s="106" t="str">
        <f t="shared" si="44"/>
        <v/>
      </c>
      <c r="M1195" s="115" t="str">
        <f>IF(ISERROR(VLOOKUP(G1195,Keszlet!$C$5:$I$200,7,FALSE))=TRUE,"",IF(AND(J1194&lt;&gt;"",J1196=""),VLOOKUP(G1195,Keszlet!$C$5:$I$200,7,FALSE),""))</f>
        <v/>
      </c>
      <c r="Q1195" s="1">
        <f>VLOOKUP(G1195,Keszlet!$C$5:$E$205,3,FALSE)</f>
        <v>0</v>
      </c>
      <c r="T1195" s="1" t="str">
        <f t="shared" si="45"/>
        <v/>
      </c>
      <c r="U1195" s="1">
        <f t="shared" si="46"/>
        <v>0</v>
      </c>
      <c r="W1195" s="6">
        <f t="shared" si="49"/>
        <v>0</v>
      </c>
      <c r="X1195" s="6">
        <f t="shared" si="41"/>
        <v>0</v>
      </c>
      <c r="Y1195" s="1">
        <f t="shared" si="47"/>
        <v>1</v>
      </c>
      <c r="Z1195" s="1">
        <f>IF(COUNTIF($Y$6:Y1195,Y1195)=1,Y1195,Y1195+COUNTIF($Y$5:Y1194,Y1195))</f>
        <v>190</v>
      </c>
      <c r="AD1195" s="1" t="str">
        <f t="shared" si="48"/>
        <v/>
      </c>
      <c r="BA1195" s="1">
        <f>IF(W1195&lt;=Leltar_iv!$Y$1,I1195,0)</f>
        <v>0</v>
      </c>
    </row>
    <row r="1196" spans="1:53" s="1" customFormat="1" x14ac:dyDescent="0.25">
      <c r="A1196" s="18">
        <f>IF(COUNTIF($Y$6:Y1196,Y1196)=1,Y1196,Y1196+COUNTIF($Y$5:Y1195,Y1196))</f>
        <v>191</v>
      </c>
      <c r="B1196" s="1">
        <f>IF(AND(Kisero_iv!$N$2=C1196,Kisero_iv!$K$5=$B$3,SUM(I1196:L1200)&lt;&gt;0,$B$4=YEAR(W1196)),B1195+1,0)</f>
        <v>0</v>
      </c>
      <c r="C1196" s="1">
        <f t="shared" si="42"/>
        <v>191</v>
      </c>
      <c r="D1196" s="102" t="str">
        <f t="shared" si="43"/>
        <v/>
      </c>
      <c r="E1196" s="44"/>
      <c r="F1196" s="45"/>
      <c r="G1196" s="45"/>
      <c r="H1196" s="45"/>
      <c r="I1196" s="46"/>
      <c r="J1196" s="111" t="str">
        <f>IF(AND(G1196&lt;&gt;"",ISERROR(VLOOKUP(G1196,Keszlet!$C$5:$H$200,6,FALSE))=FALSE),VLOOKUP(G1196,Keszlet!$C$5:$H$200,6,FALSE),"")</f>
        <v/>
      </c>
      <c r="K1196" s="106" t="str">
        <f>IF(AND(G1196&lt;&gt;"",ISERROR(VLOOKUP(G1196,Keszlet!$C$5:$G$200,5,FALSE))=FALSE),VLOOKUP(G1196,Keszlet!$C$5:$G$200,5,FALSE),"")</f>
        <v/>
      </c>
      <c r="L1196" s="106" t="str">
        <f t="shared" si="44"/>
        <v/>
      </c>
      <c r="M1196" s="115" t="str">
        <f>IF(ISERROR(VLOOKUP(G1196,Keszlet!$C$5:$I$200,7,FALSE))=TRUE,"",IF(AND(J1195&lt;&gt;"",J1197=""),VLOOKUP(G1196,Keszlet!$C$5:$I$200,7,FALSE),""))</f>
        <v/>
      </c>
      <c r="Q1196" s="1">
        <f>VLOOKUP(G1196,Keszlet!$C$5:$E$205,3,FALSE)</f>
        <v>0</v>
      </c>
      <c r="T1196" s="1" t="str">
        <f t="shared" si="45"/>
        <v/>
      </c>
      <c r="U1196" s="1">
        <f t="shared" si="46"/>
        <v>0</v>
      </c>
      <c r="W1196" s="6">
        <f t="shared" si="49"/>
        <v>0</v>
      </c>
      <c r="X1196" s="6">
        <f t="shared" si="41"/>
        <v>0</v>
      </c>
      <c r="Y1196" s="1">
        <f t="shared" si="47"/>
        <v>1</v>
      </c>
      <c r="Z1196" s="1">
        <f>IF(COUNTIF($Y$6:Y1196,Y1196)=1,Y1196,Y1196+COUNTIF($Y$5:Y1195,Y1196))</f>
        <v>191</v>
      </c>
      <c r="AD1196" s="1" t="str">
        <f t="shared" si="48"/>
        <v/>
      </c>
      <c r="BA1196" s="1">
        <f>IF(W1196&lt;=Leltar_iv!$Y$1,I1196,0)</f>
        <v>0</v>
      </c>
    </row>
    <row r="1197" spans="1:53" s="1" customFormat="1" x14ac:dyDescent="0.25">
      <c r="A1197" s="18">
        <f>IF(COUNTIF($Y$6:Y1197,Y1197)=1,Y1197,Y1197+COUNTIF($Y$5:Y1196,Y1197))</f>
        <v>192</v>
      </c>
      <c r="B1197" s="1">
        <f>IF(AND(Kisero_iv!$N$2=C1197,Kisero_iv!$K$5=$B$3,SUM(I1197:L1201)&lt;&gt;0,$B$4=YEAR(W1197)),B1196+1,0)</f>
        <v>0</v>
      </c>
      <c r="C1197" s="1">
        <f t="shared" si="42"/>
        <v>192</v>
      </c>
      <c r="D1197" s="102" t="str">
        <f t="shared" si="43"/>
        <v/>
      </c>
      <c r="E1197" s="44"/>
      <c r="F1197" s="45"/>
      <c r="G1197" s="45"/>
      <c r="H1197" s="45"/>
      <c r="I1197" s="46"/>
      <c r="J1197" s="111" t="str">
        <f>IF(AND(G1197&lt;&gt;"",ISERROR(VLOOKUP(G1197,Keszlet!$C$5:$H$200,6,FALSE))=FALSE),VLOOKUP(G1197,Keszlet!$C$5:$H$200,6,FALSE),"")</f>
        <v/>
      </c>
      <c r="K1197" s="106" t="str">
        <f>IF(AND(G1197&lt;&gt;"",ISERROR(VLOOKUP(G1197,Keszlet!$C$5:$G$200,5,FALSE))=FALSE),VLOOKUP(G1197,Keszlet!$C$5:$G$200,5,FALSE),"")</f>
        <v/>
      </c>
      <c r="L1197" s="106" t="str">
        <f t="shared" si="44"/>
        <v/>
      </c>
      <c r="M1197" s="115" t="str">
        <f>IF(ISERROR(VLOOKUP(G1197,Keszlet!$C$5:$I$200,7,FALSE))=TRUE,"",IF(AND(J1196&lt;&gt;"",J1198=""),VLOOKUP(G1197,Keszlet!$C$5:$I$200,7,FALSE),""))</f>
        <v/>
      </c>
      <c r="Q1197" s="1">
        <f>VLOOKUP(G1197,Keszlet!$C$5:$E$205,3,FALSE)</f>
        <v>0</v>
      </c>
      <c r="T1197" s="1" t="str">
        <f t="shared" si="45"/>
        <v/>
      </c>
      <c r="U1197" s="1">
        <f t="shared" si="46"/>
        <v>0</v>
      </c>
      <c r="W1197" s="6">
        <f t="shared" si="49"/>
        <v>0</v>
      </c>
      <c r="X1197" s="6">
        <f t="shared" si="41"/>
        <v>0</v>
      </c>
      <c r="Y1197" s="1">
        <f t="shared" si="47"/>
        <v>1</v>
      </c>
      <c r="Z1197" s="1">
        <f>IF(COUNTIF($Y$6:Y1197,Y1197)=1,Y1197,Y1197+COUNTIF($Y$5:Y1196,Y1197))</f>
        <v>192</v>
      </c>
      <c r="AD1197" s="1" t="str">
        <f t="shared" si="48"/>
        <v/>
      </c>
      <c r="BA1197" s="1">
        <f>IF(W1197&lt;=Leltar_iv!$Y$1,I1197,0)</f>
        <v>0</v>
      </c>
    </row>
    <row r="1198" spans="1:53" s="1" customFormat="1" x14ac:dyDescent="0.25">
      <c r="A1198" s="18">
        <f>IF(COUNTIF($Y$6:Y1198,Y1198)=1,Y1198,Y1198+COUNTIF($Y$5:Y1197,Y1198))</f>
        <v>193</v>
      </c>
      <c r="B1198" s="1">
        <f>IF(AND(Kisero_iv!$N$2=C1198,Kisero_iv!$K$5=$B$3,SUM(I1198:L1202)&lt;&gt;0,$B$4=YEAR(W1198)),B1197+1,0)</f>
        <v>0</v>
      </c>
      <c r="C1198" s="1">
        <f t="shared" si="42"/>
        <v>193</v>
      </c>
      <c r="D1198" s="102" t="str">
        <f t="shared" si="43"/>
        <v/>
      </c>
      <c r="E1198" s="44"/>
      <c r="F1198" s="45"/>
      <c r="G1198" s="45"/>
      <c r="H1198" s="45"/>
      <c r="I1198" s="46"/>
      <c r="J1198" s="111" t="str">
        <f>IF(AND(G1198&lt;&gt;"",ISERROR(VLOOKUP(G1198,Keszlet!$C$5:$H$200,6,FALSE))=FALSE),VLOOKUP(G1198,Keszlet!$C$5:$H$200,6,FALSE),"")</f>
        <v/>
      </c>
      <c r="K1198" s="106" t="str">
        <f>IF(AND(G1198&lt;&gt;"",ISERROR(VLOOKUP(G1198,Keszlet!$C$5:$G$200,5,FALSE))=FALSE),VLOOKUP(G1198,Keszlet!$C$5:$G$200,5,FALSE),"")</f>
        <v/>
      </c>
      <c r="L1198" s="106" t="str">
        <f t="shared" si="44"/>
        <v/>
      </c>
      <c r="M1198" s="115" t="str">
        <f>IF(ISERROR(VLOOKUP(G1198,Keszlet!$C$5:$I$200,7,FALSE))=TRUE,"",IF(AND(J1197&lt;&gt;"",J1199=""),VLOOKUP(G1198,Keszlet!$C$5:$I$200,7,FALSE),""))</f>
        <v/>
      </c>
      <c r="Q1198" s="1">
        <f>VLOOKUP(G1198,Keszlet!$C$5:$E$205,3,FALSE)</f>
        <v>0</v>
      </c>
      <c r="T1198" s="1" t="str">
        <f t="shared" si="45"/>
        <v/>
      </c>
      <c r="U1198" s="1">
        <f t="shared" si="46"/>
        <v>0</v>
      </c>
      <c r="W1198" s="6">
        <f t="shared" si="49"/>
        <v>0</v>
      </c>
      <c r="X1198" s="6">
        <f t="shared" ref="X1198:X1261" si="50">IF(G1198=q,W1198,$X$1)</f>
        <v>0</v>
      </c>
      <c r="Y1198" s="1">
        <f t="shared" si="47"/>
        <v>1</v>
      </c>
      <c r="Z1198" s="1">
        <f>IF(COUNTIF($Y$6:Y1198,Y1198)=1,Y1198,Y1198+COUNTIF($Y$5:Y1197,Y1198))</f>
        <v>193</v>
      </c>
      <c r="AD1198" s="1" t="str">
        <f t="shared" si="48"/>
        <v/>
      </c>
      <c r="BA1198" s="1">
        <f>IF(W1198&lt;=Leltar_iv!$Y$1,I1198,0)</f>
        <v>0</v>
      </c>
    </row>
    <row r="1199" spans="1:53" s="1" customFormat="1" x14ac:dyDescent="0.25">
      <c r="A1199" s="18">
        <f>IF(COUNTIF($Y$6:Y1199,Y1199)=1,Y1199,Y1199+COUNTIF($Y$5:Y1198,Y1199))</f>
        <v>194</v>
      </c>
      <c r="B1199" s="1">
        <f>IF(AND(Kisero_iv!$N$2=C1199,Kisero_iv!$K$5=$B$3,SUM(I1199:L1203)&lt;&gt;0,$B$4=YEAR(W1199)),B1198+1,0)</f>
        <v>0</v>
      </c>
      <c r="C1199" s="1">
        <f t="shared" ref="C1199:C1262" si="51">IF(YEAR(W1198)&lt;&gt;YEAR(W1199),1,IF(T1199&lt;&gt;0,C1198+1,C1198))</f>
        <v>194</v>
      </c>
      <c r="D1199" s="102" t="str">
        <f t="shared" ref="D1199:D1262" si="52">IF(AND(OR(C1198&lt;&gt;C1199,C1199=1),SUM(L1199:L1219)&lt;&gt;0),YEAR(W1199)&amp;"/"&amp;C1199,"")</f>
        <v/>
      </c>
      <c r="E1199" s="44"/>
      <c r="F1199" s="45"/>
      <c r="G1199" s="45"/>
      <c r="H1199" s="45"/>
      <c r="I1199" s="46"/>
      <c r="J1199" s="111" t="str">
        <f>IF(AND(G1199&lt;&gt;"",ISERROR(VLOOKUP(G1199,Keszlet!$C$5:$H$200,6,FALSE))=FALSE),VLOOKUP(G1199,Keszlet!$C$5:$H$200,6,FALSE),"")</f>
        <v/>
      </c>
      <c r="K1199" s="106" t="str">
        <f>IF(AND(G1199&lt;&gt;"",ISERROR(VLOOKUP(G1199,Keszlet!$C$5:$G$200,5,FALSE))=FALSE),VLOOKUP(G1199,Keszlet!$C$5:$G$200,5,FALSE),"")</f>
        <v/>
      </c>
      <c r="L1199" s="106" t="str">
        <f t="shared" ref="L1199:L1262" si="53">IF(AND(G1199&lt;&gt;0,K1199&lt;&gt;""),I1199*K1199,"")</f>
        <v/>
      </c>
      <c r="M1199" s="115" t="str">
        <f>IF(ISERROR(VLOOKUP(G1199,Keszlet!$C$5:$I$200,7,FALSE))=TRUE,"",IF(AND(J1198&lt;&gt;"",J1200=""),VLOOKUP(G1199,Keszlet!$C$5:$I$200,7,FALSE),""))</f>
        <v/>
      </c>
      <c r="Q1199" s="1">
        <f>VLOOKUP(G1199,Keszlet!$C$5:$E$205,3,FALSE)</f>
        <v>0</v>
      </c>
      <c r="T1199" s="1" t="str">
        <f t="shared" ref="T1199:T1262" si="54">IF(OR(E1199&lt;&gt;0,COUNTIF(T1190:T1198,0)=9,F1199&lt;&gt;0,SUM(L1199:L1219)=0),E1199&amp;F1199,0)</f>
        <v/>
      </c>
      <c r="U1199" s="1">
        <f t="shared" ref="U1199:U1262" si="55">IF(F1199&lt;&gt;"",F1199,U1198)</f>
        <v>0</v>
      </c>
      <c r="W1199" s="6">
        <f t="shared" si="49"/>
        <v>0</v>
      </c>
      <c r="X1199" s="6">
        <f t="shared" si="50"/>
        <v>0</v>
      </c>
      <c r="Y1199" s="1">
        <f t="shared" ref="Y1199:Y1262" si="56">RANK(X1199,$X$6:$X$10000,1)</f>
        <v>1</v>
      </c>
      <c r="Z1199" s="1">
        <f>IF(COUNTIF($Y$6:Y1199,Y1199)=1,Y1199,Y1199+COUNTIF($Y$5:Y1198,Y1199))</f>
        <v>194</v>
      </c>
      <c r="AD1199" s="1" t="str">
        <f t="shared" ref="AD1199:AD1262" si="57">IF(AND(OR(C1198&lt;&gt;C1199,YEAR(W1199)&lt;&gt;YEAR(W1198)),SUM(L1199:L1219)&lt;&gt;0,$B$4=YEAR(W1199)),C1199,"")</f>
        <v/>
      </c>
      <c r="BA1199" s="1">
        <f>IF(W1199&lt;=Leltar_iv!$Y$1,I1199,0)</f>
        <v>0</v>
      </c>
    </row>
    <row r="1200" spans="1:53" s="1" customFormat="1" x14ac:dyDescent="0.25">
      <c r="A1200" s="18">
        <f>IF(COUNTIF($Y$6:Y1200,Y1200)=1,Y1200,Y1200+COUNTIF($Y$5:Y1199,Y1200))</f>
        <v>195</v>
      </c>
      <c r="B1200" s="1">
        <f>IF(AND(Kisero_iv!$N$2=C1200,Kisero_iv!$K$5=$B$3,SUM(I1200:L1204)&lt;&gt;0,$B$4=YEAR(W1200)),B1199+1,0)</f>
        <v>0</v>
      </c>
      <c r="C1200" s="1">
        <f t="shared" si="51"/>
        <v>195</v>
      </c>
      <c r="D1200" s="102" t="str">
        <f t="shared" si="52"/>
        <v/>
      </c>
      <c r="E1200" s="44"/>
      <c r="F1200" s="45"/>
      <c r="G1200" s="45"/>
      <c r="H1200" s="45"/>
      <c r="I1200" s="46"/>
      <c r="J1200" s="111" t="str">
        <f>IF(AND(G1200&lt;&gt;"",ISERROR(VLOOKUP(G1200,Keszlet!$C$5:$H$200,6,FALSE))=FALSE),VLOOKUP(G1200,Keszlet!$C$5:$H$200,6,FALSE),"")</f>
        <v/>
      </c>
      <c r="K1200" s="106" t="str">
        <f>IF(AND(G1200&lt;&gt;"",ISERROR(VLOOKUP(G1200,Keszlet!$C$5:$G$200,5,FALSE))=FALSE),VLOOKUP(G1200,Keszlet!$C$5:$G$200,5,FALSE),"")</f>
        <v/>
      </c>
      <c r="L1200" s="106" t="str">
        <f t="shared" si="53"/>
        <v/>
      </c>
      <c r="M1200" s="115" t="str">
        <f>IF(ISERROR(VLOOKUP(G1200,Keszlet!$C$5:$I$200,7,FALSE))=TRUE,"",IF(AND(J1199&lt;&gt;"",J1201=""),VLOOKUP(G1200,Keszlet!$C$5:$I$200,7,FALSE),""))</f>
        <v/>
      </c>
      <c r="Q1200" s="1">
        <f>VLOOKUP(G1200,Keszlet!$C$5:$E$205,3,FALSE)</f>
        <v>0</v>
      </c>
      <c r="T1200" s="1" t="str">
        <f t="shared" si="54"/>
        <v/>
      </c>
      <c r="U1200" s="1">
        <f t="shared" si="55"/>
        <v>0</v>
      </c>
      <c r="W1200" s="6">
        <f t="shared" si="49"/>
        <v>0</v>
      </c>
      <c r="X1200" s="6">
        <f t="shared" si="50"/>
        <v>0</v>
      </c>
      <c r="Y1200" s="1">
        <f t="shared" si="56"/>
        <v>1</v>
      </c>
      <c r="Z1200" s="1">
        <f>IF(COUNTIF($Y$6:Y1200,Y1200)=1,Y1200,Y1200+COUNTIF($Y$5:Y1199,Y1200))</f>
        <v>195</v>
      </c>
      <c r="AD1200" s="1" t="str">
        <f t="shared" si="57"/>
        <v/>
      </c>
      <c r="BA1200" s="1">
        <f>IF(W1200&lt;=Leltar_iv!$Y$1,I1200,0)</f>
        <v>0</v>
      </c>
    </row>
    <row r="1201" spans="1:53" s="1" customFormat="1" x14ac:dyDescent="0.25">
      <c r="A1201" s="18">
        <f>IF(COUNTIF($Y$6:Y1201,Y1201)=1,Y1201,Y1201+COUNTIF($Y$5:Y1200,Y1201))</f>
        <v>196</v>
      </c>
      <c r="B1201" s="1">
        <f>IF(AND(Kisero_iv!$N$2=C1201,Kisero_iv!$K$5=$B$3,SUM(I1201:L1205)&lt;&gt;0,$B$4=YEAR(W1201)),B1200+1,0)</f>
        <v>0</v>
      </c>
      <c r="C1201" s="1">
        <f t="shared" si="51"/>
        <v>196</v>
      </c>
      <c r="D1201" s="102" t="str">
        <f t="shared" si="52"/>
        <v/>
      </c>
      <c r="E1201" s="44"/>
      <c r="F1201" s="45"/>
      <c r="G1201" s="45"/>
      <c r="H1201" s="45"/>
      <c r="I1201" s="46"/>
      <c r="J1201" s="111" t="str">
        <f>IF(AND(G1201&lt;&gt;"",ISERROR(VLOOKUP(G1201,Keszlet!$C$5:$H$200,6,FALSE))=FALSE),VLOOKUP(G1201,Keszlet!$C$5:$H$200,6,FALSE),"")</f>
        <v/>
      </c>
      <c r="K1201" s="106" t="str">
        <f>IF(AND(G1201&lt;&gt;"",ISERROR(VLOOKUP(G1201,Keszlet!$C$5:$G$200,5,FALSE))=FALSE),VLOOKUP(G1201,Keszlet!$C$5:$G$200,5,FALSE),"")</f>
        <v/>
      </c>
      <c r="L1201" s="106" t="str">
        <f t="shared" si="53"/>
        <v/>
      </c>
      <c r="M1201" s="115" t="str">
        <f>IF(ISERROR(VLOOKUP(G1201,Keszlet!$C$5:$I$200,7,FALSE))=TRUE,"",IF(AND(J1200&lt;&gt;"",J1202=""),VLOOKUP(G1201,Keszlet!$C$5:$I$200,7,FALSE),""))</f>
        <v/>
      </c>
      <c r="Q1201" s="1">
        <f>VLOOKUP(G1201,Keszlet!$C$5:$E$205,3,FALSE)</f>
        <v>0</v>
      </c>
      <c r="T1201" s="1" t="str">
        <f t="shared" si="54"/>
        <v/>
      </c>
      <c r="U1201" s="1">
        <f t="shared" si="55"/>
        <v>0</v>
      </c>
      <c r="W1201" s="6">
        <f t="shared" ref="W1201:W1264" si="58">IF(E1201&lt;&gt;0,E1201,W1200)</f>
        <v>0</v>
      </c>
      <c r="X1201" s="6">
        <f t="shared" si="50"/>
        <v>0</v>
      </c>
      <c r="Y1201" s="1">
        <f t="shared" si="56"/>
        <v>1</v>
      </c>
      <c r="Z1201" s="1">
        <f>IF(COUNTIF($Y$6:Y1201,Y1201)=1,Y1201,Y1201+COUNTIF($Y$5:Y1200,Y1201))</f>
        <v>196</v>
      </c>
      <c r="AD1201" s="1" t="str">
        <f t="shared" si="57"/>
        <v/>
      </c>
      <c r="BA1201" s="1">
        <f>IF(W1201&lt;=Leltar_iv!$Y$1,I1201,0)</f>
        <v>0</v>
      </c>
    </row>
    <row r="1202" spans="1:53" s="1" customFormat="1" x14ac:dyDescent="0.25">
      <c r="A1202" s="18">
        <f>IF(COUNTIF($Y$6:Y1202,Y1202)=1,Y1202,Y1202+COUNTIF($Y$5:Y1201,Y1202))</f>
        <v>197</v>
      </c>
      <c r="B1202" s="1">
        <f>IF(AND(Kisero_iv!$N$2=C1202,Kisero_iv!$K$5=$B$3,SUM(I1202:L1206)&lt;&gt;0,$B$4=YEAR(W1202)),B1201+1,0)</f>
        <v>0</v>
      </c>
      <c r="C1202" s="1">
        <f t="shared" si="51"/>
        <v>197</v>
      </c>
      <c r="D1202" s="102" t="str">
        <f t="shared" si="52"/>
        <v/>
      </c>
      <c r="E1202" s="44"/>
      <c r="F1202" s="45"/>
      <c r="G1202" s="45"/>
      <c r="H1202" s="45"/>
      <c r="I1202" s="46"/>
      <c r="J1202" s="111" t="str">
        <f>IF(AND(G1202&lt;&gt;"",ISERROR(VLOOKUP(G1202,Keszlet!$C$5:$H$200,6,FALSE))=FALSE),VLOOKUP(G1202,Keszlet!$C$5:$H$200,6,FALSE),"")</f>
        <v/>
      </c>
      <c r="K1202" s="106" t="str">
        <f>IF(AND(G1202&lt;&gt;"",ISERROR(VLOOKUP(G1202,Keszlet!$C$5:$G$200,5,FALSE))=FALSE),VLOOKUP(G1202,Keszlet!$C$5:$G$200,5,FALSE),"")</f>
        <v/>
      </c>
      <c r="L1202" s="106" t="str">
        <f t="shared" si="53"/>
        <v/>
      </c>
      <c r="M1202" s="115" t="str">
        <f>IF(ISERROR(VLOOKUP(G1202,Keszlet!$C$5:$I$200,7,FALSE))=TRUE,"",IF(AND(J1201&lt;&gt;"",J1203=""),VLOOKUP(G1202,Keszlet!$C$5:$I$200,7,FALSE),""))</f>
        <v/>
      </c>
      <c r="Q1202" s="1">
        <f>VLOOKUP(G1202,Keszlet!$C$5:$E$205,3,FALSE)</f>
        <v>0</v>
      </c>
      <c r="T1202" s="1" t="str">
        <f t="shared" si="54"/>
        <v/>
      </c>
      <c r="U1202" s="1">
        <f t="shared" si="55"/>
        <v>0</v>
      </c>
      <c r="W1202" s="6">
        <f t="shared" si="58"/>
        <v>0</v>
      </c>
      <c r="X1202" s="6">
        <f t="shared" si="50"/>
        <v>0</v>
      </c>
      <c r="Y1202" s="1">
        <f t="shared" si="56"/>
        <v>1</v>
      </c>
      <c r="Z1202" s="1">
        <f>IF(COUNTIF($Y$6:Y1202,Y1202)=1,Y1202,Y1202+COUNTIF($Y$5:Y1201,Y1202))</f>
        <v>197</v>
      </c>
      <c r="AD1202" s="1" t="str">
        <f t="shared" si="57"/>
        <v/>
      </c>
      <c r="BA1202" s="1">
        <f>IF(W1202&lt;=Leltar_iv!$Y$1,I1202,0)</f>
        <v>0</v>
      </c>
    </row>
    <row r="1203" spans="1:53" s="1" customFormat="1" x14ac:dyDescent="0.25">
      <c r="A1203" s="18">
        <f>IF(COUNTIF($Y$6:Y1203,Y1203)=1,Y1203,Y1203+COUNTIF($Y$5:Y1202,Y1203))</f>
        <v>198</v>
      </c>
      <c r="B1203" s="1">
        <f>IF(AND(Kisero_iv!$N$2=C1203,Kisero_iv!$K$5=$B$3,SUM(I1203:L1207)&lt;&gt;0,$B$4=YEAR(W1203)),B1202+1,0)</f>
        <v>0</v>
      </c>
      <c r="C1203" s="1">
        <f t="shared" si="51"/>
        <v>198</v>
      </c>
      <c r="D1203" s="102" t="str">
        <f t="shared" si="52"/>
        <v/>
      </c>
      <c r="E1203" s="44"/>
      <c r="F1203" s="45"/>
      <c r="G1203" s="45"/>
      <c r="H1203" s="45"/>
      <c r="I1203" s="46"/>
      <c r="J1203" s="111" t="str">
        <f>IF(AND(G1203&lt;&gt;"",ISERROR(VLOOKUP(G1203,Keszlet!$C$5:$H$200,6,FALSE))=FALSE),VLOOKUP(G1203,Keszlet!$C$5:$H$200,6,FALSE),"")</f>
        <v/>
      </c>
      <c r="K1203" s="106" t="str">
        <f>IF(AND(G1203&lt;&gt;"",ISERROR(VLOOKUP(G1203,Keszlet!$C$5:$G$200,5,FALSE))=FALSE),VLOOKUP(G1203,Keszlet!$C$5:$G$200,5,FALSE),"")</f>
        <v/>
      </c>
      <c r="L1203" s="106" t="str">
        <f t="shared" si="53"/>
        <v/>
      </c>
      <c r="M1203" s="115" t="str">
        <f>IF(ISERROR(VLOOKUP(G1203,Keszlet!$C$5:$I$200,7,FALSE))=TRUE,"",IF(AND(J1202&lt;&gt;"",J1204=""),VLOOKUP(G1203,Keszlet!$C$5:$I$200,7,FALSE),""))</f>
        <v/>
      </c>
      <c r="Q1203" s="1">
        <f>VLOOKUP(G1203,Keszlet!$C$5:$E$205,3,FALSE)</f>
        <v>0</v>
      </c>
      <c r="T1203" s="1" t="str">
        <f t="shared" si="54"/>
        <v/>
      </c>
      <c r="U1203" s="1">
        <f t="shared" si="55"/>
        <v>0</v>
      </c>
      <c r="W1203" s="6">
        <f t="shared" si="58"/>
        <v>0</v>
      </c>
      <c r="X1203" s="6">
        <f t="shared" si="50"/>
        <v>0</v>
      </c>
      <c r="Y1203" s="1">
        <f t="shared" si="56"/>
        <v>1</v>
      </c>
      <c r="Z1203" s="1">
        <f>IF(COUNTIF($Y$6:Y1203,Y1203)=1,Y1203,Y1203+COUNTIF($Y$5:Y1202,Y1203))</f>
        <v>198</v>
      </c>
      <c r="AD1203" s="1" t="str">
        <f t="shared" si="57"/>
        <v/>
      </c>
      <c r="BA1203" s="1">
        <f>IF(W1203&lt;=Leltar_iv!$Y$1,I1203,0)</f>
        <v>0</v>
      </c>
    </row>
    <row r="1204" spans="1:53" s="1" customFormat="1" x14ac:dyDescent="0.25">
      <c r="A1204" s="18">
        <f>IF(COUNTIF($Y$6:Y1204,Y1204)=1,Y1204,Y1204+COUNTIF($Y$5:Y1203,Y1204))</f>
        <v>199</v>
      </c>
      <c r="B1204" s="1">
        <f>IF(AND(Kisero_iv!$N$2=C1204,Kisero_iv!$K$5=$B$3,SUM(I1204:L1208)&lt;&gt;0,$B$4=YEAR(W1204)),B1203+1,0)</f>
        <v>0</v>
      </c>
      <c r="C1204" s="1">
        <f t="shared" si="51"/>
        <v>199</v>
      </c>
      <c r="D1204" s="102" t="str">
        <f t="shared" si="52"/>
        <v/>
      </c>
      <c r="E1204" s="44"/>
      <c r="F1204" s="45"/>
      <c r="G1204" s="45"/>
      <c r="H1204" s="45"/>
      <c r="I1204" s="46"/>
      <c r="J1204" s="111" t="str">
        <f>IF(AND(G1204&lt;&gt;"",ISERROR(VLOOKUP(G1204,Keszlet!$C$5:$H$200,6,FALSE))=FALSE),VLOOKUP(G1204,Keszlet!$C$5:$H$200,6,FALSE),"")</f>
        <v/>
      </c>
      <c r="K1204" s="106" t="str">
        <f>IF(AND(G1204&lt;&gt;"",ISERROR(VLOOKUP(G1204,Keszlet!$C$5:$G$200,5,FALSE))=FALSE),VLOOKUP(G1204,Keszlet!$C$5:$G$200,5,FALSE),"")</f>
        <v/>
      </c>
      <c r="L1204" s="106" t="str">
        <f t="shared" si="53"/>
        <v/>
      </c>
      <c r="M1204" s="115" t="str">
        <f>IF(ISERROR(VLOOKUP(G1204,Keszlet!$C$5:$I$200,7,FALSE))=TRUE,"",IF(AND(J1203&lt;&gt;"",J1205=""),VLOOKUP(G1204,Keszlet!$C$5:$I$200,7,FALSE),""))</f>
        <v/>
      </c>
      <c r="Q1204" s="1">
        <f>VLOOKUP(G1204,Keszlet!$C$5:$E$205,3,FALSE)</f>
        <v>0</v>
      </c>
      <c r="T1204" s="1" t="str">
        <f t="shared" si="54"/>
        <v/>
      </c>
      <c r="U1204" s="1">
        <f t="shared" si="55"/>
        <v>0</v>
      </c>
      <c r="W1204" s="6">
        <f t="shared" si="58"/>
        <v>0</v>
      </c>
      <c r="X1204" s="6">
        <f t="shared" si="50"/>
        <v>0</v>
      </c>
      <c r="Y1204" s="1">
        <f t="shared" si="56"/>
        <v>1</v>
      </c>
      <c r="Z1204" s="1">
        <f>IF(COUNTIF($Y$6:Y1204,Y1204)=1,Y1204,Y1204+COUNTIF($Y$5:Y1203,Y1204))</f>
        <v>199</v>
      </c>
      <c r="AD1204" s="1" t="str">
        <f t="shared" si="57"/>
        <v/>
      </c>
      <c r="BA1204" s="1">
        <f>IF(W1204&lt;=Leltar_iv!$Y$1,I1204,0)</f>
        <v>0</v>
      </c>
    </row>
    <row r="1205" spans="1:53" s="1" customFormat="1" x14ac:dyDescent="0.25">
      <c r="A1205" s="18">
        <f>IF(COUNTIF($Y$6:Y1205,Y1205)=1,Y1205,Y1205+COUNTIF($Y$5:Y1204,Y1205))</f>
        <v>200</v>
      </c>
      <c r="B1205" s="1">
        <f>IF(AND(Kisero_iv!$N$2=C1205,Kisero_iv!$K$5=$B$3,SUM(I1205:L1209)&lt;&gt;0,$B$4=YEAR(W1205)),B1204+1,0)</f>
        <v>0</v>
      </c>
      <c r="C1205" s="1">
        <f t="shared" si="51"/>
        <v>200</v>
      </c>
      <c r="D1205" s="102" t="str">
        <f t="shared" si="52"/>
        <v/>
      </c>
      <c r="E1205" s="44"/>
      <c r="F1205" s="45"/>
      <c r="G1205" s="45"/>
      <c r="H1205" s="45"/>
      <c r="I1205" s="46"/>
      <c r="J1205" s="111" t="str">
        <f>IF(AND(G1205&lt;&gt;"",ISERROR(VLOOKUP(G1205,Keszlet!$C$5:$H$200,6,FALSE))=FALSE),VLOOKUP(G1205,Keszlet!$C$5:$H$200,6,FALSE),"")</f>
        <v/>
      </c>
      <c r="K1205" s="106" t="str">
        <f>IF(AND(G1205&lt;&gt;"",ISERROR(VLOOKUP(G1205,Keszlet!$C$5:$G$200,5,FALSE))=FALSE),VLOOKUP(G1205,Keszlet!$C$5:$G$200,5,FALSE),"")</f>
        <v/>
      </c>
      <c r="L1205" s="106" t="str">
        <f t="shared" si="53"/>
        <v/>
      </c>
      <c r="M1205" s="115" t="str">
        <f>IF(ISERROR(VLOOKUP(G1205,Keszlet!$C$5:$I$200,7,FALSE))=TRUE,"",IF(AND(J1204&lt;&gt;"",J1206=""),VLOOKUP(G1205,Keszlet!$C$5:$I$200,7,FALSE),""))</f>
        <v/>
      </c>
      <c r="Q1205" s="1">
        <f>VLOOKUP(G1205,Keszlet!$C$5:$E$205,3,FALSE)</f>
        <v>0</v>
      </c>
      <c r="T1205" s="1" t="str">
        <f t="shared" si="54"/>
        <v/>
      </c>
      <c r="U1205" s="1">
        <f t="shared" si="55"/>
        <v>0</v>
      </c>
      <c r="W1205" s="6">
        <f t="shared" si="58"/>
        <v>0</v>
      </c>
      <c r="X1205" s="6">
        <f t="shared" si="50"/>
        <v>0</v>
      </c>
      <c r="Y1205" s="1">
        <f t="shared" si="56"/>
        <v>1</v>
      </c>
      <c r="Z1205" s="1">
        <f>IF(COUNTIF($Y$6:Y1205,Y1205)=1,Y1205,Y1205+COUNTIF($Y$5:Y1204,Y1205))</f>
        <v>200</v>
      </c>
      <c r="AD1205" s="1" t="str">
        <f t="shared" si="57"/>
        <v/>
      </c>
      <c r="BA1205" s="1">
        <f>IF(W1205&lt;=Leltar_iv!$Y$1,I1205,0)</f>
        <v>0</v>
      </c>
    </row>
    <row r="1206" spans="1:53" s="1" customFormat="1" x14ac:dyDescent="0.25">
      <c r="A1206" s="18">
        <f>IF(COUNTIF($Y$6:Y1206,Y1206)=1,Y1206,Y1206+COUNTIF($Y$5:Y1205,Y1206))</f>
        <v>201</v>
      </c>
      <c r="B1206" s="1">
        <f>IF(AND(Kisero_iv!$N$2=C1206,Kisero_iv!$K$5=$B$3,SUM(I1206:L1210)&lt;&gt;0,$B$4=YEAR(W1206)),B1205+1,0)</f>
        <v>0</v>
      </c>
      <c r="C1206" s="1">
        <f t="shared" si="51"/>
        <v>201</v>
      </c>
      <c r="D1206" s="102" t="str">
        <f t="shared" si="52"/>
        <v/>
      </c>
      <c r="E1206" s="44"/>
      <c r="F1206" s="45"/>
      <c r="G1206" s="45"/>
      <c r="H1206" s="45"/>
      <c r="I1206" s="46"/>
      <c r="J1206" s="111" t="str">
        <f>IF(AND(G1206&lt;&gt;"",ISERROR(VLOOKUP(G1206,Keszlet!$C$5:$H$200,6,FALSE))=FALSE),VLOOKUP(G1206,Keszlet!$C$5:$H$200,6,FALSE),"")</f>
        <v/>
      </c>
      <c r="K1206" s="106" t="str">
        <f>IF(AND(G1206&lt;&gt;"",ISERROR(VLOOKUP(G1206,Keszlet!$C$5:$G$200,5,FALSE))=FALSE),VLOOKUP(G1206,Keszlet!$C$5:$G$200,5,FALSE),"")</f>
        <v/>
      </c>
      <c r="L1206" s="106" t="str">
        <f t="shared" si="53"/>
        <v/>
      </c>
      <c r="M1206" s="115" t="str">
        <f>IF(ISERROR(VLOOKUP(G1206,Keszlet!$C$5:$I$200,7,FALSE))=TRUE,"",IF(AND(J1205&lt;&gt;"",J1207=""),VLOOKUP(G1206,Keszlet!$C$5:$I$200,7,FALSE),""))</f>
        <v/>
      </c>
      <c r="Q1206" s="1">
        <f>VLOOKUP(G1206,Keszlet!$C$5:$E$205,3,FALSE)</f>
        <v>0</v>
      </c>
      <c r="T1206" s="1" t="str">
        <f t="shared" si="54"/>
        <v/>
      </c>
      <c r="U1206" s="1">
        <f t="shared" si="55"/>
        <v>0</v>
      </c>
      <c r="W1206" s="6">
        <f t="shared" si="58"/>
        <v>0</v>
      </c>
      <c r="X1206" s="6">
        <f t="shared" si="50"/>
        <v>0</v>
      </c>
      <c r="Y1206" s="1">
        <f t="shared" si="56"/>
        <v>1</v>
      </c>
      <c r="Z1206" s="1">
        <f>IF(COUNTIF($Y$6:Y1206,Y1206)=1,Y1206,Y1206+COUNTIF($Y$5:Y1205,Y1206))</f>
        <v>201</v>
      </c>
      <c r="AD1206" s="1" t="str">
        <f t="shared" si="57"/>
        <v/>
      </c>
      <c r="BA1206" s="1">
        <f>IF(W1206&lt;=Leltar_iv!$Y$1,I1206,0)</f>
        <v>0</v>
      </c>
    </row>
    <row r="1207" spans="1:53" s="1" customFormat="1" x14ac:dyDescent="0.25">
      <c r="A1207" s="18">
        <f>IF(COUNTIF($Y$6:Y1207,Y1207)=1,Y1207,Y1207+COUNTIF($Y$5:Y1206,Y1207))</f>
        <v>202</v>
      </c>
      <c r="B1207" s="1">
        <f>IF(AND(Kisero_iv!$N$2=C1207,Kisero_iv!$K$5=$B$3,SUM(I1207:L1211)&lt;&gt;0,$B$4=YEAR(W1207)),B1206+1,0)</f>
        <v>0</v>
      </c>
      <c r="C1207" s="1">
        <f t="shared" si="51"/>
        <v>202</v>
      </c>
      <c r="D1207" s="102" t="str">
        <f t="shared" si="52"/>
        <v/>
      </c>
      <c r="E1207" s="44"/>
      <c r="F1207" s="45"/>
      <c r="G1207" s="45"/>
      <c r="H1207" s="45"/>
      <c r="I1207" s="46"/>
      <c r="J1207" s="111" t="str">
        <f>IF(AND(G1207&lt;&gt;"",ISERROR(VLOOKUP(G1207,Keszlet!$C$5:$H$200,6,FALSE))=FALSE),VLOOKUP(G1207,Keszlet!$C$5:$H$200,6,FALSE),"")</f>
        <v/>
      </c>
      <c r="K1207" s="106" t="str">
        <f>IF(AND(G1207&lt;&gt;"",ISERROR(VLOOKUP(G1207,Keszlet!$C$5:$G$200,5,FALSE))=FALSE),VLOOKUP(G1207,Keszlet!$C$5:$G$200,5,FALSE),"")</f>
        <v/>
      </c>
      <c r="L1207" s="106" t="str">
        <f t="shared" si="53"/>
        <v/>
      </c>
      <c r="M1207" s="115" t="str">
        <f>IF(ISERROR(VLOOKUP(G1207,Keszlet!$C$5:$I$200,7,FALSE))=TRUE,"",IF(AND(J1206&lt;&gt;"",J1208=""),VLOOKUP(G1207,Keszlet!$C$5:$I$200,7,FALSE),""))</f>
        <v/>
      </c>
      <c r="Q1207" s="1">
        <f>VLOOKUP(G1207,Keszlet!$C$5:$E$205,3,FALSE)</f>
        <v>0</v>
      </c>
      <c r="T1207" s="1" t="str">
        <f t="shared" si="54"/>
        <v/>
      </c>
      <c r="U1207" s="1">
        <f t="shared" si="55"/>
        <v>0</v>
      </c>
      <c r="W1207" s="6">
        <f t="shared" si="58"/>
        <v>0</v>
      </c>
      <c r="X1207" s="6">
        <f t="shared" si="50"/>
        <v>0</v>
      </c>
      <c r="Y1207" s="1">
        <f t="shared" si="56"/>
        <v>1</v>
      </c>
      <c r="Z1207" s="1">
        <f>IF(COUNTIF($Y$6:Y1207,Y1207)=1,Y1207,Y1207+COUNTIF($Y$5:Y1206,Y1207))</f>
        <v>202</v>
      </c>
      <c r="AD1207" s="1" t="str">
        <f t="shared" si="57"/>
        <v/>
      </c>
      <c r="BA1207" s="1">
        <f>IF(W1207&lt;=Leltar_iv!$Y$1,I1207,0)</f>
        <v>0</v>
      </c>
    </row>
    <row r="1208" spans="1:53" s="1" customFormat="1" x14ac:dyDescent="0.25">
      <c r="A1208" s="18">
        <f>IF(COUNTIF($Y$6:Y1208,Y1208)=1,Y1208,Y1208+COUNTIF($Y$5:Y1207,Y1208))</f>
        <v>203</v>
      </c>
      <c r="B1208" s="1">
        <f>IF(AND(Kisero_iv!$N$2=C1208,Kisero_iv!$K$5=$B$3,SUM(I1208:L1212)&lt;&gt;0,$B$4=YEAR(W1208)),B1207+1,0)</f>
        <v>0</v>
      </c>
      <c r="C1208" s="1">
        <f t="shared" si="51"/>
        <v>203</v>
      </c>
      <c r="D1208" s="102" t="str">
        <f t="shared" si="52"/>
        <v/>
      </c>
      <c r="E1208" s="44"/>
      <c r="F1208" s="45"/>
      <c r="G1208" s="45"/>
      <c r="H1208" s="45"/>
      <c r="I1208" s="46"/>
      <c r="J1208" s="111" t="str">
        <f>IF(AND(G1208&lt;&gt;"",ISERROR(VLOOKUP(G1208,Keszlet!$C$5:$H$200,6,FALSE))=FALSE),VLOOKUP(G1208,Keszlet!$C$5:$H$200,6,FALSE),"")</f>
        <v/>
      </c>
      <c r="K1208" s="106" t="str">
        <f>IF(AND(G1208&lt;&gt;"",ISERROR(VLOOKUP(G1208,Keszlet!$C$5:$G$200,5,FALSE))=FALSE),VLOOKUP(G1208,Keszlet!$C$5:$G$200,5,FALSE),"")</f>
        <v/>
      </c>
      <c r="L1208" s="106" t="str">
        <f t="shared" si="53"/>
        <v/>
      </c>
      <c r="M1208" s="115" t="str">
        <f>IF(ISERROR(VLOOKUP(G1208,Keszlet!$C$5:$I$200,7,FALSE))=TRUE,"",IF(AND(J1207&lt;&gt;"",J1209=""),VLOOKUP(G1208,Keszlet!$C$5:$I$200,7,FALSE),""))</f>
        <v/>
      </c>
      <c r="Q1208" s="1">
        <f>VLOOKUP(G1208,Keszlet!$C$5:$E$205,3,FALSE)</f>
        <v>0</v>
      </c>
      <c r="T1208" s="1" t="str">
        <f t="shared" si="54"/>
        <v/>
      </c>
      <c r="U1208" s="1">
        <f t="shared" si="55"/>
        <v>0</v>
      </c>
      <c r="W1208" s="6">
        <f t="shared" si="58"/>
        <v>0</v>
      </c>
      <c r="X1208" s="6">
        <f t="shared" si="50"/>
        <v>0</v>
      </c>
      <c r="Y1208" s="1">
        <f t="shared" si="56"/>
        <v>1</v>
      </c>
      <c r="Z1208" s="1">
        <f>IF(COUNTIF($Y$6:Y1208,Y1208)=1,Y1208,Y1208+COUNTIF($Y$5:Y1207,Y1208))</f>
        <v>203</v>
      </c>
      <c r="AD1208" s="1" t="str">
        <f t="shared" si="57"/>
        <v/>
      </c>
      <c r="BA1208" s="1">
        <f>IF(W1208&lt;=Leltar_iv!$Y$1,I1208,0)</f>
        <v>0</v>
      </c>
    </row>
    <row r="1209" spans="1:53" s="1" customFormat="1" x14ac:dyDescent="0.25">
      <c r="A1209" s="18">
        <f>IF(COUNTIF($Y$6:Y1209,Y1209)=1,Y1209,Y1209+COUNTIF($Y$5:Y1208,Y1209))</f>
        <v>204</v>
      </c>
      <c r="B1209" s="1">
        <f>IF(AND(Kisero_iv!$N$2=C1209,Kisero_iv!$K$5=$B$3,SUM(I1209:L1213)&lt;&gt;0,$B$4=YEAR(W1209)),B1208+1,0)</f>
        <v>0</v>
      </c>
      <c r="C1209" s="1">
        <f t="shared" si="51"/>
        <v>204</v>
      </c>
      <c r="D1209" s="102" t="str">
        <f t="shared" si="52"/>
        <v/>
      </c>
      <c r="E1209" s="44"/>
      <c r="F1209" s="45"/>
      <c r="G1209" s="45"/>
      <c r="H1209" s="45"/>
      <c r="I1209" s="46"/>
      <c r="J1209" s="111" t="str">
        <f>IF(AND(G1209&lt;&gt;"",ISERROR(VLOOKUP(G1209,Keszlet!$C$5:$H$200,6,FALSE))=FALSE),VLOOKUP(G1209,Keszlet!$C$5:$H$200,6,FALSE),"")</f>
        <v/>
      </c>
      <c r="K1209" s="106" t="str">
        <f>IF(AND(G1209&lt;&gt;"",ISERROR(VLOOKUP(G1209,Keszlet!$C$5:$G$200,5,FALSE))=FALSE),VLOOKUP(G1209,Keszlet!$C$5:$G$200,5,FALSE),"")</f>
        <v/>
      </c>
      <c r="L1209" s="106" t="str">
        <f t="shared" si="53"/>
        <v/>
      </c>
      <c r="M1209" s="115" t="str">
        <f>IF(ISERROR(VLOOKUP(G1209,Keszlet!$C$5:$I$200,7,FALSE))=TRUE,"",IF(AND(J1208&lt;&gt;"",J1210=""),VLOOKUP(G1209,Keszlet!$C$5:$I$200,7,FALSE),""))</f>
        <v/>
      </c>
      <c r="Q1209" s="1">
        <f>VLOOKUP(G1209,Keszlet!$C$5:$E$205,3,FALSE)</f>
        <v>0</v>
      </c>
      <c r="T1209" s="1" t="str">
        <f t="shared" si="54"/>
        <v/>
      </c>
      <c r="U1209" s="1">
        <f t="shared" si="55"/>
        <v>0</v>
      </c>
      <c r="W1209" s="6">
        <f t="shared" si="58"/>
        <v>0</v>
      </c>
      <c r="X1209" s="6">
        <f t="shared" si="50"/>
        <v>0</v>
      </c>
      <c r="Y1209" s="1">
        <f t="shared" si="56"/>
        <v>1</v>
      </c>
      <c r="Z1209" s="1">
        <f>IF(COUNTIF($Y$6:Y1209,Y1209)=1,Y1209,Y1209+COUNTIF($Y$5:Y1208,Y1209))</f>
        <v>204</v>
      </c>
      <c r="AD1209" s="1" t="str">
        <f t="shared" si="57"/>
        <v/>
      </c>
      <c r="BA1209" s="1">
        <f>IF(W1209&lt;=Leltar_iv!$Y$1,I1209,0)</f>
        <v>0</v>
      </c>
    </row>
    <row r="1210" spans="1:53" s="1" customFormat="1" x14ac:dyDescent="0.25">
      <c r="A1210" s="18">
        <f>IF(COUNTIF($Y$6:Y1210,Y1210)=1,Y1210,Y1210+COUNTIF($Y$5:Y1209,Y1210))</f>
        <v>205</v>
      </c>
      <c r="B1210" s="1">
        <f>IF(AND(Kisero_iv!$N$2=C1210,Kisero_iv!$K$5=$B$3,SUM(I1210:L1214)&lt;&gt;0,$B$4=YEAR(W1210)),B1209+1,0)</f>
        <v>0</v>
      </c>
      <c r="C1210" s="1">
        <f t="shared" si="51"/>
        <v>205</v>
      </c>
      <c r="D1210" s="102" t="str">
        <f t="shared" si="52"/>
        <v/>
      </c>
      <c r="E1210" s="44"/>
      <c r="F1210" s="45"/>
      <c r="G1210" s="45"/>
      <c r="H1210" s="45"/>
      <c r="I1210" s="46"/>
      <c r="J1210" s="111" t="str">
        <f>IF(AND(G1210&lt;&gt;"",ISERROR(VLOOKUP(G1210,Keszlet!$C$5:$H$200,6,FALSE))=FALSE),VLOOKUP(G1210,Keszlet!$C$5:$H$200,6,FALSE),"")</f>
        <v/>
      </c>
      <c r="K1210" s="106" t="str">
        <f>IF(AND(G1210&lt;&gt;"",ISERROR(VLOOKUP(G1210,Keszlet!$C$5:$G$200,5,FALSE))=FALSE),VLOOKUP(G1210,Keszlet!$C$5:$G$200,5,FALSE),"")</f>
        <v/>
      </c>
      <c r="L1210" s="106" t="str">
        <f t="shared" si="53"/>
        <v/>
      </c>
      <c r="M1210" s="115" t="str">
        <f>IF(ISERROR(VLOOKUP(G1210,Keszlet!$C$5:$I$200,7,FALSE))=TRUE,"",IF(AND(J1209&lt;&gt;"",J1211=""),VLOOKUP(G1210,Keszlet!$C$5:$I$200,7,FALSE),""))</f>
        <v/>
      </c>
      <c r="Q1210" s="1">
        <f>VLOOKUP(G1210,Keszlet!$C$5:$E$205,3,FALSE)</f>
        <v>0</v>
      </c>
      <c r="T1210" s="1" t="str">
        <f t="shared" si="54"/>
        <v/>
      </c>
      <c r="U1210" s="1">
        <f t="shared" si="55"/>
        <v>0</v>
      </c>
      <c r="W1210" s="6">
        <f t="shared" si="58"/>
        <v>0</v>
      </c>
      <c r="X1210" s="6">
        <f t="shared" si="50"/>
        <v>0</v>
      </c>
      <c r="Y1210" s="1">
        <f t="shared" si="56"/>
        <v>1</v>
      </c>
      <c r="Z1210" s="1">
        <f>IF(COUNTIF($Y$6:Y1210,Y1210)=1,Y1210,Y1210+COUNTIF($Y$5:Y1209,Y1210))</f>
        <v>205</v>
      </c>
      <c r="AD1210" s="1" t="str">
        <f t="shared" si="57"/>
        <v/>
      </c>
      <c r="BA1210" s="1">
        <f>IF(W1210&lt;=Leltar_iv!$Y$1,I1210,0)</f>
        <v>0</v>
      </c>
    </row>
    <row r="1211" spans="1:53" s="1" customFormat="1" x14ac:dyDescent="0.25">
      <c r="A1211" s="18">
        <f>IF(COUNTIF($Y$6:Y1211,Y1211)=1,Y1211,Y1211+COUNTIF($Y$5:Y1210,Y1211))</f>
        <v>206</v>
      </c>
      <c r="B1211" s="1">
        <f>IF(AND(Kisero_iv!$N$2=C1211,Kisero_iv!$K$5=$B$3,SUM(I1211:L1215)&lt;&gt;0,$B$4=YEAR(W1211)),B1210+1,0)</f>
        <v>0</v>
      </c>
      <c r="C1211" s="1">
        <f t="shared" si="51"/>
        <v>206</v>
      </c>
      <c r="D1211" s="102" t="str">
        <f t="shared" si="52"/>
        <v/>
      </c>
      <c r="E1211" s="44"/>
      <c r="F1211" s="45"/>
      <c r="G1211" s="45"/>
      <c r="H1211" s="45"/>
      <c r="I1211" s="46"/>
      <c r="J1211" s="111" t="str">
        <f>IF(AND(G1211&lt;&gt;"",ISERROR(VLOOKUP(G1211,Keszlet!$C$5:$H$200,6,FALSE))=FALSE),VLOOKUP(G1211,Keszlet!$C$5:$H$200,6,FALSE),"")</f>
        <v/>
      </c>
      <c r="K1211" s="106" t="str">
        <f>IF(AND(G1211&lt;&gt;"",ISERROR(VLOOKUP(G1211,Keszlet!$C$5:$G$200,5,FALSE))=FALSE),VLOOKUP(G1211,Keszlet!$C$5:$G$200,5,FALSE),"")</f>
        <v/>
      </c>
      <c r="L1211" s="106" t="str">
        <f t="shared" si="53"/>
        <v/>
      </c>
      <c r="M1211" s="115" t="str">
        <f>IF(ISERROR(VLOOKUP(G1211,Keszlet!$C$5:$I$200,7,FALSE))=TRUE,"",IF(AND(J1210&lt;&gt;"",J1212=""),VLOOKUP(G1211,Keszlet!$C$5:$I$200,7,FALSE),""))</f>
        <v/>
      </c>
      <c r="Q1211" s="1">
        <f>VLOOKUP(G1211,Keszlet!$C$5:$E$205,3,FALSE)</f>
        <v>0</v>
      </c>
      <c r="T1211" s="1" t="str">
        <f t="shared" si="54"/>
        <v/>
      </c>
      <c r="U1211" s="1">
        <f t="shared" si="55"/>
        <v>0</v>
      </c>
      <c r="W1211" s="6">
        <f t="shared" si="58"/>
        <v>0</v>
      </c>
      <c r="X1211" s="6">
        <f t="shared" si="50"/>
        <v>0</v>
      </c>
      <c r="Y1211" s="1">
        <f t="shared" si="56"/>
        <v>1</v>
      </c>
      <c r="Z1211" s="1">
        <f>IF(COUNTIF($Y$6:Y1211,Y1211)=1,Y1211,Y1211+COUNTIF($Y$5:Y1210,Y1211))</f>
        <v>206</v>
      </c>
      <c r="AD1211" s="1" t="str">
        <f t="shared" si="57"/>
        <v/>
      </c>
      <c r="BA1211" s="1">
        <f>IF(W1211&lt;=Leltar_iv!$Y$1,I1211,0)</f>
        <v>0</v>
      </c>
    </row>
    <row r="1212" spans="1:53" s="1" customFormat="1" x14ac:dyDescent="0.25">
      <c r="A1212" s="18">
        <f>IF(COUNTIF($Y$6:Y1212,Y1212)=1,Y1212,Y1212+COUNTIF($Y$5:Y1211,Y1212))</f>
        <v>207</v>
      </c>
      <c r="B1212" s="1">
        <f>IF(AND(Kisero_iv!$N$2=C1212,Kisero_iv!$K$5=$B$3,SUM(I1212:L1216)&lt;&gt;0,$B$4=YEAR(W1212)),B1211+1,0)</f>
        <v>0</v>
      </c>
      <c r="C1212" s="1">
        <f t="shared" si="51"/>
        <v>207</v>
      </c>
      <c r="D1212" s="102" t="str">
        <f t="shared" si="52"/>
        <v/>
      </c>
      <c r="E1212" s="44"/>
      <c r="F1212" s="45"/>
      <c r="G1212" s="45"/>
      <c r="H1212" s="45"/>
      <c r="I1212" s="46"/>
      <c r="J1212" s="111" t="str">
        <f>IF(AND(G1212&lt;&gt;"",ISERROR(VLOOKUP(G1212,Keszlet!$C$5:$H$200,6,FALSE))=FALSE),VLOOKUP(G1212,Keszlet!$C$5:$H$200,6,FALSE),"")</f>
        <v/>
      </c>
      <c r="K1212" s="106" t="str">
        <f>IF(AND(G1212&lt;&gt;"",ISERROR(VLOOKUP(G1212,Keszlet!$C$5:$G$200,5,FALSE))=FALSE),VLOOKUP(G1212,Keszlet!$C$5:$G$200,5,FALSE),"")</f>
        <v/>
      </c>
      <c r="L1212" s="106" t="str">
        <f t="shared" si="53"/>
        <v/>
      </c>
      <c r="M1212" s="115" t="str">
        <f>IF(ISERROR(VLOOKUP(G1212,Keszlet!$C$5:$I$200,7,FALSE))=TRUE,"",IF(AND(J1211&lt;&gt;"",J1213=""),VLOOKUP(G1212,Keszlet!$C$5:$I$200,7,FALSE),""))</f>
        <v/>
      </c>
      <c r="Q1212" s="1">
        <f>VLOOKUP(G1212,Keszlet!$C$5:$E$205,3,FALSE)</f>
        <v>0</v>
      </c>
      <c r="T1212" s="1" t="str">
        <f t="shared" si="54"/>
        <v/>
      </c>
      <c r="U1212" s="1">
        <f t="shared" si="55"/>
        <v>0</v>
      </c>
      <c r="W1212" s="6">
        <f t="shared" si="58"/>
        <v>0</v>
      </c>
      <c r="X1212" s="6">
        <f t="shared" si="50"/>
        <v>0</v>
      </c>
      <c r="Y1212" s="1">
        <f t="shared" si="56"/>
        <v>1</v>
      </c>
      <c r="Z1212" s="1">
        <f>IF(COUNTIF($Y$6:Y1212,Y1212)=1,Y1212,Y1212+COUNTIF($Y$5:Y1211,Y1212))</f>
        <v>207</v>
      </c>
      <c r="AD1212" s="1" t="str">
        <f t="shared" si="57"/>
        <v/>
      </c>
      <c r="BA1212" s="1">
        <f>IF(W1212&lt;=Leltar_iv!$Y$1,I1212,0)</f>
        <v>0</v>
      </c>
    </row>
    <row r="1213" spans="1:53" s="1" customFormat="1" x14ac:dyDescent="0.25">
      <c r="A1213" s="18">
        <f>IF(COUNTIF($Y$6:Y1213,Y1213)=1,Y1213,Y1213+COUNTIF($Y$5:Y1212,Y1213))</f>
        <v>208</v>
      </c>
      <c r="B1213" s="1">
        <f>IF(AND(Kisero_iv!$N$2=C1213,Kisero_iv!$K$5=$B$3,SUM(I1213:L1217)&lt;&gt;0,$B$4=YEAR(W1213)),B1212+1,0)</f>
        <v>0</v>
      </c>
      <c r="C1213" s="1">
        <f t="shared" si="51"/>
        <v>208</v>
      </c>
      <c r="D1213" s="102" t="str">
        <f t="shared" si="52"/>
        <v/>
      </c>
      <c r="E1213" s="44"/>
      <c r="F1213" s="45"/>
      <c r="G1213" s="45"/>
      <c r="H1213" s="45"/>
      <c r="I1213" s="46"/>
      <c r="J1213" s="111" t="str">
        <f>IF(AND(G1213&lt;&gt;"",ISERROR(VLOOKUP(G1213,Keszlet!$C$5:$H$200,6,FALSE))=FALSE),VLOOKUP(G1213,Keszlet!$C$5:$H$200,6,FALSE),"")</f>
        <v/>
      </c>
      <c r="K1213" s="106" t="str">
        <f>IF(AND(G1213&lt;&gt;"",ISERROR(VLOOKUP(G1213,Keszlet!$C$5:$G$200,5,FALSE))=FALSE),VLOOKUP(G1213,Keszlet!$C$5:$G$200,5,FALSE),"")</f>
        <v/>
      </c>
      <c r="L1213" s="106" t="str">
        <f t="shared" si="53"/>
        <v/>
      </c>
      <c r="M1213" s="115" t="str">
        <f>IF(ISERROR(VLOOKUP(G1213,Keszlet!$C$5:$I$200,7,FALSE))=TRUE,"",IF(AND(J1212&lt;&gt;"",J1214=""),VLOOKUP(G1213,Keszlet!$C$5:$I$200,7,FALSE),""))</f>
        <v/>
      </c>
      <c r="Q1213" s="1">
        <f>VLOOKUP(G1213,Keszlet!$C$5:$E$205,3,FALSE)</f>
        <v>0</v>
      </c>
      <c r="T1213" s="1" t="str">
        <f t="shared" si="54"/>
        <v/>
      </c>
      <c r="U1213" s="1">
        <f t="shared" si="55"/>
        <v>0</v>
      </c>
      <c r="W1213" s="6">
        <f t="shared" si="58"/>
        <v>0</v>
      </c>
      <c r="X1213" s="6">
        <f t="shared" si="50"/>
        <v>0</v>
      </c>
      <c r="Y1213" s="1">
        <f t="shared" si="56"/>
        <v>1</v>
      </c>
      <c r="Z1213" s="1">
        <f>IF(COUNTIF($Y$6:Y1213,Y1213)=1,Y1213,Y1213+COUNTIF($Y$5:Y1212,Y1213))</f>
        <v>208</v>
      </c>
      <c r="AD1213" s="1" t="str">
        <f t="shared" si="57"/>
        <v/>
      </c>
      <c r="BA1213" s="1">
        <f>IF(W1213&lt;=Leltar_iv!$Y$1,I1213,0)</f>
        <v>0</v>
      </c>
    </row>
    <row r="1214" spans="1:53" s="1" customFormat="1" x14ac:dyDescent="0.25">
      <c r="A1214" s="18">
        <f>IF(COUNTIF($Y$6:Y1214,Y1214)=1,Y1214,Y1214+COUNTIF($Y$5:Y1213,Y1214))</f>
        <v>209</v>
      </c>
      <c r="B1214" s="1">
        <f>IF(AND(Kisero_iv!$N$2=C1214,Kisero_iv!$K$5=$B$3,SUM(I1214:L1218)&lt;&gt;0,$B$4=YEAR(W1214)),B1213+1,0)</f>
        <v>0</v>
      </c>
      <c r="C1214" s="1">
        <f t="shared" si="51"/>
        <v>209</v>
      </c>
      <c r="D1214" s="102" t="str">
        <f t="shared" si="52"/>
        <v/>
      </c>
      <c r="E1214" s="44"/>
      <c r="F1214" s="45"/>
      <c r="G1214" s="45"/>
      <c r="H1214" s="45"/>
      <c r="I1214" s="46"/>
      <c r="J1214" s="111" t="str">
        <f>IF(AND(G1214&lt;&gt;"",ISERROR(VLOOKUP(G1214,Keszlet!$C$5:$H$200,6,FALSE))=FALSE),VLOOKUP(G1214,Keszlet!$C$5:$H$200,6,FALSE),"")</f>
        <v/>
      </c>
      <c r="K1214" s="106" t="str">
        <f>IF(AND(G1214&lt;&gt;"",ISERROR(VLOOKUP(G1214,Keszlet!$C$5:$G$200,5,FALSE))=FALSE),VLOOKUP(G1214,Keszlet!$C$5:$G$200,5,FALSE),"")</f>
        <v/>
      </c>
      <c r="L1214" s="106" t="str">
        <f t="shared" si="53"/>
        <v/>
      </c>
      <c r="M1214" s="115" t="str">
        <f>IF(ISERROR(VLOOKUP(G1214,Keszlet!$C$5:$I$200,7,FALSE))=TRUE,"",IF(AND(J1213&lt;&gt;"",J1215=""),VLOOKUP(G1214,Keszlet!$C$5:$I$200,7,FALSE),""))</f>
        <v/>
      </c>
      <c r="Q1214" s="1">
        <f>VLOOKUP(G1214,Keszlet!$C$5:$E$205,3,FALSE)</f>
        <v>0</v>
      </c>
      <c r="T1214" s="1" t="str">
        <f t="shared" si="54"/>
        <v/>
      </c>
      <c r="U1214" s="1">
        <f t="shared" si="55"/>
        <v>0</v>
      </c>
      <c r="W1214" s="6">
        <f t="shared" si="58"/>
        <v>0</v>
      </c>
      <c r="X1214" s="6">
        <f t="shared" si="50"/>
        <v>0</v>
      </c>
      <c r="Y1214" s="1">
        <f t="shared" si="56"/>
        <v>1</v>
      </c>
      <c r="Z1214" s="1">
        <f>IF(COUNTIF($Y$6:Y1214,Y1214)=1,Y1214,Y1214+COUNTIF($Y$5:Y1213,Y1214))</f>
        <v>209</v>
      </c>
      <c r="AD1214" s="1" t="str">
        <f t="shared" si="57"/>
        <v/>
      </c>
      <c r="BA1214" s="1">
        <f>IF(W1214&lt;=Leltar_iv!$Y$1,I1214,0)</f>
        <v>0</v>
      </c>
    </row>
    <row r="1215" spans="1:53" s="1" customFormat="1" x14ac:dyDescent="0.25">
      <c r="A1215" s="18">
        <f>IF(COUNTIF($Y$6:Y1215,Y1215)=1,Y1215,Y1215+COUNTIF($Y$5:Y1214,Y1215))</f>
        <v>210</v>
      </c>
      <c r="B1215" s="1">
        <f>IF(AND(Kisero_iv!$N$2=C1215,Kisero_iv!$K$5=$B$3,SUM(I1215:L1219)&lt;&gt;0,$B$4=YEAR(W1215)),B1214+1,0)</f>
        <v>0</v>
      </c>
      <c r="C1215" s="1">
        <f t="shared" si="51"/>
        <v>210</v>
      </c>
      <c r="D1215" s="102" t="str">
        <f t="shared" si="52"/>
        <v/>
      </c>
      <c r="E1215" s="44"/>
      <c r="F1215" s="45"/>
      <c r="G1215" s="45"/>
      <c r="H1215" s="45"/>
      <c r="I1215" s="46"/>
      <c r="J1215" s="111" t="str">
        <f>IF(AND(G1215&lt;&gt;"",ISERROR(VLOOKUP(G1215,Keszlet!$C$5:$H$200,6,FALSE))=FALSE),VLOOKUP(G1215,Keszlet!$C$5:$H$200,6,FALSE),"")</f>
        <v/>
      </c>
      <c r="K1215" s="106" t="str">
        <f>IF(AND(G1215&lt;&gt;"",ISERROR(VLOOKUP(G1215,Keszlet!$C$5:$G$200,5,FALSE))=FALSE),VLOOKUP(G1215,Keszlet!$C$5:$G$200,5,FALSE),"")</f>
        <v/>
      </c>
      <c r="L1215" s="106" t="str">
        <f t="shared" si="53"/>
        <v/>
      </c>
      <c r="M1215" s="115" t="str">
        <f>IF(ISERROR(VLOOKUP(G1215,Keszlet!$C$5:$I$200,7,FALSE))=TRUE,"",IF(AND(J1214&lt;&gt;"",J1216=""),VLOOKUP(G1215,Keszlet!$C$5:$I$200,7,FALSE),""))</f>
        <v/>
      </c>
      <c r="Q1215" s="1">
        <f>VLOOKUP(G1215,Keszlet!$C$5:$E$205,3,FALSE)</f>
        <v>0</v>
      </c>
      <c r="T1215" s="1" t="str">
        <f t="shared" si="54"/>
        <v/>
      </c>
      <c r="U1215" s="1">
        <f t="shared" si="55"/>
        <v>0</v>
      </c>
      <c r="W1215" s="6">
        <f t="shared" si="58"/>
        <v>0</v>
      </c>
      <c r="X1215" s="6">
        <f t="shared" si="50"/>
        <v>0</v>
      </c>
      <c r="Y1215" s="1">
        <f t="shared" si="56"/>
        <v>1</v>
      </c>
      <c r="Z1215" s="1">
        <f>IF(COUNTIF($Y$6:Y1215,Y1215)=1,Y1215,Y1215+COUNTIF($Y$5:Y1214,Y1215))</f>
        <v>210</v>
      </c>
      <c r="AD1215" s="1" t="str">
        <f t="shared" si="57"/>
        <v/>
      </c>
      <c r="BA1215" s="1">
        <f>IF(W1215&lt;=Leltar_iv!$Y$1,I1215,0)</f>
        <v>0</v>
      </c>
    </row>
    <row r="1216" spans="1:53" s="1" customFormat="1" x14ac:dyDescent="0.25">
      <c r="A1216" s="18">
        <f>IF(COUNTIF($Y$6:Y1216,Y1216)=1,Y1216,Y1216+COUNTIF($Y$5:Y1215,Y1216))</f>
        <v>211</v>
      </c>
      <c r="B1216" s="1">
        <f>IF(AND(Kisero_iv!$N$2=C1216,Kisero_iv!$K$5=$B$3,SUM(I1216:L1220)&lt;&gt;0,$B$4=YEAR(W1216)),B1215+1,0)</f>
        <v>0</v>
      </c>
      <c r="C1216" s="1">
        <f t="shared" si="51"/>
        <v>211</v>
      </c>
      <c r="D1216" s="102" t="str">
        <f t="shared" si="52"/>
        <v/>
      </c>
      <c r="E1216" s="44"/>
      <c r="F1216" s="45"/>
      <c r="G1216" s="45"/>
      <c r="H1216" s="45"/>
      <c r="I1216" s="46"/>
      <c r="J1216" s="111" t="str">
        <f>IF(AND(G1216&lt;&gt;"",ISERROR(VLOOKUP(G1216,Keszlet!$C$5:$H$200,6,FALSE))=FALSE),VLOOKUP(G1216,Keszlet!$C$5:$H$200,6,FALSE),"")</f>
        <v/>
      </c>
      <c r="K1216" s="106" t="str">
        <f>IF(AND(G1216&lt;&gt;"",ISERROR(VLOOKUP(G1216,Keszlet!$C$5:$G$200,5,FALSE))=FALSE),VLOOKUP(G1216,Keszlet!$C$5:$G$200,5,FALSE),"")</f>
        <v/>
      </c>
      <c r="L1216" s="106" t="str">
        <f t="shared" si="53"/>
        <v/>
      </c>
      <c r="M1216" s="115" t="str">
        <f>IF(ISERROR(VLOOKUP(G1216,Keszlet!$C$5:$I$200,7,FALSE))=TRUE,"",IF(AND(J1215&lt;&gt;"",J1217=""),VLOOKUP(G1216,Keszlet!$C$5:$I$200,7,FALSE),""))</f>
        <v/>
      </c>
      <c r="Q1216" s="1">
        <f>VLOOKUP(G1216,Keszlet!$C$5:$E$205,3,FALSE)</f>
        <v>0</v>
      </c>
      <c r="T1216" s="1" t="str">
        <f t="shared" si="54"/>
        <v/>
      </c>
      <c r="U1216" s="1">
        <f t="shared" si="55"/>
        <v>0</v>
      </c>
      <c r="W1216" s="6">
        <f t="shared" si="58"/>
        <v>0</v>
      </c>
      <c r="X1216" s="6">
        <f t="shared" si="50"/>
        <v>0</v>
      </c>
      <c r="Y1216" s="1">
        <f t="shared" si="56"/>
        <v>1</v>
      </c>
      <c r="Z1216" s="1">
        <f>IF(COUNTIF($Y$6:Y1216,Y1216)=1,Y1216,Y1216+COUNTIF($Y$5:Y1215,Y1216))</f>
        <v>211</v>
      </c>
      <c r="AD1216" s="1" t="str">
        <f t="shared" si="57"/>
        <v/>
      </c>
      <c r="BA1216" s="1">
        <f>IF(W1216&lt;=Leltar_iv!$Y$1,I1216,0)</f>
        <v>0</v>
      </c>
    </row>
    <row r="1217" spans="1:53" s="1" customFormat="1" x14ac:dyDescent="0.25">
      <c r="A1217" s="18">
        <f>IF(COUNTIF($Y$6:Y1217,Y1217)=1,Y1217,Y1217+COUNTIF($Y$5:Y1216,Y1217))</f>
        <v>212</v>
      </c>
      <c r="B1217" s="1">
        <f>IF(AND(Kisero_iv!$N$2=C1217,Kisero_iv!$K$5=$B$3,SUM(I1217:L1221)&lt;&gt;0,$B$4=YEAR(W1217)),B1216+1,0)</f>
        <v>0</v>
      </c>
      <c r="C1217" s="1">
        <f t="shared" si="51"/>
        <v>212</v>
      </c>
      <c r="D1217" s="102" t="str">
        <f t="shared" si="52"/>
        <v/>
      </c>
      <c r="E1217" s="44"/>
      <c r="F1217" s="45"/>
      <c r="G1217" s="45"/>
      <c r="H1217" s="45"/>
      <c r="I1217" s="46"/>
      <c r="J1217" s="111" t="str">
        <f>IF(AND(G1217&lt;&gt;"",ISERROR(VLOOKUP(G1217,Keszlet!$C$5:$H$200,6,FALSE))=FALSE),VLOOKUP(G1217,Keszlet!$C$5:$H$200,6,FALSE),"")</f>
        <v/>
      </c>
      <c r="K1217" s="106" t="str">
        <f>IF(AND(G1217&lt;&gt;"",ISERROR(VLOOKUP(G1217,Keszlet!$C$5:$G$200,5,FALSE))=FALSE),VLOOKUP(G1217,Keszlet!$C$5:$G$200,5,FALSE),"")</f>
        <v/>
      </c>
      <c r="L1217" s="106" t="str">
        <f t="shared" si="53"/>
        <v/>
      </c>
      <c r="M1217" s="115" t="str">
        <f>IF(ISERROR(VLOOKUP(G1217,Keszlet!$C$5:$I$200,7,FALSE))=TRUE,"",IF(AND(J1216&lt;&gt;"",J1218=""),VLOOKUP(G1217,Keszlet!$C$5:$I$200,7,FALSE),""))</f>
        <v/>
      </c>
      <c r="Q1217" s="1">
        <f>VLOOKUP(G1217,Keszlet!$C$5:$E$205,3,FALSE)</f>
        <v>0</v>
      </c>
      <c r="T1217" s="1" t="str">
        <f t="shared" si="54"/>
        <v/>
      </c>
      <c r="U1217" s="1">
        <f t="shared" si="55"/>
        <v>0</v>
      </c>
      <c r="W1217" s="6">
        <f t="shared" si="58"/>
        <v>0</v>
      </c>
      <c r="X1217" s="6">
        <f t="shared" si="50"/>
        <v>0</v>
      </c>
      <c r="Y1217" s="1">
        <f t="shared" si="56"/>
        <v>1</v>
      </c>
      <c r="Z1217" s="1">
        <f>IF(COUNTIF($Y$6:Y1217,Y1217)=1,Y1217,Y1217+COUNTIF($Y$5:Y1216,Y1217))</f>
        <v>212</v>
      </c>
      <c r="AD1217" s="1" t="str">
        <f t="shared" si="57"/>
        <v/>
      </c>
      <c r="BA1217" s="1">
        <f>IF(W1217&lt;=Leltar_iv!$Y$1,I1217,0)</f>
        <v>0</v>
      </c>
    </row>
    <row r="1218" spans="1:53" s="1" customFormat="1" x14ac:dyDescent="0.25">
      <c r="A1218" s="18">
        <f>IF(COUNTIF($Y$6:Y1218,Y1218)=1,Y1218,Y1218+COUNTIF($Y$5:Y1217,Y1218))</f>
        <v>213</v>
      </c>
      <c r="B1218" s="1">
        <f>IF(AND(Kisero_iv!$N$2=C1218,Kisero_iv!$K$5=$B$3,SUM(I1218:L1222)&lt;&gt;0,$B$4=YEAR(W1218)),B1217+1,0)</f>
        <v>0</v>
      </c>
      <c r="C1218" s="1">
        <f t="shared" si="51"/>
        <v>213</v>
      </c>
      <c r="D1218" s="102" t="str">
        <f t="shared" si="52"/>
        <v/>
      </c>
      <c r="E1218" s="44"/>
      <c r="F1218" s="45"/>
      <c r="G1218" s="45"/>
      <c r="H1218" s="45"/>
      <c r="I1218" s="46"/>
      <c r="J1218" s="111" t="str">
        <f>IF(AND(G1218&lt;&gt;"",ISERROR(VLOOKUP(G1218,Keszlet!$C$5:$H$200,6,FALSE))=FALSE),VLOOKUP(G1218,Keszlet!$C$5:$H$200,6,FALSE),"")</f>
        <v/>
      </c>
      <c r="K1218" s="106" t="str">
        <f>IF(AND(G1218&lt;&gt;"",ISERROR(VLOOKUP(G1218,Keszlet!$C$5:$G$200,5,FALSE))=FALSE),VLOOKUP(G1218,Keszlet!$C$5:$G$200,5,FALSE),"")</f>
        <v/>
      </c>
      <c r="L1218" s="106" t="str">
        <f t="shared" si="53"/>
        <v/>
      </c>
      <c r="M1218" s="115" t="str">
        <f>IF(ISERROR(VLOOKUP(G1218,Keszlet!$C$5:$I$200,7,FALSE))=TRUE,"",IF(AND(J1217&lt;&gt;"",J1219=""),VLOOKUP(G1218,Keszlet!$C$5:$I$200,7,FALSE),""))</f>
        <v/>
      </c>
      <c r="Q1218" s="1">
        <f>VLOOKUP(G1218,Keszlet!$C$5:$E$205,3,FALSE)</f>
        <v>0</v>
      </c>
      <c r="T1218" s="1" t="str">
        <f t="shared" si="54"/>
        <v/>
      </c>
      <c r="U1218" s="1">
        <f t="shared" si="55"/>
        <v>0</v>
      </c>
      <c r="W1218" s="6">
        <f t="shared" si="58"/>
        <v>0</v>
      </c>
      <c r="X1218" s="6">
        <f t="shared" si="50"/>
        <v>0</v>
      </c>
      <c r="Y1218" s="1">
        <f t="shared" si="56"/>
        <v>1</v>
      </c>
      <c r="Z1218" s="1">
        <f>IF(COUNTIF($Y$6:Y1218,Y1218)=1,Y1218,Y1218+COUNTIF($Y$5:Y1217,Y1218))</f>
        <v>213</v>
      </c>
      <c r="AD1218" s="1" t="str">
        <f t="shared" si="57"/>
        <v/>
      </c>
      <c r="BA1218" s="1">
        <f>IF(W1218&lt;=Leltar_iv!$Y$1,I1218,0)</f>
        <v>0</v>
      </c>
    </row>
    <row r="1219" spans="1:53" s="1" customFormat="1" x14ac:dyDescent="0.25">
      <c r="A1219" s="18">
        <f>IF(COUNTIF($Y$6:Y1219,Y1219)=1,Y1219,Y1219+COUNTIF($Y$5:Y1218,Y1219))</f>
        <v>214</v>
      </c>
      <c r="B1219" s="1">
        <f>IF(AND(Kisero_iv!$N$2=C1219,Kisero_iv!$K$5=$B$3,SUM(I1219:L1223)&lt;&gt;0,$B$4=YEAR(W1219)),B1218+1,0)</f>
        <v>0</v>
      </c>
      <c r="C1219" s="1">
        <f t="shared" si="51"/>
        <v>214</v>
      </c>
      <c r="D1219" s="102" t="str">
        <f t="shared" si="52"/>
        <v/>
      </c>
      <c r="E1219" s="44"/>
      <c r="F1219" s="45"/>
      <c r="G1219" s="45"/>
      <c r="H1219" s="45"/>
      <c r="I1219" s="46"/>
      <c r="J1219" s="111" t="str">
        <f>IF(AND(G1219&lt;&gt;"",ISERROR(VLOOKUP(G1219,Keszlet!$C$5:$H$200,6,FALSE))=FALSE),VLOOKUP(G1219,Keszlet!$C$5:$H$200,6,FALSE),"")</f>
        <v/>
      </c>
      <c r="K1219" s="106" t="str">
        <f>IF(AND(G1219&lt;&gt;"",ISERROR(VLOOKUP(G1219,Keszlet!$C$5:$G$200,5,FALSE))=FALSE),VLOOKUP(G1219,Keszlet!$C$5:$G$200,5,FALSE),"")</f>
        <v/>
      </c>
      <c r="L1219" s="106" t="str">
        <f t="shared" si="53"/>
        <v/>
      </c>
      <c r="M1219" s="115" t="str">
        <f>IF(ISERROR(VLOOKUP(G1219,Keszlet!$C$5:$I$200,7,FALSE))=TRUE,"",IF(AND(J1218&lt;&gt;"",J1220=""),VLOOKUP(G1219,Keszlet!$C$5:$I$200,7,FALSE),""))</f>
        <v/>
      </c>
      <c r="Q1219" s="1">
        <f>VLOOKUP(G1219,Keszlet!$C$5:$E$205,3,FALSE)</f>
        <v>0</v>
      </c>
      <c r="T1219" s="1" t="str">
        <f t="shared" si="54"/>
        <v/>
      </c>
      <c r="U1219" s="1">
        <f t="shared" si="55"/>
        <v>0</v>
      </c>
      <c r="W1219" s="6">
        <f t="shared" si="58"/>
        <v>0</v>
      </c>
      <c r="X1219" s="6">
        <f t="shared" si="50"/>
        <v>0</v>
      </c>
      <c r="Y1219" s="1">
        <f t="shared" si="56"/>
        <v>1</v>
      </c>
      <c r="Z1219" s="1">
        <f>IF(COUNTIF($Y$6:Y1219,Y1219)=1,Y1219,Y1219+COUNTIF($Y$5:Y1218,Y1219))</f>
        <v>214</v>
      </c>
      <c r="AD1219" s="1" t="str">
        <f t="shared" si="57"/>
        <v/>
      </c>
      <c r="BA1219" s="1">
        <f>IF(W1219&lt;=Leltar_iv!$Y$1,I1219,0)</f>
        <v>0</v>
      </c>
    </row>
    <row r="1220" spans="1:53" s="1" customFormat="1" x14ac:dyDescent="0.25">
      <c r="A1220" s="18">
        <f>IF(COUNTIF($Y$6:Y1220,Y1220)=1,Y1220,Y1220+COUNTIF($Y$5:Y1219,Y1220))</f>
        <v>215</v>
      </c>
      <c r="B1220" s="1">
        <f>IF(AND(Kisero_iv!$N$2=C1220,Kisero_iv!$K$5=$B$3,SUM(I1220:L1224)&lt;&gt;0,$B$4=YEAR(W1220)),B1219+1,0)</f>
        <v>0</v>
      </c>
      <c r="C1220" s="1">
        <f t="shared" si="51"/>
        <v>215</v>
      </c>
      <c r="D1220" s="102" t="str">
        <f t="shared" si="52"/>
        <v/>
      </c>
      <c r="E1220" s="44"/>
      <c r="F1220" s="45"/>
      <c r="G1220" s="45"/>
      <c r="H1220" s="45"/>
      <c r="I1220" s="46"/>
      <c r="J1220" s="111" t="str">
        <f>IF(AND(G1220&lt;&gt;"",ISERROR(VLOOKUP(G1220,Keszlet!$C$5:$H$200,6,FALSE))=FALSE),VLOOKUP(G1220,Keszlet!$C$5:$H$200,6,FALSE),"")</f>
        <v/>
      </c>
      <c r="K1220" s="106" t="str">
        <f>IF(AND(G1220&lt;&gt;"",ISERROR(VLOOKUP(G1220,Keszlet!$C$5:$G$200,5,FALSE))=FALSE),VLOOKUP(G1220,Keszlet!$C$5:$G$200,5,FALSE),"")</f>
        <v/>
      </c>
      <c r="L1220" s="106" t="str">
        <f t="shared" si="53"/>
        <v/>
      </c>
      <c r="M1220" s="115" t="str">
        <f>IF(ISERROR(VLOOKUP(G1220,Keszlet!$C$5:$I$200,7,FALSE))=TRUE,"",IF(AND(J1219&lt;&gt;"",J1221=""),VLOOKUP(G1220,Keszlet!$C$5:$I$200,7,FALSE),""))</f>
        <v/>
      </c>
      <c r="Q1220" s="1">
        <f>VLOOKUP(G1220,Keszlet!$C$5:$E$205,3,FALSE)</f>
        <v>0</v>
      </c>
      <c r="T1220" s="1" t="str">
        <f t="shared" si="54"/>
        <v/>
      </c>
      <c r="U1220" s="1">
        <f t="shared" si="55"/>
        <v>0</v>
      </c>
      <c r="W1220" s="6">
        <f t="shared" si="58"/>
        <v>0</v>
      </c>
      <c r="X1220" s="6">
        <f t="shared" si="50"/>
        <v>0</v>
      </c>
      <c r="Y1220" s="1">
        <f t="shared" si="56"/>
        <v>1</v>
      </c>
      <c r="Z1220" s="1">
        <f>IF(COUNTIF($Y$6:Y1220,Y1220)=1,Y1220,Y1220+COUNTIF($Y$5:Y1219,Y1220))</f>
        <v>215</v>
      </c>
      <c r="AD1220" s="1" t="str">
        <f t="shared" si="57"/>
        <v/>
      </c>
      <c r="BA1220" s="1">
        <f>IF(W1220&lt;=Leltar_iv!$Y$1,I1220,0)</f>
        <v>0</v>
      </c>
    </row>
    <row r="1221" spans="1:53" s="1" customFormat="1" x14ac:dyDescent="0.25">
      <c r="A1221" s="18">
        <f>IF(COUNTIF($Y$6:Y1221,Y1221)=1,Y1221,Y1221+COUNTIF($Y$5:Y1220,Y1221))</f>
        <v>216</v>
      </c>
      <c r="B1221" s="1">
        <f>IF(AND(Kisero_iv!$N$2=C1221,Kisero_iv!$K$5=$B$3,SUM(I1221:L1225)&lt;&gt;0,$B$4=YEAR(W1221)),B1220+1,0)</f>
        <v>0</v>
      </c>
      <c r="C1221" s="1">
        <f t="shared" si="51"/>
        <v>216</v>
      </c>
      <c r="D1221" s="102" t="str">
        <f t="shared" si="52"/>
        <v/>
      </c>
      <c r="E1221" s="44"/>
      <c r="F1221" s="45"/>
      <c r="G1221" s="45"/>
      <c r="H1221" s="45"/>
      <c r="I1221" s="46"/>
      <c r="J1221" s="111" t="str">
        <f>IF(AND(G1221&lt;&gt;"",ISERROR(VLOOKUP(G1221,Keszlet!$C$5:$H$200,6,FALSE))=FALSE),VLOOKUP(G1221,Keszlet!$C$5:$H$200,6,FALSE),"")</f>
        <v/>
      </c>
      <c r="K1221" s="106" t="str">
        <f>IF(AND(G1221&lt;&gt;"",ISERROR(VLOOKUP(G1221,Keszlet!$C$5:$G$200,5,FALSE))=FALSE),VLOOKUP(G1221,Keszlet!$C$5:$G$200,5,FALSE),"")</f>
        <v/>
      </c>
      <c r="L1221" s="106" t="str">
        <f t="shared" si="53"/>
        <v/>
      </c>
      <c r="M1221" s="115" t="str">
        <f>IF(ISERROR(VLOOKUP(G1221,Keszlet!$C$5:$I$200,7,FALSE))=TRUE,"",IF(AND(J1220&lt;&gt;"",J1222=""),VLOOKUP(G1221,Keszlet!$C$5:$I$200,7,FALSE),""))</f>
        <v/>
      </c>
      <c r="Q1221" s="1">
        <f>VLOOKUP(G1221,Keszlet!$C$5:$E$205,3,FALSE)</f>
        <v>0</v>
      </c>
      <c r="T1221" s="1" t="str">
        <f t="shared" si="54"/>
        <v/>
      </c>
      <c r="U1221" s="1">
        <f t="shared" si="55"/>
        <v>0</v>
      </c>
      <c r="W1221" s="6">
        <f t="shared" si="58"/>
        <v>0</v>
      </c>
      <c r="X1221" s="6">
        <f t="shared" si="50"/>
        <v>0</v>
      </c>
      <c r="Y1221" s="1">
        <f t="shared" si="56"/>
        <v>1</v>
      </c>
      <c r="Z1221" s="1">
        <f>IF(COUNTIF($Y$6:Y1221,Y1221)=1,Y1221,Y1221+COUNTIF($Y$5:Y1220,Y1221))</f>
        <v>216</v>
      </c>
      <c r="AD1221" s="1" t="str">
        <f t="shared" si="57"/>
        <v/>
      </c>
      <c r="BA1221" s="1">
        <f>IF(W1221&lt;=Leltar_iv!$Y$1,I1221,0)</f>
        <v>0</v>
      </c>
    </row>
    <row r="1222" spans="1:53" s="1" customFormat="1" x14ac:dyDescent="0.25">
      <c r="A1222" s="18">
        <f>IF(COUNTIF($Y$6:Y1222,Y1222)=1,Y1222,Y1222+COUNTIF($Y$5:Y1221,Y1222))</f>
        <v>217</v>
      </c>
      <c r="B1222" s="1">
        <f>IF(AND(Kisero_iv!$N$2=C1222,Kisero_iv!$K$5=$B$3,SUM(I1222:L1226)&lt;&gt;0,$B$4=YEAR(W1222)),B1221+1,0)</f>
        <v>0</v>
      </c>
      <c r="C1222" s="1">
        <f t="shared" si="51"/>
        <v>217</v>
      </c>
      <c r="D1222" s="102" t="str">
        <f t="shared" si="52"/>
        <v/>
      </c>
      <c r="E1222" s="44"/>
      <c r="F1222" s="45"/>
      <c r="G1222" s="45"/>
      <c r="H1222" s="45"/>
      <c r="I1222" s="46"/>
      <c r="J1222" s="111" t="str">
        <f>IF(AND(G1222&lt;&gt;"",ISERROR(VLOOKUP(G1222,Keszlet!$C$5:$H$200,6,FALSE))=FALSE),VLOOKUP(G1222,Keszlet!$C$5:$H$200,6,FALSE),"")</f>
        <v/>
      </c>
      <c r="K1222" s="106" t="str">
        <f>IF(AND(G1222&lt;&gt;"",ISERROR(VLOOKUP(G1222,Keszlet!$C$5:$G$200,5,FALSE))=FALSE),VLOOKUP(G1222,Keszlet!$C$5:$G$200,5,FALSE),"")</f>
        <v/>
      </c>
      <c r="L1222" s="106" t="str">
        <f t="shared" si="53"/>
        <v/>
      </c>
      <c r="M1222" s="115" t="str">
        <f>IF(ISERROR(VLOOKUP(G1222,Keszlet!$C$5:$I$200,7,FALSE))=TRUE,"",IF(AND(J1221&lt;&gt;"",J1223=""),VLOOKUP(G1222,Keszlet!$C$5:$I$200,7,FALSE),""))</f>
        <v/>
      </c>
      <c r="Q1222" s="1">
        <f>VLOOKUP(G1222,Keszlet!$C$5:$E$205,3,FALSE)</f>
        <v>0</v>
      </c>
      <c r="T1222" s="1" t="str">
        <f t="shared" si="54"/>
        <v/>
      </c>
      <c r="U1222" s="1">
        <f t="shared" si="55"/>
        <v>0</v>
      </c>
      <c r="W1222" s="6">
        <f t="shared" si="58"/>
        <v>0</v>
      </c>
      <c r="X1222" s="6">
        <f t="shared" si="50"/>
        <v>0</v>
      </c>
      <c r="Y1222" s="1">
        <f t="shared" si="56"/>
        <v>1</v>
      </c>
      <c r="Z1222" s="1">
        <f>IF(COUNTIF($Y$6:Y1222,Y1222)=1,Y1222,Y1222+COUNTIF($Y$5:Y1221,Y1222))</f>
        <v>217</v>
      </c>
      <c r="AD1222" s="1" t="str">
        <f t="shared" si="57"/>
        <v/>
      </c>
      <c r="BA1222" s="1">
        <f>IF(W1222&lt;=Leltar_iv!$Y$1,I1222,0)</f>
        <v>0</v>
      </c>
    </row>
    <row r="1223" spans="1:53" s="1" customFormat="1" x14ac:dyDescent="0.25">
      <c r="A1223" s="18">
        <f>IF(COUNTIF($Y$6:Y1223,Y1223)=1,Y1223,Y1223+COUNTIF($Y$5:Y1222,Y1223))</f>
        <v>218</v>
      </c>
      <c r="B1223" s="1">
        <f>IF(AND(Kisero_iv!$N$2=C1223,Kisero_iv!$K$5=$B$3,SUM(I1223:L1227)&lt;&gt;0,$B$4=YEAR(W1223)),B1222+1,0)</f>
        <v>0</v>
      </c>
      <c r="C1223" s="1">
        <f t="shared" si="51"/>
        <v>218</v>
      </c>
      <c r="D1223" s="102" t="str">
        <f t="shared" si="52"/>
        <v/>
      </c>
      <c r="E1223" s="44"/>
      <c r="F1223" s="45"/>
      <c r="G1223" s="45"/>
      <c r="H1223" s="45"/>
      <c r="I1223" s="46"/>
      <c r="J1223" s="111" t="str">
        <f>IF(AND(G1223&lt;&gt;"",ISERROR(VLOOKUP(G1223,Keszlet!$C$5:$H$200,6,FALSE))=FALSE),VLOOKUP(G1223,Keszlet!$C$5:$H$200,6,FALSE),"")</f>
        <v/>
      </c>
      <c r="K1223" s="106" t="str">
        <f>IF(AND(G1223&lt;&gt;"",ISERROR(VLOOKUP(G1223,Keszlet!$C$5:$G$200,5,FALSE))=FALSE),VLOOKUP(G1223,Keszlet!$C$5:$G$200,5,FALSE),"")</f>
        <v/>
      </c>
      <c r="L1223" s="106" t="str">
        <f t="shared" si="53"/>
        <v/>
      </c>
      <c r="M1223" s="115" t="str">
        <f>IF(ISERROR(VLOOKUP(G1223,Keszlet!$C$5:$I$200,7,FALSE))=TRUE,"",IF(AND(J1222&lt;&gt;"",J1224=""),VLOOKUP(G1223,Keszlet!$C$5:$I$200,7,FALSE),""))</f>
        <v/>
      </c>
      <c r="Q1223" s="1">
        <f>VLOOKUP(G1223,Keszlet!$C$5:$E$205,3,FALSE)</f>
        <v>0</v>
      </c>
      <c r="T1223" s="1" t="str">
        <f t="shared" si="54"/>
        <v/>
      </c>
      <c r="U1223" s="1">
        <f t="shared" si="55"/>
        <v>0</v>
      </c>
      <c r="W1223" s="6">
        <f t="shared" si="58"/>
        <v>0</v>
      </c>
      <c r="X1223" s="6">
        <f t="shared" si="50"/>
        <v>0</v>
      </c>
      <c r="Y1223" s="1">
        <f t="shared" si="56"/>
        <v>1</v>
      </c>
      <c r="Z1223" s="1">
        <f>IF(COUNTIF($Y$6:Y1223,Y1223)=1,Y1223,Y1223+COUNTIF($Y$5:Y1222,Y1223))</f>
        <v>218</v>
      </c>
      <c r="AD1223" s="1" t="str">
        <f t="shared" si="57"/>
        <v/>
      </c>
      <c r="BA1223" s="1">
        <f>IF(W1223&lt;=Leltar_iv!$Y$1,I1223,0)</f>
        <v>0</v>
      </c>
    </row>
    <row r="1224" spans="1:53" s="1" customFormat="1" x14ac:dyDescent="0.25">
      <c r="A1224" s="18">
        <f>IF(COUNTIF($Y$6:Y1224,Y1224)=1,Y1224,Y1224+COUNTIF($Y$5:Y1223,Y1224))</f>
        <v>219</v>
      </c>
      <c r="B1224" s="1">
        <f>IF(AND(Kisero_iv!$N$2=C1224,Kisero_iv!$K$5=$B$3,SUM(I1224:L1228)&lt;&gt;0,$B$4=YEAR(W1224)),B1223+1,0)</f>
        <v>0</v>
      </c>
      <c r="C1224" s="1">
        <f t="shared" si="51"/>
        <v>219</v>
      </c>
      <c r="D1224" s="102" t="str">
        <f t="shared" si="52"/>
        <v/>
      </c>
      <c r="E1224" s="44"/>
      <c r="F1224" s="45"/>
      <c r="G1224" s="45"/>
      <c r="H1224" s="45"/>
      <c r="I1224" s="46"/>
      <c r="J1224" s="111" t="str">
        <f>IF(AND(G1224&lt;&gt;"",ISERROR(VLOOKUP(G1224,Keszlet!$C$5:$H$200,6,FALSE))=FALSE),VLOOKUP(G1224,Keszlet!$C$5:$H$200,6,FALSE),"")</f>
        <v/>
      </c>
      <c r="K1224" s="106" t="str">
        <f>IF(AND(G1224&lt;&gt;"",ISERROR(VLOOKUP(G1224,Keszlet!$C$5:$G$200,5,FALSE))=FALSE),VLOOKUP(G1224,Keszlet!$C$5:$G$200,5,FALSE),"")</f>
        <v/>
      </c>
      <c r="L1224" s="106" t="str">
        <f t="shared" si="53"/>
        <v/>
      </c>
      <c r="M1224" s="115" t="str">
        <f>IF(ISERROR(VLOOKUP(G1224,Keszlet!$C$5:$I$200,7,FALSE))=TRUE,"",IF(AND(J1223&lt;&gt;"",J1225=""),VLOOKUP(G1224,Keszlet!$C$5:$I$200,7,FALSE),""))</f>
        <v/>
      </c>
      <c r="Q1224" s="1">
        <f>VLOOKUP(G1224,Keszlet!$C$5:$E$205,3,FALSE)</f>
        <v>0</v>
      </c>
      <c r="T1224" s="1" t="str">
        <f t="shared" si="54"/>
        <v/>
      </c>
      <c r="U1224" s="1">
        <f t="shared" si="55"/>
        <v>0</v>
      </c>
      <c r="W1224" s="6">
        <f t="shared" si="58"/>
        <v>0</v>
      </c>
      <c r="X1224" s="6">
        <f t="shared" si="50"/>
        <v>0</v>
      </c>
      <c r="Y1224" s="1">
        <f t="shared" si="56"/>
        <v>1</v>
      </c>
      <c r="Z1224" s="1">
        <f>IF(COUNTIF($Y$6:Y1224,Y1224)=1,Y1224,Y1224+COUNTIF($Y$5:Y1223,Y1224))</f>
        <v>219</v>
      </c>
      <c r="AD1224" s="1" t="str">
        <f t="shared" si="57"/>
        <v/>
      </c>
      <c r="BA1224" s="1">
        <f>IF(W1224&lt;=Leltar_iv!$Y$1,I1224,0)</f>
        <v>0</v>
      </c>
    </row>
    <row r="1225" spans="1:53" s="1" customFormat="1" x14ac:dyDescent="0.25">
      <c r="A1225" s="18">
        <f>IF(COUNTIF($Y$6:Y1225,Y1225)=1,Y1225,Y1225+COUNTIF($Y$5:Y1224,Y1225))</f>
        <v>220</v>
      </c>
      <c r="B1225" s="1">
        <f>IF(AND(Kisero_iv!$N$2=C1225,Kisero_iv!$K$5=$B$3,SUM(I1225:L1229)&lt;&gt;0,$B$4=YEAR(W1225)),B1224+1,0)</f>
        <v>0</v>
      </c>
      <c r="C1225" s="1">
        <f t="shared" si="51"/>
        <v>220</v>
      </c>
      <c r="D1225" s="102" t="str">
        <f t="shared" si="52"/>
        <v/>
      </c>
      <c r="E1225" s="44"/>
      <c r="F1225" s="45"/>
      <c r="G1225" s="45"/>
      <c r="H1225" s="45"/>
      <c r="I1225" s="46"/>
      <c r="J1225" s="111" t="str">
        <f>IF(AND(G1225&lt;&gt;"",ISERROR(VLOOKUP(G1225,Keszlet!$C$5:$H$200,6,FALSE))=FALSE),VLOOKUP(G1225,Keszlet!$C$5:$H$200,6,FALSE),"")</f>
        <v/>
      </c>
      <c r="K1225" s="106" t="str">
        <f>IF(AND(G1225&lt;&gt;"",ISERROR(VLOOKUP(G1225,Keszlet!$C$5:$G$200,5,FALSE))=FALSE),VLOOKUP(G1225,Keszlet!$C$5:$G$200,5,FALSE),"")</f>
        <v/>
      </c>
      <c r="L1225" s="106" t="str">
        <f t="shared" si="53"/>
        <v/>
      </c>
      <c r="M1225" s="115" t="str">
        <f>IF(ISERROR(VLOOKUP(G1225,Keszlet!$C$5:$I$200,7,FALSE))=TRUE,"",IF(AND(J1224&lt;&gt;"",J1226=""),VLOOKUP(G1225,Keszlet!$C$5:$I$200,7,FALSE),""))</f>
        <v/>
      </c>
      <c r="Q1225" s="1">
        <f>VLOOKUP(G1225,Keszlet!$C$5:$E$205,3,FALSE)</f>
        <v>0</v>
      </c>
      <c r="T1225" s="1" t="str">
        <f t="shared" si="54"/>
        <v/>
      </c>
      <c r="U1225" s="1">
        <f t="shared" si="55"/>
        <v>0</v>
      </c>
      <c r="W1225" s="6">
        <f t="shared" si="58"/>
        <v>0</v>
      </c>
      <c r="X1225" s="6">
        <f t="shared" si="50"/>
        <v>0</v>
      </c>
      <c r="Y1225" s="1">
        <f t="shared" si="56"/>
        <v>1</v>
      </c>
      <c r="Z1225" s="1">
        <f>IF(COUNTIF($Y$6:Y1225,Y1225)=1,Y1225,Y1225+COUNTIF($Y$5:Y1224,Y1225))</f>
        <v>220</v>
      </c>
      <c r="AD1225" s="1" t="str">
        <f t="shared" si="57"/>
        <v/>
      </c>
      <c r="BA1225" s="1">
        <f>IF(W1225&lt;=Leltar_iv!$Y$1,I1225,0)</f>
        <v>0</v>
      </c>
    </row>
    <row r="1226" spans="1:53" s="1" customFormat="1" x14ac:dyDescent="0.25">
      <c r="A1226" s="18">
        <f>IF(COUNTIF($Y$6:Y1226,Y1226)=1,Y1226,Y1226+COUNTIF($Y$5:Y1225,Y1226))</f>
        <v>221</v>
      </c>
      <c r="B1226" s="1">
        <f>IF(AND(Kisero_iv!$N$2=C1226,Kisero_iv!$K$5=$B$3,SUM(I1226:L1230)&lt;&gt;0,$B$4=YEAR(W1226)),B1225+1,0)</f>
        <v>0</v>
      </c>
      <c r="C1226" s="1">
        <f t="shared" si="51"/>
        <v>221</v>
      </c>
      <c r="D1226" s="102" t="str">
        <f t="shared" si="52"/>
        <v/>
      </c>
      <c r="E1226" s="44"/>
      <c r="F1226" s="45"/>
      <c r="G1226" s="45"/>
      <c r="H1226" s="45"/>
      <c r="I1226" s="46"/>
      <c r="J1226" s="111" t="str">
        <f>IF(AND(G1226&lt;&gt;"",ISERROR(VLOOKUP(G1226,Keszlet!$C$5:$H$200,6,FALSE))=FALSE),VLOOKUP(G1226,Keszlet!$C$5:$H$200,6,FALSE),"")</f>
        <v/>
      </c>
      <c r="K1226" s="106" t="str">
        <f>IF(AND(G1226&lt;&gt;"",ISERROR(VLOOKUP(G1226,Keszlet!$C$5:$G$200,5,FALSE))=FALSE),VLOOKUP(G1226,Keszlet!$C$5:$G$200,5,FALSE),"")</f>
        <v/>
      </c>
      <c r="L1226" s="106" t="str">
        <f t="shared" si="53"/>
        <v/>
      </c>
      <c r="M1226" s="115" t="str">
        <f>IF(ISERROR(VLOOKUP(G1226,Keszlet!$C$5:$I$200,7,FALSE))=TRUE,"",IF(AND(J1225&lt;&gt;"",J1227=""),VLOOKUP(G1226,Keszlet!$C$5:$I$200,7,FALSE),""))</f>
        <v/>
      </c>
      <c r="Q1226" s="1">
        <f>VLOOKUP(G1226,Keszlet!$C$5:$E$205,3,FALSE)</f>
        <v>0</v>
      </c>
      <c r="T1226" s="1" t="str">
        <f t="shared" si="54"/>
        <v/>
      </c>
      <c r="U1226" s="1">
        <f t="shared" si="55"/>
        <v>0</v>
      </c>
      <c r="W1226" s="6">
        <f t="shared" si="58"/>
        <v>0</v>
      </c>
      <c r="X1226" s="6">
        <f t="shared" si="50"/>
        <v>0</v>
      </c>
      <c r="Y1226" s="1">
        <f t="shared" si="56"/>
        <v>1</v>
      </c>
      <c r="Z1226" s="1">
        <f>IF(COUNTIF($Y$6:Y1226,Y1226)=1,Y1226,Y1226+COUNTIF($Y$5:Y1225,Y1226))</f>
        <v>221</v>
      </c>
      <c r="AD1226" s="1" t="str">
        <f t="shared" si="57"/>
        <v/>
      </c>
      <c r="BA1226" s="1">
        <f>IF(W1226&lt;=Leltar_iv!$Y$1,I1226,0)</f>
        <v>0</v>
      </c>
    </row>
    <row r="1227" spans="1:53" s="1" customFormat="1" x14ac:dyDescent="0.25">
      <c r="A1227" s="18">
        <f>IF(COUNTIF($Y$6:Y1227,Y1227)=1,Y1227,Y1227+COUNTIF($Y$5:Y1226,Y1227))</f>
        <v>222</v>
      </c>
      <c r="B1227" s="1">
        <f>IF(AND(Kisero_iv!$N$2=C1227,Kisero_iv!$K$5=$B$3,SUM(I1227:L1231)&lt;&gt;0,$B$4=YEAR(W1227)),B1226+1,0)</f>
        <v>0</v>
      </c>
      <c r="C1227" s="1">
        <f t="shared" si="51"/>
        <v>222</v>
      </c>
      <c r="D1227" s="102" t="str">
        <f t="shared" si="52"/>
        <v/>
      </c>
      <c r="E1227" s="44"/>
      <c r="F1227" s="45"/>
      <c r="G1227" s="45"/>
      <c r="H1227" s="45"/>
      <c r="I1227" s="46"/>
      <c r="J1227" s="111" t="str">
        <f>IF(AND(G1227&lt;&gt;"",ISERROR(VLOOKUP(G1227,Keszlet!$C$5:$H$200,6,FALSE))=FALSE),VLOOKUP(G1227,Keszlet!$C$5:$H$200,6,FALSE),"")</f>
        <v/>
      </c>
      <c r="K1227" s="106" t="str">
        <f>IF(AND(G1227&lt;&gt;"",ISERROR(VLOOKUP(G1227,Keszlet!$C$5:$G$200,5,FALSE))=FALSE),VLOOKUP(G1227,Keszlet!$C$5:$G$200,5,FALSE),"")</f>
        <v/>
      </c>
      <c r="L1227" s="106" t="str">
        <f t="shared" si="53"/>
        <v/>
      </c>
      <c r="M1227" s="115" t="str">
        <f>IF(ISERROR(VLOOKUP(G1227,Keszlet!$C$5:$I$200,7,FALSE))=TRUE,"",IF(AND(J1226&lt;&gt;"",J1228=""),VLOOKUP(G1227,Keszlet!$C$5:$I$200,7,FALSE),""))</f>
        <v/>
      </c>
      <c r="Q1227" s="1">
        <f>VLOOKUP(G1227,Keszlet!$C$5:$E$205,3,FALSE)</f>
        <v>0</v>
      </c>
      <c r="T1227" s="1" t="str">
        <f t="shared" si="54"/>
        <v/>
      </c>
      <c r="U1227" s="1">
        <f t="shared" si="55"/>
        <v>0</v>
      </c>
      <c r="W1227" s="6">
        <f t="shared" si="58"/>
        <v>0</v>
      </c>
      <c r="X1227" s="6">
        <f t="shared" si="50"/>
        <v>0</v>
      </c>
      <c r="Y1227" s="1">
        <f t="shared" si="56"/>
        <v>1</v>
      </c>
      <c r="Z1227" s="1">
        <f>IF(COUNTIF($Y$6:Y1227,Y1227)=1,Y1227,Y1227+COUNTIF($Y$5:Y1226,Y1227))</f>
        <v>222</v>
      </c>
      <c r="AD1227" s="1" t="str">
        <f t="shared" si="57"/>
        <v/>
      </c>
      <c r="BA1227" s="1">
        <f>IF(W1227&lt;=Leltar_iv!$Y$1,I1227,0)</f>
        <v>0</v>
      </c>
    </row>
    <row r="1228" spans="1:53" s="1" customFormat="1" x14ac:dyDescent="0.25">
      <c r="A1228" s="18">
        <f>IF(COUNTIF($Y$6:Y1228,Y1228)=1,Y1228,Y1228+COUNTIF($Y$5:Y1227,Y1228))</f>
        <v>223</v>
      </c>
      <c r="B1228" s="1">
        <f>IF(AND(Kisero_iv!$N$2=C1228,Kisero_iv!$K$5=$B$3,SUM(I1228:L1232)&lt;&gt;0,$B$4=YEAR(W1228)),B1227+1,0)</f>
        <v>0</v>
      </c>
      <c r="C1228" s="1">
        <f t="shared" si="51"/>
        <v>223</v>
      </c>
      <c r="D1228" s="102" t="str">
        <f t="shared" si="52"/>
        <v/>
      </c>
      <c r="E1228" s="44"/>
      <c r="F1228" s="45"/>
      <c r="G1228" s="45"/>
      <c r="H1228" s="45"/>
      <c r="I1228" s="46"/>
      <c r="J1228" s="111" t="str">
        <f>IF(AND(G1228&lt;&gt;"",ISERROR(VLOOKUP(G1228,Keszlet!$C$5:$H$200,6,FALSE))=FALSE),VLOOKUP(G1228,Keszlet!$C$5:$H$200,6,FALSE),"")</f>
        <v/>
      </c>
      <c r="K1228" s="106" t="str">
        <f>IF(AND(G1228&lt;&gt;"",ISERROR(VLOOKUP(G1228,Keszlet!$C$5:$G$200,5,FALSE))=FALSE),VLOOKUP(G1228,Keszlet!$C$5:$G$200,5,FALSE),"")</f>
        <v/>
      </c>
      <c r="L1228" s="106" t="str">
        <f t="shared" si="53"/>
        <v/>
      </c>
      <c r="M1228" s="115" t="str">
        <f>IF(ISERROR(VLOOKUP(G1228,Keszlet!$C$5:$I$200,7,FALSE))=TRUE,"",IF(AND(J1227&lt;&gt;"",J1229=""),VLOOKUP(G1228,Keszlet!$C$5:$I$200,7,FALSE),""))</f>
        <v/>
      </c>
      <c r="Q1228" s="1">
        <f>VLOOKUP(G1228,Keszlet!$C$5:$E$205,3,FALSE)</f>
        <v>0</v>
      </c>
      <c r="T1228" s="1" t="str">
        <f t="shared" si="54"/>
        <v/>
      </c>
      <c r="U1228" s="1">
        <f t="shared" si="55"/>
        <v>0</v>
      </c>
      <c r="W1228" s="6">
        <f t="shared" si="58"/>
        <v>0</v>
      </c>
      <c r="X1228" s="6">
        <f t="shared" si="50"/>
        <v>0</v>
      </c>
      <c r="Y1228" s="1">
        <f t="shared" si="56"/>
        <v>1</v>
      </c>
      <c r="Z1228" s="1">
        <f>IF(COUNTIF($Y$6:Y1228,Y1228)=1,Y1228,Y1228+COUNTIF($Y$5:Y1227,Y1228))</f>
        <v>223</v>
      </c>
      <c r="AD1228" s="1" t="str">
        <f t="shared" si="57"/>
        <v/>
      </c>
      <c r="BA1228" s="1">
        <f>IF(W1228&lt;=Leltar_iv!$Y$1,I1228,0)</f>
        <v>0</v>
      </c>
    </row>
    <row r="1229" spans="1:53" s="1" customFormat="1" x14ac:dyDescent="0.25">
      <c r="A1229" s="18">
        <f>IF(COUNTIF($Y$6:Y1229,Y1229)=1,Y1229,Y1229+COUNTIF($Y$5:Y1228,Y1229))</f>
        <v>224</v>
      </c>
      <c r="B1229" s="1">
        <f>IF(AND(Kisero_iv!$N$2=C1229,Kisero_iv!$K$5=$B$3,SUM(I1229:L1233)&lt;&gt;0,$B$4=YEAR(W1229)),B1228+1,0)</f>
        <v>0</v>
      </c>
      <c r="C1229" s="1">
        <f t="shared" si="51"/>
        <v>224</v>
      </c>
      <c r="D1229" s="102" t="str">
        <f t="shared" si="52"/>
        <v/>
      </c>
      <c r="E1229" s="44"/>
      <c r="F1229" s="45"/>
      <c r="G1229" s="45"/>
      <c r="H1229" s="45"/>
      <c r="I1229" s="46"/>
      <c r="J1229" s="111" t="str">
        <f>IF(AND(G1229&lt;&gt;"",ISERROR(VLOOKUP(G1229,Keszlet!$C$5:$H$200,6,FALSE))=FALSE),VLOOKUP(G1229,Keszlet!$C$5:$H$200,6,FALSE),"")</f>
        <v/>
      </c>
      <c r="K1229" s="106" t="str">
        <f>IF(AND(G1229&lt;&gt;"",ISERROR(VLOOKUP(G1229,Keszlet!$C$5:$G$200,5,FALSE))=FALSE),VLOOKUP(G1229,Keszlet!$C$5:$G$200,5,FALSE),"")</f>
        <v/>
      </c>
      <c r="L1229" s="106" t="str">
        <f t="shared" si="53"/>
        <v/>
      </c>
      <c r="M1229" s="115" t="str">
        <f>IF(ISERROR(VLOOKUP(G1229,Keszlet!$C$5:$I$200,7,FALSE))=TRUE,"",IF(AND(J1228&lt;&gt;"",J1230=""),VLOOKUP(G1229,Keszlet!$C$5:$I$200,7,FALSE),""))</f>
        <v/>
      </c>
      <c r="Q1229" s="1">
        <f>VLOOKUP(G1229,Keszlet!$C$5:$E$205,3,FALSE)</f>
        <v>0</v>
      </c>
      <c r="T1229" s="1" t="str">
        <f t="shared" si="54"/>
        <v/>
      </c>
      <c r="U1229" s="1">
        <f t="shared" si="55"/>
        <v>0</v>
      </c>
      <c r="W1229" s="6">
        <f t="shared" si="58"/>
        <v>0</v>
      </c>
      <c r="X1229" s="6">
        <f t="shared" si="50"/>
        <v>0</v>
      </c>
      <c r="Y1229" s="1">
        <f t="shared" si="56"/>
        <v>1</v>
      </c>
      <c r="Z1229" s="1">
        <f>IF(COUNTIF($Y$6:Y1229,Y1229)=1,Y1229,Y1229+COUNTIF($Y$5:Y1228,Y1229))</f>
        <v>224</v>
      </c>
      <c r="AD1229" s="1" t="str">
        <f t="shared" si="57"/>
        <v/>
      </c>
      <c r="BA1229" s="1">
        <f>IF(W1229&lt;=Leltar_iv!$Y$1,I1229,0)</f>
        <v>0</v>
      </c>
    </row>
    <row r="1230" spans="1:53" s="1" customFormat="1" x14ac:dyDescent="0.25">
      <c r="A1230" s="18">
        <f>IF(COUNTIF($Y$6:Y1230,Y1230)=1,Y1230,Y1230+COUNTIF($Y$5:Y1229,Y1230))</f>
        <v>225</v>
      </c>
      <c r="B1230" s="1">
        <f>IF(AND(Kisero_iv!$N$2=C1230,Kisero_iv!$K$5=$B$3,SUM(I1230:L1234)&lt;&gt;0,$B$4=YEAR(W1230)),B1229+1,0)</f>
        <v>0</v>
      </c>
      <c r="C1230" s="1">
        <f t="shared" si="51"/>
        <v>225</v>
      </c>
      <c r="D1230" s="102" t="str">
        <f t="shared" si="52"/>
        <v/>
      </c>
      <c r="E1230" s="44"/>
      <c r="F1230" s="45"/>
      <c r="G1230" s="45"/>
      <c r="H1230" s="45"/>
      <c r="I1230" s="46"/>
      <c r="J1230" s="111" t="str">
        <f>IF(AND(G1230&lt;&gt;"",ISERROR(VLOOKUP(G1230,Keszlet!$C$5:$H$200,6,FALSE))=FALSE),VLOOKUP(G1230,Keszlet!$C$5:$H$200,6,FALSE),"")</f>
        <v/>
      </c>
      <c r="K1230" s="106" t="str">
        <f>IF(AND(G1230&lt;&gt;"",ISERROR(VLOOKUP(G1230,Keszlet!$C$5:$G$200,5,FALSE))=FALSE),VLOOKUP(G1230,Keszlet!$C$5:$G$200,5,FALSE),"")</f>
        <v/>
      </c>
      <c r="L1230" s="106" t="str">
        <f t="shared" si="53"/>
        <v/>
      </c>
      <c r="M1230" s="115" t="str">
        <f>IF(ISERROR(VLOOKUP(G1230,Keszlet!$C$5:$I$200,7,FALSE))=TRUE,"",IF(AND(J1229&lt;&gt;"",J1231=""),VLOOKUP(G1230,Keszlet!$C$5:$I$200,7,FALSE),""))</f>
        <v/>
      </c>
      <c r="Q1230" s="1">
        <f>VLOOKUP(G1230,Keszlet!$C$5:$E$205,3,FALSE)</f>
        <v>0</v>
      </c>
      <c r="T1230" s="1" t="str">
        <f t="shared" si="54"/>
        <v/>
      </c>
      <c r="U1230" s="1">
        <f t="shared" si="55"/>
        <v>0</v>
      </c>
      <c r="W1230" s="6">
        <f t="shared" si="58"/>
        <v>0</v>
      </c>
      <c r="X1230" s="6">
        <f t="shared" si="50"/>
        <v>0</v>
      </c>
      <c r="Y1230" s="1">
        <f t="shared" si="56"/>
        <v>1</v>
      </c>
      <c r="Z1230" s="1">
        <f>IF(COUNTIF($Y$6:Y1230,Y1230)=1,Y1230,Y1230+COUNTIF($Y$5:Y1229,Y1230))</f>
        <v>225</v>
      </c>
      <c r="AD1230" s="1" t="str">
        <f t="shared" si="57"/>
        <v/>
      </c>
      <c r="BA1230" s="1">
        <f>IF(W1230&lt;=Leltar_iv!$Y$1,I1230,0)</f>
        <v>0</v>
      </c>
    </row>
    <row r="1231" spans="1:53" s="1" customFormat="1" x14ac:dyDescent="0.25">
      <c r="A1231" s="18">
        <f>IF(COUNTIF($Y$6:Y1231,Y1231)=1,Y1231,Y1231+COUNTIF($Y$5:Y1230,Y1231))</f>
        <v>226</v>
      </c>
      <c r="B1231" s="1">
        <f>IF(AND(Kisero_iv!$N$2=C1231,Kisero_iv!$K$5=$B$3,SUM(I1231:L1235)&lt;&gt;0,$B$4=YEAR(W1231)),B1230+1,0)</f>
        <v>0</v>
      </c>
      <c r="C1231" s="1">
        <f t="shared" si="51"/>
        <v>226</v>
      </c>
      <c r="D1231" s="102" t="str">
        <f t="shared" si="52"/>
        <v/>
      </c>
      <c r="E1231" s="44"/>
      <c r="F1231" s="45"/>
      <c r="G1231" s="45"/>
      <c r="H1231" s="45"/>
      <c r="I1231" s="46"/>
      <c r="J1231" s="111" t="str">
        <f>IF(AND(G1231&lt;&gt;"",ISERROR(VLOOKUP(G1231,Keszlet!$C$5:$H$200,6,FALSE))=FALSE),VLOOKUP(G1231,Keszlet!$C$5:$H$200,6,FALSE),"")</f>
        <v/>
      </c>
      <c r="K1231" s="106" t="str">
        <f>IF(AND(G1231&lt;&gt;"",ISERROR(VLOOKUP(G1231,Keszlet!$C$5:$G$200,5,FALSE))=FALSE),VLOOKUP(G1231,Keszlet!$C$5:$G$200,5,FALSE),"")</f>
        <v/>
      </c>
      <c r="L1231" s="106" t="str">
        <f t="shared" si="53"/>
        <v/>
      </c>
      <c r="M1231" s="115" t="str">
        <f>IF(ISERROR(VLOOKUP(G1231,Keszlet!$C$5:$I$200,7,FALSE))=TRUE,"",IF(AND(J1230&lt;&gt;"",J1232=""),VLOOKUP(G1231,Keszlet!$C$5:$I$200,7,FALSE),""))</f>
        <v/>
      </c>
      <c r="Q1231" s="1">
        <f>VLOOKUP(G1231,Keszlet!$C$5:$E$205,3,FALSE)</f>
        <v>0</v>
      </c>
      <c r="T1231" s="1" t="str">
        <f t="shared" si="54"/>
        <v/>
      </c>
      <c r="U1231" s="1">
        <f t="shared" si="55"/>
        <v>0</v>
      </c>
      <c r="W1231" s="6">
        <f t="shared" si="58"/>
        <v>0</v>
      </c>
      <c r="X1231" s="6">
        <f t="shared" si="50"/>
        <v>0</v>
      </c>
      <c r="Y1231" s="1">
        <f t="shared" si="56"/>
        <v>1</v>
      </c>
      <c r="Z1231" s="1">
        <f>IF(COUNTIF($Y$6:Y1231,Y1231)=1,Y1231,Y1231+COUNTIF($Y$5:Y1230,Y1231))</f>
        <v>226</v>
      </c>
      <c r="AD1231" s="1" t="str">
        <f t="shared" si="57"/>
        <v/>
      </c>
      <c r="BA1231" s="1">
        <f>IF(W1231&lt;=Leltar_iv!$Y$1,I1231,0)</f>
        <v>0</v>
      </c>
    </row>
    <row r="1232" spans="1:53" s="1" customFormat="1" x14ac:dyDescent="0.25">
      <c r="A1232" s="18">
        <f>IF(COUNTIF($Y$6:Y1232,Y1232)=1,Y1232,Y1232+COUNTIF($Y$5:Y1231,Y1232))</f>
        <v>227</v>
      </c>
      <c r="B1232" s="1">
        <f>IF(AND(Kisero_iv!$N$2=C1232,Kisero_iv!$K$5=$B$3,SUM(I1232:L1236)&lt;&gt;0,$B$4=YEAR(W1232)),B1231+1,0)</f>
        <v>0</v>
      </c>
      <c r="C1232" s="1">
        <f t="shared" si="51"/>
        <v>227</v>
      </c>
      <c r="D1232" s="102" t="str">
        <f t="shared" si="52"/>
        <v/>
      </c>
      <c r="E1232" s="44"/>
      <c r="F1232" s="45"/>
      <c r="G1232" s="45"/>
      <c r="H1232" s="45"/>
      <c r="I1232" s="46"/>
      <c r="J1232" s="111" t="str">
        <f>IF(AND(G1232&lt;&gt;"",ISERROR(VLOOKUP(G1232,Keszlet!$C$5:$H$200,6,FALSE))=FALSE),VLOOKUP(G1232,Keszlet!$C$5:$H$200,6,FALSE),"")</f>
        <v/>
      </c>
      <c r="K1232" s="106" t="str">
        <f>IF(AND(G1232&lt;&gt;"",ISERROR(VLOOKUP(G1232,Keszlet!$C$5:$G$200,5,FALSE))=FALSE),VLOOKUP(G1232,Keszlet!$C$5:$G$200,5,FALSE),"")</f>
        <v/>
      </c>
      <c r="L1232" s="106" t="str">
        <f t="shared" si="53"/>
        <v/>
      </c>
      <c r="M1232" s="115" t="str">
        <f>IF(ISERROR(VLOOKUP(G1232,Keszlet!$C$5:$I$200,7,FALSE))=TRUE,"",IF(AND(J1231&lt;&gt;"",J1233=""),VLOOKUP(G1232,Keszlet!$C$5:$I$200,7,FALSE),""))</f>
        <v/>
      </c>
      <c r="Q1232" s="1">
        <f>VLOOKUP(G1232,Keszlet!$C$5:$E$205,3,FALSE)</f>
        <v>0</v>
      </c>
      <c r="T1232" s="1" t="str">
        <f t="shared" si="54"/>
        <v/>
      </c>
      <c r="U1232" s="1">
        <f t="shared" si="55"/>
        <v>0</v>
      </c>
      <c r="W1232" s="6">
        <f t="shared" si="58"/>
        <v>0</v>
      </c>
      <c r="X1232" s="6">
        <f t="shared" si="50"/>
        <v>0</v>
      </c>
      <c r="Y1232" s="1">
        <f t="shared" si="56"/>
        <v>1</v>
      </c>
      <c r="Z1232" s="1">
        <f>IF(COUNTIF($Y$6:Y1232,Y1232)=1,Y1232,Y1232+COUNTIF($Y$5:Y1231,Y1232))</f>
        <v>227</v>
      </c>
      <c r="AD1232" s="1" t="str">
        <f t="shared" si="57"/>
        <v/>
      </c>
      <c r="BA1232" s="1">
        <f>IF(W1232&lt;=Leltar_iv!$Y$1,I1232,0)</f>
        <v>0</v>
      </c>
    </row>
    <row r="1233" spans="1:53" s="1" customFormat="1" x14ac:dyDescent="0.25">
      <c r="A1233" s="18">
        <f>IF(COUNTIF($Y$6:Y1233,Y1233)=1,Y1233,Y1233+COUNTIF($Y$5:Y1232,Y1233))</f>
        <v>228</v>
      </c>
      <c r="B1233" s="1">
        <f>IF(AND(Kisero_iv!$N$2=C1233,Kisero_iv!$K$5=$B$3,SUM(I1233:L1237)&lt;&gt;0,$B$4=YEAR(W1233)),B1232+1,0)</f>
        <v>0</v>
      </c>
      <c r="C1233" s="1">
        <f t="shared" si="51"/>
        <v>228</v>
      </c>
      <c r="D1233" s="102" t="str">
        <f t="shared" si="52"/>
        <v/>
      </c>
      <c r="E1233" s="44"/>
      <c r="F1233" s="45"/>
      <c r="G1233" s="45"/>
      <c r="H1233" s="45"/>
      <c r="I1233" s="46"/>
      <c r="J1233" s="111" t="str">
        <f>IF(AND(G1233&lt;&gt;"",ISERROR(VLOOKUP(G1233,Keszlet!$C$5:$H$200,6,FALSE))=FALSE),VLOOKUP(G1233,Keszlet!$C$5:$H$200,6,FALSE),"")</f>
        <v/>
      </c>
      <c r="K1233" s="106" t="str">
        <f>IF(AND(G1233&lt;&gt;"",ISERROR(VLOOKUP(G1233,Keszlet!$C$5:$G$200,5,FALSE))=FALSE),VLOOKUP(G1233,Keszlet!$C$5:$G$200,5,FALSE),"")</f>
        <v/>
      </c>
      <c r="L1233" s="106" t="str">
        <f t="shared" si="53"/>
        <v/>
      </c>
      <c r="M1233" s="115" t="str">
        <f>IF(ISERROR(VLOOKUP(G1233,Keszlet!$C$5:$I$200,7,FALSE))=TRUE,"",IF(AND(J1232&lt;&gt;"",J1234=""),VLOOKUP(G1233,Keszlet!$C$5:$I$200,7,FALSE),""))</f>
        <v/>
      </c>
      <c r="Q1233" s="1">
        <f>VLOOKUP(G1233,Keszlet!$C$5:$E$205,3,FALSE)</f>
        <v>0</v>
      </c>
      <c r="T1233" s="1" t="str">
        <f t="shared" si="54"/>
        <v/>
      </c>
      <c r="U1233" s="1">
        <f t="shared" si="55"/>
        <v>0</v>
      </c>
      <c r="W1233" s="6">
        <f t="shared" si="58"/>
        <v>0</v>
      </c>
      <c r="X1233" s="6">
        <f t="shared" si="50"/>
        <v>0</v>
      </c>
      <c r="Y1233" s="1">
        <f t="shared" si="56"/>
        <v>1</v>
      </c>
      <c r="Z1233" s="1">
        <f>IF(COUNTIF($Y$6:Y1233,Y1233)=1,Y1233,Y1233+COUNTIF($Y$5:Y1232,Y1233))</f>
        <v>228</v>
      </c>
      <c r="AD1233" s="1" t="str">
        <f t="shared" si="57"/>
        <v/>
      </c>
      <c r="BA1233" s="1">
        <f>IF(W1233&lt;=Leltar_iv!$Y$1,I1233,0)</f>
        <v>0</v>
      </c>
    </row>
    <row r="1234" spans="1:53" s="1" customFormat="1" x14ac:dyDescent="0.25">
      <c r="A1234" s="18">
        <f>IF(COUNTIF($Y$6:Y1234,Y1234)=1,Y1234,Y1234+COUNTIF($Y$5:Y1233,Y1234))</f>
        <v>229</v>
      </c>
      <c r="B1234" s="1">
        <f>IF(AND(Kisero_iv!$N$2=C1234,Kisero_iv!$K$5=$B$3,SUM(I1234:L1238)&lt;&gt;0,$B$4=YEAR(W1234)),B1233+1,0)</f>
        <v>0</v>
      </c>
      <c r="C1234" s="1">
        <f t="shared" si="51"/>
        <v>229</v>
      </c>
      <c r="D1234" s="102" t="str">
        <f t="shared" si="52"/>
        <v/>
      </c>
      <c r="E1234" s="44"/>
      <c r="F1234" s="45"/>
      <c r="G1234" s="45"/>
      <c r="H1234" s="45"/>
      <c r="I1234" s="46"/>
      <c r="J1234" s="111" t="str">
        <f>IF(AND(G1234&lt;&gt;"",ISERROR(VLOOKUP(G1234,Keszlet!$C$5:$H$200,6,FALSE))=FALSE),VLOOKUP(G1234,Keszlet!$C$5:$H$200,6,FALSE),"")</f>
        <v/>
      </c>
      <c r="K1234" s="106" t="str">
        <f>IF(AND(G1234&lt;&gt;"",ISERROR(VLOOKUP(G1234,Keszlet!$C$5:$G$200,5,FALSE))=FALSE),VLOOKUP(G1234,Keszlet!$C$5:$G$200,5,FALSE),"")</f>
        <v/>
      </c>
      <c r="L1234" s="106" t="str">
        <f t="shared" si="53"/>
        <v/>
      </c>
      <c r="M1234" s="115" t="str">
        <f>IF(ISERROR(VLOOKUP(G1234,Keszlet!$C$5:$I$200,7,FALSE))=TRUE,"",IF(AND(J1233&lt;&gt;"",J1235=""),VLOOKUP(G1234,Keszlet!$C$5:$I$200,7,FALSE),""))</f>
        <v/>
      </c>
      <c r="Q1234" s="1">
        <f>VLOOKUP(G1234,Keszlet!$C$5:$E$205,3,FALSE)</f>
        <v>0</v>
      </c>
      <c r="T1234" s="1" t="str">
        <f t="shared" si="54"/>
        <v/>
      </c>
      <c r="U1234" s="1">
        <f t="shared" si="55"/>
        <v>0</v>
      </c>
      <c r="W1234" s="6">
        <f t="shared" si="58"/>
        <v>0</v>
      </c>
      <c r="X1234" s="6">
        <f t="shared" si="50"/>
        <v>0</v>
      </c>
      <c r="Y1234" s="1">
        <f t="shared" si="56"/>
        <v>1</v>
      </c>
      <c r="Z1234" s="1">
        <f>IF(COUNTIF($Y$6:Y1234,Y1234)=1,Y1234,Y1234+COUNTIF($Y$5:Y1233,Y1234))</f>
        <v>229</v>
      </c>
      <c r="AD1234" s="1" t="str">
        <f t="shared" si="57"/>
        <v/>
      </c>
      <c r="BA1234" s="1">
        <f>IF(W1234&lt;=Leltar_iv!$Y$1,I1234,0)</f>
        <v>0</v>
      </c>
    </row>
    <row r="1235" spans="1:53" s="1" customFormat="1" x14ac:dyDescent="0.25">
      <c r="A1235" s="18">
        <f>IF(COUNTIF($Y$6:Y1235,Y1235)=1,Y1235,Y1235+COUNTIF($Y$5:Y1234,Y1235))</f>
        <v>230</v>
      </c>
      <c r="B1235" s="1">
        <f>IF(AND(Kisero_iv!$N$2=C1235,Kisero_iv!$K$5=$B$3,SUM(I1235:L1239)&lt;&gt;0,$B$4=YEAR(W1235)),B1234+1,0)</f>
        <v>0</v>
      </c>
      <c r="C1235" s="1">
        <f t="shared" si="51"/>
        <v>230</v>
      </c>
      <c r="D1235" s="102" t="str">
        <f t="shared" si="52"/>
        <v/>
      </c>
      <c r="E1235" s="44"/>
      <c r="F1235" s="45"/>
      <c r="G1235" s="45"/>
      <c r="H1235" s="45"/>
      <c r="I1235" s="46"/>
      <c r="J1235" s="111" t="str">
        <f>IF(AND(G1235&lt;&gt;"",ISERROR(VLOOKUP(G1235,Keszlet!$C$5:$H$200,6,FALSE))=FALSE),VLOOKUP(G1235,Keszlet!$C$5:$H$200,6,FALSE),"")</f>
        <v/>
      </c>
      <c r="K1235" s="106" t="str">
        <f>IF(AND(G1235&lt;&gt;"",ISERROR(VLOOKUP(G1235,Keszlet!$C$5:$G$200,5,FALSE))=FALSE),VLOOKUP(G1235,Keszlet!$C$5:$G$200,5,FALSE),"")</f>
        <v/>
      </c>
      <c r="L1235" s="106" t="str">
        <f t="shared" si="53"/>
        <v/>
      </c>
      <c r="M1235" s="115" t="str">
        <f>IF(ISERROR(VLOOKUP(G1235,Keszlet!$C$5:$I$200,7,FALSE))=TRUE,"",IF(AND(J1234&lt;&gt;"",J1236=""),VLOOKUP(G1235,Keszlet!$C$5:$I$200,7,FALSE),""))</f>
        <v/>
      </c>
      <c r="Q1235" s="1">
        <f>VLOOKUP(G1235,Keszlet!$C$5:$E$205,3,FALSE)</f>
        <v>0</v>
      </c>
      <c r="T1235" s="1" t="str">
        <f t="shared" si="54"/>
        <v/>
      </c>
      <c r="U1235" s="1">
        <f t="shared" si="55"/>
        <v>0</v>
      </c>
      <c r="W1235" s="6">
        <f t="shared" si="58"/>
        <v>0</v>
      </c>
      <c r="X1235" s="6">
        <f t="shared" si="50"/>
        <v>0</v>
      </c>
      <c r="Y1235" s="1">
        <f t="shared" si="56"/>
        <v>1</v>
      </c>
      <c r="Z1235" s="1">
        <f>IF(COUNTIF($Y$6:Y1235,Y1235)=1,Y1235,Y1235+COUNTIF($Y$5:Y1234,Y1235))</f>
        <v>230</v>
      </c>
      <c r="AD1235" s="1" t="str">
        <f t="shared" si="57"/>
        <v/>
      </c>
      <c r="BA1235" s="1">
        <f>IF(W1235&lt;=Leltar_iv!$Y$1,I1235,0)</f>
        <v>0</v>
      </c>
    </row>
    <row r="1236" spans="1:53" s="1" customFormat="1" x14ac:dyDescent="0.25">
      <c r="A1236" s="18">
        <f>IF(COUNTIF($Y$6:Y1236,Y1236)=1,Y1236,Y1236+COUNTIF($Y$5:Y1235,Y1236))</f>
        <v>231</v>
      </c>
      <c r="B1236" s="1">
        <f>IF(AND(Kisero_iv!$N$2=C1236,Kisero_iv!$K$5=$B$3,SUM(I1236:L1240)&lt;&gt;0,$B$4=YEAR(W1236)),B1235+1,0)</f>
        <v>0</v>
      </c>
      <c r="C1236" s="1">
        <f t="shared" si="51"/>
        <v>231</v>
      </c>
      <c r="D1236" s="102" t="str">
        <f t="shared" si="52"/>
        <v/>
      </c>
      <c r="E1236" s="44"/>
      <c r="F1236" s="45"/>
      <c r="G1236" s="45"/>
      <c r="H1236" s="45"/>
      <c r="I1236" s="46"/>
      <c r="J1236" s="111" t="str">
        <f>IF(AND(G1236&lt;&gt;"",ISERROR(VLOOKUP(G1236,Keszlet!$C$5:$H$200,6,FALSE))=FALSE),VLOOKUP(G1236,Keszlet!$C$5:$H$200,6,FALSE),"")</f>
        <v/>
      </c>
      <c r="K1236" s="106" t="str">
        <f>IF(AND(G1236&lt;&gt;"",ISERROR(VLOOKUP(G1236,Keszlet!$C$5:$G$200,5,FALSE))=FALSE),VLOOKUP(G1236,Keszlet!$C$5:$G$200,5,FALSE),"")</f>
        <v/>
      </c>
      <c r="L1236" s="106" t="str">
        <f t="shared" si="53"/>
        <v/>
      </c>
      <c r="M1236" s="115" t="str">
        <f>IF(ISERROR(VLOOKUP(G1236,Keszlet!$C$5:$I$200,7,FALSE))=TRUE,"",IF(AND(J1235&lt;&gt;"",J1237=""),VLOOKUP(G1236,Keszlet!$C$5:$I$200,7,FALSE),""))</f>
        <v/>
      </c>
      <c r="Q1236" s="1">
        <f>VLOOKUP(G1236,Keszlet!$C$5:$E$205,3,FALSE)</f>
        <v>0</v>
      </c>
      <c r="T1236" s="1" t="str">
        <f t="shared" si="54"/>
        <v/>
      </c>
      <c r="U1236" s="1">
        <f t="shared" si="55"/>
        <v>0</v>
      </c>
      <c r="W1236" s="6">
        <f t="shared" si="58"/>
        <v>0</v>
      </c>
      <c r="X1236" s="6">
        <f t="shared" si="50"/>
        <v>0</v>
      </c>
      <c r="Y1236" s="1">
        <f t="shared" si="56"/>
        <v>1</v>
      </c>
      <c r="Z1236" s="1">
        <f>IF(COUNTIF($Y$6:Y1236,Y1236)=1,Y1236,Y1236+COUNTIF($Y$5:Y1235,Y1236))</f>
        <v>231</v>
      </c>
      <c r="AD1236" s="1" t="str">
        <f t="shared" si="57"/>
        <v/>
      </c>
      <c r="BA1236" s="1">
        <f>IF(W1236&lt;=Leltar_iv!$Y$1,I1236,0)</f>
        <v>0</v>
      </c>
    </row>
    <row r="1237" spans="1:53" s="1" customFormat="1" x14ac:dyDescent="0.25">
      <c r="A1237" s="18">
        <f>IF(COUNTIF($Y$6:Y1237,Y1237)=1,Y1237,Y1237+COUNTIF($Y$5:Y1236,Y1237))</f>
        <v>232</v>
      </c>
      <c r="B1237" s="1">
        <f>IF(AND(Kisero_iv!$N$2=C1237,Kisero_iv!$K$5=$B$3,SUM(I1237:L1241)&lt;&gt;0,$B$4=YEAR(W1237)),B1236+1,0)</f>
        <v>0</v>
      </c>
      <c r="C1237" s="1">
        <f t="shared" si="51"/>
        <v>232</v>
      </c>
      <c r="D1237" s="102" t="str">
        <f t="shared" si="52"/>
        <v/>
      </c>
      <c r="E1237" s="44"/>
      <c r="F1237" s="45"/>
      <c r="G1237" s="45"/>
      <c r="H1237" s="45"/>
      <c r="I1237" s="46"/>
      <c r="J1237" s="111" t="str">
        <f>IF(AND(G1237&lt;&gt;"",ISERROR(VLOOKUP(G1237,Keszlet!$C$5:$H$200,6,FALSE))=FALSE),VLOOKUP(G1237,Keszlet!$C$5:$H$200,6,FALSE),"")</f>
        <v/>
      </c>
      <c r="K1237" s="106" t="str">
        <f>IF(AND(G1237&lt;&gt;"",ISERROR(VLOOKUP(G1237,Keszlet!$C$5:$G$200,5,FALSE))=FALSE),VLOOKUP(G1237,Keszlet!$C$5:$G$200,5,FALSE),"")</f>
        <v/>
      </c>
      <c r="L1237" s="106" t="str">
        <f t="shared" si="53"/>
        <v/>
      </c>
      <c r="M1237" s="115" t="str">
        <f>IF(ISERROR(VLOOKUP(G1237,Keszlet!$C$5:$I$200,7,FALSE))=TRUE,"",IF(AND(J1236&lt;&gt;"",J1238=""),VLOOKUP(G1237,Keszlet!$C$5:$I$200,7,FALSE),""))</f>
        <v/>
      </c>
      <c r="Q1237" s="1">
        <f>VLOOKUP(G1237,Keszlet!$C$5:$E$205,3,FALSE)</f>
        <v>0</v>
      </c>
      <c r="T1237" s="1" t="str">
        <f t="shared" si="54"/>
        <v/>
      </c>
      <c r="U1237" s="1">
        <f t="shared" si="55"/>
        <v>0</v>
      </c>
      <c r="W1237" s="6">
        <f t="shared" si="58"/>
        <v>0</v>
      </c>
      <c r="X1237" s="6">
        <f t="shared" si="50"/>
        <v>0</v>
      </c>
      <c r="Y1237" s="1">
        <f t="shared" si="56"/>
        <v>1</v>
      </c>
      <c r="Z1237" s="1">
        <f>IF(COUNTIF($Y$6:Y1237,Y1237)=1,Y1237,Y1237+COUNTIF($Y$5:Y1236,Y1237))</f>
        <v>232</v>
      </c>
      <c r="AD1237" s="1" t="str">
        <f t="shared" si="57"/>
        <v/>
      </c>
      <c r="BA1237" s="1">
        <f>IF(W1237&lt;=Leltar_iv!$Y$1,I1237,0)</f>
        <v>0</v>
      </c>
    </row>
    <row r="1238" spans="1:53" s="1" customFormat="1" x14ac:dyDescent="0.25">
      <c r="A1238" s="18">
        <f>IF(COUNTIF($Y$6:Y1238,Y1238)=1,Y1238,Y1238+COUNTIF($Y$5:Y1237,Y1238))</f>
        <v>233</v>
      </c>
      <c r="B1238" s="1">
        <f>IF(AND(Kisero_iv!$N$2=C1238,Kisero_iv!$K$5=$B$3,SUM(I1238:L1242)&lt;&gt;0,$B$4=YEAR(W1238)),B1237+1,0)</f>
        <v>0</v>
      </c>
      <c r="C1238" s="1">
        <f t="shared" si="51"/>
        <v>233</v>
      </c>
      <c r="D1238" s="102" t="str">
        <f t="shared" si="52"/>
        <v/>
      </c>
      <c r="E1238" s="44"/>
      <c r="F1238" s="45"/>
      <c r="G1238" s="45"/>
      <c r="H1238" s="45"/>
      <c r="I1238" s="46"/>
      <c r="J1238" s="111" t="str">
        <f>IF(AND(G1238&lt;&gt;"",ISERROR(VLOOKUP(G1238,Keszlet!$C$5:$H$200,6,FALSE))=FALSE),VLOOKUP(G1238,Keszlet!$C$5:$H$200,6,FALSE),"")</f>
        <v/>
      </c>
      <c r="K1238" s="106" t="str">
        <f>IF(AND(G1238&lt;&gt;"",ISERROR(VLOOKUP(G1238,Keszlet!$C$5:$G$200,5,FALSE))=FALSE),VLOOKUP(G1238,Keszlet!$C$5:$G$200,5,FALSE),"")</f>
        <v/>
      </c>
      <c r="L1238" s="106" t="str">
        <f t="shared" si="53"/>
        <v/>
      </c>
      <c r="M1238" s="115" t="str">
        <f>IF(ISERROR(VLOOKUP(G1238,Keszlet!$C$5:$I$200,7,FALSE))=TRUE,"",IF(AND(J1237&lt;&gt;"",J1239=""),VLOOKUP(G1238,Keszlet!$C$5:$I$200,7,FALSE),""))</f>
        <v/>
      </c>
      <c r="Q1238" s="1">
        <f>VLOOKUP(G1238,Keszlet!$C$5:$E$205,3,FALSE)</f>
        <v>0</v>
      </c>
      <c r="T1238" s="1" t="str">
        <f t="shared" si="54"/>
        <v/>
      </c>
      <c r="U1238" s="1">
        <f t="shared" si="55"/>
        <v>0</v>
      </c>
      <c r="W1238" s="6">
        <f t="shared" si="58"/>
        <v>0</v>
      </c>
      <c r="X1238" s="6">
        <f t="shared" si="50"/>
        <v>0</v>
      </c>
      <c r="Y1238" s="1">
        <f t="shared" si="56"/>
        <v>1</v>
      </c>
      <c r="Z1238" s="1">
        <f>IF(COUNTIF($Y$6:Y1238,Y1238)=1,Y1238,Y1238+COUNTIF($Y$5:Y1237,Y1238))</f>
        <v>233</v>
      </c>
      <c r="AD1238" s="1" t="str">
        <f t="shared" si="57"/>
        <v/>
      </c>
      <c r="BA1238" s="1">
        <f>IF(W1238&lt;=Leltar_iv!$Y$1,I1238,0)</f>
        <v>0</v>
      </c>
    </row>
    <row r="1239" spans="1:53" s="1" customFormat="1" x14ac:dyDescent="0.25">
      <c r="A1239" s="18">
        <f>IF(COUNTIF($Y$6:Y1239,Y1239)=1,Y1239,Y1239+COUNTIF($Y$5:Y1238,Y1239))</f>
        <v>234</v>
      </c>
      <c r="B1239" s="1">
        <f>IF(AND(Kisero_iv!$N$2=C1239,Kisero_iv!$K$5=$B$3,SUM(I1239:L1243)&lt;&gt;0,$B$4=YEAR(W1239)),B1238+1,0)</f>
        <v>0</v>
      </c>
      <c r="C1239" s="1">
        <f t="shared" si="51"/>
        <v>234</v>
      </c>
      <c r="D1239" s="102" t="str">
        <f t="shared" si="52"/>
        <v/>
      </c>
      <c r="E1239" s="44"/>
      <c r="F1239" s="45"/>
      <c r="G1239" s="45"/>
      <c r="H1239" s="45"/>
      <c r="I1239" s="46"/>
      <c r="J1239" s="111" t="str">
        <f>IF(AND(G1239&lt;&gt;"",ISERROR(VLOOKUP(G1239,Keszlet!$C$5:$H$200,6,FALSE))=FALSE),VLOOKUP(G1239,Keszlet!$C$5:$H$200,6,FALSE),"")</f>
        <v/>
      </c>
      <c r="K1239" s="106" t="str">
        <f>IF(AND(G1239&lt;&gt;"",ISERROR(VLOOKUP(G1239,Keszlet!$C$5:$G$200,5,FALSE))=FALSE),VLOOKUP(G1239,Keszlet!$C$5:$G$200,5,FALSE),"")</f>
        <v/>
      </c>
      <c r="L1239" s="106" t="str">
        <f t="shared" si="53"/>
        <v/>
      </c>
      <c r="M1239" s="115" t="str">
        <f>IF(ISERROR(VLOOKUP(G1239,Keszlet!$C$5:$I$200,7,FALSE))=TRUE,"",IF(AND(J1238&lt;&gt;"",J1240=""),VLOOKUP(G1239,Keszlet!$C$5:$I$200,7,FALSE),""))</f>
        <v/>
      </c>
      <c r="Q1239" s="1">
        <f>VLOOKUP(G1239,Keszlet!$C$5:$E$205,3,FALSE)</f>
        <v>0</v>
      </c>
      <c r="T1239" s="1" t="str">
        <f t="shared" si="54"/>
        <v/>
      </c>
      <c r="U1239" s="1">
        <f t="shared" si="55"/>
        <v>0</v>
      </c>
      <c r="W1239" s="6">
        <f t="shared" si="58"/>
        <v>0</v>
      </c>
      <c r="X1239" s="6">
        <f t="shared" si="50"/>
        <v>0</v>
      </c>
      <c r="Y1239" s="1">
        <f t="shared" si="56"/>
        <v>1</v>
      </c>
      <c r="Z1239" s="1">
        <f>IF(COUNTIF($Y$6:Y1239,Y1239)=1,Y1239,Y1239+COUNTIF($Y$5:Y1238,Y1239))</f>
        <v>234</v>
      </c>
      <c r="AD1239" s="1" t="str">
        <f t="shared" si="57"/>
        <v/>
      </c>
      <c r="BA1239" s="1">
        <f>IF(W1239&lt;=Leltar_iv!$Y$1,I1239,0)</f>
        <v>0</v>
      </c>
    </row>
    <row r="1240" spans="1:53" s="1" customFormat="1" x14ac:dyDescent="0.25">
      <c r="A1240" s="18">
        <f>IF(COUNTIF($Y$6:Y1240,Y1240)=1,Y1240,Y1240+COUNTIF($Y$5:Y1239,Y1240))</f>
        <v>235</v>
      </c>
      <c r="B1240" s="1">
        <f>IF(AND(Kisero_iv!$N$2=C1240,Kisero_iv!$K$5=$B$3,SUM(I1240:L1244)&lt;&gt;0,$B$4=YEAR(W1240)),B1239+1,0)</f>
        <v>0</v>
      </c>
      <c r="C1240" s="1">
        <f t="shared" si="51"/>
        <v>235</v>
      </c>
      <c r="D1240" s="102" t="str">
        <f t="shared" si="52"/>
        <v/>
      </c>
      <c r="E1240" s="44"/>
      <c r="F1240" s="45"/>
      <c r="G1240" s="45"/>
      <c r="H1240" s="45"/>
      <c r="I1240" s="46"/>
      <c r="J1240" s="111" t="str">
        <f>IF(AND(G1240&lt;&gt;"",ISERROR(VLOOKUP(G1240,Keszlet!$C$5:$H$200,6,FALSE))=FALSE),VLOOKUP(G1240,Keszlet!$C$5:$H$200,6,FALSE),"")</f>
        <v/>
      </c>
      <c r="K1240" s="106" t="str">
        <f>IF(AND(G1240&lt;&gt;"",ISERROR(VLOOKUP(G1240,Keszlet!$C$5:$G$200,5,FALSE))=FALSE),VLOOKUP(G1240,Keszlet!$C$5:$G$200,5,FALSE),"")</f>
        <v/>
      </c>
      <c r="L1240" s="106" t="str">
        <f t="shared" si="53"/>
        <v/>
      </c>
      <c r="M1240" s="115" t="str">
        <f>IF(ISERROR(VLOOKUP(G1240,Keszlet!$C$5:$I$200,7,FALSE))=TRUE,"",IF(AND(J1239&lt;&gt;"",J1241=""),VLOOKUP(G1240,Keszlet!$C$5:$I$200,7,FALSE),""))</f>
        <v/>
      </c>
      <c r="Q1240" s="1">
        <f>VLOOKUP(G1240,Keszlet!$C$5:$E$205,3,FALSE)</f>
        <v>0</v>
      </c>
      <c r="T1240" s="1" t="str">
        <f t="shared" si="54"/>
        <v/>
      </c>
      <c r="U1240" s="1">
        <f t="shared" si="55"/>
        <v>0</v>
      </c>
      <c r="W1240" s="6">
        <f t="shared" si="58"/>
        <v>0</v>
      </c>
      <c r="X1240" s="6">
        <f t="shared" si="50"/>
        <v>0</v>
      </c>
      <c r="Y1240" s="1">
        <f t="shared" si="56"/>
        <v>1</v>
      </c>
      <c r="Z1240" s="1">
        <f>IF(COUNTIF($Y$6:Y1240,Y1240)=1,Y1240,Y1240+COUNTIF($Y$5:Y1239,Y1240))</f>
        <v>235</v>
      </c>
      <c r="AD1240" s="1" t="str">
        <f t="shared" si="57"/>
        <v/>
      </c>
      <c r="BA1240" s="1">
        <f>IF(W1240&lt;=Leltar_iv!$Y$1,I1240,0)</f>
        <v>0</v>
      </c>
    </row>
    <row r="1241" spans="1:53" s="1" customFormat="1" x14ac:dyDescent="0.25">
      <c r="A1241" s="18">
        <f>IF(COUNTIF($Y$6:Y1241,Y1241)=1,Y1241,Y1241+COUNTIF($Y$5:Y1240,Y1241))</f>
        <v>236</v>
      </c>
      <c r="B1241" s="1">
        <f>IF(AND(Kisero_iv!$N$2=C1241,Kisero_iv!$K$5=$B$3,SUM(I1241:L1245)&lt;&gt;0,$B$4=YEAR(W1241)),B1240+1,0)</f>
        <v>0</v>
      </c>
      <c r="C1241" s="1">
        <f t="shared" si="51"/>
        <v>236</v>
      </c>
      <c r="D1241" s="102" t="str">
        <f t="shared" si="52"/>
        <v/>
      </c>
      <c r="E1241" s="44"/>
      <c r="F1241" s="45"/>
      <c r="G1241" s="45"/>
      <c r="H1241" s="45"/>
      <c r="I1241" s="46"/>
      <c r="J1241" s="111" t="str">
        <f>IF(AND(G1241&lt;&gt;"",ISERROR(VLOOKUP(G1241,Keszlet!$C$5:$H$200,6,FALSE))=FALSE),VLOOKUP(G1241,Keszlet!$C$5:$H$200,6,FALSE),"")</f>
        <v/>
      </c>
      <c r="K1241" s="106" t="str">
        <f>IF(AND(G1241&lt;&gt;"",ISERROR(VLOOKUP(G1241,Keszlet!$C$5:$G$200,5,FALSE))=FALSE),VLOOKUP(G1241,Keszlet!$C$5:$G$200,5,FALSE),"")</f>
        <v/>
      </c>
      <c r="L1241" s="106" t="str">
        <f t="shared" si="53"/>
        <v/>
      </c>
      <c r="M1241" s="115" t="str">
        <f>IF(ISERROR(VLOOKUP(G1241,Keszlet!$C$5:$I$200,7,FALSE))=TRUE,"",IF(AND(J1240&lt;&gt;"",J1242=""),VLOOKUP(G1241,Keszlet!$C$5:$I$200,7,FALSE),""))</f>
        <v/>
      </c>
      <c r="Q1241" s="1">
        <f>VLOOKUP(G1241,Keszlet!$C$5:$E$205,3,FALSE)</f>
        <v>0</v>
      </c>
      <c r="T1241" s="1" t="str">
        <f t="shared" si="54"/>
        <v/>
      </c>
      <c r="U1241" s="1">
        <f t="shared" si="55"/>
        <v>0</v>
      </c>
      <c r="W1241" s="6">
        <f t="shared" si="58"/>
        <v>0</v>
      </c>
      <c r="X1241" s="6">
        <f t="shared" si="50"/>
        <v>0</v>
      </c>
      <c r="Y1241" s="1">
        <f t="shared" si="56"/>
        <v>1</v>
      </c>
      <c r="Z1241" s="1">
        <f>IF(COUNTIF($Y$6:Y1241,Y1241)=1,Y1241,Y1241+COUNTIF($Y$5:Y1240,Y1241))</f>
        <v>236</v>
      </c>
      <c r="AD1241" s="1" t="str">
        <f t="shared" si="57"/>
        <v/>
      </c>
      <c r="BA1241" s="1">
        <f>IF(W1241&lt;=Leltar_iv!$Y$1,I1241,0)</f>
        <v>0</v>
      </c>
    </row>
    <row r="1242" spans="1:53" s="1" customFormat="1" x14ac:dyDescent="0.25">
      <c r="A1242" s="18">
        <f>IF(COUNTIF($Y$6:Y1242,Y1242)=1,Y1242,Y1242+COUNTIF($Y$5:Y1241,Y1242))</f>
        <v>237</v>
      </c>
      <c r="B1242" s="1">
        <f>IF(AND(Kisero_iv!$N$2=C1242,Kisero_iv!$K$5=$B$3,SUM(I1242:L1246)&lt;&gt;0,$B$4=YEAR(W1242)),B1241+1,0)</f>
        <v>0</v>
      </c>
      <c r="C1242" s="1">
        <f t="shared" si="51"/>
        <v>237</v>
      </c>
      <c r="D1242" s="102" t="str">
        <f t="shared" si="52"/>
        <v/>
      </c>
      <c r="E1242" s="44"/>
      <c r="F1242" s="45"/>
      <c r="G1242" s="45"/>
      <c r="H1242" s="45"/>
      <c r="I1242" s="46"/>
      <c r="J1242" s="111" t="str">
        <f>IF(AND(G1242&lt;&gt;"",ISERROR(VLOOKUP(G1242,Keszlet!$C$5:$H$200,6,FALSE))=FALSE),VLOOKUP(G1242,Keszlet!$C$5:$H$200,6,FALSE),"")</f>
        <v/>
      </c>
      <c r="K1242" s="106" t="str">
        <f>IF(AND(G1242&lt;&gt;"",ISERROR(VLOOKUP(G1242,Keszlet!$C$5:$G$200,5,FALSE))=FALSE),VLOOKUP(G1242,Keszlet!$C$5:$G$200,5,FALSE),"")</f>
        <v/>
      </c>
      <c r="L1242" s="106" t="str">
        <f t="shared" si="53"/>
        <v/>
      </c>
      <c r="M1242" s="115" t="str">
        <f>IF(ISERROR(VLOOKUP(G1242,Keszlet!$C$5:$I$200,7,FALSE))=TRUE,"",IF(AND(J1241&lt;&gt;"",J1243=""),VLOOKUP(G1242,Keszlet!$C$5:$I$200,7,FALSE),""))</f>
        <v/>
      </c>
      <c r="Q1242" s="1">
        <f>VLOOKUP(G1242,Keszlet!$C$5:$E$205,3,FALSE)</f>
        <v>0</v>
      </c>
      <c r="T1242" s="1" t="str">
        <f t="shared" si="54"/>
        <v/>
      </c>
      <c r="U1242" s="1">
        <f t="shared" si="55"/>
        <v>0</v>
      </c>
      <c r="W1242" s="6">
        <f t="shared" si="58"/>
        <v>0</v>
      </c>
      <c r="X1242" s="6">
        <f t="shared" si="50"/>
        <v>0</v>
      </c>
      <c r="Y1242" s="1">
        <f t="shared" si="56"/>
        <v>1</v>
      </c>
      <c r="Z1242" s="1">
        <f>IF(COUNTIF($Y$6:Y1242,Y1242)=1,Y1242,Y1242+COUNTIF($Y$5:Y1241,Y1242))</f>
        <v>237</v>
      </c>
      <c r="AD1242" s="1" t="str">
        <f t="shared" si="57"/>
        <v/>
      </c>
      <c r="BA1242" s="1">
        <f>IF(W1242&lt;=Leltar_iv!$Y$1,I1242,0)</f>
        <v>0</v>
      </c>
    </row>
    <row r="1243" spans="1:53" s="1" customFormat="1" x14ac:dyDescent="0.25">
      <c r="A1243" s="18">
        <f>IF(COUNTIF($Y$6:Y1243,Y1243)=1,Y1243,Y1243+COUNTIF($Y$5:Y1242,Y1243))</f>
        <v>238</v>
      </c>
      <c r="B1243" s="1">
        <f>IF(AND(Kisero_iv!$N$2=C1243,Kisero_iv!$K$5=$B$3,SUM(I1243:L1247)&lt;&gt;0,$B$4=YEAR(W1243)),B1242+1,0)</f>
        <v>0</v>
      </c>
      <c r="C1243" s="1">
        <f t="shared" si="51"/>
        <v>238</v>
      </c>
      <c r="D1243" s="102" t="str">
        <f t="shared" si="52"/>
        <v/>
      </c>
      <c r="E1243" s="44"/>
      <c r="F1243" s="45"/>
      <c r="G1243" s="45"/>
      <c r="H1243" s="45"/>
      <c r="I1243" s="46"/>
      <c r="J1243" s="111" t="str">
        <f>IF(AND(G1243&lt;&gt;"",ISERROR(VLOOKUP(G1243,Keszlet!$C$5:$H$200,6,FALSE))=FALSE),VLOOKUP(G1243,Keszlet!$C$5:$H$200,6,FALSE),"")</f>
        <v/>
      </c>
      <c r="K1243" s="106" t="str">
        <f>IF(AND(G1243&lt;&gt;"",ISERROR(VLOOKUP(G1243,Keszlet!$C$5:$G$200,5,FALSE))=FALSE),VLOOKUP(G1243,Keszlet!$C$5:$G$200,5,FALSE),"")</f>
        <v/>
      </c>
      <c r="L1243" s="106" t="str">
        <f t="shared" si="53"/>
        <v/>
      </c>
      <c r="M1243" s="115" t="str">
        <f>IF(ISERROR(VLOOKUP(G1243,Keszlet!$C$5:$I$200,7,FALSE))=TRUE,"",IF(AND(J1242&lt;&gt;"",J1244=""),VLOOKUP(G1243,Keszlet!$C$5:$I$200,7,FALSE),""))</f>
        <v/>
      </c>
      <c r="Q1243" s="1">
        <f>VLOOKUP(G1243,Keszlet!$C$5:$E$205,3,FALSE)</f>
        <v>0</v>
      </c>
      <c r="T1243" s="1" t="str">
        <f t="shared" si="54"/>
        <v/>
      </c>
      <c r="U1243" s="1">
        <f t="shared" si="55"/>
        <v>0</v>
      </c>
      <c r="W1243" s="6">
        <f t="shared" si="58"/>
        <v>0</v>
      </c>
      <c r="X1243" s="6">
        <f t="shared" si="50"/>
        <v>0</v>
      </c>
      <c r="Y1243" s="1">
        <f t="shared" si="56"/>
        <v>1</v>
      </c>
      <c r="Z1243" s="1">
        <f>IF(COUNTIF($Y$6:Y1243,Y1243)=1,Y1243,Y1243+COUNTIF($Y$5:Y1242,Y1243))</f>
        <v>238</v>
      </c>
      <c r="AD1243" s="1" t="str">
        <f t="shared" si="57"/>
        <v/>
      </c>
      <c r="BA1243" s="1">
        <f>IF(W1243&lt;=Leltar_iv!$Y$1,I1243,0)</f>
        <v>0</v>
      </c>
    </row>
    <row r="1244" spans="1:53" s="1" customFormat="1" x14ac:dyDescent="0.25">
      <c r="A1244" s="18">
        <f>IF(COUNTIF($Y$6:Y1244,Y1244)=1,Y1244,Y1244+COUNTIF($Y$5:Y1243,Y1244))</f>
        <v>239</v>
      </c>
      <c r="B1244" s="1">
        <f>IF(AND(Kisero_iv!$N$2=C1244,Kisero_iv!$K$5=$B$3,SUM(I1244:L1248)&lt;&gt;0,$B$4=YEAR(W1244)),B1243+1,0)</f>
        <v>0</v>
      </c>
      <c r="C1244" s="1">
        <f t="shared" si="51"/>
        <v>239</v>
      </c>
      <c r="D1244" s="102" t="str">
        <f t="shared" si="52"/>
        <v/>
      </c>
      <c r="E1244" s="44"/>
      <c r="F1244" s="45"/>
      <c r="G1244" s="45"/>
      <c r="H1244" s="45"/>
      <c r="I1244" s="46"/>
      <c r="J1244" s="111" t="str">
        <f>IF(AND(G1244&lt;&gt;"",ISERROR(VLOOKUP(G1244,Keszlet!$C$5:$H$200,6,FALSE))=FALSE),VLOOKUP(G1244,Keszlet!$C$5:$H$200,6,FALSE),"")</f>
        <v/>
      </c>
      <c r="K1244" s="106" t="str">
        <f>IF(AND(G1244&lt;&gt;"",ISERROR(VLOOKUP(G1244,Keszlet!$C$5:$G$200,5,FALSE))=FALSE),VLOOKUP(G1244,Keszlet!$C$5:$G$200,5,FALSE),"")</f>
        <v/>
      </c>
      <c r="L1244" s="106" t="str">
        <f t="shared" si="53"/>
        <v/>
      </c>
      <c r="M1244" s="115" t="str">
        <f>IF(ISERROR(VLOOKUP(G1244,Keszlet!$C$5:$I$200,7,FALSE))=TRUE,"",IF(AND(J1243&lt;&gt;"",J1245=""),VLOOKUP(G1244,Keszlet!$C$5:$I$200,7,FALSE),""))</f>
        <v/>
      </c>
      <c r="Q1244" s="1">
        <f>VLOOKUP(G1244,Keszlet!$C$5:$E$205,3,FALSE)</f>
        <v>0</v>
      </c>
      <c r="T1244" s="1" t="str">
        <f t="shared" si="54"/>
        <v/>
      </c>
      <c r="U1244" s="1">
        <f t="shared" si="55"/>
        <v>0</v>
      </c>
      <c r="W1244" s="6">
        <f t="shared" si="58"/>
        <v>0</v>
      </c>
      <c r="X1244" s="6">
        <f t="shared" si="50"/>
        <v>0</v>
      </c>
      <c r="Y1244" s="1">
        <f t="shared" si="56"/>
        <v>1</v>
      </c>
      <c r="Z1244" s="1">
        <f>IF(COUNTIF($Y$6:Y1244,Y1244)=1,Y1244,Y1244+COUNTIF($Y$5:Y1243,Y1244))</f>
        <v>239</v>
      </c>
      <c r="AD1244" s="1" t="str">
        <f t="shared" si="57"/>
        <v/>
      </c>
      <c r="BA1244" s="1">
        <f>IF(W1244&lt;=Leltar_iv!$Y$1,I1244,0)</f>
        <v>0</v>
      </c>
    </row>
    <row r="1245" spans="1:53" s="1" customFormat="1" x14ac:dyDescent="0.25">
      <c r="A1245" s="18">
        <f>IF(COUNTIF($Y$6:Y1245,Y1245)=1,Y1245,Y1245+COUNTIF($Y$5:Y1244,Y1245))</f>
        <v>240</v>
      </c>
      <c r="B1245" s="1">
        <f>IF(AND(Kisero_iv!$N$2=C1245,Kisero_iv!$K$5=$B$3,SUM(I1245:L1249)&lt;&gt;0,$B$4=YEAR(W1245)),B1244+1,0)</f>
        <v>0</v>
      </c>
      <c r="C1245" s="1">
        <f t="shared" si="51"/>
        <v>240</v>
      </c>
      <c r="D1245" s="102" t="str">
        <f t="shared" si="52"/>
        <v/>
      </c>
      <c r="E1245" s="44"/>
      <c r="F1245" s="45"/>
      <c r="G1245" s="45"/>
      <c r="H1245" s="45"/>
      <c r="I1245" s="46"/>
      <c r="J1245" s="111" t="str">
        <f>IF(AND(G1245&lt;&gt;"",ISERROR(VLOOKUP(G1245,Keszlet!$C$5:$H$200,6,FALSE))=FALSE),VLOOKUP(G1245,Keszlet!$C$5:$H$200,6,FALSE),"")</f>
        <v/>
      </c>
      <c r="K1245" s="106" t="str">
        <f>IF(AND(G1245&lt;&gt;"",ISERROR(VLOOKUP(G1245,Keszlet!$C$5:$G$200,5,FALSE))=FALSE),VLOOKUP(G1245,Keszlet!$C$5:$G$200,5,FALSE),"")</f>
        <v/>
      </c>
      <c r="L1245" s="106" t="str">
        <f t="shared" si="53"/>
        <v/>
      </c>
      <c r="M1245" s="115" t="str">
        <f>IF(ISERROR(VLOOKUP(G1245,Keszlet!$C$5:$I$200,7,FALSE))=TRUE,"",IF(AND(J1244&lt;&gt;"",J1246=""),VLOOKUP(G1245,Keszlet!$C$5:$I$200,7,FALSE),""))</f>
        <v/>
      </c>
      <c r="Q1245" s="1">
        <f>VLOOKUP(G1245,Keszlet!$C$5:$E$205,3,FALSE)</f>
        <v>0</v>
      </c>
      <c r="T1245" s="1" t="str">
        <f t="shared" si="54"/>
        <v/>
      </c>
      <c r="U1245" s="1">
        <f t="shared" si="55"/>
        <v>0</v>
      </c>
      <c r="W1245" s="6">
        <f t="shared" si="58"/>
        <v>0</v>
      </c>
      <c r="X1245" s="6">
        <f t="shared" si="50"/>
        <v>0</v>
      </c>
      <c r="Y1245" s="1">
        <f t="shared" si="56"/>
        <v>1</v>
      </c>
      <c r="Z1245" s="1">
        <f>IF(COUNTIF($Y$6:Y1245,Y1245)=1,Y1245,Y1245+COUNTIF($Y$5:Y1244,Y1245))</f>
        <v>240</v>
      </c>
      <c r="AD1245" s="1" t="str">
        <f t="shared" si="57"/>
        <v/>
      </c>
      <c r="BA1245" s="1">
        <f>IF(W1245&lt;=Leltar_iv!$Y$1,I1245,0)</f>
        <v>0</v>
      </c>
    </row>
    <row r="1246" spans="1:53" s="1" customFormat="1" x14ac:dyDescent="0.25">
      <c r="A1246" s="18">
        <f>IF(COUNTIF($Y$6:Y1246,Y1246)=1,Y1246,Y1246+COUNTIF($Y$5:Y1245,Y1246))</f>
        <v>241</v>
      </c>
      <c r="B1246" s="1">
        <f>IF(AND(Kisero_iv!$N$2=C1246,Kisero_iv!$K$5=$B$3,SUM(I1246:L1250)&lt;&gt;0,$B$4=YEAR(W1246)),B1245+1,0)</f>
        <v>0</v>
      </c>
      <c r="C1246" s="1">
        <f t="shared" si="51"/>
        <v>241</v>
      </c>
      <c r="D1246" s="102" t="str">
        <f t="shared" si="52"/>
        <v/>
      </c>
      <c r="E1246" s="44"/>
      <c r="F1246" s="45"/>
      <c r="G1246" s="45"/>
      <c r="H1246" s="45"/>
      <c r="I1246" s="46"/>
      <c r="J1246" s="111" t="str">
        <f>IF(AND(G1246&lt;&gt;"",ISERROR(VLOOKUP(G1246,Keszlet!$C$5:$H$200,6,FALSE))=FALSE),VLOOKUP(G1246,Keszlet!$C$5:$H$200,6,FALSE),"")</f>
        <v/>
      </c>
      <c r="K1246" s="106" t="str">
        <f>IF(AND(G1246&lt;&gt;"",ISERROR(VLOOKUP(G1246,Keszlet!$C$5:$G$200,5,FALSE))=FALSE),VLOOKUP(G1246,Keszlet!$C$5:$G$200,5,FALSE),"")</f>
        <v/>
      </c>
      <c r="L1246" s="106" t="str">
        <f t="shared" si="53"/>
        <v/>
      </c>
      <c r="M1246" s="115" t="str">
        <f>IF(ISERROR(VLOOKUP(G1246,Keszlet!$C$5:$I$200,7,FALSE))=TRUE,"",IF(AND(J1245&lt;&gt;"",J1247=""),VLOOKUP(G1246,Keszlet!$C$5:$I$200,7,FALSE),""))</f>
        <v/>
      </c>
      <c r="Q1246" s="1">
        <f>VLOOKUP(G1246,Keszlet!$C$5:$E$205,3,FALSE)</f>
        <v>0</v>
      </c>
      <c r="T1246" s="1" t="str">
        <f t="shared" si="54"/>
        <v/>
      </c>
      <c r="U1246" s="1">
        <f t="shared" si="55"/>
        <v>0</v>
      </c>
      <c r="W1246" s="6">
        <f t="shared" si="58"/>
        <v>0</v>
      </c>
      <c r="X1246" s="6">
        <f t="shared" si="50"/>
        <v>0</v>
      </c>
      <c r="Y1246" s="1">
        <f t="shared" si="56"/>
        <v>1</v>
      </c>
      <c r="Z1246" s="1">
        <f>IF(COUNTIF($Y$6:Y1246,Y1246)=1,Y1246,Y1246+COUNTIF($Y$5:Y1245,Y1246))</f>
        <v>241</v>
      </c>
      <c r="AD1246" s="1" t="str">
        <f t="shared" si="57"/>
        <v/>
      </c>
      <c r="BA1246" s="1">
        <f>IF(W1246&lt;=Leltar_iv!$Y$1,I1246,0)</f>
        <v>0</v>
      </c>
    </row>
    <row r="1247" spans="1:53" s="1" customFormat="1" x14ac:dyDescent="0.25">
      <c r="A1247" s="18">
        <f>IF(COUNTIF($Y$6:Y1247,Y1247)=1,Y1247,Y1247+COUNTIF($Y$5:Y1246,Y1247))</f>
        <v>242</v>
      </c>
      <c r="B1247" s="1">
        <f>IF(AND(Kisero_iv!$N$2=C1247,Kisero_iv!$K$5=$B$3,SUM(I1247:L1251)&lt;&gt;0,$B$4=YEAR(W1247)),B1246+1,0)</f>
        <v>0</v>
      </c>
      <c r="C1247" s="1">
        <f t="shared" si="51"/>
        <v>242</v>
      </c>
      <c r="D1247" s="102" t="str">
        <f t="shared" si="52"/>
        <v/>
      </c>
      <c r="E1247" s="44"/>
      <c r="F1247" s="45"/>
      <c r="G1247" s="45"/>
      <c r="H1247" s="45"/>
      <c r="I1247" s="46"/>
      <c r="J1247" s="111" t="str">
        <f>IF(AND(G1247&lt;&gt;"",ISERROR(VLOOKUP(G1247,Keszlet!$C$5:$H$200,6,FALSE))=FALSE),VLOOKUP(G1247,Keszlet!$C$5:$H$200,6,FALSE),"")</f>
        <v/>
      </c>
      <c r="K1247" s="106" t="str">
        <f>IF(AND(G1247&lt;&gt;"",ISERROR(VLOOKUP(G1247,Keszlet!$C$5:$G$200,5,FALSE))=FALSE),VLOOKUP(G1247,Keszlet!$C$5:$G$200,5,FALSE),"")</f>
        <v/>
      </c>
      <c r="L1247" s="106" t="str">
        <f t="shared" si="53"/>
        <v/>
      </c>
      <c r="M1247" s="115" t="str">
        <f>IF(ISERROR(VLOOKUP(G1247,Keszlet!$C$5:$I$200,7,FALSE))=TRUE,"",IF(AND(J1246&lt;&gt;"",J1248=""),VLOOKUP(G1247,Keszlet!$C$5:$I$200,7,FALSE),""))</f>
        <v/>
      </c>
      <c r="Q1247" s="1">
        <f>VLOOKUP(G1247,Keszlet!$C$5:$E$205,3,FALSE)</f>
        <v>0</v>
      </c>
      <c r="T1247" s="1" t="str">
        <f t="shared" si="54"/>
        <v/>
      </c>
      <c r="U1247" s="1">
        <f t="shared" si="55"/>
        <v>0</v>
      </c>
      <c r="W1247" s="6">
        <f t="shared" si="58"/>
        <v>0</v>
      </c>
      <c r="X1247" s="6">
        <f t="shared" si="50"/>
        <v>0</v>
      </c>
      <c r="Y1247" s="1">
        <f t="shared" si="56"/>
        <v>1</v>
      </c>
      <c r="Z1247" s="1">
        <f>IF(COUNTIF($Y$6:Y1247,Y1247)=1,Y1247,Y1247+COUNTIF($Y$5:Y1246,Y1247))</f>
        <v>242</v>
      </c>
      <c r="AD1247" s="1" t="str">
        <f t="shared" si="57"/>
        <v/>
      </c>
      <c r="BA1247" s="1">
        <f>IF(W1247&lt;=Leltar_iv!$Y$1,I1247,0)</f>
        <v>0</v>
      </c>
    </row>
    <row r="1248" spans="1:53" s="1" customFormat="1" x14ac:dyDescent="0.25">
      <c r="A1248" s="18">
        <f>IF(COUNTIF($Y$6:Y1248,Y1248)=1,Y1248,Y1248+COUNTIF($Y$5:Y1247,Y1248))</f>
        <v>243</v>
      </c>
      <c r="B1248" s="1">
        <f>IF(AND(Kisero_iv!$N$2=C1248,Kisero_iv!$K$5=$B$3,SUM(I1248:L1252)&lt;&gt;0,$B$4=YEAR(W1248)),B1247+1,0)</f>
        <v>0</v>
      </c>
      <c r="C1248" s="1">
        <f t="shared" si="51"/>
        <v>243</v>
      </c>
      <c r="D1248" s="102" t="str">
        <f t="shared" si="52"/>
        <v/>
      </c>
      <c r="E1248" s="44"/>
      <c r="F1248" s="45"/>
      <c r="G1248" s="45"/>
      <c r="H1248" s="45"/>
      <c r="I1248" s="46"/>
      <c r="J1248" s="111" t="str">
        <f>IF(AND(G1248&lt;&gt;"",ISERROR(VLOOKUP(G1248,Keszlet!$C$5:$H$200,6,FALSE))=FALSE),VLOOKUP(G1248,Keszlet!$C$5:$H$200,6,FALSE),"")</f>
        <v/>
      </c>
      <c r="K1248" s="106" t="str">
        <f>IF(AND(G1248&lt;&gt;"",ISERROR(VLOOKUP(G1248,Keszlet!$C$5:$G$200,5,FALSE))=FALSE),VLOOKUP(G1248,Keszlet!$C$5:$G$200,5,FALSE),"")</f>
        <v/>
      </c>
      <c r="L1248" s="106" t="str">
        <f t="shared" si="53"/>
        <v/>
      </c>
      <c r="M1248" s="115" t="str">
        <f>IF(ISERROR(VLOOKUP(G1248,Keszlet!$C$5:$I$200,7,FALSE))=TRUE,"",IF(AND(J1247&lt;&gt;"",J1249=""),VLOOKUP(G1248,Keszlet!$C$5:$I$200,7,FALSE),""))</f>
        <v/>
      </c>
      <c r="Q1248" s="1">
        <f>VLOOKUP(G1248,Keszlet!$C$5:$E$205,3,FALSE)</f>
        <v>0</v>
      </c>
      <c r="T1248" s="1" t="str">
        <f t="shared" si="54"/>
        <v/>
      </c>
      <c r="U1248" s="1">
        <f t="shared" si="55"/>
        <v>0</v>
      </c>
      <c r="W1248" s="6">
        <f t="shared" si="58"/>
        <v>0</v>
      </c>
      <c r="X1248" s="6">
        <f t="shared" si="50"/>
        <v>0</v>
      </c>
      <c r="Y1248" s="1">
        <f t="shared" si="56"/>
        <v>1</v>
      </c>
      <c r="Z1248" s="1">
        <f>IF(COUNTIF($Y$6:Y1248,Y1248)=1,Y1248,Y1248+COUNTIF($Y$5:Y1247,Y1248))</f>
        <v>243</v>
      </c>
      <c r="AD1248" s="1" t="str">
        <f t="shared" si="57"/>
        <v/>
      </c>
      <c r="BA1248" s="1">
        <f>IF(W1248&lt;=Leltar_iv!$Y$1,I1248,0)</f>
        <v>0</v>
      </c>
    </row>
    <row r="1249" spans="1:53" s="1" customFormat="1" x14ac:dyDescent="0.25">
      <c r="A1249" s="18">
        <f>IF(COUNTIF($Y$6:Y1249,Y1249)=1,Y1249,Y1249+COUNTIF($Y$5:Y1248,Y1249))</f>
        <v>244</v>
      </c>
      <c r="B1249" s="1">
        <f>IF(AND(Kisero_iv!$N$2=C1249,Kisero_iv!$K$5=$B$3,SUM(I1249:L1253)&lt;&gt;0,$B$4=YEAR(W1249)),B1248+1,0)</f>
        <v>0</v>
      </c>
      <c r="C1249" s="1">
        <f t="shared" si="51"/>
        <v>244</v>
      </c>
      <c r="D1249" s="102" t="str">
        <f t="shared" si="52"/>
        <v/>
      </c>
      <c r="E1249" s="44"/>
      <c r="F1249" s="45"/>
      <c r="G1249" s="45"/>
      <c r="H1249" s="45"/>
      <c r="I1249" s="46"/>
      <c r="J1249" s="111" t="str">
        <f>IF(AND(G1249&lt;&gt;"",ISERROR(VLOOKUP(G1249,Keszlet!$C$5:$H$200,6,FALSE))=FALSE),VLOOKUP(G1249,Keszlet!$C$5:$H$200,6,FALSE),"")</f>
        <v/>
      </c>
      <c r="K1249" s="106" t="str">
        <f>IF(AND(G1249&lt;&gt;"",ISERROR(VLOOKUP(G1249,Keszlet!$C$5:$G$200,5,FALSE))=FALSE),VLOOKUP(G1249,Keszlet!$C$5:$G$200,5,FALSE),"")</f>
        <v/>
      </c>
      <c r="L1249" s="106" t="str">
        <f t="shared" si="53"/>
        <v/>
      </c>
      <c r="M1249" s="115" t="str">
        <f>IF(ISERROR(VLOOKUP(G1249,Keszlet!$C$5:$I$200,7,FALSE))=TRUE,"",IF(AND(J1248&lt;&gt;"",J1250=""),VLOOKUP(G1249,Keszlet!$C$5:$I$200,7,FALSE),""))</f>
        <v/>
      </c>
      <c r="Q1249" s="1">
        <f>VLOOKUP(G1249,Keszlet!$C$5:$E$205,3,FALSE)</f>
        <v>0</v>
      </c>
      <c r="T1249" s="1" t="str">
        <f t="shared" si="54"/>
        <v/>
      </c>
      <c r="U1249" s="1">
        <f t="shared" si="55"/>
        <v>0</v>
      </c>
      <c r="W1249" s="6">
        <f t="shared" si="58"/>
        <v>0</v>
      </c>
      <c r="X1249" s="6">
        <f t="shared" si="50"/>
        <v>0</v>
      </c>
      <c r="Y1249" s="1">
        <f t="shared" si="56"/>
        <v>1</v>
      </c>
      <c r="Z1249" s="1">
        <f>IF(COUNTIF($Y$6:Y1249,Y1249)=1,Y1249,Y1249+COUNTIF($Y$5:Y1248,Y1249))</f>
        <v>244</v>
      </c>
      <c r="AD1249" s="1" t="str">
        <f t="shared" si="57"/>
        <v/>
      </c>
      <c r="BA1249" s="1">
        <f>IF(W1249&lt;=Leltar_iv!$Y$1,I1249,0)</f>
        <v>0</v>
      </c>
    </row>
    <row r="1250" spans="1:53" s="1" customFormat="1" x14ac:dyDescent="0.25">
      <c r="A1250" s="18">
        <f>IF(COUNTIF($Y$6:Y1250,Y1250)=1,Y1250,Y1250+COUNTIF($Y$5:Y1249,Y1250))</f>
        <v>245</v>
      </c>
      <c r="B1250" s="1">
        <f>IF(AND(Kisero_iv!$N$2=C1250,Kisero_iv!$K$5=$B$3,SUM(I1250:L1254)&lt;&gt;0,$B$4=YEAR(W1250)),B1249+1,0)</f>
        <v>0</v>
      </c>
      <c r="C1250" s="1">
        <f t="shared" si="51"/>
        <v>245</v>
      </c>
      <c r="D1250" s="102" t="str">
        <f t="shared" si="52"/>
        <v/>
      </c>
      <c r="E1250" s="44"/>
      <c r="F1250" s="45"/>
      <c r="G1250" s="45"/>
      <c r="H1250" s="45"/>
      <c r="I1250" s="46"/>
      <c r="J1250" s="111" t="str">
        <f>IF(AND(G1250&lt;&gt;"",ISERROR(VLOOKUP(G1250,Keszlet!$C$5:$H$200,6,FALSE))=FALSE),VLOOKUP(G1250,Keszlet!$C$5:$H$200,6,FALSE),"")</f>
        <v/>
      </c>
      <c r="K1250" s="106" t="str">
        <f>IF(AND(G1250&lt;&gt;"",ISERROR(VLOOKUP(G1250,Keszlet!$C$5:$G$200,5,FALSE))=FALSE),VLOOKUP(G1250,Keszlet!$C$5:$G$200,5,FALSE),"")</f>
        <v/>
      </c>
      <c r="L1250" s="106" t="str">
        <f t="shared" si="53"/>
        <v/>
      </c>
      <c r="M1250" s="115" t="str">
        <f>IF(ISERROR(VLOOKUP(G1250,Keszlet!$C$5:$I$200,7,FALSE))=TRUE,"",IF(AND(J1249&lt;&gt;"",J1251=""),VLOOKUP(G1250,Keszlet!$C$5:$I$200,7,FALSE),""))</f>
        <v/>
      </c>
      <c r="Q1250" s="1">
        <f>VLOOKUP(G1250,Keszlet!$C$5:$E$205,3,FALSE)</f>
        <v>0</v>
      </c>
      <c r="T1250" s="1" t="str">
        <f t="shared" si="54"/>
        <v/>
      </c>
      <c r="U1250" s="1">
        <f t="shared" si="55"/>
        <v>0</v>
      </c>
      <c r="W1250" s="6">
        <f t="shared" si="58"/>
        <v>0</v>
      </c>
      <c r="X1250" s="6">
        <f t="shared" si="50"/>
        <v>0</v>
      </c>
      <c r="Y1250" s="1">
        <f t="shared" si="56"/>
        <v>1</v>
      </c>
      <c r="Z1250" s="1">
        <f>IF(COUNTIF($Y$6:Y1250,Y1250)=1,Y1250,Y1250+COUNTIF($Y$5:Y1249,Y1250))</f>
        <v>245</v>
      </c>
      <c r="AD1250" s="1" t="str">
        <f t="shared" si="57"/>
        <v/>
      </c>
      <c r="BA1250" s="1">
        <f>IF(W1250&lt;=Leltar_iv!$Y$1,I1250,0)</f>
        <v>0</v>
      </c>
    </row>
    <row r="1251" spans="1:53" s="1" customFormat="1" x14ac:dyDescent="0.25">
      <c r="A1251" s="18">
        <f>IF(COUNTIF($Y$6:Y1251,Y1251)=1,Y1251,Y1251+COUNTIF($Y$5:Y1250,Y1251))</f>
        <v>246</v>
      </c>
      <c r="B1251" s="1">
        <f>IF(AND(Kisero_iv!$N$2=C1251,Kisero_iv!$K$5=$B$3,SUM(I1251:L1255)&lt;&gt;0,$B$4=YEAR(W1251)),B1250+1,0)</f>
        <v>0</v>
      </c>
      <c r="C1251" s="1">
        <f t="shared" si="51"/>
        <v>246</v>
      </c>
      <c r="D1251" s="102" t="str">
        <f t="shared" si="52"/>
        <v/>
      </c>
      <c r="E1251" s="44"/>
      <c r="F1251" s="45"/>
      <c r="G1251" s="45"/>
      <c r="H1251" s="45"/>
      <c r="I1251" s="46"/>
      <c r="J1251" s="111" t="str">
        <f>IF(AND(G1251&lt;&gt;"",ISERROR(VLOOKUP(G1251,Keszlet!$C$5:$H$200,6,FALSE))=FALSE),VLOOKUP(G1251,Keszlet!$C$5:$H$200,6,FALSE),"")</f>
        <v/>
      </c>
      <c r="K1251" s="106" t="str">
        <f>IF(AND(G1251&lt;&gt;"",ISERROR(VLOOKUP(G1251,Keszlet!$C$5:$G$200,5,FALSE))=FALSE),VLOOKUP(G1251,Keszlet!$C$5:$G$200,5,FALSE),"")</f>
        <v/>
      </c>
      <c r="L1251" s="106" t="str">
        <f t="shared" si="53"/>
        <v/>
      </c>
      <c r="M1251" s="115" t="str">
        <f>IF(ISERROR(VLOOKUP(G1251,Keszlet!$C$5:$I$200,7,FALSE))=TRUE,"",IF(AND(J1250&lt;&gt;"",J1252=""),VLOOKUP(G1251,Keszlet!$C$5:$I$200,7,FALSE),""))</f>
        <v/>
      </c>
      <c r="Q1251" s="1">
        <f>VLOOKUP(G1251,Keszlet!$C$5:$E$205,3,FALSE)</f>
        <v>0</v>
      </c>
      <c r="T1251" s="1" t="str">
        <f t="shared" si="54"/>
        <v/>
      </c>
      <c r="U1251" s="1">
        <f t="shared" si="55"/>
        <v>0</v>
      </c>
      <c r="W1251" s="6">
        <f t="shared" si="58"/>
        <v>0</v>
      </c>
      <c r="X1251" s="6">
        <f t="shared" si="50"/>
        <v>0</v>
      </c>
      <c r="Y1251" s="1">
        <f t="shared" si="56"/>
        <v>1</v>
      </c>
      <c r="Z1251" s="1">
        <f>IF(COUNTIF($Y$6:Y1251,Y1251)=1,Y1251,Y1251+COUNTIF($Y$5:Y1250,Y1251))</f>
        <v>246</v>
      </c>
      <c r="AD1251" s="1" t="str">
        <f t="shared" si="57"/>
        <v/>
      </c>
      <c r="BA1251" s="1">
        <f>IF(W1251&lt;=Leltar_iv!$Y$1,I1251,0)</f>
        <v>0</v>
      </c>
    </row>
    <row r="1252" spans="1:53" s="1" customFormat="1" x14ac:dyDescent="0.25">
      <c r="A1252" s="18">
        <f>IF(COUNTIF($Y$6:Y1252,Y1252)=1,Y1252,Y1252+COUNTIF($Y$5:Y1251,Y1252))</f>
        <v>247</v>
      </c>
      <c r="B1252" s="1">
        <f>IF(AND(Kisero_iv!$N$2=C1252,Kisero_iv!$K$5=$B$3,SUM(I1252:L1256)&lt;&gt;0,$B$4=YEAR(W1252)),B1251+1,0)</f>
        <v>0</v>
      </c>
      <c r="C1252" s="1">
        <f t="shared" si="51"/>
        <v>247</v>
      </c>
      <c r="D1252" s="102" t="str">
        <f t="shared" si="52"/>
        <v/>
      </c>
      <c r="E1252" s="44"/>
      <c r="F1252" s="45"/>
      <c r="G1252" s="45"/>
      <c r="H1252" s="45"/>
      <c r="I1252" s="46"/>
      <c r="J1252" s="111" t="str">
        <f>IF(AND(G1252&lt;&gt;"",ISERROR(VLOOKUP(G1252,Keszlet!$C$5:$H$200,6,FALSE))=FALSE),VLOOKUP(G1252,Keszlet!$C$5:$H$200,6,FALSE),"")</f>
        <v/>
      </c>
      <c r="K1252" s="106" t="str">
        <f>IF(AND(G1252&lt;&gt;"",ISERROR(VLOOKUP(G1252,Keszlet!$C$5:$G$200,5,FALSE))=FALSE),VLOOKUP(G1252,Keszlet!$C$5:$G$200,5,FALSE),"")</f>
        <v/>
      </c>
      <c r="L1252" s="106" t="str">
        <f t="shared" si="53"/>
        <v/>
      </c>
      <c r="M1252" s="115" t="str">
        <f>IF(ISERROR(VLOOKUP(G1252,Keszlet!$C$5:$I$200,7,FALSE))=TRUE,"",IF(AND(J1251&lt;&gt;"",J1253=""),VLOOKUP(G1252,Keszlet!$C$5:$I$200,7,FALSE),""))</f>
        <v/>
      </c>
      <c r="Q1252" s="1">
        <f>VLOOKUP(G1252,Keszlet!$C$5:$E$205,3,FALSE)</f>
        <v>0</v>
      </c>
      <c r="T1252" s="1" t="str">
        <f t="shared" si="54"/>
        <v/>
      </c>
      <c r="U1252" s="1">
        <f t="shared" si="55"/>
        <v>0</v>
      </c>
      <c r="W1252" s="6">
        <f t="shared" si="58"/>
        <v>0</v>
      </c>
      <c r="X1252" s="6">
        <f t="shared" si="50"/>
        <v>0</v>
      </c>
      <c r="Y1252" s="1">
        <f t="shared" si="56"/>
        <v>1</v>
      </c>
      <c r="Z1252" s="1">
        <f>IF(COUNTIF($Y$6:Y1252,Y1252)=1,Y1252,Y1252+COUNTIF($Y$5:Y1251,Y1252))</f>
        <v>247</v>
      </c>
      <c r="AD1252" s="1" t="str">
        <f t="shared" si="57"/>
        <v/>
      </c>
      <c r="BA1252" s="1">
        <f>IF(W1252&lt;=Leltar_iv!$Y$1,I1252,0)</f>
        <v>0</v>
      </c>
    </row>
    <row r="1253" spans="1:53" s="1" customFormat="1" x14ac:dyDescent="0.25">
      <c r="A1253" s="18">
        <f>IF(COUNTIF($Y$6:Y1253,Y1253)=1,Y1253,Y1253+COUNTIF($Y$5:Y1252,Y1253))</f>
        <v>248</v>
      </c>
      <c r="B1253" s="1">
        <f>IF(AND(Kisero_iv!$N$2=C1253,Kisero_iv!$K$5=$B$3,SUM(I1253:L1257)&lt;&gt;0,$B$4=YEAR(W1253)),B1252+1,0)</f>
        <v>0</v>
      </c>
      <c r="C1253" s="1">
        <f t="shared" si="51"/>
        <v>248</v>
      </c>
      <c r="D1253" s="102" t="str">
        <f t="shared" si="52"/>
        <v/>
      </c>
      <c r="E1253" s="44"/>
      <c r="F1253" s="45"/>
      <c r="G1253" s="45"/>
      <c r="H1253" s="45"/>
      <c r="I1253" s="46"/>
      <c r="J1253" s="111" t="str">
        <f>IF(AND(G1253&lt;&gt;"",ISERROR(VLOOKUP(G1253,Keszlet!$C$5:$H$200,6,FALSE))=FALSE),VLOOKUP(G1253,Keszlet!$C$5:$H$200,6,FALSE),"")</f>
        <v/>
      </c>
      <c r="K1253" s="106" t="str">
        <f>IF(AND(G1253&lt;&gt;"",ISERROR(VLOOKUP(G1253,Keszlet!$C$5:$G$200,5,FALSE))=FALSE),VLOOKUP(G1253,Keszlet!$C$5:$G$200,5,FALSE),"")</f>
        <v/>
      </c>
      <c r="L1253" s="106" t="str">
        <f t="shared" si="53"/>
        <v/>
      </c>
      <c r="M1253" s="115" t="str">
        <f>IF(ISERROR(VLOOKUP(G1253,Keszlet!$C$5:$I$200,7,FALSE))=TRUE,"",IF(AND(J1252&lt;&gt;"",J1254=""),VLOOKUP(G1253,Keszlet!$C$5:$I$200,7,FALSE),""))</f>
        <v/>
      </c>
      <c r="Q1253" s="1">
        <f>VLOOKUP(G1253,Keszlet!$C$5:$E$205,3,FALSE)</f>
        <v>0</v>
      </c>
      <c r="T1253" s="1" t="str">
        <f t="shared" si="54"/>
        <v/>
      </c>
      <c r="U1253" s="1">
        <f t="shared" si="55"/>
        <v>0</v>
      </c>
      <c r="W1253" s="6">
        <f t="shared" si="58"/>
        <v>0</v>
      </c>
      <c r="X1253" s="6">
        <f t="shared" si="50"/>
        <v>0</v>
      </c>
      <c r="Y1253" s="1">
        <f t="shared" si="56"/>
        <v>1</v>
      </c>
      <c r="Z1253" s="1">
        <f>IF(COUNTIF($Y$6:Y1253,Y1253)=1,Y1253,Y1253+COUNTIF($Y$5:Y1252,Y1253))</f>
        <v>248</v>
      </c>
      <c r="AD1253" s="1" t="str">
        <f t="shared" si="57"/>
        <v/>
      </c>
      <c r="BA1253" s="1">
        <f>IF(W1253&lt;=Leltar_iv!$Y$1,I1253,0)</f>
        <v>0</v>
      </c>
    </row>
    <row r="1254" spans="1:53" s="1" customFormat="1" x14ac:dyDescent="0.25">
      <c r="A1254" s="18">
        <f>IF(COUNTIF($Y$6:Y1254,Y1254)=1,Y1254,Y1254+COUNTIF($Y$5:Y1253,Y1254))</f>
        <v>249</v>
      </c>
      <c r="B1254" s="1">
        <f>IF(AND(Kisero_iv!$N$2=C1254,Kisero_iv!$K$5=$B$3,SUM(I1254:L1258)&lt;&gt;0,$B$4=YEAR(W1254)),B1253+1,0)</f>
        <v>0</v>
      </c>
      <c r="C1254" s="1">
        <f t="shared" si="51"/>
        <v>249</v>
      </c>
      <c r="D1254" s="102" t="str">
        <f t="shared" si="52"/>
        <v/>
      </c>
      <c r="E1254" s="44"/>
      <c r="F1254" s="45"/>
      <c r="G1254" s="45"/>
      <c r="H1254" s="45"/>
      <c r="I1254" s="46"/>
      <c r="J1254" s="111" t="str">
        <f>IF(AND(G1254&lt;&gt;"",ISERROR(VLOOKUP(G1254,Keszlet!$C$5:$H$200,6,FALSE))=FALSE),VLOOKUP(G1254,Keszlet!$C$5:$H$200,6,FALSE),"")</f>
        <v/>
      </c>
      <c r="K1254" s="106" t="str">
        <f>IF(AND(G1254&lt;&gt;"",ISERROR(VLOOKUP(G1254,Keszlet!$C$5:$G$200,5,FALSE))=FALSE),VLOOKUP(G1254,Keszlet!$C$5:$G$200,5,FALSE),"")</f>
        <v/>
      </c>
      <c r="L1254" s="106" t="str">
        <f t="shared" si="53"/>
        <v/>
      </c>
      <c r="M1254" s="115" t="str">
        <f>IF(ISERROR(VLOOKUP(G1254,Keszlet!$C$5:$I$200,7,FALSE))=TRUE,"",IF(AND(J1253&lt;&gt;"",J1255=""),VLOOKUP(G1254,Keszlet!$C$5:$I$200,7,FALSE),""))</f>
        <v/>
      </c>
      <c r="Q1254" s="1">
        <f>VLOOKUP(G1254,Keszlet!$C$5:$E$205,3,FALSE)</f>
        <v>0</v>
      </c>
      <c r="T1254" s="1" t="str">
        <f t="shared" si="54"/>
        <v/>
      </c>
      <c r="U1254" s="1">
        <f t="shared" si="55"/>
        <v>0</v>
      </c>
      <c r="W1254" s="6">
        <f t="shared" si="58"/>
        <v>0</v>
      </c>
      <c r="X1254" s="6">
        <f t="shared" si="50"/>
        <v>0</v>
      </c>
      <c r="Y1254" s="1">
        <f t="shared" si="56"/>
        <v>1</v>
      </c>
      <c r="Z1254" s="1">
        <f>IF(COUNTIF($Y$6:Y1254,Y1254)=1,Y1254,Y1254+COUNTIF($Y$5:Y1253,Y1254))</f>
        <v>249</v>
      </c>
      <c r="AD1254" s="1" t="str">
        <f t="shared" si="57"/>
        <v/>
      </c>
      <c r="BA1254" s="1">
        <f>IF(W1254&lt;=Leltar_iv!$Y$1,I1254,0)</f>
        <v>0</v>
      </c>
    </row>
    <row r="1255" spans="1:53" s="1" customFormat="1" x14ac:dyDescent="0.25">
      <c r="A1255" s="18">
        <f>IF(COUNTIF($Y$6:Y1255,Y1255)=1,Y1255,Y1255+COUNTIF($Y$5:Y1254,Y1255))</f>
        <v>250</v>
      </c>
      <c r="B1255" s="1">
        <f>IF(AND(Kisero_iv!$N$2=C1255,Kisero_iv!$K$5=$B$3,SUM(I1255:L1259)&lt;&gt;0,$B$4=YEAR(W1255)),B1254+1,0)</f>
        <v>0</v>
      </c>
      <c r="C1255" s="1">
        <f t="shared" si="51"/>
        <v>250</v>
      </c>
      <c r="D1255" s="102" t="str">
        <f t="shared" si="52"/>
        <v/>
      </c>
      <c r="E1255" s="44"/>
      <c r="F1255" s="45"/>
      <c r="G1255" s="45"/>
      <c r="H1255" s="45"/>
      <c r="I1255" s="46"/>
      <c r="J1255" s="111" t="str">
        <f>IF(AND(G1255&lt;&gt;"",ISERROR(VLOOKUP(G1255,Keszlet!$C$5:$H$200,6,FALSE))=FALSE),VLOOKUP(G1255,Keszlet!$C$5:$H$200,6,FALSE),"")</f>
        <v/>
      </c>
      <c r="K1255" s="106" t="str">
        <f>IF(AND(G1255&lt;&gt;"",ISERROR(VLOOKUP(G1255,Keszlet!$C$5:$G$200,5,FALSE))=FALSE),VLOOKUP(G1255,Keszlet!$C$5:$G$200,5,FALSE),"")</f>
        <v/>
      </c>
      <c r="L1255" s="106" t="str">
        <f t="shared" si="53"/>
        <v/>
      </c>
      <c r="M1255" s="115" t="str">
        <f>IF(ISERROR(VLOOKUP(G1255,Keszlet!$C$5:$I$200,7,FALSE))=TRUE,"",IF(AND(J1254&lt;&gt;"",J1256=""),VLOOKUP(G1255,Keszlet!$C$5:$I$200,7,FALSE),""))</f>
        <v/>
      </c>
      <c r="Q1255" s="1">
        <f>VLOOKUP(G1255,Keszlet!$C$5:$E$205,3,FALSE)</f>
        <v>0</v>
      </c>
      <c r="T1255" s="1" t="str">
        <f t="shared" si="54"/>
        <v/>
      </c>
      <c r="U1255" s="1">
        <f t="shared" si="55"/>
        <v>0</v>
      </c>
      <c r="W1255" s="6">
        <f t="shared" si="58"/>
        <v>0</v>
      </c>
      <c r="X1255" s="6">
        <f t="shared" si="50"/>
        <v>0</v>
      </c>
      <c r="Y1255" s="1">
        <f t="shared" si="56"/>
        <v>1</v>
      </c>
      <c r="Z1255" s="1">
        <f>IF(COUNTIF($Y$6:Y1255,Y1255)=1,Y1255,Y1255+COUNTIF($Y$5:Y1254,Y1255))</f>
        <v>250</v>
      </c>
      <c r="AD1255" s="1" t="str">
        <f t="shared" si="57"/>
        <v/>
      </c>
      <c r="BA1255" s="1">
        <f>IF(W1255&lt;=Leltar_iv!$Y$1,I1255,0)</f>
        <v>0</v>
      </c>
    </row>
    <row r="1256" spans="1:53" s="1" customFormat="1" x14ac:dyDescent="0.25">
      <c r="A1256" s="18">
        <f>IF(COUNTIF($Y$6:Y1256,Y1256)=1,Y1256,Y1256+COUNTIF($Y$5:Y1255,Y1256))</f>
        <v>251</v>
      </c>
      <c r="B1256" s="1">
        <f>IF(AND(Kisero_iv!$N$2=C1256,Kisero_iv!$K$5=$B$3,SUM(I1256:L1260)&lt;&gt;0,$B$4=YEAR(W1256)),B1255+1,0)</f>
        <v>0</v>
      </c>
      <c r="C1256" s="1">
        <f t="shared" si="51"/>
        <v>251</v>
      </c>
      <c r="D1256" s="102" t="str">
        <f t="shared" si="52"/>
        <v/>
      </c>
      <c r="E1256" s="44"/>
      <c r="F1256" s="45"/>
      <c r="G1256" s="45"/>
      <c r="H1256" s="45"/>
      <c r="I1256" s="46"/>
      <c r="J1256" s="111" t="str">
        <f>IF(AND(G1256&lt;&gt;"",ISERROR(VLOOKUP(G1256,Keszlet!$C$5:$H$200,6,FALSE))=FALSE),VLOOKUP(G1256,Keszlet!$C$5:$H$200,6,FALSE),"")</f>
        <v/>
      </c>
      <c r="K1256" s="106" t="str">
        <f>IF(AND(G1256&lt;&gt;"",ISERROR(VLOOKUP(G1256,Keszlet!$C$5:$G$200,5,FALSE))=FALSE),VLOOKUP(G1256,Keszlet!$C$5:$G$200,5,FALSE),"")</f>
        <v/>
      </c>
      <c r="L1256" s="106" t="str">
        <f t="shared" si="53"/>
        <v/>
      </c>
      <c r="M1256" s="115" t="str">
        <f>IF(ISERROR(VLOOKUP(G1256,Keszlet!$C$5:$I$200,7,FALSE))=TRUE,"",IF(AND(J1255&lt;&gt;"",J1257=""),VLOOKUP(G1256,Keszlet!$C$5:$I$200,7,FALSE),""))</f>
        <v/>
      </c>
      <c r="Q1256" s="1">
        <f>VLOOKUP(G1256,Keszlet!$C$5:$E$205,3,FALSE)</f>
        <v>0</v>
      </c>
      <c r="T1256" s="1" t="str">
        <f t="shared" si="54"/>
        <v/>
      </c>
      <c r="U1256" s="1">
        <f t="shared" si="55"/>
        <v>0</v>
      </c>
      <c r="W1256" s="6">
        <f t="shared" si="58"/>
        <v>0</v>
      </c>
      <c r="X1256" s="6">
        <f t="shared" si="50"/>
        <v>0</v>
      </c>
      <c r="Y1256" s="1">
        <f t="shared" si="56"/>
        <v>1</v>
      </c>
      <c r="Z1256" s="1">
        <f>IF(COUNTIF($Y$6:Y1256,Y1256)=1,Y1256,Y1256+COUNTIF($Y$5:Y1255,Y1256))</f>
        <v>251</v>
      </c>
      <c r="AD1256" s="1" t="str">
        <f t="shared" si="57"/>
        <v/>
      </c>
      <c r="BA1256" s="1">
        <f>IF(W1256&lt;=Leltar_iv!$Y$1,I1256,0)</f>
        <v>0</v>
      </c>
    </row>
    <row r="1257" spans="1:53" s="1" customFormat="1" x14ac:dyDescent="0.25">
      <c r="A1257" s="18">
        <f>IF(COUNTIF($Y$6:Y1257,Y1257)=1,Y1257,Y1257+COUNTIF($Y$5:Y1256,Y1257))</f>
        <v>252</v>
      </c>
      <c r="B1257" s="1">
        <f>IF(AND(Kisero_iv!$N$2=C1257,Kisero_iv!$K$5=$B$3,SUM(I1257:L1261)&lt;&gt;0,$B$4=YEAR(W1257)),B1256+1,0)</f>
        <v>0</v>
      </c>
      <c r="C1257" s="1">
        <f t="shared" si="51"/>
        <v>252</v>
      </c>
      <c r="D1257" s="102" t="str">
        <f t="shared" si="52"/>
        <v/>
      </c>
      <c r="E1257" s="44"/>
      <c r="F1257" s="45"/>
      <c r="G1257" s="45"/>
      <c r="H1257" s="45"/>
      <c r="I1257" s="46"/>
      <c r="J1257" s="111" t="str">
        <f>IF(AND(G1257&lt;&gt;"",ISERROR(VLOOKUP(G1257,Keszlet!$C$5:$H$200,6,FALSE))=FALSE),VLOOKUP(G1257,Keszlet!$C$5:$H$200,6,FALSE),"")</f>
        <v/>
      </c>
      <c r="K1257" s="106" t="str">
        <f>IF(AND(G1257&lt;&gt;"",ISERROR(VLOOKUP(G1257,Keszlet!$C$5:$G$200,5,FALSE))=FALSE),VLOOKUP(G1257,Keszlet!$C$5:$G$200,5,FALSE),"")</f>
        <v/>
      </c>
      <c r="L1257" s="106" t="str">
        <f t="shared" si="53"/>
        <v/>
      </c>
      <c r="M1257" s="115" t="str">
        <f>IF(ISERROR(VLOOKUP(G1257,Keszlet!$C$5:$I$200,7,FALSE))=TRUE,"",IF(AND(J1256&lt;&gt;"",J1258=""),VLOOKUP(G1257,Keszlet!$C$5:$I$200,7,FALSE),""))</f>
        <v/>
      </c>
      <c r="Q1257" s="1">
        <f>VLOOKUP(G1257,Keszlet!$C$5:$E$205,3,FALSE)</f>
        <v>0</v>
      </c>
      <c r="T1257" s="1" t="str">
        <f t="shared" si="54"/>
        <v/>
      </c>
      <c r="U1257" s="1">
        <f t="shared" si="55"/>
        <v>0</v>
      </c>
      <c r="W1257" s="6">
        <f t="shared" si="58"/>
        <v>0</v>
      </c>
      <c r="X1257" s="6">
        <f t="shared" si="50"/>
        <v>0</v>
      </c>
      <c r="Y1257" s="1">
        <f t="shared" si="56"/>
        <v>1</v>
      </c>
      <c r="Z1257" s="1">
        <f>IF(COUNTIF($Y$6:Y1257,Y1257)=1,Y1257,Y1257+COUNTIF($Y$5:Y1256,Y1257))</f>
        <v>252</v>
      </c>
      <c r="AD1257" s="1" t="str">
        <f t="shared" si="57"/>
        <v/>
      </c>
      <c r="BA1257" s="1">
        <f>IF(W1257&lt;=Leltar_iv!$Y$1,I1257,0)</f>
        <v>0</v>
      </c>
    </row>
    <row r="1258" spans="1:53" s="1" customFormat="1" x14ac:dyDescent="0.25">
      <c r="A1258" s="18">
        <f>IF(COUNTIF($Y$6:Y1258,Y1258)=1,Y1258,Y1258+COUNTIF($Y$5:Y1257,Y1258))</f>
        <v>253</v>
      </c>
      <c r="B1258" s="1">
        <f>IF(AND(Kisero_iv!$N$2=C1258,Kisero_iv!$K$5=$B$3,SUM(I1258:L1262)&lt;&gt;0,$B$4=YEAR(W1258)),B1257+1,0)</f>
        <v>0</v>
      </c>
      <c r="C1258" s="1">
        <f t="shared" si="51"/>
        <v>253</v>
      </c>
      <c r="D1258" s="102" t="str">
        <f t="shared" si="52"/>
        <v/>
      </c>
      <c r="E1258" s="44"/>
      <c r="F1258" s="45"/>
      <c r="G1258" s="45"/>
      <c r="H1258" s="45"/>
      <c r="I1258" s="46"/>
      <c r="J1258" s="111" t="str">
        <f>IF(AND(G1258&lt;&gt;"",ISERROR(VLOOKUP(G1258,Keszlet!$C$5:$H$200,6,FALSE))=FALSE),VLOOKUP(G1258,Keszlet!$C$5:$H$200,6,FALSE),"")</f>
        <v/>
      </c>
      <c r="K1258" s="106" t="str">
        <f>IF(AND(G1258&lt;&gt;"",ISERROR(VLOOKUP(G1258,Keszlet!$C$5:$G$200,5,FALSE))=FALSE),VLOOKUP(G1258,Keszlet!$C$5:$G$200,5,FALSE),"")</f>
        <v/>
      </c>
      <c r="L1258" s="106" t="str">
        <f t="shared" si="53"/>
        <v/>
      </c>
      <c r="M1258" s="115" t="str">
        <f>IF(ISERROR(VLOOKUP(G1258,Keszlet!$C$5:$I$200,7,FALSE))=TRUE,"",IF(AND(J1257&lt;&gt;"",J1259=""),VLOOKUP(G1258,Keszlet!$C$5:$I$200,7,FALSE),""))</f>
        <v/>
      </c>
      <c r="Q1258" s="1">
        <f>VLOOKUP(G1258,Keszlet!$C$5:$E$205,3,FALSE)</f>
        <v>0</v>
      </c>
      <c r="T1258" s="1" t="str">
        <f t="shared" si="54"/>
        <v/>
      </c>
      <c r="U1258" s="1">
        <f t="shared" si="55"/>
        <v>0</v>
      </c>
      <c r="W1258" s="6">
        <f t="shared" si="58"/>
        <v>0</v>
      </c>
      <c r="X1258" s="6">
        <f t="shared" si="50"/>
        <v>0</v>
      </c>
      <c r="Y1258" s="1">
        <f t="shared" si="56"/>
        <v>1</v>
      </c>
      <c r="Z1258" s="1">
        <f>IF(COUNTIF($Y$6:Y1258,Y1258)=1,Y1258,Y1258+COUNTIF($Y$5:Y1257,Y1258))</f>
        <v>253</v>
      </c>
      <c r="AD1258" s="1" t="str">
        <f t="shared" si="57"/>
        <v/>
      </c>
      <c r="BA1258" s="1">
        <f>IF(W1258&lt;=Leltar_iv!$Y$1,I1258,0)</f>
        <v>0</v>
      </c>
    </row>
    <row r="1259" spans="1:53" s="1" customFormat="1" x14ac:dyDescent="0.25">
      <c r="A1259" s="18">
        <f>IF(COUNTIF($Y$6:Y1259,Y1259)=1,Y1259,Y1259+COUNTIF($Y$5:Y1258,Y1259))</f>
        <v>254</v>
      </c>
      <c r="B1259" s="1">
        <f>IF(AND(Kisero_iv!$N$2=C1259,Kisero_iv!$K$5=$B$3,SUM(I1259:L1263)&lt;&gt;0,$B$4=YEAR(W1259)),B1258+1,0)</f>
        <v>0</v>
      </c>
      <c r="C1259" s="1">
        <f t="shared" si="51"/>
        <v>254</v>
      </c>
      <c r="D1259" s="102" t="str">
        <f t="shared" si="52"/>
        <v/>
      </c>
      <c r="E1259" s="44"/>
      <c r="F1259" s="45"/>
      <c r="G1259" s="45"/>
      <c r="H1259" s="45"/>
      <c r="I1259" s="46"/>
      <c r="J1259" s="111" t="str">
        <f>IF(AND(G1259&lt;&gt;"",ISERROR(VLOOKUP(G1259,Keszlet!$C$5:$H$200,6,FALSE))=FALSE),VLOOKUP(G1259,Keszlet!$C$5:$H$200,6,FALSE),"")</f>
        <v/>
      </c>
      <c r="K1259" s="106" t="str">
        <f>IF(AND(G1259&lt;&gt;"",ISERROR(VLOOKUP(G1259,Keszlet!$C$5:$G$200,5,FALSE))=FALSE),VLOOKUP(G1259,Keszlet!$C$5:$G$200,5,FALSE),"")</f>
        <v/>
      </c>
      <c r="L1259" s="106" t="str">
        <f t="shared" si="53"/>
        <v/>
      </c>
      <c r="M1259" s="115" t="str">
        <f>IF(ISERROR(VLOOKUP(G1259,Keszlet!$C$5:$I$200,7,FALSE))=TRUE,"",IF(AND(J1258&lt;&gt;"",J1260=""),VLOOKUP(G1259,Keszlet!$C$5:$I$200,7,FALSE),""))</f>
        <v/>
      </c>
      <c r="Q1259" s="1">
        <f>VLOOKUP(G1259,Keszlet!$C$5:$E$205,3,FALSE)</f>
        <v>0</v>
      </c>
      <c r="T1259" s="1" t="str">
        <f t="shared" si="54"/>
        <v/>
      </c>
      <c r="U1259" s="1">
        <f t="shared" si="55"/>
        <v>0</v>
      </c>
      <c r="W1259" s="6">
        <f t="shared" si="58"/>
        <v>0</v>
      </c>
      <c r="X1259" s="6">
        <f t="shared" si="50"/>
        <v>0</v>
      </c>
      <c r="Y1259" s="1">
        <f t="shared" si="56"/>
        <v>1</v>
      </c>
      <c r="Z1259" s="1">
        <f>IF(COUNTIF($Y$6:Y1259,Y1259)=1,Y1259,Y1259+COUNTIF($Y$5:Y1258,Y1259))</f>
        <v>254</v>
      </c>
      <c r="AD1259" s="1" t="str">
        <f t="shared" si="57"/>
        <v/>
      </c>
      <c r="BA1259" s="1">
        <f>IF(W1259&lt;=Leltar_iv!$Y$1,I1259,0)</f>
        <v>0</v>
      </c>
    </row>
    <row r="1260" spans="1:53" s="1" customFormat="1" x14ac:dyDescent="0.25">
      <c r="A1260" s="18">
        <f>IF(COUNTIF($Y$6:Y1260,Y1260)=1,Y1260,Y1260+COUNTIF($Y$5:Y1259,Y1260))</f>
        <v>255</v>
      </c>
      <c r="B1260" s="1">
        <f>IF(AND(Kisero_iv!$N$2=C1260,Kisero_iv!$K$5=$B$3,SUM(I1260:L1264)&lt;&gt;0,$B$4=YEAR(W1260)),B1259+1,0)</f>
        <v>0</v>
      </c>
      <c r="C1260" s="1">
        <f t="shared" si="51"/>
        <v>255</v>
      </c>
      <c r="D1260" s="102" t="str">
        <f t="shared" si="52"/>
        <v/>
      </c>
      <c r="E1260" s="44"/>
      <c r="F1260" s="45"/>
      <c r="G1260" s="45"/>
      <c r="H1260" s="45"/>
      <c r="I1260" s="46"/>
      <c r="J1260" s="111" t="str">
        <f>IF(AND(G1260&lt;&gt;"",ISERROR(VLOOKUP(G1260,Keszlet!$C$5:$H$200,6,FALSE))=FALSE),VLOOKUP(G1260,Keszlet!$C$5:$H$200,6,FALSE),"")</f>
        <v/>
      </c>
      <c r="K1260" s="106" t="str">
        <f>IF(AND(G1260&lt;&gt;"",ISERROR(VLOOKUP(G1260,Keszlet!$C$5:$G$200,5,FALSE))=FALSE),VLOOKUP(G1260,Keszlet!$C$5:$G$200,5,FALSE),"")</f>
        <v/>
      </c>
      <c r="L1260" s="106" t="str">
        <f t="shared" si="53"/>
        <v/>
      </c>
      <c r="M1260" s="115" t="str">
        <f>IF(ISERROR(VLOOKUP(G1260,Keszlet!$C$5:$I$200,7,FALSE))=TRUE,"",IF(AND(J1259&lt;&gt;"",J1261=""),VLOOKUP(G1260,Keszlet!$C$5:$I$200,7,FALSE),""))</f>
        <v/>
      </c>
      <c r="Q1260" s="1">
        <f>VLOOKUP(G1260,Keszlet!$C$5:$E$205,3,FALSE)</f>
        <v>0</v>
      </c>
      <c r="T1260" s="1" t="str">
        <f t="shared" si="54"/>
        <v/>
      </c>
      <c r="U1260" s="1">
        <f t="shared" si="55"/>
        <v>0</v>
      </c>
      <c r="W1260" s="6">
        <f t="shared" si="58"/>
        <v>0</v>
      </c>
      <c r="X1260" s="6">
        <f t="shared" si="50"/>
        <v>0</v>
      </c>
      <c r="Y1260" s="1">
        <f t="shared" si="56"/>
        <v>1</v>
      </c>
      <c r="Z1260" s="1">
        <f>IF(COUNTIF($Y$6:Y1260,Y1260)=1,Y1260,Y1260+COUNTIF($Y$5:Y1259,Y1260))</f>
        <v>255</v>
      </c>
      <c r="AD1260" s="1" t="str">
        <f t="shared" si="57"/>
        <v/>
      </c>
      <c r="BA1260" s="1">
        <f>IF(W1260&lt;=Leltar_iv!$Y$1,I1260,0)</f>
        <v>0</v>
      </c>
    </row>
    <row r="1261" spans="1:53" s="1" customFormat="1" x14ac:dyDescent="0.25">
      <c r="A1261" s="18">
        <f>IF(COUNTIF($Y$6:Y1261,Y1261)=1,Y1261,Y1261+COUNTIF($Y$5:Y1260,Y1261))</f>
        <v>256</v>
      </c>
      <c r="B1261" s="1">
        <f>IF(AND(Kisero_iv!$N$2=C1261,Kisero_iv!$K$5=$B$3,SUM(I1261:L1265)&lt;&gt;0,$B$4=YEAR(W1261)),B1260+1,0)</f>
        <v>0</v>
      </c>
      <c r="C1261" s="1">
        <f t="shared" si="51"/>
        <v>256</v>
      </c>
      <c r="D1261" s="102" t="str">
        <f t="shared" si="52"/>
        <v/>
      </c>
      <c r="E1261" s="44"/>
      <c r="F1261" s="45"/>
      <c r="G1261" s="45"/>
      <c r="H1261" s="45"/>
      <c r="I1261" s="46"/>
      <c r="J1261" s="111" t="str">
        <f>IF(AND(G1261&lt;&gt;"",ISERROR(VLOOKUP(G1261,Keszlet!$C$5:$H$200,6,FALSE))=FALSE),VLOOKUP(G1261,Keszlet!$C$5:$H$200,6,FALSE),"")</f>
        <v/>
      </c>
      <c r="K1261" s="106" t="str">
        <f>IF(AND(G1261&lt;&gt;"",ISERROR(VLOOKUP(G1261,Keszlet!$C$5:$G$200,5,FALSE))=FALSE),VLOOKUP(G1261,Keszlet!$C$5:$G$200,5,FALSE),"")</f>
        <v/>
      </c>
      <c r="L1261" s="106" t="str">
        <f t="shared" si="53"/>
        <v/>
      </c>
      <c r="M1261" s="115" t="str">
        <f>IF(ISERROR(VLOOKUP(G1261,Keszlet!$C$5:$I$200,7,FALSE))=TRUE,"",IF(AND(J1260&lt;&gt;"",J1262=""),VLOOKUP(G1261,Keszlet!$C$5:$I$200,7,FALSE),""))</f>
        <v/>
      </c>
      <c r="Q1261" s="1">
        <f>VLOOKUP(G1261,Keszlet!$C$5:$E$205,3,FALSE)</f>
        <v>0</v>
      </c>
      <c r="T1261" s="1" t="str">
        <f t="shared" si="54"/>
        <v/>
      </c>
      <c r="U1261" s="1">
        <f t="shared" si="55"/>
        <v>0</v>
      </c>
      <c r="W1261" s="6">
        <f t="shared" si="58"/>
        <v>0</v>
      </c>
      <c r="X1261" s="6">
        <f t="shared" si="50"/>
        <v>0</v>
      </c>
      <c r="Y1261" s="1">
        <f t="shared" si="56"/>
        <v>1</v>
      </c>
      <c r="Z1261" s="1">
        <f>IF(COUNTIF($Y$6:Y1261,Y1261)=1,Y1261,Y1261+COUNTIF($Y$5:Y1260,Y1261))</f>
        <v>256</v>
      </c>
      <c r="AD1261" s="1" t="str">
        <f t="shared" si="57"/>
        <v/>
      </c>
      <c r="BA1261" s="1">
        <f>IF(W1261&lt;=Leltar_iv!$Y$1,I1261,0)</f>
        <v>0</v>
      </c>
    </row>
    <row r="1262" spans="1:53" s="1" customFormat="1" x14ac:dyDescent="0.25">
      <c r="A1262" s="18">
        <f>IF(COUNTIF($Y$6:Y1262,Y1262)=1,Y1262,Y1262+COUNTIF($Y$5:Y1261,Y1262))</f>
        <v>257</v>
      </c>
      <c r="B1262" s="1">
        <f>IF(AND(Kisero_iv!$N$2=C1262,Kisero_iv!$K$5=$B$3,SUM(I1262:L1266)&lt;&gt;0,$B$4=YEAR(W1262)),B1261+1,0)</f>
        <v>0</v>
      </c>
      <c r="C1262" s="1">
        <f t="shared" si="51"/>
        <v>257</v>
      </c>
      <c r="D1262" s="102" t="str">
        <f t="shared" si="52"/>
        <v/>
      </c>
      <c r="E1262" s="44"/>
      <c r="F1262" s="45"/>
      <c r="G1262" s="45"/>
      <c r="H1262" s="45"/>
      <c r="I1262" s="46"/>
      <c r="J1262" s="111" t="str">
        <f>IF(AND(G1262&lt;&gt;"",ISERROR(VLOOKUP(G1262,Keszlet!$C$5:$H$200,6,FALSE))=FALSE),VLOOKUP(G1262,Keszlet!$C$5:$H$200,6,FALSE),"")</f>
        <v/>
      </c>
      <c r="K1262" s="106" t="str">
        <f>IF(AND(G1262&lt;&gt;"",ISERROR(VLOOKUP(G1262,Keszlet!$C$5:$G$200,5,FALSE))=FALSE),VLOOKUP(G1262,Keszlet!$C$5:$G$200,5,FALSE),"")</f>
        <v/>
      </c>
      <c r="L1262" s="106" t="str">
        <f t="shared" si="53"/>
        <v/>
      </c>
      <c r="M1262" s="115" t="str">
        <f>IF(ISERROR(VLOOKUP(G1262,Keszlet!$C$5:$I$200,7,FALSE))=TRUE,"",IF(AND(J1261&lt;&gt;"",J1263=""),VLOOKUP(G1262,Keszlet!$C$5:$I$200,7,FALSE),""))</f>
        <v/>
      </c>
      <c r="Q1262" s="1">
        <f>VLOOKUP(G1262,Keszlet!$C$5:$E$205,3,FALSE)</f>
        <v>0</v>
      </c>
      <c r="T1262" s="1" t="str">
        <f t="shared" si="54"/>
        <v/>
      </c>
      <c r="U1262" s="1">
        <f t="shared" si="55"/>
        <v>0</v>
      </c>
      <c r="W1262" s="6">
        <f t="shared" si="58"/>
        <v>0</v>
      </c>
      <c r="X1262" s="6">
        <f t="shared" ref="X1262:X1325" si="59">IF(G1262=q,W1262,$X$1)</f>
        <v>0</v>
      </c>
      <c r="Y1262" s="1">
        <f t="shared" si="56"/>
        <v>1</v>
      </c>
      <c r="Z1262" s="1">
        <f>IF(COUNTIF($Y$6:Y1262,Y1262)=1,Y1262,Y1262+COUNTIF($Y$5:Y1261,Y1262))</f>
        <v>257</v>
      </c>
      <c r="AD1262" s="1" t="str">
        <f t="shared" si="57"/>
        <v/>
      </c>
      <c r="BA1262" s="1">
        <f>IF(W1262&lt;=Leltar_iv!$Y$1,I1262,0)</f>
        <v>0</v>
      </c>
    </row>
    <row r="1263" spans="1:53" s="1" customFormat="1" x14ac:dyDescent="0.25">
      <c r="A1263" s="18">
        <f>IF(COUNTIF($Y$6:Y1263,Y1263)=1,Y1263,Y1263+COUNTIF($Y$5:Y1262,Y1263))</f>
        <v>258</v>
      </c>
      <c r="B1263" s="1">
        <f>IF(AND(Kisero_iv!$N$2=C1263,Kisero_iv!$K$5=$B$3,SUM(I1263:L1267)&lt;&gt;0,$B$4=YEAR(W1263)),B1262+1,0)</f>
        <v>0</v>
      </c>
      <c r="C1263" s="1">
        <f t="shared" ref="C1263:C1326" si="60">IF(YEAR(W1262)&lt;&gt;YEAR(W1263),1,IF(T1263&lt;&gt;0,C1262+1,C1262))</f>
        <v>258</v>
      </c>
      <c r="D1263" s="102" t="str">
        <f t="shared" ref="D1263:D1326" si="61">IF(AND(OR(C1262&lt;&gt;C1263,C1263=1),SUM(L1263:L1283)&lt;&gt;0),YEAR(W1263)&amp;"/"&amp;C1263,"")</f>
        <v/>
      </c>
      <c r="E1263" s="44"/>
      <c r="F1263" s="45"/>
      <c r="G1263" s="45"/>
      <c r="H1263" s="45"/>
      <c r="I1263" s="46"/>
      <c r="J1263" s="111" t="str">
        <f>IF(AND(G1263&lt;&gt;"",ISERROR(VLOOKUP(G1263,Keszlet!$C$5:$H$200,6,FALSE))=FALSE),VLOOKUP(G1263,Keszlet!$C$5:$H$200,6,FALSE),"")</f>
        <v/>
      </c>
      <c r="K1263" s="106" t="str">
        <f>IF(AND(G1263&lt;&gt;"",ISERROR(VLOOKUP(G1263,Keszlet!$C$5:$G$200,5,FALSE))=FALSE),VLOOKUP(G1263,Keszlet!$C$5:$G$200,5,FALSE),"")</f>
        <v/>
      </c>
      <c r="L1263" s="106" t="str">
        <f t="shared" ref="L1263:L1326" si="62">IF(AND(G1263&lt;&gt;0,K1263&lt;&gt;""),I1263*K1263,"")</f>
        <v/>
      </c>
      <c r="M1263" s="115" t="str">
        <f>IF(ISERROR(VLOOKUP(G1263,Keszlet!$C$5:$I$200,7,FALSE))=TRUE,"",IF(AND(J1262&lt;&gt;"",J1264=""),VLOOKUP(G1263,Keszlet!$C$5:$I$200,7,FALSE),""))</f>
        <v/>
      </c>
      <c r="Q1263" s="1">
        <f>VLOOKUP(G1263,Keszlet!$C$5:$E$205,3,FALSE)</f>
        <v>0</v>
      </c>
      <c r="T1263" s="1" t="str">
        <f t="shared" ref="T1263:T1326" si="63">IF(OR(E1263&lt;&gt;0,COUNTIF(T1254:T1262,0)=9,F1263&lt;&gt;0,SUM(L1263:L1283)=0),E1263&amp;F1263,0)</f>
        <v/>
      </c>
      <c r="U1263" s="1">
        <f t="shared" ref="U1263:U1326" si="64">IF(F1263&lt;&gt;"",F1263,U1262)</f>
        <v>0</v>
      </c>
      <c r="W1263" s="6">
        <f t="shared" si="58"/>
        <v>0</v>
      </c>
      <c r="X1263" s="6">
        <f t="shared" si="59"/>
        <v>0</v>
      </c>
      <c r="Y1263" s="1">
        <f t="shared" ref="Y1263:Y1326" si="65">RANK(X1263,$X$6:$X$10000,1)</f>
        <v>1</v>
      </c>
      <c r="Z1263" s="1">
        <f>IF(COUNTIF($Y$6:Y1263,Y1263)=1,Y1263,Y1263+COUNTIF($Y$5:Y1262,Y1263))</f>
        <v>258</v>
      </c>
      <c r="AD1263" s="1" t="str">
        <f t="shared" ref="AD1263:AD1326" si="66">IF(AND(OR(C1262&lt;&gt;C1263,YEAR(W1263)&lt;&gt;YEAR(W1262)),SUM(L1263:L1283)&lt;&gt;0,$B$4=YEAR(W1263)),C1263,"")</f>
        <v/>
      </c>
      <c r="BA1263" s="1">
        <f>IF(W1263&lt;=Leltar_iv!$Y$1,I1263,0)</f>
        <v>0</v>
      </c>
    </row>
    <row r="1264" spans="1:53" s="1" customFormat="1" x14ac:dyDescent="0.25">
      <c r="A1264" s="18">
        <f>IF(COUNTIF($Y$6:Y1264,Y1264)=1,Y1264,Y1264+COUNTIF($Y$5:Y1263,Y1264))</f>
        <v>259</v>
      </c>
      <c r="B1264" s="1">
        <f>IF(AND(Kisero_iv!$N$2=C1264,Kisero_iv!$K$5=$B$3,SUM(I1264:L1268)&lt;&gt;0,$B$4=YEAR(W1264)),B1263+1,0)</f>
        <v>0</v>
      </c>
      <c r="C1264" s="1">
        <f t="shared" si="60"/>
        <v>259</v>
      </c>
      <c r="D1264" s="102" t="str">
        <f t="shared" si="61"/>
        <v/>
      </c>
      <c r="E1264" s="44"/>
      <c r="F1264" s="45"/>
      <c r="G1264" s="45"/>
      <c r="H1264" s="45"/>
      <c r="I1264" s="46"/>
      <c r="J1264" s="111" t="str">
        <f>IF(AND(G1264&lt;&gt;"",ISERROR(VLOOKUP(G1264,Keszlet!$C$5:$H$200,6,FALSE))=FALSE),VLOOKUP(G1264,Keszlet!$C$5:$H$200,6,FALSE),"")</f>
        <v/>
      </c>
      <c r="K1264" s="106" t="str">
        <f>IF(AND(G1264&lt;&gt;"",ISERROR(VLOOKUP(G1264,Keszlet!$C$5:$G$200,5,FALSE))=FALSE),VLOOKUP(G1264,Keszlet!$C$5:$G$200,5,FALSE),"")</f>
        <v/>
      </c>
      <c r="L1264" s="106" t="str">
        <f t="shared" si="62"/>
        <v/>
      </c>
      <c r="M1264" s="115" t="str">
        <f>IF(ISERROR(VLOOKUP(G1264,Keszlet!$C$5:$I$200,7,FALSE))=TRUE,"",IF(AND(J1263&lt;&gt;"",J1265=""),VLOOKUP(G1264,Keszlet!$C$5:$I$200,7,FALSE),""))</f>
        <v/>
      </c>
      <c r="Q1264" s="1">
        <f>VLOOKUP(G1264,Keszlet!$C$5:$E$205,3,FALSE)</f>
        <v>0</v>
      </c>
      <c r="T1264" s="1" t="str">
        <f t="shared" si="63"/>
        <v/>
      </c>
      <c r="U1264" s="1">
        <f t="shared" si="64"/>
        <v>0</v>
      </c>
      <c r="W1264" s="6">
        <f t="shared" si="58"/>
        <v>0</v>
      </c>
      <c r="X1264" s="6">
        <f t="shared" si="59"/>
        <v>0</v>
      </c>
      <c r="Y1264" s="1">
        <f t="shared" si="65"/>
        <v>1</v>
      </c>
      <c r="Z1264" s="1">
        <f>IF(COUNTIF($Y$6:Y1264,Y1264)=1,Y1264,Y1264+COUNTIF($Y$5:Y1263,Y1264))</f>
        <v>259</v>
      </c>
      <c r="AD1264" s="1" t="str">
        <f t="shared" si="66"/>
        <v/>
      </c>
      <c r="BA1264" s="1">
        <f>IF(W1264&lt;=Leltar_iv!$Y$1,I1264,0)</f>
        <v>0</v>
      </c>
    </row>
    <row r="1265" spans="1:53" s="1" customFormat="1" x14ac:dyDescent="0.25">
      <c r="A1265" s="18">
        <f>IF(COUNTIF($Y$6:Y1265,Y1265)=1,Y1265,Y1265+COUNTIF($Y$5:Y1264,Y1265))</f>
        <v>260</v>
      </c>
      <c r="B1265" s="1">
        <f>IF(AND(Kisero_iv!$N$2=C1265,Kisero_iv!$K$5=$B$3,SUM(I1265:L1269)&lt;&gt;0,$B$4=YEAR(W1265)),B1264+1,0)</f>
        <v>0</v>
      </c>
      <c r="C1265" s="1">
        <f t="shared" si="60"/>
        <v>260</v>
      </c>
      <c r="D1265" s="102" t="str">
        <f t="shared" si="61"/>
        <v/>
      </c>
      <c r="E1265" s="44"/>
      <c r="F1265" s="45"/>
      <c r="G1265" s="45"/>
      <c r="H1265" s="45"/>
      <c r="I1265" s="46"/>
      <c r="J1265" s="111" t="str">
        <f>IF(AND(G1265&lt;&gt;"",ISERROR(VLOOKUP(G1265,Keszlet!$C$5:$H$200,6,FALSE))=FALSE),VLOOKUP(G1265,Keszlet!$C$5:$H$200,6,FALSE),"")</f>
        <v/>
      </c>
      <c r="K1265" s="106" t="str">
        <f>IF(AND(G1265&lt;&gt;"",ISERROR(VLOOKUP(G1265,Keszlet!$C$5:$G$200,5,FALSE))=FALSE),VLOOKUP(G1265,Keszlet!$C$5:$G$200,5,FALSE),"")</f>
        <v/>
      </c>
      <c r="L1265" s="106" t="str">
        <f t="shared" si="62"/>
        <v/>
      </c>
      <c r="M1265" s="115" t="str">
        <f>IF(ISERROR(VLOOKUP(G1265,Keszlet!$C$5:$I$200,7,FALSE))=TRUE,"",IF(AND(J1264&lt;&gt;"",J1266=""),VLOOKUP(G1265,Keszlet!$C$5:$I$200,7,FALSE),""))</f>
        <v/>
      </c>
      <c r="Q1265" s="1">
        <f>VLOOKUP(G1265,Keszlet!$C$5:$E$205,3,FALSE)</f>
        <v>0</v>
      </c>
      <c r="T1265" s="1" t="str">
        <f t="shared" si="63"/>
        <v/>
      </c>
      <c r="U1265" s="1">
        <f t="shared" si="64"/>
        <v>0</v>
      </c>
      <c r="W1265" s="6">
        <f t="shared" ref="W1265:W1328" si="67">IF(E1265&lt;&gt;0,E1265,W1264)</f>
        <v>0</v>
      </c>
      <c r="X1265" s="6">
        <f t="shared" si="59"/>
        <v>0</v>
      </c>
      <c r="Y1265" s="1">
        <f t="shared" si="65"/>
        <v>1</v>
      </c>
      <c r="Z1265" s="1">
        <f>IF(COUNTIF($Y$6:Y1265,Y1265)=1,Y1265,Y1265+COUNTIF($Y$5:Y1264,Y1265))</f>
        <v>260</v>
      </c>
      <c r="AD1265" s="1" t="str">
        <f t="shared" si="66"/>
        <v/>
      </c>
      <c r="BA1265" s="1">
        <f>IF(W1265&lt;=Leltar_iv!$Y$1,I1265,0)</f>
        <v>0</v>
      </c>
    </row>
    <row r="1266" spans="1:53" s="1" customFormat="1" x14ac:dyDescent="0.25">
      <c r="A1266" s="18">
        <f>IF(COUNTIF($Y$6:Y1266,Y1266)=1,Y1266,Y1266+COUNTIF($Y$5:Y1265,Y1266))</f>
        <v>261</v>
      </c>
      <c r="B1266" s="1">
        <f>IF(AND(Kisero_iv!$N$2=C1266,Kisero_iv!$K$5=$B$3,SUM(I1266:L1270)&lt;&gt;0,$B$4=YEAR(W1266)),B1265+1,0)</f>
        <v>0</v>
      </c>
      <c r="C1266" s="1">
        <f t="shared" si="60"/>
        <v>261</v>
      </c>
      <c r="D1266" s="102" t="str">
        <f t="shared" si="61"/>
        <v/>
      </c>
      <c r="E1266" s="44"/>
      <c r="F1266" s="45"/>
      <c r="G1266" s="45"/>
      <c r="H1266" s="45"/>
      <c r="I1266" s="46"/>
      <c r="J1266" s="111" t="str">
        <f>IF(AND(G1266&lt;&gt;"",ISERROR(VLOOKUP(G1266,Keszlet!$C$5:$H$200,6,FALSE))=FALSE),VLOOKUP(G1266,Keszlet!$C$5:$H$200,6,FALSE),"")</f>
        <v/>
      </c>
      <c r="K1266" s="106" t="str">
        <f>IF(AND(G1266&lt;&gt;"",ISERROR(VLOOKUP(G1266,Keszlet!$C$5:$G$200,5,FALSE))=FALSE),VLOOKUP(G1266,Keszlet!$C$5:$G$200,5,FALSE),"")</f>
        <v/>
      </c>
      <c r="L1266" s="106" t="str">
        <f t="shared" si="62"/>
        <v/>
      </c>
      <c r="M1266" s="115" t="str">
        <f>IF(ISERROR(VLOOKUP(G1266,Keszlet!$C$5:$I$200,7,FALSE))=TRUE,"",IF(AND(J1265&lt;&gt;"",J1267=""),VLOOKUP(G1266,Keszlet!$C$5:$I$200,7,FALSE),""))</f>
        <v/>
      </c>
      <c r="Q1266" s="1">
        <f>VLOOKUP(G1266,Keszlet!$C$5:$E$205,3,FALSE)</f>
        <v>0</v>
      </c>
      <c r="T1266" s="1" t="str">
        <f t="shared" si="63"/>
        <v/>
      </c>
      <c r="U1266" s="1">
        <f t="shared" si="64"/>
        <v>0</v>
      </c>
      <c r="W1266" s="6">
        <f t="shared" si="67"/>
        <v>0</v>
      </c>
      <c r="X1266" s="6">
        <f t="shared" si="59"/>
        <v>0</v>
      </c>
      <c r="Y1266" s="1">
        <f t="shared" si="65"/>
        <v>1</v>
      </c>
      <c r="Z1266" s="1">
        <f>IF(COUNTIF($Y$6:Y1266,Y1266)=1,Y1266,Y1266+COUNTIF($Y$5:Y1265,Y1266))</f>
        <v>261</v>
      </c>
      <c r="AD1266" s="1" t="str">
        <f t="shared" si="66"/>
        <v/>
      </c>
      <c r="BA1266" s="1">
        <f>IF(W1266&lt;=Leltar_iv!$Y$1,I1266,0)</f>
        <v>0</v>
      </c>
    </row>
    <row r="1267" spans="1:53" s="1" customFormat="1" x14ac:dyDescent="0.25">
      <c r="A1267" s="18">
        <f>IF(COUNTIF($Y$6:Y1267,Y1267)=1,Y1267,Y1267+COUNTIF($Y$5:Y1266,Y1267))</f>
        <v>262</v>
      </c>
      <c r="B1267" s="1">
        <f>IF(AND(Kisero_iv!$N$2=C1267,Kisero_iv!$K$5=$B$3,SUM(I1267:L1271)&lt;&gt;0,$B$4=YEAR(W1267)),B1266+1,0)</f>
        <v>0</v>
      </c>
      <c r="C1267" s="1">
        <f t="shared" si="60"/>
        <v>262</v>
      </c>
      <c r="D1267" s="102" t="str">
        <f t="shared" si="61"/>
        <v/>
      </c>
      <c r="E1267" s="44"/>
      <c r="F1267" s="45"/>
      <c r="G1267" s="45"/>
      <c r="H1267" s="45"/>
      <c r="I1267" s="46"/>
      <c r="J1267" s="111" t="str">
        <f>IF(AND(G1267&lt;&gt;"",ISERROR(VLOOKUP(G1267,Keszlet!$C$5:$H$200,6,FALSE))=FALSE),VLOOKUP(G1267,Keszlet!$C$5:$H$200,6,FALSE),"")</f>
        <v/>
      </c>
      <c r="K1267" s="106" t="str">
        <f>IF(AND(G1267&lt;&gt;"",ISERROR(VLOOKUP(G1267,Keszlet!$C$5:$G$200,5,FALSE))=FALSE),VLOOKUP(G1267,Keszlet!$C$5:$G$200,5,FALSE),"")</f>
        <v/>
      </c>
      <c r="L1267" s="106" t="str">
        <f t="shared" si="62"/>
        <v/>
      </c>
      <c r="M1267" s="115" t="str">
        <f>IF(ISERROR(VLOOKUP(G1267,Keszlet!$C$5:$I$200,7,FALSE))=TRUE,"",IF(AND(J1266&lt;&gt;"",J1268=""),VLOOKUP(G1267,Keszlet!$C$5:$I$200,7,FALSE),""))</f>
        <v/>
      </c>
      <c r="Q1267" s="1">
        <f>VLOOKUP(G1267,Keszlet!$C$5:$E$205,3,FALSE)</f>
        <v>0</v>
      </c>
      <c r="T1267" s="1" t="str">
        <f t="shared" si="63"/>
        <v/>
      </c>
      <c r="U1267" s="1">
        <f t="shared" si="64"/>
        <v>0</v>
      </c>
      <c r="W1267" s="6">
        <f t="shared" si="67"/>
        <v>0</v>
      </c>
      <c r="X1267" s="6">
        <f t="shared" si="59"/>
        <v>0</v>
      </c>
      <c r="Y1267" s="1">
        <f t="shared" si="65"/>
        <v>1</v>
      </c>
      <c r="Z1267" s="1">
        <f>IF(COUNTIF($Y$6:Y1267,Y1267)=1,Y1267,Y1267+COUNTIF($Y$5:Y1266,Y1267))</f>
        <v>262</v>
      </c>
      <c r="AD1267" s="1" t="str">
        <f t="shared" si="66"/>
        <v/>
      </c>
      <c r="BA1267" s="1">
        <f>IF(W1267&lt;=Leltar_iv!$Y$1,I1267,0)</f>
        <v>0</v>
      </c>
    </row>
    <row r="1268" spans="1:53" s="1" customFormat="1" x14ac:dyDescent="0.25">
      <c r="A1268" s="18">
        <f>IF(COUNTIF($Y$6:Y1268,Y1268)=1,Y1268,Y1268+COUNTIF($Y$5:Y1267,Y1268))</f>
        <v>263</v>
      </c>
      <c r="B1268" s="1">
        <f>IF(AND(Kisero_iv!$N$2=C1268,Kisero_iv!$K$5=$B$3,SUM(I1268:L1272)&lt;&gt;0,$B$4=YEAR(W1268)),B1267+1,0)</f>
        <v>0</v>
      </c>
      <c r="C1268" s="1">
        <f t="shared" si="60"/>
        <v>263</v>
      </c>
      <c r="D1268" s="102" t="str">
        <f t="shared" si="61"/>
        <v/>
      </c>
      <c r="E1268" s="44"/>
      <c r="F1268" s="45"/>
      <c r="G1268" s="45"/>
      <c r="H1268" s="45"/>
      <c r="I1268" s="46"/>
      <c r="J1268" s="111" t="str">
        <f>IF(AND(G1268&lt;&gt;"",ISERROR(VLOOKUP(G1268,Keszlet!$C$5:$H$200,6,FALSE))=FALSE),VLOOKUP(G1268,Keszlet!$C$5:$H$200,6,FALSE),"")</f>
        <v/>
      </c>
      <c r="K1268" s="106" t="str">
        <f>IF(AND(G1268&lt;&gt;"",ISERROR(VLOOKUP(G1268,Keszlet!$C$5:$G$200,5,FALSE))=FALSE),VLOOKUP(G1268,Keszlet!$C$5:$G$200,5,FALSE),"")</f>
        <v/>
      </c>
      <c r="L1268" s="106" t="str">
        <f t="shared" si="62"/>
        <v/>
      </c>
      <c r="M1268" s="115" t="str">
        <f>IF(ISERROR(VLOOKUP(G1268,Keszlet!$C$5:$I$200,7,FALSE))=TRUE,"",IF(AND(J1267&lt;&gt;"",J1269=""),VLOOKUP(G1268,Keszlet!$C$5:$I$200,7,FALSE),""))</f>
        <v/>
      </c>
      <c r="Q1268" s="1">
        <f>VLOOKUP(G1268,Keszlet!$C$5:$E$205,3,FALSE)</f>
        <v>0</v>
      </c>
      <c r="T1268" s="1" t="str">
        <f t="shared" si="63"/>
        <v/>
      </c>
      <c r="U1268" s="1">
        <f t="shared" si="64"/>
        <v>0</v>
      </c>
      <c r="W1268" s="6">
        <f t="shared" si="67"/>
        <v>0</v>
      </c>
      <c r="X1268" s="6">
        <f t="shared" si="59"/>
        <v>0</v>
      </c>
      <c r="Y1268" s="1">
        <f t="shared" si="65"/>
        <v>1</v>
      </c>
      <c r="Z1268" s="1">
        <f>IF(COUNTIF($Y$6:Y1268,Y1268)=1,Y1268,Y1268+COUNTIF($Y$5:Y1267,Y1268))</f>
        <v>263</v>
      </c>
      <c r="AD1268" s="1" t="str">
        <f t="shared" si="66"/>
        <v/>
      </c>
      <c r="BA1268" s="1">
        <f>IF(W1268&lt;=Leltar_iv!$Y$1,I1268,0)</f>
        <v>0</v>
      </c>
    </row>
    <row r="1269" spans="1:53" s="1" customFormat="1" x14ac:dyDescent="0.25">
      <c r="A1269" s="18">
        <f>IF(COUNTIF($Y$6:Y1269,Y1269)=1,Y1269,Y1269+COUNTIF($Y$5:Y1268,Y1269))</f>
        <v>264</v>
      </c>
      <c r="B1269" s="1">
        <f>IF(AND(Kisero_iv!$N$2=C1269,Kisero_iv!$K$5=$B$3,SUM(I1269:L1273)&lt;&gt;0,$B$4=YEAR(W1269)),B1268+1,0)</f>
        <v>0</v>
      </c>
      <c r="C1269" s="1">
        <f t="shared" si="60"/>
        <v>264</v>
      </c>
      <c r="D1269" s="102" t="str">
        <f t="shared" si="61"/>
        <v/>
      </c>
      <c r="E1269" s="44"/>
      <c r="F1269" s="45"/>
      <c r="G1269" s="45"/>
      <c r="H1269" s="45"/>
      <c r="I1269" s="46"/>
      <c r="J1269" s="111" t="str">
        <f>IF(AND(G1269&lt;&gt;"",ISERROR(VLOOKUP(G1269,Keszlet!$C$5:$H$200,6,FALSE))=FALSE),VLOOKUP(G1269,Keszlet!$C$5:$H$200,6,FALSE),"")</f>
        <v/>
      </c>
      <c r="K1269" s="106" t="str">
        <f>IF(AND(G1269&lt;&gt;"",ISERROR(VLOOKUP(G1269,Keszlet!$C$5:$G$200,5,FALSE))=FALSE),VLOOKUP(G1269,Keszlet!$C$5:$G$200,5,FALSE),"")</f>
        <v/>
      </c>
      <c r="L1269" s="106" t="str">
        <f t="shared" si="62"/>
        <v/>
      </c>
      <c r="M1269" s="115" t="str">
        <f>IF(ISERROR(VLOOKUP(G1269,Keszlet!$C$5:$I$200,7,FALSE))=TRUE,"",IF(AND(J1268&lt;&gt;"",J1270=""),VLOOKUP(G1269,Keszlet!$C$5:$I$200,7,FALSE),""))</f>
        <v/>
      </c>
      <c r="Q1269" s="1">
        <f>VLOOKUP(G1269,Keszlet!$C$5:$E$205,3,FALSE)</f>
        <v>0</v>
      </c>
      <c r="T1269" s="1" t="str">
        <f t="shared" si="63"/>
        <v/>
      </c>
      <c r="U1269" s="1">
        <f t="shared" si="64"/>
        <v>0</v>
      </c>
      <c r="W1269" s="6">
        <f t="shared" si="67"/>
        <v>0</v>
      </c>
      <c r="X1269" s="6">
        <f t="shared" si="59"/>
        <v>0</v>
      </c>
      <c r="Y1269" s="1">
        <f t="shared" si="65"/>
        <v>1</v>
      </c>
      <c r="Z1269" s="1">
        <f>IF(COUNTIF($Y$6:Y1269,Y1269)=1,Y1269,Y1269+COUNTIF($Y$5:Y1268,Y1269))</f>
        <v>264</v>
      </c>
      <c r="AD1269" s="1" t="str">
        <f t="shared" si="66"/>
        <v/>
      </c>
      <c r="BA1269" s="1">
        <f>IF(W1269&lt;=Leltar_iv!$Y$1,I1269,0)</f>
        <v>0</v>
      </c>
    </row>
    <row r="1270" spans="1:53" s="1" customFormat="1" x14ac:dyDescent="0.25">
      <c r="A1270" s="18">
        <f>IF(COUNTIF($Y$6:Y1270,Y1270)=1,Y1270,Y1270+COUNTIF($Y$5:Y1269,Y1270))</f>
        <v>265</v>
      </c>
      <c r="B1270" s="1">
        <f>IF(AND(Kisero_iv!$N$2=C1270,Kisero_iv!$K$5=$B$3,SUM(I1270:L1274)&lt;&gt;0,$B$4=YEAR(W1270)),B1269+1,0)</f>
        <v>0</v>
      </c>
      <c r="C1270" s="1">
        <f t="shared" si="60"/>
        <v>265</v>
      </c>
      <c r="D1270" s="102" t="str">
        <f t="shared" si="61"/>
        <v/>
      </c>
      <c r="E1270" s="44"/>
      <c r="F1270" s="45"/>
      <c r="G1270" s="45"/>
      <c r="H1270" s="45"/>
      <c r="I1270" s="46"/>
      <c r="J1270" s="111" t="str">
        <f>IF(AND(G1270&lt;&gt;"",ISERROR(VLOOKUP(G1270,Keszlet!$C$5:$H$200,6,FALSE))=FALSE),VLOOKUP(G1270,Keszlet!$C$5:$H$200,6,FALSE),"")</f>
        <v/>
      </c>
      <c r="K1270" s="106" t="str">
        <f>IF(AND(G1270&lt;&gt;"",ISERROR(VLOOKUP(G1270,Keszlet!$C$5:$G$200,5,FALSE))=FALSE),VLOOKUP(G1270,Keszlet!$C$5:$G$200,5,FALSE),"")</f>
        <v/>
      </c>
      <c r="L1270" s="106" t="str">
        <f t="shared" si="62"/>
        <v/>
      </c>
      <c r="M1270" s="115" t="str">
        <f>IF(ISERROR(VLOOKUP(G1270,Keszlet!$C$5:$I$200,7,FALSE))=TRUE,"",IF(AND(J1269&lt;&gt;"",J1271=""),VLOOKUP(G1270,Keszlet!$C$5:$I$200,7,FALSE),""))</f>
        <v/>
      </c>
      <c r="Q1270" s="1">
        <f>VLOOKUP(G1270,Keszlet!$C$5:$E$205,3,FALSE)</f>
        <v>0</v>
      </c>
      <c r="T1270" s="1" t="str">
        <f t="shared" si="63"/>
        <v/>
      </c>
      <c r="U1270" s="1">
        <f t="shared" si="64"/>
        <v>0</v>
      </c>
      <c r="W1270" s="6">
        <f t="shared" si="67"/>
        <v>0</v>
      </c>
      <c r="X1270" s="6">
        <f t="shared" si="59"/>
        <v>0</v>
      </c>
      <c r="Y1270" s="1">
        <f t="shared" si="65"/>
        <v>1</v>
      </c>
      <c r="Z1270" s="1">
        <f>IF(COUNTIF($Y$6:Y1270,Y1270)=1,Y1270,Y1270+COUNTIF($Y$5:Y1269,Y1270))</f>
        <v>265</v>
      </c>
      <c r="AD1270" s="1" t="str">
        <f t="shared" si="66"/>
        <v/>
      </c>
      <c r="BA1270" s="1">
        <f>IF(W1270&lt;=Leltar_iv!$Y$1,I1270,0)</f>
        <v>0</v>
      </c>
    </row>
    <row r="1271" spans="1:53" s="1" customFormat="1" x14ac:dyDescent="0.25">
      <c r="A1271" s="18">
        <f>IF(COUNTIF($Y$6:Y1271,Y1271)=1,Y1271,Y1271+COUNTIF($Y$5:Y1270,Y1271))</f>
        <v>266</v>
      </c>
      <c r="B1271" s="1">
        <f>IF(AND(Kisero_iv!$N$2=C1271,Kisero_iv!$K$5=$B$3,SUM(I1271:L1275)&lt;&gt;0,$B$4=YEAR(W1271)),B1270+1,0)</f>
        <v>0</v>
      </c>
      <c r="C1271" s="1">
        <f t="shared" si="60"/>
        <v>266</v>
      </c>
      <c r="D1271" s="102" t="str">
        <f t="shared" si="61"/>
        <v/>
      </c>
      <c r="E1271" s="44"/>
      <c r="F1271" s="45"/>
      <c r="G1271" s="45"/>
      <c r="H1271" s="45"/>
      <c r="I1271" s="46"/>
      <c r="J1271" s="111" t="str">
        <f>IF(AND(G1271&lt;&gt;"",ISERROR(VLOOKUP(G1271,Keszlet!$C$5:$H$200,6,FALSE))=FALSE),VLOOKUP(G1271,Keszlet!$C$5:$H$200,6,FALSE),"")</f>
        <v/>
      </c>
      <c r="K1271" s="106" t="str">
        <f>IF(AND(G1271&lt;&gt;"",ISERROR(VLOOKUP(G1271,Keszlet!$C$5:$G$200,5,FALSE))=FALSE),VLOOKUP(G1271,Keszlet!$C$5:$G$200,5,FALSE),"")</f>
        <v/>
      </c>
      <c r="L1271" s="106" t="str">
        <f t="shared" si="62"/>
        <v/>
      </c>
      <c r="M1271" s="115" t="str">
        <f>IF(ISERROR(VLOOKUP(G1271,Keszlet!$C$5:$I$200,7,FALSE))=TRUE,"",IF(AND(J1270&lt;&gt;"",J1272=""),VLOOKUP(G1271,Keszlet!$C$5:$I$200,7,FALSE),""))</f>
        <v/>
      </c>
      <c r="Q1271" s="1">
        <f>VLOOKUP(G1271,Keszlet!$C$5:$E$205,3,FALSE)</f>
        <v>0</v>
      </c>
      <c r="T1271" s="1" t="str">
        <f t="shared" si="63"/>
        <v/>
      </c>
      <c r="U1271" s="1">
        <f t="shared" si="64"/>
        <v>0</v>
      </c>
      <c r="W1271" s="6">
        <f t="shared" si="67"/>
        <v>0</v>
      </c>
      <c r="X1271" s="6">
        <f t="shared" si="59"/>
        <v>0</v>
      </c>
      <c r="Y1271" s="1">
        <f t="shared" si="65"/>
        <v>1</v>
      </c>
      <c r="Z1271" s="1">
        <f>IF(COUNTIF($Y$6:Y1271,Y1271)=1,Y1271,Y1271+COUNTIF($Y$5:Y1270,Y1271))</f>
        <v>266</v>
      </c>
      <c r="AD1271" s="1" t="str">
        <f t="shared" si="66"/>
        <v/>
      </c>
      <c r="BA1271" s="1">
        <f>IF(W1271&lt;=Leltar_iv!$Y$1,I1271,0)</f>
        <v>0</v>
      </c>
    </row>
    <row r="1272" spans="1:53" s="1" customFormat="1" x14ac:dyDescent="0.25">
      <c r="A1272" s="18">
        <f>IF(COUNTIF($Y$6:Y1272,Y1272)=1,Y1272,Y1272+COUNTIF($Y$5:Y1271,Y1272))</f>
        <v>267</v>
      </c>
      <c r="B1272" s="1">
        <f>IF(AND(Kisero_iv!$N$2=C1272,Kisero_iv!$K$5=$B$3,SUM(I1272:L1276)&lt;&gt;0,$B$4=YEAR(W1272)),B1271+1,0)</f>
        <v>0</v>
      </c>
      <c r="C1272" s="1">
        <f t="shared" si="60"/>
        <v>267</v>
      </c>
      <c r="D1272" s="102" t="str">
        <f t="shared" si="61"/>
        <v/>
      </c>
      <c r="E1272" s="44"/>
      <c r="F1272" s="45"/>
      <c r="G1272" s="45"/>
      <c r="H1272" s="45"/>
      <c r="I1272" s="46"/>
      <c r="J1272" s="111" t="str">
        <f>IF(AND(G1272&lt;&gt;"",ISERROR(VLOOKUP(G1272,Keszlet!$C$5:$H$200,6,FALSE))=FALSE),VLOOKUP(G1272,Keszlet!$C$5:$H$200,6,FALSE),"")</f>
        <v/>
      </c>
      <c r="K1272" s="106" t="str">
        <f>IF(AND(G1272&lt;&gt;"",ISERROR(VLOOKUP(G1272,Keszlet!$C$5:$G$200,5,FALSE))=FALSE),VLOOKUP(G1272,Keszlet!$C$5:$G$200,5,FALSE),"")</f>
        <v/>
      </c>
      <c r="L1272" s="106" t="str">
        <f t="shared" si="62"/>
        <v/>
      </c>
      <c r="M1272" s="115" t="str">
        <f>IF(ISERROR(VLOOKUP(G1272,Keszlet!$C$5:$I$200,7,FALSE))=TRUE,"",IF(AND(J1271&lt;&gt;"",J1273=""),VLOOKUP(G1272,Keszlet!$C$5:$I$200,7,FALSE),""))</f>
        <v/>
      </c>
      <c r="Q1272" s="1">
        <f>VLOOKUP(G1272,Keszlet!$C$5:$E$205,3,FALSE)</f>
        <v>0</v>
      </c>
      <c r="T1272" s="1" t="str">
        <f t="shared" si="63"/>
        <v/>
      </c>
      <c r="U1272" s="1">
        <f t="shared" si="64"/>
        <v>0</v>
      </c>
      <c r="W1272" s="6">
        <f t="shared" si="67"/>
        <v>0</v>
      </c>
      <c r="X1272" s="6">
        <f t="shared" si="59"/>
        <v>0</v>
      </c>
      <c r="Y1272" s="1">
        <f t="shared" si="65"/>
        <v>1</v>
      </c>
      <c r="Z1272" s="1">
        <f>IF(COUNTIF($Y$6:Y1272,Y1272)=1,Y1272,Y1272+COUNTIF($Y$5:Y1271,Y1272))</f>
        <v>267</v>
      </c>
      <c r="AD1272" s="1" t="str">
        <f t="shared" si="66"/>
        <v/>
      </c>
      <c r="BA1272" s="1">
        <f>IF(W1272&lt;=Leltar_iv!$Y$1,I1272,0)</f>
        <v>0</v>
      </c>
    </row>
    <row r="1273" spans="1:53" s="1" customFormat="1" x14ac:dyDescent="0.25">
      <c r="A1273" s="18">
        <f>IF(COUNTIF($Y$6:Y1273,Y1273)=1,Y1273,Y1273+COUNTIF($Y$5:Y1272,Y1273))</f>
        <v>268</v>
      </c>
      <c r="B1273" s="1">
        <f>IF(AND(Kisero_iv!$N$2=C1273,Kisero_iv!$K$5=$B$3,SUM(I1273:L1277)&lt;&gt;0,$B$4=YEAR(W1273)),B1272+1,0)</f>
        <v>0</v>
      </c>
      <c r="C1273" s="1">
        <f t="shared" si="60"/>
        <v>268</v>
      </c>
      <c r="D1273" s="102" t="str">
        <f t="shared" si="61"/>
        <v/>
      </c>
      <c r="E1273" s="44"/>
      <c r="F1273" s="45"/>
      <c r="G1273" s="45"/>
      <c r="H1273" s="45"/>
      <c r="I1273" s="46"/>
      <c r="J1273" s="111" t="str">
        <f>IF(AND(G1273&lt;&gt;"",ISERROR(VLOOKUP(G1273,Keszlet!$C$5:$H$200,6,FALSE))=FALSE),VLOOKUP(G1273,Keszlet!$C$5:$H$200,6,FALSE),"")</f>
        <v/>
      </c>
      <c r="K1273" s="106" t="str">
        <f>IF(AND(G1273&lt;&gt;"",ISERROR(VLOOKUP(G1273,Keszlet!$C$5:$G$200,5,FALSE))=FALSE),VLOOKUP(G1273,Keszlet!$C$5:$G$200,5,FALSE),"")</f>
        <v/>
      </c>
      <c r="L1273" s="106" t="str">
        <f t="shared" si="62"/>
        <v/>
      </c>
      <c r="M1273" s="115" t="str">
        <f>IF(ISERROR(VLOOKUP(G1273,Keszlet!$C$5:$I$200,7,FALSE))=TRUE,"",IF(AND(J1272&lt;&gt;"",J1274=""),VLOOKUP(G1273,Keszlet!$C$5:$I$200,7,FALSE),""))</f>
        <v/>
      </c>
      <c r="Q1273" s="1">
        <f>VLOOKUP(G1273,Keszlet!$C$5:$E$205,3,FALSE)</f>
        <v>0</v>
      </c>
      <c r="T1273" s="1" t="str">
        <f t="shared" si="63"/>
        <v/>
      </c>
      <c r="U1273" s="1">
        <f t="shared" si="64"/>
        <v>0</v>
      </c>
      <c r="W1273" s="6">
        <f t="shared" si="67"/>
        <v>0</v>
      </c>
      <c r="X1273" s="6">
        <f t="shared" si="59"/>
        <v>0</v>
      </c>
      <c r="Y1273" s="1">
        <f t="shared" si="65"/>
        <v>1</v>
      </c>
      <c r="Z1273" s="1">
        <f>IF(COUNTIF($Y$6:Y1273,Y1273)=1,Y1273,Y1273+COUNTIF($Y$5:Y1272,Y1273))</f>
        <v>268</v>
      </c>
      <c r="AD1273" s="1" t="str">
        <f t="shared" si="66"/>
        <v/>
      </c>
      <c r="BA1273" s="1">
        <f>IF(W1273&lt;=Leltar_iv!$Y$1,I1273,0)</f>
        <v>0</v>
      </c>
    </row>
    <row r="1274" spans="1:53" s="1" customFormat="1" x14ac:dyDescent="0.25">
      <c r="A1274" s="18">
        <f>IF(COUNTIF($Y$6:Y1274,Y1274)=1,Y1274,Y1274+COUNTIF($Y$5:Y1273,Y1274))</f>
        <v>269</v>
      </c>
      <c r="B1274" s="1">
        <f>IF(AND(Kisero_iv!$N$2=C1274,Kisero_iv!$K$5=$B$3,SUM(I1274:L1278)&lt;&gt;0,$B$4=YEAR(W1274)),B1273+1,0)</f>
        <v>0</v>
      </c>
      <c r="C1274" s="1">
        <f t="shared" si="60"/>
        <v>269</v>
      </c>
      <c r="D1274" s="102" t="str">
        <f t="shared" si="61"/>
        <v/>
      </c>
      <c r="E1274" s="44"/>
      <c r="F1274" s="45"/>
      <c r="G1274" s="45"/>
      <c r="H1274" s="45"/>
      <c r="I1274" s="46"/>
      <c r="J1274" s="111" t="str">
        <f>IF(AND(G1274&lt;&gt;"",ISERROR(VLOOKUP(G1274,Keszlet!$C$5:$H$200,6,FALSE))=FALSE),VLOOKUP(G1274,Keszlet!$C$5:$H$200,6,FALSE),"")</f>
        <v/>
      </c>
      <c r="K1274" s="106" t="str">
        <f>IF(AND(G1274&lt;&gt;"",ISERROR(VLOOKUP(G1274,Keszlet!$C$5:$G$200,5,FALSE))=FALSE),VLOOKUP(G1274,Keszlet!$C$5:$G$200,5,FALSE),"")</f>
        <v/>
      </c>
      <c r="L1274" s="106" t="str">
        <f t="shared" si="62"/>
        <v/>
      </c>
      <c r="M1274" s="115" t="str">
        <f>IF(ISERROR(VLOOKUP(G1274,Keszlet!$C$5:$I$200,7,FALSE))=TRUE,"",IF(AND(J1273&lt;&gt;"",J1275=""),VLOOKUP(G1274,Keszlet!$C$5:$I$200,7,FALSE),""))</f>
        <v/>
      </c>
      <c r="Q1274" s="1">
        <f>VLOOKUP(G1274,Keszlet!$C$5:$E$205,3,FALSE)</f>
        <v>0</v>
      </c>
      <c r="T1274" s="1" t="str">
        <f t="shared" si="63"/>
        <v/>
      </c>
      <c r="U1274" s="1">
        <f t="shared" si="64"/>
        <v>0</v>
      </c>
      <c r="W1274" s="6">
        <f t="shared" si="67"/>
        <v>0</v>
      </c>
      <c r="X1274" s="6">
        <f t="shared" si="59"/>
        <v>0</v>
      </c>
      <c r="Y1274" s="1">
        <f t="shared" si="65"/>
        <v>1</v>
      </c>
      <c r="Z1274" s="1">
        <f>IF(COUNTIF($Y$6:Y1274,Y1274)=1,Y1274,Y1274+COUNTIF($Y$5:Y1273,Y1274))</f>
        <v>269</v>
      </c>
      <c r="AD1274" s="1" t="str">
        <f t="shared" si="66"/>
        <v/>
      </c>
      <c r="BA1274" s="1">
        <f>IF(W1274&lt;=Leltar_iv!$Y$1,I1274,0)</f>
        <v>0</v>
      </c>
    </row>
    <row r="1275" spans="1:53" s="1" customFormat="1" x14ac:dyDescent="0.25">
      <c r="A1275" s="18">
        <f>IF(COUNTIF($Y$6:Y1275,Y1275)=1,Y1275,Y1275+COUNTIF($Y$5:Y1274,Y1275))</f>
        <v>270</v>
      </c>
      <c r="B1275" s="1">
        <f>IF(AND(Kisero_iv!$N$2=C1275,Kisero_iv!$K$5=$B$3,SUM(I1275:L1279)&lt;&gt;0,$B$4=YEAR(W1275)),B1274+1,0)</f>
        <v>0</v>
      </c>
      <c r="C1275" s="1">
        <f t="shared" si="60"/>
        <v>270</v>
      </c>
      <c r="D1275" s="102" t="str">
        <f t="shared" si="61"/>
        <v/>
      </c>
      <c r="E1275" s="44"/>
      <c r="F1275" s="45"/>
      <c r="G1275" s="45"/>
      <c r="H1275" s="45"/>
      <c r="I1275" s="46"/>
      <c r="J1275" s="111" t="str">
        <f>IF(AND(G1275&lt;&gt;"",ISERROR(VLOOKUP(G1275,Keszlet!$C$5:$H$200,6,FALSE))=FALSE),VLOOKUP(G1275,Keszlet!$C$5:$H$200,6,FALSE),"")</f>
        <v/>
      </c>
      <c r="K1275" s="106" t="str">
        <f>IF(AND(G1275&lt;&gt;"",ISERROR(VLOOKUP(G1275,Keszlet!$C$5:$G$200,5,FALSE))=FALSE),VLOOKUP(G1275,Keszlet!$C$5:$G$200,5,FALSE),"")</f>
        <v/>
      </c>
      <c r="L1275" s="106" t="str">
        <f t="shared" si="62"/>
        <v/>
      </c>
      <c r="M1275" s="115" t="str">
        <f>IF(ISERROR(VLOOKUP(G1275,Keszlet!$C$5:$I$200,7,FALSE))=TRUE,"",IF(AND(J1274&lt;&gt;"",J1276=""),VLOOKUP(G1275,Keszlet!$C$5:$I$200,7,FALSE),""))</f>
        <v/>
      </c>
      <c r="Q1275" s="1">
        <f>VLOOKUP(G1275,Keszlet!$C$5:$E$205,3,FALSE)</f>
        <v>0</v>
      </c>
      <c r="T1275" s="1" t="str">
        <f t="shared" si="63"/>
        <v/>
      </c>
      <c r="U1275" s="1">
        <f t="shared" si="64"/>
        <v>0</v>
      </c>
      <c r="W1275" s="6">
        <f t="shared" si="67"/>
        <v>0</v>
      </c>
      <c r="X1275" s="6">
        <f t="shared" si="59"/>
        <v>0</v>
      </c>
      <c r="Y1275" s="1">
        <f t="shared" si="65"/>
        <v>1</v>
      </c>
      <c r="Z1275" s="1">
        <f>IF(COUNTIF($Y$6:Y1275,Y1275)=1,Y1275,Y1275+COUNTIF($Y$5:Y1274,Y1275))</f>
        <v>270</v>
      </c>
      <c r="AD1275" s="1" t="str">
        <f t="shared" si="66"/>
        <v/>
      </c>
      <c r="BA1275" s="1">
        <f>IF(W1275&lt;=Leltar_iv!$Y$1,I1275,0)</f>
        <v>0</v>
      </c>
    </row>
    <row r="1276" spans="1:53" s="1" customFormat="1" x14ac:dyDescent="0.25">
      <c r="A1276" s="18">
        <f>IF(COUNTIF($Y$6:Y1276,Y1276)=1,Y1276,Y1276+COUNTIF($Y$5:Y1275,Y1276))</f>
        <v>271</v>
      </c>
      <c r="B1276" s="1">
        <f>IF(AND(Kisero_iv!$N$2=C1276,Kisero_iv!$K$5=$B$3,SUM(I1276:L1280)&lt;&gt;0,$B$4=YEAR(W1276)),B1275+1,0)</f>
        <v>0</v>
      </c>
      <c r="C1276" s="1">
        <f t="shared" si="60"/>
        <v>271</v>
      </c>
      <c r="D1276" s="102" t="str">
        <f t="shared" si="61"/>
        <v/>
      </c>
      <c r="E1276" s="44"/>
      <c r="F1276" s="45"/>
      <c r="G1276" s="45"/>
      <c r="H1276" s="45"/>
      <c r="I1276" s="46"/>
      <c r="J1276" s="111" t="str">
        <f>IF(AND(G1276&lt;&gt;"",ISERROR(VLOOKUP(G1276,Keszlet!$C$5:$H$200,6,FALSE))=FALSE),VLOOKUP(G1276,Keszlet!$C$5:$H$200,6,FALSE),"")</f>
        <v/>
      </c>
      <c r="K1276" s="106" t="str">
        <f>IF(AND(G1276&lt;&gt;"",ISERROR(VLOOKUP(G1276,Keszlet!$C$5:$G$200,5,FALSE))=FALSE),VLOOKUP(G1276,Keszlet!$C$5:$G$200,5,FALSE),"")</f>
        <v/>
      </c>
      <c r="L1276" s="106" t="str">
        <f t="shared" si="62"/>
        <v/>
      </c>
      <c r="M1276" s="115" t="str">
        <f>IF(ISERROR(VLOOKUP(G1276,Keszlet!$C$5:$I$200,7,FALSE))=TRUE,"",IF(AND(J1275&lt;&gt;"",J1277=""),VLOOKUP(G1276,Keszlet!$C$5:$I$200,7,FALSE),""))</f>
        <v/>
      </c>
      <c r="Q1276" s="1">
        <f>VLOOKUP(G1276,Keszlet!$C$5:$E$205,3,FALSE)</f>
        <v>0</v>
      </c>
      <c r="T1276" s="1" t="str">
        <f t="shared" si="63"/>
        <v/>
      </c>
      <c r="U1276" s="1">
        <f t="shared" si="64"/>
        <v>0</v>
      </c>
      <c r="W1276" s="6">
        <f t="shared" si="67"/>
        <v>0</v>
      </c>
      <c r="X1276" s="6">
        <f t="shared" si="59"/>
        <v>0</v>
      </c>
      <c r="Y1276" s="1">
        <f t="shared" si="65"/>
        <v>1</v>
      </c>
      <c r="Z1276" s="1">
        <f>IF(COUNTIF($Y$6:Y1276,Y1276)=1,Y1276,Y1276+COUNTIF($Y$5:Y1275,Y1276))</f>
        <v>271</v>
      </c>
      <c r="AD1276" s="1" t="str">
        <f t="shared" si="66"/>
        <v/>
      </c>
      <c r="BA1276" s="1">
        <f>IF(W1276&lt;=Leltar_iv!$Y$1,I1276,0)</f>
        <v>0</v>
      </c>
    </row>
    <row r="1277" spans="1:53" s="1" customFormat="1" x14ac:dyDescent="0.25">
      <c r="A1277" s="18">
        <f>IF(COUNTIF($Y$6:Y1277,Y1277)=1,Y1277,Y1277+COUNTIF($Y$5:Y1276,Y1277))</f>
        <v>272</v>
      </c>
      <c r="B1277" s="1">
        <f>IF(AND(Kisero_iv!$N$2=C1277,Kisero_iv!$K$5=$B$3,SUM(I1277:L1281)&lt;&gt;0,$B$4=YEAR(W1277)),B1276+1,0)</f>
        <v>0</v>
      </c>
      <c r="C1277" s="1">
        <f t="shared" si="60"/>
        <v>272</v>
      </c>
      <c r="D1277" s="102" t="str">
        <f t="shared" si="61"/>
        <v/>
      </c>
      <c r="E1277" s="44"/>
      <c r="F1277" s="45"/>
      <c r="G1277" s="45"/>
      <c r="H1277" s="45"/>
      <c r="I1277" s="46"/>
      <c r="J1277" s="111" t="str">
        <f>IF(AND(G1277&lt;&gt;"",ISERROR(VLOOKUP(G1277,Keszlet!$C$5:$H$200,6,FALSE))=FALSE),VLOOKUP(G1277,Keszlet!$C$5:$H$200,6,FALSE),"")</f>
        <v/>
      </c>
      <c r="K1277" s="106" t="str">
        <f>IF(AND(G1277&lt;&gt;"",ISERROR(VLOOKUP(G1277,Keszlet!$C$5:$G$200,5,FALSE))=FALSE),VLOOKUP(G1277,Keszlet!$C$5:$G$200,5,FALSE),"")</f>
        <v/>
      </c>
      <c r="L1277" s="106" t="str">
        <f t="shared" si="62"/>
        <v/>
      </c>
      <c r="M1277" s="115" t="str">
        <f>IF(ISERROR(VLOOKUP(G1277,Keszlet!$C$5:$I$200,7,FALSE))=TRUE,"",IF(AND(J1276&lt;&gt;"",J1278=""),VLOOKUP(G1277,Keszlet!$C$5:$I$200,7,FALSE),""))</f>
        <v/>
      </c>
      <c r="Q1277" s="1">
        <f>VLOOKUP(G1277,Keszlet!$C$5:$E$205,3,FALSE)</f>
        <v>0</v>
      </c>
      <c r="T1277" s="1" t="str">
        <f t="shared" si="63"/>
        <v/>
      </c>
      <c r="U1277" s="1">
        <f t="shared" si="64"/>
        <v>0</v>
      </c>
      <c r="W1277" s="6">
        <f t="shared" si="67"/>
        <v>0</v>
      </c>
      <c r="X1277" s="6">
        <f t="shared" si="59"/>
        <v>0</v>
      </c>
      <c r="Y1277" s="1">
        <f t="shared" si="65"/>
        <v>1</v>
      </c>
      <c r="Z1277" s="1">
        <f>IF(COUNTIF($Y$6:Y1277,Y1277)=1,Y1277,Y1277+COUNTIF($Y$5:Y1276,Y1277))</f>
        <v>272</v>
      </c>
      <c r="AD1277" s="1" t="str">
        <f t="shared" si="66"/>
        <v/>
      </c>
      <c r="BA1277" s="1">
        <f>IF(W1277&lt;=Leltar_iv!$Y$1,I1277,0)</f>
        <v>0</v>
      </c>
    </row>
    <row r="1278" spans="1:53" s="1" customFormat="1" x14ac:dyDescent="0.25">
      <c r="A1278" s="18">
        <f>IF(COUNTIF($Y$6:Y1278,Y1278)=1,Y1278,Y1278+COUNTIF($Y$5:Y1277,Y1278))</f>
        <v>273</v>
      </c>
      <c r="B1278" s="1">
        <f>IF(AND(Kisero_iv!$N$2=C1278,Kisero_iv!$K$5=$B$3,SUM(I1278:L1282)&lt;&gt;0,$B$4=YEAR(W1278)),B1277+1,0)</f>
        <v>0</v>
      </c>
      <c r="C1278" s="1">
        <f t="shared" si="60"/>
        <v>273</v>
      </c>
      <c r="D1278" s="102" t="str">
        <f t="shared" si="61"/>
        <v/>
      </c>
      <c r="E1278" s="44"/>
      <c r="F1278" s="45"/>
      <c r="G1278" s="45"/>
      <c r="H1278" s="45"/>
      <c r="I1278" s="46"/>
      <c r="J1278" s="111" t="str">
        <f>IF(AND(G1278&lt;&gt;"",ISERROR(VLOOKUP(G1278,Keszlet!$C$5:$H$200,6,FALSE))=FALSE),VLOOKUP(G1278,Keszlet!$C$5:$H$200,6,FALSE),"")</f>
        <v/>
      </c>
      <c r="K1278" s="106" t="str">
        <f>IF(AND(G1278&lt;&gt;"",ISERROR(VLOOKUP(G1278,Keszlet!$C$5:$G$200,5,FALSE))=FALSE),VLOOKUP(G1278,Keszlet!$C$5:$G$200,5,FALSE),"")</f>
        <v/>
      </c>
      <c r="L1278" s="106" t="str">
        <f t="shared" si="62"/>
        <v/>
      </c>
      <c r="M1278" s="115" t="str">
        <f>IF(ISERROR(VLOOKUP(G1278,Keszlet!$C$5:$I$200,7,FALSE))=TRUE,"",IF(AND(J1277&lt;&gt;"",J1279=""),VLOOKUP(G1278,Keszlet!$C$5:$I$200,7,FALSE),""))</f>
        <v/>
      </c>
      <c r="Q1278" s="1">
        <f>VLOOKUP(G1278,Keszlet!$C$5:$E$205,3,FALSE)</f>
        <v>0</v>
      </c>
      <c r="T1278" s="1" t="str">
        <f t="shared" si="63"/>
        <v/>
      </c>
      <c r="U1278" s="1">
        <f t="shared" si="64"/>
        <v>0</v>
      </c>
      <c r="W1278" s="6">
        <f t="shared" si="67"/>
        <v>0</v>
      </c>
      <c r="X1278" s="6">
        <f t="shared" si="59"/>
        <v>0</v>
      </c>
      <c r="Y1278" s="1">
        <f t="shared" si="65"/>
        <v>1</v>
      </c>
      <c r="Z1278" s="1">
        <f>IF(COUNTIF($Y$6:Y1278,Y1278)=1,Y1278,Y1278+COUNTIF($Y$5:Y1277,Y1278))</f>
        <v>273</v>
      </c>
      <c r="AD1278" s="1" t="str">
        <f t="shared" si="66"/>
        <v/>
      </c>
      <c r="BA1278" s="1">
        <f>IF(W1278&lt;=Leltar_iv!$Y$1,I1278,0)</f>
        <v>0</v>
      </c>
    </row>
    <row r="1279" spans="1:53" s="1" customFormat="1" x14ac:dyDescent="0.25">
      <c r="A1279" s="18">
        <f>IF(COUNTIF($Y$6:Y1279,Y1279)=1,Y1279,Y1279+COUNTIF($Y$5:Y1278,Y1279))</f>
        <v>274</v>
      </c>
      <c r="B1279" s="1">
        <f>IF(AND(Kisero_iv!$N$2=C1279,Kisero_iv!$K$5=$B$3,SUM(I1279:L1283)&lt;&gt;0,$B$4=YEAR(W1279)),B1278+1,0)</f>
        <v>0</v>
      </c>
      <c r="C1279" s="1">
        <f t="shared" si="60"/>
        <v>274</v>
      </c>
      <c r="D1279" s="102" t="str">
        <f t="shared" si="61"/>
        <v/>
      </c>
      <c r="E1279" s="44"/>
      <c r="F1279" s="45"/>
      <c r="G1279" s="45"/>
      <c r="H1279" s="45"/>
      <c r="I1279" s="46"/>
      <c r="J1279" s="111" t="str">
        <f>IF(AND(G1279&lt;&gt;"",ISERROR(VLOOKUP(G1279,Keszlet!$C$5:$H$200,6,FALSE))=FALSE),VLOOKUP(G1279,Keszlet!$C$5:$H$200,6,FALSE),"")</f>
        <v/>
      </c>
      <c r="K1279" s="106" t="str">
        <f>IF(AND(G1279&lt;&gt;"",ISERROR(VLOOKUP(G1279,Keszlet!$C$5:$G$200,5,FALSE))=FALSE),VLOOKUP(G1279,Keszlet!$C$5:$G$200,5,FALSE),"")</f>
        <v/>
      </c>
      <c r="L1279" s="106" t="str">
        <f t="shared" si="62"/>
        <v/>
      </c>
      <c r="M1279" s="115" t="str">
        <f>IF(ISERROR(VLOOKUP(G1279,Keszlet!$C$5:$I$200,7,FALSE))=TRUE,"",IF(AND(J1278&lt;&gt;"",J1280=""),VLOOKUP(G1279,Keszlet!$C$5:$I$200,7,FALSE),""))</f>
        <v/>
      </c>
      <c r="Q1279" s="1">
        <f>VLOOKUP(G1279,Keszlet!$C$5:$E$205,3,FALSE)</f>
        <v>0</v>
      </c>
      <c r="T1279" s="1" t="str">
        <f t="shared" si="63"/>
        <v/>
      </c>
      <c r="U1279" s="1">
        <f t="shared" si="64"/>
        <v>0</v>
      </c>
      <c r="W1279" s="6">
        <f t="shared" si="67"/>
        <v>0</v>
      </c>
      <c r="X1279" s="6">
        <f t="shared" si="59"/>
        <v>0</v>
      </c>
      <c r="Y1279" s="1">
        <f t="shared" si="65"/>
        <v>1</v>
      </c>
      <c r="Z1279" s="1">
        <f>IF(COUNTIF($Y$6:Y1279,Y1279)=1,Y1279,Y1279+COUNTIF($Y$5:Y1278,Y1279))</f>
        <v>274</v>
      </c>
      <c r="AD1279" s="1" t="str">
        <f t="shared" si="66"/>
        <v/>
      </c>
      <c r="BA1279" s="1">
        <f>IF(W1279&lt;=Leltar_iv!$Y$1,I1279,0)</f>
        <v>0</v>
      </c>
    </row>
    <row r="1280" spans="1:53" s="1" customFormat="1" x14ac:dyDescent="0.25">
      <c r="A1280" s="18">
        <f>IF(COUNTIF($Y$6:Y1280,Y1280)=1,Y1280,Y1280+COUNTIF($Y$5:Y1279,Y1280))</f>
        <v>275</v>
      </c>
      <c r="B1280" s="1">
        <f>IF(AND(Kisero_iv!$N$2=C1280,Kisero_iv!$K$5=$B$3,SUM(I1280:L1284)&lt;&gt;0,$B$4=YEAR(W1280)),B1279+1,0)</f>
        <v>0</v>
      </c>
      <c r="C1280" s="1">
        <f t="shared" si="60"/>
        <v>275</v>
      </c>
      <c r="D1280" s="102" t="str">
        <f t="shared" si="61"/>
        <v/>
      </c>
      <c r="E1280" s="44"/>
      <c r="F1280" s="45"/>
      <c r="G1280" s="45"/>
      <c r="H1280" s="45"/>
      <c r="I1280" s="46"/>
      <c r="J1280" s="111" t="str">
        <f>IF(AND(G1280&lt;&gt;"",ISERROR(VLOOKUP(G1280,Keszlet!$C$5:$H$200,6,FALSE))=FALSE),VLOOKUP(G1280,Keszlet!$C$5:$H$200,6,FALSE),"")</f>
        <v/>
      </c>
      <c r="K1280" s="106" t="str">
        <f>IF(AND(G1280&lt;&gt;"",ISERROR(VLOOKUP(G1280,Keszlet!$C$5:$G$200,5,FALSE))=FALSE),VLOOKUP(G1280,Keszlet!$C$5:$G$200,5,FALSE),"")</f>
        <v/>
      </c>
      <c r="L1280" s="106" t="str">
        <f t="shared" si="62"/>
        <v/>
      </c>
      <c r="M1280" s="115" t="str">
        <f>IF(ISERROR(VLOOKUP(G1280,Keszlet!$C$5:$I$200,7,FALSE))=TRUE,"",IF(AND(J1279&lt;&gt;"",J1281=""),VLOOKUP(G1280,Keszlet!$C$5:$I$200,7,FALSE),""))</f>
        <v/>
      </c>
      <c r="Q1280" s="1">
        <f>VLOOKUP(G1280,Keszlet!$C$5:$E$205,3,FALSE)</f>
        <v>0</v>
      </c>
      <c r="T1280" s="1" t="str">
        <f t="shared" si="63"/>
        <v/>
      </c>
      <c r="U1280" s="1">
        <f t="shared" si="64"/>
        <v>0</v>
      </c>
      <c r="W1280" s="6">
        <f t="shared" si="67"/>
        <v>0</v>
      </c>
      <c r="X1280" s="6">
        <f t="shared" si="59"/>
        <v>0</v>
      </c>
      <c r="Y1280" s="1">
        <f t="shared" si="65"/>
        <v>1</v>
      </c>
      <c r="Z1280" s="1">
        <f>IF(COUNTIF($Y$6:Y1280,Y1280)=1,Y1280,Y1280+COUNTIF($Y$5:Y1279,Y1280))</f>
        <v>275</v>
      </c>
      <c r="AD1280" s="1" t="str">
        <f t="shared" si="66"/>
        <v/>
      </c>
      <c r="BA1280" s="1">
        <f>IF(W1280&lt;=Leltar_iv!$Y$1,I1280,0)</f>
        <v>0</v>
      </c>
    </row>
    <row r="1281" spans="1:53" s="1" customFormat="1" x14ac:dyDescent="0.25">
      <c r="A1281" s="18">
        <f>IF(COUNTIF($Y$6:Y1281,Y1281)=1,Y1281,Y1281+COUNTIF($Y$5:Y1280,Y1281))</f>
        <v>276</v>
      </c>
      <c r="B1281" s="1">
        <f>IF(AND(Kisero_iv!$N$2=C1281,Kisero_iv!$K$5=$B$3,SUM(I1281:L1285)&lt;&gt;0,$B$4=YEAR(W1281)),B1280+1,0)</f>
        <v>0</v>
      </c>
      <c r="C1281" s="1">
        <f t="shared" si="60"/>
        <v>276</v>
      </c>
      <c r="D1281" s="102" t="str">
        <f t="shared" si="61"/>
        <v/>
      </c>
      <c r="E1281" s="44"/>
      <c r="F1281" s="45"/>
      <c r="G1281" s="45"/>
      <c r="H1281" s="45"/>
      <c r="I1281" s="46"/>
      <c r="J1281" s="111" t="str">
        <f>IF(AND(G1281&lt;&gt;"",ISERROR(VLOOKUP(G1281,Keszlet!$C$5:$H$200,6,FALSE))=FALSE),VLOOKUP(G1281,Keszlet!$C$5:$H$200,6,FALSE),"")</f>
        <v/>
      </c>
      <c r="K1281" s="106" t="str">
        <f>IF(AND(G1281&lt;&gt;"",ISERROR(VLOOKUP(G1281,Keszlet!$C$5:$G$200,5,FALSE))=FALSE),VLOOKUP(G1281,Keszlet!$C$5:$G$200,5,FALSE),"")</f>
        <v/>
      </c>
      <c r="L1281" s="106" t="str">
        <f t="shared" si="62"/>
        <v/>
      </c>
      <c r="M1281" s="115" t="str">
        <f>IF(ISERROR(VLOOKUP(G1281,Keszlet!$C$5:$I$200,7,FALSE))=TRUE,"",IF(AND(J1280&lt;&gt;"",J1282=""),VLOOKUP(G1281,Keszlet!$C$5:$I$200,7,FALSE),""))</f>
        <v/>
      </c>
      <c r="Q1281" s="1">
        <f>VLOOKUP(G1281,Keszlet!$C$5:$E$205,3,FALSE)</f>
        <v>0</v>
      </c>
      <c r="T1281" s="1" t="str">
        <f t="shared" si="63"/>
        <v/>
      </c>
      <c r="U1281" s="1">
        <f t="shared" si="64"/>
        <v>0</v>
      </c>
      <c r="W1281" s="6">
        <f t="shared" si="67"/>
        <v>0</v>
      </c>
      <c r="X1281" s="6">
        <f t="shared" si="59"/>
        <v>0</v>
      </c>
      <c r="Y1281" s="1">
        <f t="shared" si="65"/>
        <v>1</v>
      </c>
      <c r="Z1281" s="1">
        <f>IF(COUNTIF($Y$6:Y1281,Y1281)=1,Y1281,Y1281+COUNTIF($Y$5:Y1280,Y1281))</f>
        <v>276</v>
      </c>
      <c r="AD1281" s="1" t="str">
        <f t="shared" si="66"/>
        <v/>
      </c>
      <c r="BA1281" s="1">
        <f>IF(W1281&lt;=Leltar_iv!$Y$1,I1281,0)</f>
        <v>0</v>
      </c>
    </row>
    <row r="1282" spans="1:53" s="1" customFormat="1" x14ac:dyDescent="0.25">
      <c r="A1282" s="18">
        <f>IF(COUNTIF($Y$6:Y1282,Y1282)=1,Y1282,Y1282+COUNTIF($Y$5:Y1281,Y1282))</f>
        <v>277</v>
      </c>
      <c r="B1282" s="1">
        <f>IF(AND(Kisero_iv!$N$2=C1282,Kisero_iv!$K$5=$B$3,SUM(I1282:L1286)&lt;&gt;0,$B$4=YEAR(W1282)),B1281+1,0)</f>
        <v>0</v>
      </c>
      <c r="C1282" s="1">
        <f t="shared" si="60"/>
        <v>277</v>
      </c>
      <c r="D1282" s="102" t="str">
        <f t="shared" si="61"/>
        <v/>
      </c>
      <c r="E1282" s="44"/>
      <c r="F1282" s="45"/>
      <c r="G1282" s="45"/>
      <c r="H1282" s="45"/>
      <c r="I1282" s="46"/>
      <c r="J1282" s="111" t="str">
        <f>IF(AND(G1282&lt;&gt;"",ISERROR(VLOOKUP(G1282,Keszlet!$C$5:$H$200,6,FALSE))=FALSE),VLOOKUP(G1282,Keszlet!$C$5:$H$200,6,FALSE),"")</f>
        <v/>
      </c>
      <c r="K1282" s="106" t="str">
        <f>IF(AND(G1282&lt;&gt;"",ISERROR(VLOOKUP(G1282,Keszlet!$C$5:$G$200,5,FALSE))=FALSE),VLOOKUP(G1282,Keszlet!$C$5:$G$200,5,FALSE),"")</f>
        <v/>
      </c>
      <c r="L1282" s="106" t="str">
        <f t="shared" si="62"/>
        <v/>
      </c>
      <c r="M1282" s="115" t="str">
        <f>IF(ISERROR(VLOOKUP(G1282,Keszlet!$C$5:$I$200,7,FALSE))=TRUE,"",IF(AND(J1281&lt;&gt;"",J1283=""),VLOOKUP(G1282,Keszlet!$C$5:$I$200,7,FALSE),""))</f>
        <v/>
      </c>
      <c r="Q1282" s="1">
        <f>VLOOKUP(G1282,Keszlet!$C$5:$E$205,3,FALSE)</f>
        <v>0</v>
      </c>
      <c r="T1282" s="1" t="str">
        <f t="shared" si="63"/>
        <v/>
      </c>
      <c r="U1282" s="1">
        <f t="shared" si="64"/>
        <v>0</v>
      </c>
      <c r="W1282" s="6">
        <f t="shared" si="67"/>
        <v>0</v>
      </c>
      <c r="X1282" s="6">
        <f t="shared" si="59"/>
        <v>0</v>
      </c>
      <c r="Y1282" s="1">
        <f t="shared" si="65"/>
        <v>1</v>
      </c>
      <c r="Z1282" s="1">
        <f>IF(COUNTIF($Y$6:Y1282,Y1282)=1,Y1282,Y1282+COUNTIF($Y$5:Y1281,Y1282))</f>
        <v>277</v>
      </c>
      <c r="AD1282" s="1" t="str">
        <f t="shared" si="66"/>
        <v/>
      </c>
      <c r="BA1282" s="1">
        <f>IF(W1282&lt;=Leltar_iv!$Y$1,I1282,0)</f>
        <v>0</v>
      </c>
    </row>
    <row r="1283" spans="1:53" s="1" customFormat="1" x14ac:dyDescent="0.25">
      <c r="A1283" s="18">
        <f>IF(COUNTIF($Y$6:Y1283,Y1283)=1,Y1283,Y1283+COUNTIF($Y$5:Y1282,Y1283))</f>
        <v>278</v>
      </c>
      <c r="B1283" s="1">
        <f>IF(AND(Kisero_iv!$N$2=C1283,Kisero_iv!$K$5=$B$3,SUM(I1283:L1287)&lt;&gt;0,$B$4=YEAR(W1283)),B1282+1,0)</f>
        <v>0</v>
      </c>
      <c r="C1283" s="1">
        <f t="shared" si="60"/>
        <v>278</v>
      </c>
      <c r="D1283" s="102" t="str">
        <f t="shared" si="61"/>
        <v/>
      </c>
      <c r="E1283" s="44"/>
      <c r="F1283" s="45"/>
      <c r="G1283" s="45"/>
      <c r="H1283" s="45"/>
      <c r="I1283" s="46"/>
      <c r="J1283" s="111" t="str">
        <f>IF(AND(G1283&lt;&gt;"",ISERROR(VLOOKUP(G1283,Keszlet!$C$5:$H$200,6,FALSE))=FALSE),VLOOKUP(G1283,Keszlet!$C$5:$H$200,6,FALSE),"")</f>
        <v/>
      </c>
      <c r="K1283" s="106" t="str">
        <f>IF(AND(G1283&lt;&gt;"",ISERROR(VLOOKUP(G1283,Keszlet!$C$5:$G$200,5,FALSE))=FALSE),VLOOKUP(G1283,Keszlet!$C$5:$G$200,5,FALSE),"")</f>
        <v/>
      </c>
      <c r="L1283" s="106" t="str">
        <f t="shared" si="62"/>
        <v/>
      </c>
      <c r="M1283" s="115" t="str">
        <f>IF(ISERROR(VLOOKUP(G1283,Keszlet!$C$5:$I$200,7,FALSE))=TRUE,"",IF(AND(J1282&lt;&gt;"",J1284=""),VLOOKUP(G1283,Keszlet!$C$5:$I$200,7,FALSE),""))</f>
        <v/>
      </c>
      <c r="Q1283" s="1">
        <f>VLOOKUP(G1283,Keszlet!$C$5:$E$205,3,FALSE)</f>
        <v>0</v>
      </c>
      <c r="T1283" s="1" t="str">
        <f t="shared" si="63"/>
        <v/>
      </c>
      <c r="U1283" s="1">
        <f t="shared" si="64"/>
        <v>0</v>
      </c>
      <c r="W1283" s="6">
        <f t="shared" si="67"/>
        <v>0</v>
      </c>
      <c r="X1283" s="6">
        <f t="shared" si="59"/>
        <v>0</v>
      </c>
      <c r="Y1283" s="1">
        <f t="shared" si="65"/>
        <v>1</v>
      </c>
      <c r="Z1283" s="1">
        <f>IF(COUNTIF($Y$6:Y1283,Y1283)=1,Y1283,Y1283+COUNTIF($Y$5:Y1282,Y1283))</f>
        <v>278</v>
      </c>
      <c r="AD1283" s="1" t="str">
        <f t="shared" si="66"/>
        <v/>
      </c>
      <c r="BA1283" s="1">
        <f>IF(W1283&lt;=Leltar_iv!$Y$1,I1283,0)</f>
        <v>0</v>
      </c>
    </row>
    <row r="1284" spans="1:53" s="1" customFormat="1" x14ac:dyDescent="0.25">
      <c r="A1284" s="18">
        <f>IF(COUNTIF($Y$6:Y1284,Y1284)=1,Y1284,Y1284+COUNTIF($Y$5:Y1283,Y1284))</f>
        <v>279</v>
      </c>
      <c r="B1284" s="1">
        <f>IF(AND(Kisero_iv!$N$2=C1284,Kisero_iv!$K$5=$B$3,SUM(I1284:L1288)&lt;&gt;0,$B$4=YEAR(W1284)),B1283+1,0)</f>
        <v>0</v>
      </c>
      <c r="C1284" s="1">
        <f t="shared" si="60"/>
        <v>279</v>
      </c>
      <c r="D1284" s="102" t="str">
        <f t="shared" si="61"/>
        <v/>
      </c>
      <c r="E1284" s="44"/>
      <c r="F1284" s="45"/>
      <c r="G1284" s="45"/>
      <c r="H1284" s="45"/>
      <c r="I1284" s="46"/>
      <c r="J1284" s="111" t="str">
        <f>IF(AND(G1284&lt;&gt;"",ISERROR(VLOOKUP(G1284,Keszlet!$C$5:$H$200,6,FALSE))=FALSE),VLOOKUP(G1284,Keszlet!$C$5:$H$200,6,FALSE),"")</f>
        <v/>
      </c>
      <c r="K1284" s="106" t="str">
        <f>IF(AND(G1284&lt;&gt;"",ISERROR(VLOOKUP(G1284,Keszlet!$C$5:$G$200,5,FALSE))=FALSE),VLOOKUP(G1284,Keszlet!$C$5:$G$200,5,FALSE),"")</f>
        <v/>
      </c>
      <c r="L1284" s="106" t="str">
        <f t="shared" si="62"/>
        <v/>
      </c>
      <c r="M1284" s="115" t="str">
        <f>IF(ISERROR(VLOOKUP(G1284,Keszlet!$C$5:$I$200,7,FALSE))=TRUE,"",IF(AND(J1283&lt;&gt;"",J1285=""),VLOOKUP(G1284,Keszlet!$C$5:$I$200,7,FALSE),""))</f>
        <v/>
      </c>
      <c r="Q1284" s="1">
        <f>VLOOKUP(G1284,Keszlet!$C$5:$E$205,3,FALSE)</f>
        <v>0</v>
      </c>
      <c r="T1284" s="1" t="str">
        <f t="shared" si="63"/>
        <v/>
      </c>
      <c r="U1284" s="1">
        <f t="shared" si="64"/>
        <v>0</v>
      </c>
      <c r="W1284" s="6">
        <f t="shared" si="67"/>
        <v>0</v>
      </c>
      <c r="X1284" s="6">
        <f t="shared" si="59"/>
        <v>0</v>
      </c>
      <c r="Y1284" s="1">
        <f t="shared" si="65"/>
        <v>1</v>
      </c>
      <c r="Z1284" s="1">
        <f>IF(COUNTIF($Y$6:Y1284,Y1284)=1,Y1284,Y1284+COUNTIF($Y$5:Y1283,Y1284))</f>
        <v>279</v>
      </c>
      <c r="AD1284" s="1" t="str">
        <f t="shared" si="66"/>
        <v/>
      </c>
      <c r="BA1284" s="1">
        <f>IF(W1284&lt;=Leltar_iv!$Y$1,I1284,0)</f>
        <v>0</v>
      </c>
    </row>
    <row r="1285" spans="1:53" s="1" customFormat="1" x14ac:dyDescent="0.25">
      <c r="A1285" s="18">
        <f>IF(COUNTIF($Y$6:Y1285,Y1285)=1,Y1285,Y1285+COUNTIF($Y$5:Y1284,Y1285))</f>
        <v>280</v>
      </c>
      <c r="B1285" s="1">
        <f>IF(AND(Kisero_iv!$N$2=C1285,Kisero_iv!$K$5=$B$3,SUM(I1285:L1289)&lt;&gt;0,$B$4=YEAR(W1285)),B1284+1,0)</f>
        <v>0</v>
      </c>
      <c r="C1285" s="1">
        <f t="shared" si="60"/>
        <v>280</v>
      </c>
      <c r="D1285" s="102" t="str">
        <f t="shared" si="61"/>
        <v/>
      </c>
      <c r="E1285" s="44"/>
      <c r="F1285" s="45"/>
      <c r="G1285" s="45"/>
      <c r="H1285" s="45"/>
      <c r="I1285" s="46"/>
      <c r="J1285" s="111" t="str">
        <f>IF(AND(G1285&lt;&gt;"",ISERROR(VLOOKUP(G1285,Keszlet!$C$5:$H$200,6,FALSE))=FALSE),VLOOKUP(G1285,Keszlet!$C$5:$H$200,6,FALSE),"")</f>
        <v/>
      </c>
      <c r="K1285" s="106" t="str">
        <f>IF(AND(G1285&lt;&gt;"",ISERROR(VLOOKUP(G1285,Keszlet!$C$5:$G$200,5,FALSE))=FALSE),VLOOKUP(G1285,Keszlet!$C$5:$G$200,5,FALSE),"")</f>
        <v/>
      </c>
      <c r="L1285" s="106" t="str">
        <f t="shared" si="62"/>
        <v/>
      </c>
      <c r="M1285" s="115" t="str">
        <f>IF(ISERROR(VLOOKUP(G1285,Keszlet!$C$5:$I$200,7,FALSE))=TRUE,"",IF(AND(J1284&lt;&gt;"",J1286=""),VLOOKUP(G1285,Keszlet!$C$5:$I$200,7,FALSE),""))</f>
        <v/>
      </c>
      <c r="Q1285" s="1">
        <f>VLOOKUP(G1285,Keszlet!$C$5:$E$205,3,FALSE)</f>
        <v>0</v>
      </c>
      <c r="T1285" s="1" t="str">
        <f t="shared" si="63"/>
        <v/>
      </c>
      <c r="U1285" s="1">
        <f t="shared" si="64"/>
        <v>0</v>
      </c>
      <c r="W1285" s="6">
        <f t="shared" si="67"/>
        <v>0</v>
      </c>
      <c r="X1285" s="6">
        <f t="shared" si="59"/>
        <v>0</v>
      </c>
      <c r="Y1285" s="1">
        <f t="shared" si="65"/>
        <v>1</v>
      </c>
      <c r="Z1285" s="1">
        <f>IF(COUNTIF($Y$6:Y1285,Y1285)=1,Y1285,Y1285+COUNTIF($Y$5:Y1284,Y1285))</f>
        <v>280</v>
      </c>
      <c r="AD1285" s="1" t="str">
        <f t="shared" si="66"/>
        <v/>
      </c>
      <c r="BA1285" s="1">
        <f>IF(W1285&lt;=Leltar_iv!$Y$1,I1285,0)</f>
        <v>0</v>
      </c>
    </row>
    <row r="1286" spans="1:53" s="1" customFormat="1" x14ac:dyDescent="0.25">
      <c r="A1286" s="18">
        <f>IF(COUNTIF($Y$6:Y1286,Y1286)=1,Y1286,Y1286+COUNTIF($Y$5:Y1285,Y1286))</f>
        <v>281</v>
      </c>
      <c r="B1286" s="1">
        <f>IF(AND(Kisero_iv!$N$2=C1286,Kisero_iv!$K$5=$B$3,SUM(I1286:L1290)&lt;&gt;0,$B$4=YEAR(W1286)),B1285+1,0)</f>
        <v>0</v>
      </c>
      <c r="C1286" s="1">
        <f t="shared" si="60"/>
        <v>281</v>
      </c>
      <c r="D1286" s="102" t="str">
        <f t="shared" si="61"/>
        <v/>
      </c>
      <c r="E1286" s="44"/>
      <c r="F1286" s="45"/>
      <c r="G1286" s="45"/>
      <c r="H1286" s="45"/>
      <c r="I1286" s="46"/>
      <c r="J1286" s="111" t="str">
        <f>IF(AND(G1286&lt;&gt;"",ISERROR(VLOOKUP(G1286,Keszlet!$C$5:$H$200,6,FALSE))=FALSE),VLOOKUP(G1286,Keszlet!$C$5:$H$200,6,FALSE),"")</f>
        <v/>
      </c>
      <c r="K1286" s="106" t="str">
        <f>IF(AND(G1286&lt;&gt;"",ISERROR(VLOOKUP(G1286,Keszlet!$C$5:$G$200,5,FALSE))=FALSE),VLOOKUP(G1286,Keszlet!$C$5:$G$200,5,FALSE),"")</f>
        <v/>
      </c>
      <c r="L1286" s="106" t="str">
        <f t="shared" si="62"/>
        <v/>
      </c>
      <c r="M1286" s="115" t="str">
        <f>IF(ISERROR(VLOOKUP(G1286,Keszlet!$C$5:$I$200,7,FALSE))=TRUE,"",IF(AND(J1285&lt;&gt;"",J1287=""),VLOOKUP(G1286,Keszlet!$C$5:$I$200,7,FALSE),""))</f>
        <v/>
      </c>
      <c r="Q1286" s="1">
        <f>VLOOKUP(G1286,Keszlet!$C$5:$E$205,3,FALSE)</f>
        <v>0</v>
      </c>
      <c r="T1286" s="1" t="str">
        <f t="shared" si="63"/>
        <v/>
      </c>
      <c r="U1286" s="1">
        <f t="shared" si="64"/>
        <v>0</v>
      </c>
      <c r="W1286" s="6">
        <f t="shared" si="67"/>
        <v>0</v>
      </c>
      <c r="X1286" s="6">
        <f t="shared" si="59"/>
        <v>0</v>
      </c>
      <c r="Y1286" s="1">
        <f t="shared" si="65"/>
        <v>1</v>
      </c>
      <c r="Z1286" s="1">
        <f>IF(COUNTIF($Y$6:Y1286,Y1286)=1,Y1286,Y1286+COUNTIF($Y$5:Y1285,Y1286))</f>
        <v>281</v>
      </c>
      <c r="AD1286" s="1" t="str">
        <f t="shared" si="66"/>
        <v/>
      </c>
      <c r="BA1286" s="1">
        <f>IF(W1286&lt;=Leltar_iv!$Y$1,I1286,0)</f>
        <v>0</v>
      </c>
    </row>
    <row r="1287" spans="1:53" s="1" customFormat="1" x14ac:dyDescent="0.25">
      <c r="A1287" s="18">
        <f>IF(COUNTIF($Y$6:Y1287,Y1287)=1,Y1287,Y1287+COUNTIF($Y$5:Y1286,Y1287))</f>
        <v>282</v>
      </c>
      <c r="B1287" s="1">
        <f>IF(AND(Kisero_iv!$N$2=C1287,Kisero_iv!$K$5=$B$3,SUM(I1287:L1291)&lt;&gt;0,$B$4=YEAR(W1287)),B1286+1,0)</f>
        <v>0</v>
      </c>
      <c r="C1287" s="1">
        <f t="shared" si="60"/>
        <v>282</v>
      </c>
      <c r="D1287" s="102" t="str">
        <f t="shared" si="61"/>
        <v/>
      </c>
      <c r="E1287" s="44"/>
      <c r="F1287" s="45"/>
      <c r="G1287" s="45"/>
      <c r="H1287" s="45"/>
      <c r="I1287" s="46"/>
      <c r="J1287" s="111" t="str">
        <f>IF(AND(G1287&lt;&gt;"",ISERROR(VLOOKUP(G1287,Keszlet!$C$5:$H$200,6,FALSE))=FALSE),VLOOKUP(G1287,Keszlet!$C$5:$H$200,6,FALSE),"")</f>
        <v/>
      </c>
      <c r="K1287" s="106" t="str">
        <f>IF(AND(G1287&lt;&gt;"",ISERROR(VLOOKUP(G1287,Keszlet!$C$5:$G$200,5,FALSE))=FALSE),VLOOKUP(G1287,Keszlet!$C$5:$G$200,5,FALSE),"")</f>
        <v/>
      </c>
      <c r="L1287" s="106" t="str">
        <f t="shared" si="62"/>
        <v/>
      </c>
      <c r="M1287" s="115" t="str">
        <f>IF(ISERROR(VLOOKUP(G1287,Keszlet!$C$5:$I$200,7,FALSE))=TRUE,"",IF(AND(J1286&lt;&gt;"",J1288=""),VLOOKUP(G1287,Keszlet!$C$5:$I$200,7,FALSE),""))</f>
        <v/>
      </c>
      <c r="Q1287" s="1">
        <f>VLOOKUP(G1287,Keszlet!$C$5:$E$205,3,FALSE)</f>
        <v>0</v>
      </c>
      <c r="T1287" s="1" t="str">
        <f t="shared" si="63"/>
        <v/>
      </c>
      <c r="U1287" s="1">
        <f t="shared" si="64"/>
        <v>0</v>
      </c>
      <c r="W1287" s="6">
        <f t="shared" si="67"/>
        <v>0</v>
      </c>
      <c r="X1287" s="6">
        <f t="shared" si="59"/>
        <v>0</v>
      </c>
      <c r="Y1287" s="1">
        <f t="shared" si="65"/>
        <v>1</v>
      </c>
      <c r="Z1287" s="1">
        <f>IF(COUNTIF($Y$6:Y1287,Y1287)=1,Y1287,Y1287+COUNTIF($Y$5:Y1286,Y1287))</f>
        <v>282</v>
      </c>
      <c r="AD1287" s="1" t="str">
        <f t="shared" si="66"/>
        <v/>
      </c>
      <c r="BA1287" s="1">
        <f>IF(W1287&lt;=Leltar_iv!$Y$1,I1287,0)</f>
        <v>0</v>
      </c>
    </row>
    <row r="1288" spans="1:53" s="1" customFormat="1" x14ac:dyDescent="0.25">
      <c r="A1288" s="18">
        <f>IF(COUNTIF($Y$6:Y1288,Y1288)=1,Y1288,Y1288+COUNTIF($Y$5:Y1287,Y1288))</f>
        <v>283</v>
      </c>
      <c r="B1288" s="1">
        <f>IF(AND(Kisero_iv!$N$2=C1288,Kisero_iv!$K$5=$B$3,SUM(I1288:L1292)&lt;&gt;0,$B$4=YEAR(W1288)),B1287+1,0)</f>
        <v>0</v>
      </c>
      <c r="C1288" s="1">
        <f t="shared" si="60"/>
        <v>283</v>
      </c>
      <c r="D1288" s="102" t="str">
        <f t="shared" si="61"/>
        <v/>
      </c>
      <c r="E1288" s="44"/>
      <c r="F1288" s="45"/>
      <c r="G1288" s="45"/>
      <c r="H1288" s="45"/>
      <c r="I1288" s="46"/>
      <c r="J1288" s="111" t="str">
        <f>IF(AND(G1288&lt;&gt;"",ISERROR(VLOOKUP(G1288,Keszlet!$C$5:$H$200,6,FALSE))=FALSE),VLOOKUP(G1288,Keszlet!$C$5:$H$200,6,FALSE),"")</f>
        <v/>
      </c>
      <c r="K1288" s="106" t="str">
        <f>IF(AND(G1288&lt;&gt;"",ISERROR(VLOOKUP(G1288,Keszlet!$C$5:$G$200,5,FALSE))=FALSE),VLOOKUP(G1288,Keszlet!$C$5:$G$200,5,FALSE),"")</f>
        <v/>
      </c>
      <c r="L1288" s="106" t="str">
        <f t="shared" si="62"/>
        <v/>
      </c>
      <c r="M1288" s="115" t="str">
        <f>IF(ISERROR(VLOOKUP(G1288,Keszlet!$C$5:$I$200,7,FALSE))=TRUE,"",IF(AND(J1287&lt;&gt;"",J1289=""),VLOOKUP(G1288,Keszlet!$C$5:$I$200,7,FALSE),""))</f>
        <v/>
      </c>
      <c r="Q1288" s="1">
        <f>VLOOKUP(G1288,Keszlet!$C$5:$E$205,3,FALSE)</f>
        <v>0</v>
      </c>
      <c r="T1288" s="1" t="str">
        <f t="shared" si="63"/>
        <v/>
      </c>
      <c r="U1288" s="1">
        <f t="shared" si="64"/>
        <v>0</v>
      </c>
      <c r="W1288" s="6">
        <f t="shared" si="67"/>
        <v>0</v>
      </c>
      <c r="X1288" s="6">
        <f t="shared" si="59"/>
        <v>0</v>
      </c>
      <c r="Y1288" s="1">
        <f t="shared" si="65"/>
        <v>1</v>
      </c>
      <c r="Z1288" s="1">
        <f>IF(COUNTIF($Y$6:Y1288,Y1288)=1,Y1288,Y1288+COUNTIF($Y$5:Y1287,Y1288))</f>
        <v>283</v>
      </c>
      <c r="AD1288" s="1" t="str">
        <f t="shared" si="66"/>
        <v/>
      </c>
      <c r="BA1288" s="1">
        <f>IF(W1288&lt;=Leltar_iv!$Y$1,I1288,0)</f>
        <v>0</v>
      </c>
    </row>
    <row r="1289" spans="1:53" s="1" customFormat="1" x14ac:dyDescent="0.25">
      <c r="A1289" s="18">
        <f>IF(COUNTIF($Y$6:Y1289,Y1289)=1,Y1289,Y1289+COUNTIF($Y$5:Y1288,Y1289))</f>
        <v>284</v>
      </c>
      <c r="B1289" s="1">
        <f>IF(AND(Kisero_iv!$N$2=C1289,Kisero_iv!$K$5=$B$3,SUM(I1289:L1293)&lt;&gt;0,$B$4=YEAR(W1289)),B1288+1,0)</f>
        <v>0</v>
      </c>
      <c r="C1289" s="1">
        <f t="shared" si="60"/>
        <v>284</v>
      </c>
      <c r="D1289" s="102" t="str">
        <f t="shared" si="61"/>
        <v/>
      </c>
      <c r="E1289" s="44"/>
      <c r="F1289" s="45"/>
      <c r="G1289" s="45"/>
      <c r="H1289" s="45"/>
      <c r="I1289" s="46"/>
      <c r="J1289" s="111" t="str">
        <f>IF(AND(G1289&lt;&gt;"",ISERROR(VLOOKUP(G1289,Keszlet!$C$5:$H$200,6,FALSE))=FALSE),VLOOKUP(G1289,Keszlet!$C$5:$H$200,6,FALSE),"")</f>
        <v/>
      </c>
      <c r="K1289" s="106" t="str">
        <f>IF(AND(G1289&lt;&gt;"",ISERROR(VLOOKUP(G1289,Keszlet!$C$5:$G$200,5,FALSE))=FALSE),VLOOKUP(G1289,Keszlet!$C$5:$G$200,5,FALSE),"")</f>
        <v/>
      </c>
      <c r="L1289" s="106" t="str">
        <f t="shared" si="62"/>
        <v/>
      </c>
      <c r="M1289" s="115" t="str">
        <f>IF(ISERROR(VLOOKUP(G1289,Keszlet!$C$5:$I$200,7,FALSE))=TRUE,"",IF(AND(J1288&lt;&gt;"",J1290=""),VLOOKUP(G1289,Keszlet!$C$5:$I$200,7,FALSE),""))</f>
        <v/>
      </c>
      <c r="Q1289" s="1">
        <f>VLOOKUP(G1289,Keszlet!$C$5:$E$205,3,FALSE)</f>
        <v>0</v>
      </c>
      <c r="T1289" s="1" t="str">
        <f t="shared" si="63"/>
        <v/>
      </c>
      <c r="U1289" s="1">
        <f t="shared" si="64"/>
        <v>0</v>
      </c>
      <c r="W1289" s="6">
        <f t="shared" si="67"/>
        <v>0</v>
      </c>
      <c r="X1289" s="6">
        <f t="shared" si="59"/>
        <v>0</v>
      </c>
      <c r="Y1289" s="1">
        <f t="shared" si="65"/>
        <v>1</v>
      </c>
      <c r="Z1289" s="1">
        <f>IF(COUNTIF($Y$6:Y1289,Y1289)=1,Y1289,Y1289+COUNTIF($Y$5:Y1288,Y1289))</f>
        <v>284</v>
      </c>
      <c r="AD1289" s="1" t="str">
        <f t="shared" si="66"/>
        <v/>
      </c>
      <c r="BA1289" s="1">
        <f>IF(W1289&lt;=Leltar_iv!$Y$1,I1289,0)</f>
        <v>0</v>
      </c>
    </row>
    <row r="1290" spans="1:53" s="1" customFormat="1" x14ac:dyDescent="0.25">
      <c r="A1290" s="18">
        <f>IF(COUNTIF($Y$6:Y1290,Y1290)=1,Y1290,Y1290+COUNTIF($Y$5:Y1289,Y1290))</f>
        <v>285</v>
      </c>
      <c r="B1290" s="1">
        <f>IF(AND(Kisero_iv!$N$2=C1290,Kisero_iv!$K$5=$B$3,SUM(I1290:L1294)&lt;&gt;0,$B$4=YEAR(W1290)),B1289+1,0)</f>
        <v>0</v>
      </c>
      <c r="C1290" s="1">
        <f t="shared" si="60"/>
        <v>285</v>
      </c>
      <c r="D1290" s="102" t="str">
        <f t="shared" si="61"/>
        <v/>
      </c>
      <c r="E1290" s="44"/>
      <c r="F1290" s="45"/>
      <c r="G1290" s="45"/>
      <c r="H1290" s="45"/>
      <c r="I1290" s="46"/>
      <c r="J1290" s="111" t="str">
        <f>IF(AND(G1290&lt;&gt;"",ISERROR(VLOOKUP(G1290,Keszlet!$C$5:$H$200,6,FALSE))=FALSE),VLOOKUP(G1290,Keszlet!$C$5:$H$200,6,FALSE),"")</f>
        <v/>
      </c>
      <c r="K1290" s="106" t="str">
        <f>IF(AND(G1290&lt;&gt;"",ISERROR(VLOOKUP(G1290,Keszlet!$C$5:$G$200,5,FALSE))=FALSE),VLOOKUP(G1290,Keszlet!$C$5:$G$200,5,FALSE),"")</f>
        <v/>
      </c>
      <c r="L1290" s="106" t="str">
        <f t="shared" si="62"/>
        <v/>
      </c>
      <c r="M1290" s="115" t="str">
        <f>IF(ISERROR(VLOOKUP(G1290,Keszlet!$C$5:$I$200,7,FALSE))=TRUE,"",IF(AND(J1289&lt;&gt;"",J1291=""),VLOOKUP(G1290,Keszlet!$C$5:$I$200,7,FALSE),""))</f>
        <v/>
      </c>
      <c r="Q1290" s="1">
        <f>VLOOKUP(G1290,Keszlet!$C$5:$E$205,3,FALSE)</f>
        <v>0</v>
      </c>
      <c r="T1290" s="1" t="str">
        <f t="shared" si="63"/>
        <v/>
      </c>
      <c r="U1290" s="1">
        <f t="shared" si="64"/>
        <v>0</v>
      </c>
      <c r="W1290" s="6">
        <f t="shared" si="67"/>
        <v>0</v>
      </c>
      <c r="X1290" s="6">
        <f t="shared" si="59"/>
        <v>0</v>
      </c>
      <c r="Y1290" s="1">
        <f t="shared" si="65"/>
        <v>1</v>
      </c>
      <c r="Z1290" s="1">
        <f>IF(COUNTIF($Y$6:Y1290,Y1290)=1,Y1290,Y1290+COUNTIF($Y$5:Y1289,Y1290))</f>
        <v>285</v>
      </c>
      <c r="AD1290" s="1" t="str">
        <f t="shared" si="66"/>
        <v/>
      </c>
      <c r="BA1290" s="1">
        <f>IF(W1290&lt;=Leltar_iv!$Y$1,I1290,0)</f>
        <v>0</v>
      </c>
    </row>
    <row r="1291" spans="1:53" s="1" customFormat="1" x14ac:dyDescent="0.25">
      <c r="A1291" s="18">
        <f>IF(COUNTIF($Y$6:Y1291,Y1291)=1,Y1291,Y1291+COUNTIF($Y$5:Y1290,Y1291))</f>
        <v>286</v>
      </c>
      <c r="B1291" s="1">
        <f>IF(AND(Kisero_iv!$N$2=C1291,Kisero_iv!$K$5=$B$3,SUM(I1291:L1295)&lt;&gt;0,$B$4=YEAR(W1291)),B1290+1,0)</f>
        <v>0</v>
      </c>
      <c r="C1291" s="1">
        <f t="shared" si="60"/>
        <v>286</v>
      </c>
      <c r="D1291" s="102" t="str">
        <f t="shared" si="61"/>
        <v/>
      </c>
      <c r="E1291" s="44"/>
      <c r="F1291" s="45"/>
      <c r="G1291" s="45"/>
      <c r="H1291" s="45"/>
      <c r="I1291" s="46"/>
      <c r="J1291" s="111" t="str">
        <f>IF(AND(G1291&lt;&gt;"",ISERROR(VLOOKUP(G1291,Keszlet!$C$5:$H$200,6,FALSE))=FALSE),VLOOKUP(G1291,Keszlet!$C$5:$H$200,6,FALSE),"")</f>
        <v/>
      </c>
      <c r="K1291" s="106" t="str">
        <f>IF(AND(G1291&lt;&gt;"",ISERROR(VLOOKUP(G1291,Keszlet!$C$5:$G$200,5,FALSE))=FALSE),VLOOKUP(G1291,Keszlet!$C$5:$G$200,5,FALSE),"")</f>
        <v/>
      </c>
      <c r="L1291" s="106" t="str">
        <f t="shared" si="62"/>
        <v/>
      </c>
      <c r="M1291" s="115" t="str">
        <f>IF(ISERROR(VLOOKUP(G1291,Keszlet!$C$5:$I$200,7,FALSE))=TRUE,"",IF(AND(J1290&lt;&gt;"",J1292=""),VLOOKUP(G1291,Keszlet!$C$5:$I$200,7,FALSE),""))</f>
        <v/>
      </c>
      <c r="Q1291" s="1">
        <f>VLOOKUP(G1291,Keszlet!$C$5:$E$205,3,FALSE)</f>
        <v>0</v>
      </c>
      <c r="T1291" s="1" t="str">
        <f t="shared" si="63"/>
        <v/>
      </c>
      <c r="U1291" s="1">
        <f t="shared" si="64"/>
        <v>0</v>
      </c>
      <c r="W1291" s="6">
        <f t="shared" si="67"/>
        <v>0</v>
      </c>
      <c r="X1291" s="6">
        <f t="shared" si="59"/>
        <v>0</v>
      </c>
      <c r="Y1291" s="1">
        <f t="shared" si="65"/>
        <v>1</v>
      </c>
      <c r="Z1291" s="1">
        <f>IF(COUNTIF($Y$6:Y1291,Y1291)=1,Y1291,Y1291+COUNTIF($Y$5:Y1290,Y1291))</f>
        <v>286</v>
      </c>
      <c r="AD1291" s="1" t="str">
        <f t="shared" si="66"/>
        <v/>
      </c>
      <c r="BA1291" s="1">
        <f>IF(W1291&lt;=Leltar_iv!$Y$1,I1291,0)</f>
        <v>0</v>
      </c>
    </row>
    <row r="1292" spans="1:53" s="1" customFormat="1" x14ac:dyDescent="0.25">
      <c r="A1292" s="18">
        <f>IF(COUNTIF($Y$6:Y1292,Y1292)=1,Y1292,Y1292+COUNTIF($Y$5:Y1291,Y1292))</f>
        <v>287</v>
      </c>
      <c r="B1292" s="1">
        <f>IF(AND(Kisero_iv!$N$2=C1292,Kisero_iv!$K$5=$B$3,SUM(I1292:L1296)&lt;&gt;0,$B$4=YEAR(W1292)),B1291+1,0)</f>
        <v>0</v>
      </c>
      <c r="C1292" s="1">
        <f t="shared" si="60"/>
        <v>287</v>
      </c>
      <c r="D1292" s="102" t="str">
        <f t="shared" si="61"/>
        <v/>
      </c>
      <c r="E1292" s="44"/>
      <c r="F1292" s="45"/>
      <c r="G1292" s="45"/>
      <c r="H1292" s="45"/>
      <c r="I1292" s="46"/>
      <c r="J1292" s="111" t="str">
        <f>IF(AND(G1292&lt;&gt;"",ISERROR(VLOOKUP(G1292,Keszlet!$C$5:$H$200,6,FALSE))=FALSE),VLOOKUP(G1292,Keszlet!$C$5:$H$200,6,FALSE),"")</f>
        <v/>
      </c>
      <c r="K1292" s="106" t="str">
        <f>IF(AND(G1292&lt;&gt;"",ISERROR(VLOOKUP(G1292,Keszlet!$C$5:$G$200,5,FALSE))=FALSE),VLOOKUP(G1292,Keszlet!$C$5:$G$200,5,FALSE),"")</f>
        <v/>
      </c>
      <c r="L1292" s="106" t="str">
        <f t="shared" si="62"/>
        <v/>
      </c>
      <c r="M1292" s="115" t="str">
        <f>IF(ISERROR(VLOOKUP(G1292,Keszlet!$C$5:$I$200,7,FALSE))=TRUE,"",IF(AND(J1291&lt;&gt;"",J1293=""),VLOOKUP(G1292,Keszlet!$C$5:$I$200,7,FALSE),""))</f>
        <v/>
      </c>
      <c r="Q1292" s="1">
        <f>VLOOKUP(G1292,Keszlet!$C$5:$E$205,3,FALSE)</f>
        <v>0</v>
      </c>
      <c r="T1292" s="1" t="str">
        <f t="shared" si="63"/>
        <v/>
      </c>
      <c r="U1292" s="1">
        <f t="shared" si="64"/>
        <v>0</v>
      </c>
      <c r="W1292" s="6">
        <f t="shared" si="67"/>
        <v>0</v>
      </c>
      <c r="X1292" s="6">
        <f t="shared" si="59"/>
        <v>0</v>
      </c>
      <c r="Y1292" s="1">
        <f t="shared" si="65"/>
        <v>1</v>
      </c>
      <c r="Z1292" s="1">
        <f>IF(COUNTIF($Y$6:Y1292,Y1292)=1,Y1292,Y1292+COUNTIF($Y$5:Y1291,Y1292))</f>
        <v>287</v>
      </c>
      <c r="AD1292" s="1" t="str">
        <f t="shared" si="66"/>
        <v/>
      </c>
      <c r="BA1292" s="1">
        <f>IF(W1292&lt;=Leltar_iv!$Y$1,I1292,0)</f>
        <v>0</v>
      </c>
    </row>
    <row r="1293" spans="1:53" s="1" customFormat="1" x14ac:dyDescent="0.25">
      <c r="A1293" s="18">
        <f>IF(COUNTIF($Y$6:Y1293,Y1293)=1,Y1293,Y1293+COUNTIF($Y$5:Y1292,Y1293))</f>
        <v>288</v>
      </c>
      <c r="B1293" s="1">
        <f>IF(AND(Kisero_iv!$N$2=C1293,Kisero_iv!$K$5=$B$3,SUM(I1293:L1297)&lt;&gt;0,$B$4=YEAR(W1293)),B1292+1,0)</f>
        <v>0</v>
      </c>
      <c r="C1293" s="1">
        <f t="shared" si="60"/>
        <v>288</v>
      </c>
      <c r="D1293" s="102" t="str">
        <f t="shared" si="61"/>
        <v/>
      </c>
      <c r="E1293" s="44"/>
      <c r="F1293" s="45"/>
      <c r="G1293" s="45"/>
      <c r="H1293" s="45"/>
      <c r="I1293" s="46"/>
      <c r="J1293" s="111" t="str">
        <f>IF(AND(G1293&lt;&gt;"",ISERROR(VLOOKUP(G1293,Keszlet!$C$5:$H$200,6,FALSE))=FALSE),VLOOKUP(G1293,Keszlet!$C$5:$H$200,6,FALSE),"")</f>
        <v/>
      </c>
      <c r="K1293" s="106" t="str">
        <f>IF(AND(G1293&lt;&gt;"",ISERROR(VLOOKUP(G1293,Keszlet!$C$5:$G$200,5,FALSE))=FALSE),VLOOKUP(G1293,Keszlet!$C$5:$G$200,5,FALSE),"")</f>
        <v/>
      </c>
      <c r="L1293" s="106" t="str">
        <f t="shared" si="62"/>
        <v/>
      </c>
      <c r="M1293" s="115" t="str">
        <f>IF(ISERROR(VLOOKUP(G1293,Keszlet!$C$5:$I$200,7,FALSE))=TRUE,"",IF(AND(J1292&lt;&gt;"",J1294=""),VLOOKUP(G1293,Keszlet!$C$5:$I$200,7,FALSE),""))</f>
        <v/>
      </c>
      <c r="Q1293" s="1">
        <f>VLOOKUP(G1293,Keszlet!$C$5:$E$205,3,FALSE)</f>
        <v>0</v>
      </c>
      <c r="T1293" s="1" t="str">
        <f t="shared" si="63"/>
        <v/>
      </c>
      <c r="U1293" s="1">
        <f t="shared" si="64"/>
        <v>0</v>
      </c>
      <c r="W1293" s="6">
        <f t="shared" si="67"/>
        <v>0</v>
      </c>
      <c r="X1293" s="6">
        <f t="shared" si="59"/>
        <v>0</v>
      </c>
      <c r="Y1293" s="1">
        <f t="shared" si="65"/>
        <v>1</v>
      </c>
      <c r="Z1293" s="1">
        <f>IF(COUNTIF($Y$6:Y1293,Y1293)=1,Y1293,Y1293+COUNTIF($Y$5:Y1292,Y1293))</f>
        <v>288</v>
      </c>
      <c r="AD1293" s="1" t="str">
        <f t="shared" si="66"/>
        <v/>
      </c>
      <c r="BA1293" s="1">
        <f>IF(W1293&lt;=Leltar_iv!$Y$1,I1293,0)</f>
        <v>0</v>
      </c>
    </row>
    <row r="1294" spans="1:53" s="1" customFormat="1" x14ac:dyDescent="0.25">
      <c r="A1294" s="18">
        <f>IF(COUNTIF($Y$6:Y1294,Y1294)=1,Y1294,Y1294+COUNTIF($Y$5:Y1293,Y1294))</f>
        <v>289</v>
      </c>
      <c r="B1294" s="1">
        <f>IF(AND(Kisero_iv!$N$2=C1294,Kisero_iv!$K$5=$B$3,SUM(I1294:L1298)&lt;&gt;0,$B$4=YEAR(W1294)),B1293+1,0)</f>
        <v>0</v>
      </c>
      <c r="C1294" s="1">
        <f t="shared" si="60"/>
        <v>289</v>
      </c>
      <c r="D1294" s="102" t="str">
        <f t="shared" si="61"/>
        <v/>
      </c>
      <c r="E1294" s="44"/>
      <c r="F1294" s="45"/>
      <c r="G1294" s="45"/>
      <c r="H1294" s="45"/>
      <c r="I1294" s="46"/>
      <c r="J1294" s="111" t="str">
        <f>IF(AND(G1294&lt;&gt;"",ISERROR(VLOOKUP(G1294,Keszlet!$C$5:$H$200,6,FALSE))=FALSE),VLOOKUP(G1294,Keszlet!$C$5:$H$200,6,FALSE),"")</f>
        <v/>
      </c>
      <c r="K1294" s="106" t="str">
        <f>IF(AND(G1294&lt;&gt;"",ISERROR(VLOOKUP(G1294,Keszlet!$C$5:$G$200,5,FALSE))=FALSE),VLOOKUP(G1294,Keszlet!$C$5:$G$200,5,FALSE),"")</f>
        <v/>
      </c>
      <c r="L1294" s="106" t="str">
        <f t="shared" si="62"/>
        <v/>
      </c>
      <c r="M1294" s="115" t="str">
        <f>IF(ISERROR(VLOOKUP(G1294,Keszlet!$C$5:$I$200,7,FALSE))=TRUE,"",IF(AND(J1293&lt;&gt;"",J1295=""),VLOOKUP(G1294,Keszlet!$C$5:$I$200,7,FALSE),""))</f>
        <v/>
      </c>
      <c r="Q1294" s="1">
        <f>VLOOKUP(G1294,Keszlet!$C$5:$E$205,3,FALSE)</f>
        <v>0</v>
      </c>
      <c r="T1294" s="1" t="str">
        <f t="shared" si="63"/>
        <v/>
      </c>
      <c r="U1294" s="1">
        <f t="shared" si="64"/>
        <v>0</v>
      </c>
      <c r="W1294" s="6">
        <f t="shared" si="67"/>
        <v>0</v>
      </c>
      <c r="X1294" s="6">
        <f t="shared" si="59"/>
        <v>0</v>
      </c>
      <c r="Y1294" s="1">
        <f t="shared" si="65"/>
        <v>1</v>
      </c>
      <c r="Z1294" s="1">
        <f>IF(COUNTIF($Y$6:Y1294,Y1294)=1,Y1294,Y1294+COUNTIF($Y$5:Y1293,Y1294))</f>
        <v>289</v>
      </c>
      <c r="AD1294" s="1" t="str">
        <f t="shared" si="66"/>
        <v/>
      </c>
      <c r="BA1294" s="1">
        <f>IF(W1294&lt;=Leltar_iv!$Y$1,I1294,0)</f>
        <v>0</v>
      </c>
    </row>
    <row r="1295" spans="1:53" s="1" customFormat="1" x14ac:dyDescent="0.25">
      <c r="A1295" s="18">
        <f>IF(COUNTIF($Y$6:Y1295,Y1295)=1,Y1295,Y1295+COUNTIF($Y$5:Y1294,Y1295))</f>
        <v>290</v>
      </c>
      <c r="B1295" s="1">
        <f>IF(AND(Kisero_iv!$N$2=C1295,Kisero_iv!$K$5=$B$3,SUM(I1295:L1299)&lt;&gt;0,$B$4=YEAR(W1295)),B1294+1,0)</f>
        <v>0</v>
      </c>
      <c r="C1295" s="1">
        <f t="shared" si="60"/>
        <v>290</v>
      </c>
      <c r="D1295" s="102" t="str">
        <f t="shared" si="61"/>
        <v/>
      </c>
      <c r="E1295" s="44"/>
      <c r="F1295" s="45"/>
      <c r="G1295" s="45"/>
      <c r="H1295" s="45"/>
      <c r="I1295" s="46"/>
      <c r="J1295" s="111" t="str">
        <f>IF(AND(G1295&lt;&gt;"",ISERROR(VLOOKUP(G1295,Keszlet!$C$5:$H$200,6,FALSE))=FALSE),VLOOKUP(G1295,Keszlet!$C$5:$H$200,6,FALSE),"")</f>
        <v/>
      </c>
      <c r="K1295" s="106" t="str">
        <f>IF(AND(G1295&lt;&gt;"",ISERROR(VLOOKUP(G1295,Keszlet!$C$5:$G$200,5,FALSE))=FALSE),VLOOKUP(G1295,Keszlet!$C$5:$G$200,5,FALSE),"")</f>
        <v/>
      </c>
      <c r="L1295" s="106" t="str">
        <f t="shared" si="62"/>
        <v/>
      </c>
      <c r="M1295" s="115" t="str">
        <f>IF(ISERROR(VLOOKUP(G1295,Keszlet!$C$5:$I$200,7,FALSE))=TRUE,"",IF(AND(J1294&lt;&gt;"",J1296=""),VLOOKUP(G1295,Keszlet!$C$5:$I$200,7,FALSE),""))</f>
        <v/>
      </c>
      <c r="Q1295" s="1">
        <f>VLOOKUP(G1295,Keszlet!$C$5:$E$205,3,FALSE)</f>
        <v>0</v>
      </c>
      <c r="T1295" s="1" t="str">
        <f t="shared" si="63"/>
        <v/>
      </c>
      <c r="U1295" s="1">
        <f t="shared" si="64"/>
        <v>0</v>
      </c>
      <c r="W1295" s="6">
        <f t="shared" si="67"/>
        <v>0</v>
      </c>
      <c r="X1295" s="6">
        <f t="shared" si="59"/>
        <v>0</v>
      </c>
      <c r="Y1295" s="1">
        <f t="shared" si="65"/>
        <v>1</v>
      </c>
      <c r="Z1295" s="1">
        <f>IF(COUNTIF($Y$6:Y1295,Y1295)=1,Y1295,Y1295+COUNTIF($Y$5:Y1294,Y1295))</f>
        <v>290</v>
      </c>
      <c r="AD1295" s="1" t="str">
        <f t="shared" si="66"/>
        <v/>
      </c>
      <c r="BA1295" s="1">
        <f>IF(W1295&lt;=Leltar_iv!$Y$1,I1295,0)</f>
        <v>0</v>
      </c>
    </row>
    <row r="1296" spans="1:53" s="1" customFormat="1" x14ac:dyDescent="0.25">
      <c r="A1296" s="18">
        <f>IF(COUNTIF($Y$6:Y1296,Y1296)=1,Y1296,Y1296+COUNTIF($Y$5:Y1295,Y1296))</f>
        <v>291</v>
      </c>
      <c r="B1296" s="1">
        <f>IF(AND(Kisero_iv!$N$2=C1296,Kisero_iv!$K$5=$B$3,SUM(I1296:L1300)&lt;&gt;0,$B$4=YEAR(W1296)),B1295+1,0)</f>
        <v>0</v>
      </c>
      <c r="C1296" s="1">
        <f t="shared" si="60"/>
        <v>291</v>
      </c>
      <c r="D1296" s="102" t="str">
        <f t="shared" si="61"/>
        <v/>
      </c>
      <c r="E1296" s="44"/>
      <c r="F1296" s="45"/>
      <c r="G1296" s="45"/>
      <c r="H1296" s="45"/>
      <c r="I1296" s="46"/>
      <c r="J1296" s="111" t="str">
        <f>IF(AND(G1296&lt;&gt;"",ISERROR(VLOOKUP(G1296,Keszlet!$C$5:$H$200,6,FALSE))=FALSE),VLOOKUP(G1296,Keszlet!$C$5:$H$200,6,FALSE),"")</f>
        <v/>
      </c>
      <c r="K1296" s="106" t="str">
        <f>IF(AND(G1296&lt;&gt;"",ISERROR(VLOOKUP(G1296,Keszlet!$C$5:$G$200,5,FALSE))=FALSE),VLOOKUP(G1296,Keszlet!$C$5:$G$200,5,FALSE),"")</f>
        <v/>
      </c>
      <c r="L1296" s="106" t="str">
        <f t="shared" si="62"/>
        <v/>
      </c>
      <c r="M1296" s="115" t="str">
        <f>IF(ISERROR(VLOOKUP(G1296,Keszlet!$C$5:$I$200,7,FALSE))=TRUE,"",IF(AND(J1295&lt;&gt;"",J1297=""),VLOOKUP(G1296,Keszlet!$C$5:$I$200,7,FALSE),""))</f>
        <v/>
      </c>
      <c r="Q1296" s="1">
        <f>VLOOKUP(G1296,Keszlet!$C$5:$E$205,3,FALSE)</f>
        <v>0</v>
      </c>
      <c r="T1296" s="1" t="str">
        <f t="shared" si="63"/>
        <v/>
      </c>
      <c r="U1296" s="1">
        <f t="shared" si="64"/>
        <v>0</v>
      </c>
      <c r="W1296" s="6">
        <f t="shared" si="67"/>
        <v>0</v>
      </c>
      <c r="X1296" s="6">
        <f t="shared" si="59"/>
        <v>0</v>
      </c>
      <c r="Y1296" s="1">
        <f t="shared" si="65"/>
        <v>1</v>
      </c>
      <c r="Z1296" s="1">
        <f>IF(COUNTIF($Y$6:Y1296,Y1296)=1,Y1296,Y1296+COUNTIF($Y$5:Y1295,Y1296))</f>
        <v>291</v>
      </c>
      <c r="AD1296" s="1" t="str">
        <f t="shared" si="66"/>
        <v/>
      </c>
      <c r="BA1296" s="1">
        <f>IF(W1296&lt;=Leltar_iv!$Y$1,I1296,0)</f>
        <v>0</v>
      </c>
    </row>
    <row r="1297" spans="1:53" s="1" customFormat="1" x14ac:dyDescent="0.25">
      <c r="A1297" s="18">
        <f>IF(COUNTIF($Y$6:Y1297,Y1297)=1,Y1297,Y1297+COUNTIF($Y$5:Y1296,Y1297))</f>
        <v>292</v>
      </c>
      <c r="B1297" s="1">
        <f>IF(AND(Kisero_iv!$N$2=C1297,Kisero_iv!$K$5=$B$3,SUM(I1297:L1301)&lt;&gt;0,$B$4=YEAR(W1297)),B1296+1,0)</f>
        <v>0</v>
      </c>
      <c r="C1297" s="1">
        <f t="shared" si="60"/>
        <v>292</v>
      </c>
      <c r="D1297" s="102" t="str">
        <f t="shared" si="61"/>
        <v/>
      </c>
      <c r="E1297" s="44"/>
      <c r="F1297" s="45"/>
      <c r="G1297" s="45"/>
      <c r="H1297" s="45"/>
      <c r="I1297" s="46"/>
      <c r="J1297" s="111" t="str">
        <f>IF(AND(G1297&lt;&gt;"",ISERROR(VLOOKUP(G1297,Keszlet!$C$5:$H$200,6,FALSE))=FALSE),VLOOKUP(G1297,Keszlet!$C$5:$H$200,6,FALSE),"")</f>
        <v/>
      </c>
      <c r="K1297" s="106" t="str">
        <f>IF(AND(G1297&lt;&gt;"",ISERROR(VLOOKUP(G1297,Keszlet!$C$5:$G$200,5,FALSE))=FALSE),VLOOKUP(G1297,Keszlet!$C$5:$G$200,5,FALSE),"")</f>
        <v/>
      </c>
      <c r="L1297" s="106" t="str">
        <f t="shared" si="62"/>
        <v/>
      </c>
      <c r="M1297" s="115" t="str">
        <f>IF(ISERROR(VLOOKUP(G1297,Keszlet!$C$5:$I$200,7,FALSE))=TRUE,"",IF(AND(J1296&lt;&gt;"",J1298=""),VLOOKUP(G1297,Keszlet!$C$5:$I$200,7,FALSE),""))</f>
        <v/>
      </c>
      <c r="Q1297" s="1">
        <f>VLOOKUP(G1297,Keszlet!$C$5:$E$205,3,FALSE)</f>
        <v>0</v>
      </c>
      <c r="T1297" s="1" t="str">
        <f t="shared" si="63"/>
        <v/>
      </c>
      <c r="U1297" s="1">
        <f t="shared" si="64"/>
        <v>0</v>
      </c>
      <c r="W1297" s="6">
        <f t="shared" si="67"/>
        <v>0</v>
      </c>
      <c r="X1297" s="6">
        <f t="shared" si="59"/>
        <v>0</v>
      </c>
      <c r="Y1297" s="1">
        <f t="shared" si="65"/>
        <v>1</v>
      </c>
      <c r="Z1297" s="1">
        <f>IF(COUNTIF($Y$6:Y1297,Y1297)=1,Y1297,Y1297+COUNTIF($Y$5:Y1296,Y1297))</f>
        <v>292</v>
      </c>
      <c r="AD1297" s="1" t="str">
        <f t="shared" si="66"/>
        <v/>
      </c>
      <c r="BA1297" s="1">
        <f>IF(W1297&lt;=Leltar_iv!$Y$1,I1297,0)</f>
        <v>0</v>
      </c>
    </row>
    <row r="1298" spans="1:53" s="1" customFormat="1" x14ac:dyDescent="0.25">
      <c r="A1298" s="18">
        <f>IF(COUNTIF($Y$6:Y1298,Y1298)=1,Y1298,Y1298+COUNTIF($Y$5:Y1297,Y1298))</f>
        <v>293</v>
      </c>
      <c r="B1298" s="1">
        <f>IF(AND(Kisero_iv!$N$2=C1298,Kisero_iv!$K$5=$B$3,SUM(I1298:L1302)&lt;&gt;0,$B$4=YEAR(W1298)),B1297+1,0)</f>
        <v>0</v>
      </c>
      <c r="C1298" s="1">
        <f t="shared" si="60"/>
        <v>293</v>
      </c>
      <c r="D1298" s="102" t="str">
        <f t="shared" si="61"/>
        <v/>
      </c>
      <c r="E1298" s="44"/>
      <c r="F1298" s="45"/>
      <c r="G1298" s="45"/>
      <c r="H1298" s="45"/>
      <c r="I1298" s="46"/>
      <c r="J1298" s="111" t="str">
        <f>IF(AND(G1298&lt;&gt;"",ISERROR(VLOOKUP(G1298,Keszlet!$C$5:$H$200,6,FALSE))=FALSE),VLOOKUP(G1298,Keszlet!$C$5:$H$200,6,FALSE),"")</f>
        <v/>
      </c>
      <c r="K1298" s="106" t="str">
        <f>IF(AND(G1298&lt;&gt;"",ISERROR(VLOOKUP(G1298,Keszlet!$C$5:$G$200,5,FALSE))=FALSE),VLOOKUP(G1298,Keszlet!$C$5:$G$200,5,FALSE),"")</f>
        <v/>
      </c>
      <c r="L1298" s="106" t="str">
        <f t="shared" si="62"/>
        <v/>
      </c>
      <c r="M1298" s="115" t="str">
        <f>IF(ISERROR(VLOOKUP(G1298,Keszlet!$C$5:$I$200,7,FALSE))=TRUE,"",IF(AND(J1297&lt;&gt;"",J1299=""),VLOOKUP(G1298,Keszlet!$C$5:$I$200,7,FALSE),""))</f>
        <v/>
      </c>
      <c r="Q1298" s="1">
        <f>VLOOKUP(G1298,Keszlet!$C$5:$E$205,3,FALSE)</f>
        <v>0</v>
      </c>
      <c r="T1298" s="1" t="str">
        <f t="shared" si="63"/>
        <v/>
      </c>
      <c r="U1298" s="1">
        <f t="shared" si="64"/>
        <v>0</v>
      </c>
      <c r="W1298" s="6">
        <f t="shared" si="67"/>
        <v>0</v>
      </c>
      <c r="X1298" s="6">
        <f t="shared" si="59"/>
        <v>0</v>
      </c>
      <c r="Y1298" s="1">
        <f t="shared" si="65"/>
        <v>1</v>
      </c>
      <c r="Z1298" s="1">
        <f>IF(COUNTIF($Y$6:Y1298,Y1298)=1,Y1298,Y1298+COUNTIF($Y$5:Y1297,Y1298))</f>
        <v>293</v>
      </c>
      <c r="AD1298" s="1" t="str">
        <f t="shared" si="66"/>
        <v/>
      </c>
      <c r="BA1298" s="1">
        <f>IF(W1298&lt;=Leltar_iv!$Y$1,I1298,0)</f>
        <v>0</v>
      </c>
    </row>
    <row r="1299" spans="1:53" s="1" customFormat="1" x14ac:dyDescent="0.25">
      <c r="A1299" s="18">
        <f>IF(COUNTIF($Y$6:Y1299,Y1299)=1,Y1299,Y1299+COUNTIF($Y$5:Y1298,Y1299))</f>
        <v>294</v>
      </c>
      <c r="B1299" s="1">
        <f>IF(AND(Kisero_iv!$N$2=C1299,Kisero_iv!$K$5=$B$3,SUM(I1299:L1303)&lt;&gt;0,$B$4=YEAR(W1299)),B1298+1,0)</f>
        <v>0</v>
      </c>
      <c r="C1299" s="1">
        <f t="shared" si="60"/>
        <v>294</v>
      </c>
      <c r="D1299" s="102" t="str">
        <f t="shared" si="61"/>
        <v/>
      </c>
      <c r="E1299" s="44"/>
      <c r="F1299" s="45"/>
      <c r="G1299" s="45"/>
      <c r="H1299" s="45"/>
      <c r="I1299" s="46"/>
      <c r="J1299" s="111" t="str">
        <f>IF(AND(G1299&lt;&gt;"",ISERROR(VLOOKUP(G1299,Keszlet!$C$5:$H$200,6,FALSE))=FALSE),VLOOKUP(G1299,Keszlet!$C$5:$H$200,6,FALSE),"")</f>
        <v/>
      </c>
      <c r="K1299" s="106" t="str">
        <f>IF(AND(G1299&lt;&gt;"",ISERROR(VLOOKUP(G1299,Keszlet!$C$5:$G$200,5,FALSE))=FALSE),VLOOKUP(G1299,Keszlet!$C$5:$G$200,5,FALSE),"")</f>
        <v/>
      </c>
      <c r="L1299" s="106" t="str">
        <f t="shared" si="62"/>
        <v/>
      </c>
      <c r="M1299" s="115" t="str">
        <f>IF(ISERROR(VLOOKUP(G1299,Keszlet!$C$5:$I$200,7,FALSE))=TRUE,"",IF(AND(J1298&lt;&gt;"",J1300=""),VLOOKUP(G1299,Keszlet!$C$5:$I$200,7,FALSE),""))</f>
        <v/>
      </c>
      <c r="Q1299" s="1">
        <f>VLOOKUP(G1299,Keszlet!$C$5:$E$205,3,FALSE)</f>
        <v>0</v>
      </c>
      <c r="T1299" s="1" t="str">
        <f t="shared" si="63"/>
        <v/>
      </c>
      <c r="U1299" s="1">
        <f t="shared" si="64"/>
        <v>0</v>
      </c>
      <c r="W1299" s="6">
        <f t="shared" si="67"/>
        <v>0</v>
      </c>
      <c r="X1299" s="6">
        <f t="shared" si="59"/>
        <v>0</v>
      </c>
      <c r="Y1299" s="1">
        <f t="shared" si="65"/>
        <v>1</v>
      </c>
      <c r="Z1299" s="1">
        <f>IF(COUNTIF($Y$6:Y1299,Y1299)=1,Y1299,Y1299+COUNTIF($Y$5:Y1298,Y1299))</f>
        <v>294</v>
      </c>
      <c r="AD1299" s="1" t="str">
        <f t="shared" si="66"/>
        <v/>
      </c>
      <c r="BA1299" s="1">
        <f>IF(W1299&lt;=Leltar_iv!$Y$1,I1299,0)</f>
        <v>0</v>
      </c>
    </row>
    <row r="1300" spans="1:53" s="1" customFormat="1" x14ac:dyDescent="0.25">
      <c r="A1300" s="18">
        <f>IF(COUNTIF($Y$6:Y1300,Y1300)=1,Y1300,Y1300+COUNTIF($Y$5:Y1299,Y1300))</f>
        <v>295</v>
      </c>
      <c r="B1300" s="1">
        <f>IF(AND(Kisero_iv!$N$2=C1300,Kisero_iv!$K$5=$B$3,SUM(I1300:L1304)&lt;&gt;0,$B$4=YEAR(W1300)),B1299+1,0)</f>
        <v>0</v>
      </c>
      <c r="C1300" s="1">
        <f t="shared" si="60"/>
        <v>295</v>
      </c>
      <c r="D1300" s="102" t="str">
        <f t="shared" si="61"/>
        <v/>
      </c>
      <c r="E1300" s="44"/>
      <c r="F1300" s="45"/>
      <c r="G1300" s="45"/>
      <c r="H1300" s="45"/>
      <c r="I1300" s="46"/>
      <c r="J1300" s="111" t="str">
        <f>IF(AND(G1300&lt;&gt;"",ISERROR(VLOOKUP(G1300,Keszlet!$C$5:$H$200,6,FALSE))=FALSE),VLOOKUP(G1300,Keszlet!$C$5:$H$200,6,FALSE),"")</f>
        <v/>
      </c>
      <c r="K1300" s="106" t="str">
        <f>IF(AND(G1300&lt;&gt;"",ISERROR(VLOOKUP(G1300,Keszlet!$C$5:$G$200,5,FALSE))=FALSE),VLOOKUP(G1300,Keszlet!$C$5:$G$200,5,FALSE),"")</f>
        <v/>
      </c>
      <c r="L1300" s="106" t="str">
        <f t="shared" si="62"/>
        <v/>
      </c>
      <c r="M1300" s="115" t="str">
        <f>IF(ISERROR(VLOOKUP(G1300,Keszlet!$C$5:$I$200,7,FALSE))=TRUE,"",IF(AND(J1299&lt;&gt;"",J1301=""),VLOOKUP(G1300,Keszlet!$C$5:$I$200,7,FALSE),""))</f>
        <v/>
      </c>
      <c r="Q1300" s="1">
        <f>VLOOKUP(G1300,Keszlet!$C$5:$E$205,3,FALSE)</f>
        <v>0</v>
      </c>
      <c r="T1300" s="1" t="str">
        <f t="shared" si="63"/>
        <v/>
      </c>
      <c r="U1300" s="1">
        <f t="shared" si="64"/>
        <v>0</v>
      </c>
      <c r="W1300" s="6">
        <f t="shared" si="67"/>
        <v>0</v>
      </c>
      <c r="X1300" s="6">
        <f t="shared" si="59"/>
        <v>0</v>
      </c>
      <c r="Y1300" s="1">
        <f t="shared" si="65"/>
        <v>1</v>
      </c>
      <c r="Z1300" s="1">
        <f>IF(COUNTIF($Y$6:Y1300,Y1300)=1,Y1300,Y1300+COUNTIF($Y$5:Y1299,Y1300))</f>
        <v>295</v>
      </c>
      <c r="AD1300" s="1" t="str">
        <f t="shared" si="66"/>
        <v/>
      </c>
      <c r="BA1300" s="1">
        <f>IF(W1300&lt;=Leltar_iv!$Y$1,I1300,0)</f>
        <v>0</v>
      </c>
    </row>
    <row r="1301" spans="1:53" s="1" customFormat="1" x14ac:dyDescent="0.25">
      <c r="A1301" s="18">
        <f>IF(COUNTIF($Y$6:Y1301,Y1301)=1,Y1301,Y1301+COUNTIF($Y$5:Y1300,Y1301))</f>
        <v>296</v>
      </c>
      <c r="B1301" s="1">
        <f>IF(AND(Kisero_iv!$N$2=C1301,Kisero_iv!$K$5=$B$3,SUM(I1301:L1305)&lt;&gt;0,$B$4=YEAR(W1301)),B1300+1,0)</f>
        <v>0</v>
      </c>
      <c r="C1301" s="1">
        <f t="shared" si="60"/>
        <v>296</v>
      </c>
      <c r="D1301" s="102" t="str">
        <f t="shared" si="61"/>
        <v/>
      </c>
      <c r="E1301" s="44"/>
      <c r="F1301" s="45"/>
      <c r="G1301" s="45"/>
      <c r="H1301" s="45"/>
      <c r="I1301" s="46"/>
      <c r="J1301" s="111" t="str">
        <f>IF(AND(G1301&lt;&gt;"",ISERROR(VLOOKUP(G1301,Keszlet!$C$5:$H$200,6,FALSE))=FALSE),VLOOKUP(G1301,Keszlet!$C$5:$H$200,6,FALSE),"")</f>
        <v/>
      </c>
      <c r="K1301" s="106" t="str">
        <f>IF(AND(G1301&lt;&gt;"",ISERROR(VLOOKUP(G1301,Keszlet!$C$5:$G$200,5,FALSE))=FALSE),VLOOKUP(G1301,Keszlet!$C$5:$G$200,5,FALSE),"")</f>
        <v/>
      </c>
      <c r="L1301" s="106" t="str">
        <f t="shared" si="62"/>
        <v/>
      </c>
      <c r="M1301" s="115" t="str">
        <f>IF(ISERROR(VLOOKUP(G1301,Keszlet!$C$5:$I$200,7,FALSE))=TRUE,"",IF(AND(J1300&lt;&gt;"",J1302=""),VLOOKUP(G1301,Keszlet!$C$5:$I$200,7,FALSE),""))</f>
        <v/>
      </c>
      <c r="Q1301" s="1">
        <f>VLOOKUP(G1301,Keszlet!$C$5:$E$205,3,FALSE)</f>
        <v>0</v>
      </c>
      <c r="T1301" s="1" t="str">
        <f t="shared" si="63"/>
        <v/>
      </c>
      <c r="U1301" s="1">
        <f t="shared" si="64"/>
        <v>0</v>
      </c>
      <c r="W1301" s="6">
        <f t="shared" si="67"/>
        <v>0</v>
      </c>
      <c r="X1301" s="6">
        <f t="shared" si="59"/>
        <v>0</v>
      </c>
      <c r="Y1301" s="1">
        <f t="shared" si="65"/>
        <v>1</v>
      </c>
      <c r="Z1301" s="1">
        <f>IF(COUNTIF($Y$6:Y1301,Y1301)=1,Y1301,Y1301+COUNTIF($Y$5:Y1300,Y1301))</f>
        <v>296</v>
      </c>
      <c r="AD1301" s="1" t="str">
        <f t="shared" si="66"/>
        <v/>
      </c>
      <c r="BA1301" s="1">
        <f>IF(W1301&lt;=Leltar_iv!$Y$1,I1301,0)</f>
        <v>0</v>
      </c>
    </row>
    <row r="1302" spans="1:53" s="1" customFormat="1" x14ac:dyDescent="0.25">
      <c r="A1302" s="18">
        <f>IF(COUNTIF($Y$6:Y1302,Y1302)=1,Y1302,Y1302+COUNTIF($Y$5:Y1301,Y1302))</f>
        <v>297</v>
      </c>
      <c r="B1302" s="1">
        <f>IF(AND(Kisero_iv!$N$2=C1302,Kisero_iv!$K$5=$B$3,SUM(I1302:L1306)&lt;&gt;0,$B$4=YEAR(W1302)),B1301+1,0)</f>
        <v>0</v>
      </c>
      <c r="C1302" s="1">
        <f t="shared" si="60"/>
        <v>297</v>
      </c>
      <c r="D1302" s="102" t="str">
        <f t="shared" si="61"/>
        <v/>
      </c>
      <c r="E1302" s="44"/>
      <c r="F1302" s="45"/>
      <c r="G1302" s="45"/>
      <c r="H1302" s="45"/>
      <c r="I1302" s="46"/>
      <c r="J1302" s="111" t="str">
        <f>IF(AND(G1302&lt;&gt;"",ISERROR(VLOOKUP(G1302,Keszlet!$C$5:$H$200,6,FALSE))=FALSE),VLOOKUP(G1302,Keszlet!$C$5:$H$200,6,FALSE),"")</f>
        <v/>
      </c>
      <c r="K1302" s="106" t="str">
        <f>IF(AND(G1302&lt;&gt;"",ISERROR(VLOOKUP(G1302,Keszlet!$C$5:$G$200,5,FALSE))=FALSE),VLOOKUP(G1302,Keszlet!$C$5:$G$200,5,FALSE),"")</f>
        <v/>
      </c>
      <c r="L1302" s="106" t="str">
        <f t="shared" si="62"/>
        <v/>
      </c>
      <c r="M1302" s="115" t="str">
        <f>IF(ISERROR(VLOOKUP(G1302,Keszlet!$C$5:$I$200,7,FALSE))=TRUE,"",IF(AND(J1301&lt;&gt;"",J1303=""),VLOOKUP(G1302,Keszlet!$C$5:$I$200,7,FALSE),""))</f>
        <v/>
      </c>
      <c r="Q1302" s="1">
        <f>VLOOKUP(G1302,Keszlet!$C$5:$E$205,3,FALSE)</f>
        <v>0</v>
      </c>
      <c r="T1302" s="1" t="str">
        <f t="shared" si="63"/>
        <v/>
      </c>
      <c r="U1302" s="1">
        <f t="shared" si="64"/>
        <v>0</v>
      </c>
      <c r="W1302" s="6">
        <f t="shared" si="67"/>
        <v>0</v>
      </c>
      <c r="X1302" s="6">
        <f t="shared" si="59"/>
        <v>0</v>
      </c>
      <c r="Y1302" s="1">
        <f t="shared" si="65"/>
        <v>1</v>
      </c>
      <c r="Z1302" s="1">
        <f>IF(COUNTIF($Y$6:Y1302,Y1302)=1,Y1302,Y1302+COUNTIF($Y$5:Y1301,Y1302))</f>
        <v>297</v>
      </c>
      <c r="AD1302" s="1" t="str">
        <f t="shared" si="66"/>
        <v/>
      </c>
      <c r="BA1302" s="1">
        <f>IF(W1302&lt;=Leltar_iv!$Y$1,I1302,0)</f>
        <v>0</v>
      </c>
    </row>
    <row r="1303" spans="1:53" s="1" customFormat="1" x14ac:dyDescent="0.25">
      <c r="A1303" s="18">
        <f>IF(COUNTIF($Y$6:Y1303,Y1303)=1,Y1303,Y1303+COUNTIF($Y$5:Y1302,Y1303))</f>
        <v>298</v>
      </c>
      <c r="B1303" s="1">
        <f>IF(AND(Kisero_iv!$N$2=C1303,Kisero_iv!$K$5=$B$3,SUM(I1303:L1307)&lt;&gt;0,$B$4=YEAR(W1303)),B1302+1,0)</f>
        <v>0</v>
      </c>
      <c r="C1303" s="1">
        <f t="shared" si="60"/>
        <v>298</v>
      </c>
      <c r="D1303" s="102" t="str">
        <f t="shared" si="61"/>
        <v/>
      </c>
      <c r="E1303" s="44"/>
      <c r="F1303" s="45"/>
      <c r="G1303" s="45"/>
      <c r="H1303" s="45"/>
      <c r="I1303" s="46"/>
      <c r="J1303" s="111" t="str">
        <f>IF(AND(G1303&lt;&gt;"",ISERROR(VLOOKUP(G1303,Keszlet!$C$5:$H$200,6,FALSE))=FALSE),VLOOKUP(G1303,Keszlet!$C$5:$H$200,6,FALSE),"")</f>
        <v/>
      </c>
      <c r="K1303" s="106" t="str">
        <f>IF(AND(G1303&lt;&gt;"",ISERROR(VLOOKUP(G1303,Keszlet!$C$5:$G$200,5,FALSE))=FALSE),VLOOKUP(G1303,Keszlet!$C$5:$G$200,5,FALSE),"")</f>
        <v/>
      </c>
      <c r="L1303" s="106" t="str">
        <f t="shared" si="62"/>
        <v/>
      </c>
      <c r="M1303" s="115" t="str">
        <f>IF(ISERROR(VLOOKUP(G1303,Keszlet!$C$5:$I$200,7,FALSE))=TRUE,"",IF(AND(J1302&lt;&gt;"",J1304=""),VLOOKUP(G1303,Keszlet!$C$5:$I$200,7,FALSE),""))</f>
        <v/>
      </c>
      <c r="Q1303" s="1">
        <f>VLOOKUP(G1303,Keszlet!$C$5:$E$205,3,FALSE)</f>
        <v>0</v>
      </c>
      <c r="T1303" s="1" t="str">
        <f t="shared" si="63"/>
        <v/>
      </c>
      <c r="U1303" s="1">
        <f t="shared" si="64"/>
        <v>0</v>
      </c>
      <c r="W1303" s="6">
        <f t="shared" si="67"/>
        <v>0</v>
      </c>
      <c r="X1303" s="6">
        <f t="shared" si="59"/>
        <v>0</v>
      </c>
      <c r="Y1303" s="1">
        <f t="shared" si="65"/>
        <v>1</v>
      </c>
      <c r="Z1303" s="1">
        <f>IF(COUNTIF($Y$6:Y1303,Y1303)=1,Y1303,Y1303+COUNTIF($Y$5:Y1302,Y1303))</f>
        <v>298</v>
      </c>
      <c r="AD1303" s="1" t="str">
        <f t="shared" si="66"/>
        <v/>
      </c>
      <c r="BA1303" s="1">
        <f>IF(W1303&lt;=Leltar_iv!$Y$1,I1303,0)</f>
        <v>0</v>
      </c>
    </row>
    <row r="1304" spans="1:53" s="1" customFormat="1" x14ac:dyDescent="0.25">
      <c r="A1304" s="18">
        <f>IF(COUNTIF($Y$6:Y1304,Y1304)=1,Y1304,Y1304+COUNTIF($Y$5:Y1303,Y1304))</f>
        <v>299</v>
      </c>
      <c r="B1304" s="1">
        <f>IF(AND(Kisero_iv!$N$2=C1304,Kisero_iv!$K$5=$B$3,SUM(I1304:L1308)&lt;&gt;0,$B$4=YEAR(W1304)),B1303+1,0)</f>
        <v>0</v>
      </c>
      <c r="C1304" s="1">
        <f t="shared" si="60"/>
        <v>299</v>
      </c>
      <c r="D1304" s="102" t="str">
        <f t="shared" si="61"/>
        <v/>
      </c>
      <c r="E1304" s="44"/>
      <c r="F1304" s="45"/>
      <c r="G1304" s="45"/>
      <c r="H1304" s="45"/>
      <c r="I1304" s="46"/>
      <c r="J1304" s="111" t="str">
        <f>IF(AND(G1304&lt;&gt;"",ISERROR(VLOOKUP(G1304,Keszlet!$C$5:$H$200,6,FALSE))=FALSE),VLOOKUP(G1304,Keszlet!$C$5:$H$200,6,FALSE),"")</f>
        <v/>
      </c>
      <c r="K1304" s="106" t="str">
        <f>IF(AND(G1304&lt;&gt;"",ISERROR(VLOOKUP(G1304,Keszlet!$C$5:$G$200,5,FALSE))=FALSE),VLOOKUP(G1304,Keszlet!$C$5:$G$200,5,FALSE),"")</f>
        <v/>
      </c>
      <c r="L1304" s="106" t="str">
        <f t="shared" si="62"/>
        <v/>
      </c>
      <c r="M1304" s="115" t="str">
        <f>IF(ISERROR(VLOOKUP(G1304,Keszlet!$C$5:$I$200,7,FALSE))=TRUE,"",IF(AND(J1303&lt;&gt;"",J1305=""),VLOOKUP(G1304,Keszlet!$C$5:$I$200,7,FALSE),""))</f>
        <v/>
      </c>
      <c r="Q1304" s="1">
        <f>VLOOKUP(G1304,Keszlet!$C$5:$E$205,3,FALSE)</f>
        <v>0</v>
      </c>
      <c r="T1304" s="1" t="str">
        <f t="shared" si="63"/>
        <v/>
      </c>
      <c r="U1304" s="1">
        <f t="shared" si="64"/>
        <v>0</v>
      </c>
      <c r="W1304" s="6">
        <f t="shared" si="67"/>
        <v>0</v>
      </c>
      <c r="X1304" s="6">
        <f t="shared" si="59"/>
        <v>0</v>
      </c>
      <c r="Y1304" s="1">
        <f t="shared" si="65"/>
        <v>1</v>
      </c>
      <c r="Z1304" s="1">
        <f>IF(COUNTIF($Y$6:Y1304,Y1304)=1,Y1304,Y1304+COUNTIF($Y$5:Y1303,Y1304))</f>
        <v>299</v>
      </c>
      <c r="AD1304" s="1" t="str">
        <f t="shared" si="66"/>
        <v/>
      </c>
      <c r="BA1304" s="1">
        <f>IF(W1304&lt;=Leltar_iv!$Y$1,I1304,0)</f>
        <v>0</v>
      </c>
    </row>
    <row r="1305" spans="1:53" s="1" customFormat="1" x14ac:dyDescent="0.25">
      <c r="A1305" s="18">
        <f>IF(COUNTIF($Y$6:Y1305,Y1305)=1,Y1305,Y1305+COUNTIF($Y$5:Y1304,Y1305))</f>
        <v>300</v>
      </c>
      <c r="B1305" s="1">
        <f>IF(AND(Kisero_iv!$N$2=C1305,Kisero_iv!$K$5=$B$3,SUM(I1305:L1309)&lt;&gt;0,$B$4=YEAR(W1305)),B1304+1,0)</f>
        <v>0</v>
      </c>
      <c r="C1305" s="1">
        <f t="shared" si="60"/>
        <v>300</v>
      </c>
      <c r="D1305" s="102" t="str">
        <f t="shared" si="61"/>
        <v/>
      </c>
      <c r="E1305" s="44"/>
      <c r="F1305" s="45"/>
      <c r="G1305" s="45"/>
      <c r="H1305" s="45"/>
      <c r="I1305" s="46"/>
      <c r="J1305" s="111" t="str">
        <f>IF(AND(G1305&lt;&gt;"",ISERROR(VLOOKUP(G1305,Keszlet!$C$5:$H$200,6,FALSE))=FALSE),VLOOKUP(G1305,Keszlet!$C$5:$H$200,6,FALSE),"")</f>
        <v/>
      </c>
      <c r="K1305" s="106" t="str">
        <f>IF(AND(G1305&lt;&gt;"",ISERROR(VLOOKUP(G1305,Keszlet!$C$5:$G$200,5,FALSE))=FALSE),VLOOKUP(G1305,Keszlet!$C$5:$G$200,5,FALSE),"")</f>
        <v/>
      </c>
      <c r="L1305" s="106" t="str">
        <f t="shared" si="62"/>
        <v/>
      </c>
      <c r="M1305" s="115" t="str">
        <f>IF(ISERROR(VLOOKUP(G1305,Keszlet!$C$5:$I$200,7,FALSE))=TRUE,"",IF(AND(J1304&lt;&gt;"",J1306=""),VLOOKUP(G1305,Keszlet!$C$5:$I$200,7,FALSE),""))</f>
        <v/>
      </c>
      <c r="Q1305" s="1">
        <f>VLOOKUP(G1305,Keszlet!$C$5:$E$205,3,FALSE)</f>
        <v>0</v>
      </c>
      <c r="T1305" s="1" t="str">
        <f t="shared" si="63"/>
        <v/>
      </c>
      <c r="U1305" s="1">
        <f t="shared" si="64"/>
        <v>0</v>
      </c>
      <c r="W1305" s="6">
        <f t="shared" si="67"/>
        <v>0</v>
      </c>
      <c r="X1305" s="6">
        <f t="shared" si="59"/>
        <v>0</v>
      </c>
      <c r="Y1305" s="1">
        <f t="shared" si="65"/>
        <v>1</v>
      </c>
      <c r="Z1305" s="1">
        <f>IF(COUNTIF($Y$6:Y1305,Y1305)=1,Y1305,Y1305+COUNTIF($Y$5:Y1304,Y1305))</f>
        <v>300</v>
      </c>
      <c r="AD1305" s="1" t="str">
        <f t="shared" si="66"/>
        <v/>
      </c>
      <c r="BA1305" s="1">
        <f>IF(W1305&lt;=Leltar_iv!$Y$1,I1305,0)</f>
        <v>0</v>
      </c>
    </row>
    <row r="1306" spans="1:53" s="1" customFormat="1" x14ac:dyDescent="0.25">
      <c r="A1306" s="18">
        <f>IF(COUNTIF($Y$6:Y1306,Y1306)=1,Y1306,Y1306+COUNTIF($Y$5:Y1305,Y1306))</f>
        <v>301</v>
      </c>
      <c r="B1306" s="1">
        <f>IF(AND(Kisero_iv!$N$2=C1306,Kisero_iv!$K$5=$B$3,SUM(I1306:L1310)&lt;&gt;0,$B$4=YEAR(W1306)),B1305+1,0)</f>
        <v>0</v>
      </c>
      <c r="C1306" s="1">
        <f t="shared" si="60"/>
        <v>301</v>
      </c>
      <c r="D1306" s="102" t="str">
        <f t="shared" si="61"/>
        <v/>
      </c>
      <c r="E1306" s="44"/>
      <c r="F1306" s="45"/>
      <c r="G1306" s="45"/>
      <c r="H1306" s="45"/>
      <c r="I1306" s="46"/>
      <c r="J1306" s="111" t="str">
        <f>IF(AND(G1306&lt;&gt;"",ISERROR(VLOOKUP(G1306,Keszlet!$C$5:$H$200,6,FALSE))=FALSE),VLOOKUP(G1306,Keszlet!$C$5:$H$200,6,FALSE),"")</f>
        <v/>
      </c>
      <c r="K1306" s="106" t="str">
        <f>IF(AND(G1306&lt;&gt;"",ISERROR(VLOOKUP(G1306,Keszlet!$C$5:$G$200,5,FALSE))=FALSE),VLOOKUP(G1306,Keszlet!$C$5:$G$200,5,FALSE),"")</f>
        <v/>
      </c>
      <c r="L1306" s="106" t="str">
        <f t="shared" si="62"/>
        <v/>
      </c>
      <c r="M1306" s="115" t="str">
        <f>IF(ISERROR(VLOOKUP(G1306,Keszlet!$C$5:$I$200,7,FALSE))=TRUE,"",IF(AND(J1305&lt;&gt;"",J1307=""),VLOOKUP(G1306,Keszlet!$C$5:$I$200,7,FALSE),""))</f>
        <v/>
      </c>
      <c r="Q1306" s="1">
        <f>VLOOKUP(G1306,Keszlet!$C$5:$E$205,3,FALSE)</f>
        <v>0</v>
      </c>
      <c r="T1306" s="1" t="str">
        <f t="shared" si="63"/>
        <v/>
      </c>
      <c r="U1306" s="1">
        <f t="shared" si="64"/>
        <v>0</v>
      </c>
      <c r="W1306" s="6">
        <f t="shared" si="67"/>
        <v>0</v>
      </c>
      <c r="X1306" s="6">
        <f t="shared" si="59"/>
        <v>0</v>
      </c>
      <c r="Y1306" s="1">
        <f t="shared" si="65"/>
        <v>1</v>
      </c>
      <c r="Z1306" s="1">
        <f>IF(COUNTIF($Y$6:Y1306,Y1306)=1,Y1306,Y1306+COUNTIF($Y$5:Y1305,Y1306))</f>
        <v>301</v>
      </c>
      <c r="AD1306" s="1" t="str">
        <f t="shared" si="66"/>
        <v/>
      </c>
      <c r="BA1306" s="1">
        <f>IF(W1306&lt;=Leltar_iv!$Y$1,I1306,0)</f>
        <v>0</v>
      </c>
    </row>
    <row r="1307" spans="1:53" s="1" customFormat="1" x14ac:dyDescent="0.25">
      <c r="A1307" s="18">
        <f>IF(COUNTIF($Y$6:Y1307,Y1307)=1,Y1307,Y1307+COUNTIF($Y$5:Y1306,Y1307))</f>
        <v>302</v>
      </c>
      <c r="B1307" s="1">
        <f>IF(AND(Kisero_iv!$N$2=C1307,Kisero_iv!$K$5=$B$3,SUM(I1307:L1311)&lt;&gt;0,$B$4=YEAR(W1307)),B1306+1,0)</f>
        <v>0</v>
      </c>
      <c r="C1307" s="1">
        <f t="shared" si="60"/>
        <v>302</v>
      </c>
      <c r="D1307" s="102" t="str">
        <f t="shared" si="61"/>
        <v/>
      </c>
      <c r="E1307" s="44"/>
      <c r="F1307" s="45"/>
      <c r="G1307" s="45"/>
      <c r="H1307" s="45"/>
      <c r="I1307" s="46"/>
      <c r="J1307" s="111" t="str">
        <f>IF(AND(G1307&lt;&gt;"",ISERROR(VLOOKUP(G1307,Keszlet!$C$5:$H$200,6,FALSE))=FALSE),VLOOKUP(G1307,Keszlet!$C$5:$H$200,6,FALSE),"")</f>
        <v/>
      </c>
      <c r="K1307" s="106" t="str">
        <f>IF(AND(G1307&lt;&gt;"",ISERROR(VLOOKUP(G1307,Keszlet!$C$5:$G$200,5,FALSE))=FALSE),VLOOKUP(G1307,Keszlet!$C$5:$G$200,5,FALSE),"")</f>
        <v/>
      </c>
      <c r="L1307" s="106" t="str">
        <f t="shared" si="62"/>
        <v/>
      </c>
      <c r="M1307" s="115" t="str">
        <f>IF(ISERROR(VLOOKUP(G1307,Keszlet!$C$5:$I$200,7,FALSE))=TRUE,"",IF(AND(J1306&lt;&gt;"",J1308=""),VLOOKUP(G1307,Keszlet!$C$5:$I$200,7,FALSE),""))</f>
        <v/>
      </c>
      <c r="Q1307" s="1">
        <f>VLOOKUP(G1307,Keszlet!$C$5:$E$205,3,FALSE)</f>
        <v>0</v>
      </c>
      <c r="T1307" s="1" t="str">
        <f t="shared" si="63"/>
        <v/>
      </c>
      <c r="U1307" s="1">
        <f t="shared" si="64"/>
        <v>0</v>
      </c>
      <c r="W1307" s="6">
        <f t="shared" si="67"/>
        <v>0</v>
      </c>
      <c r="X1307" s="6">
        <f t="shared" si="59"/>
        <v>0</v>
      </c>
      <c r="Y1307" s="1">
        <f t="shared" si="65"/>
        <v>1</v>
      </c>
      <c r="Z1307" s="1">
        <f>IF(COUNTIF($Y$6:Y1307,Y1307)=1,Y1307,Y1307+COUNTIF($Y$5:Y1306,Y1307))</f>
        <v>302</v>
      </c>
      <c r="AD1307" s="1" t="str">
        <f t="shared" si="66"/>
        <v/>
      </c>
      <c r="BA1307" s="1">
        <f>IF(W1307&lt;=Leltar_iv!$Y$1,I1307,0)</f>
        <v>0</v>
      </c>
    </row>
    <row r="1308" spans="1:53" s="1" customFormat="1" x14ac:dyDescent="0.25">
      <c r="A1308" s="18">
        <f>IF(COUNTIF($Y$6:Y1308,Y1308)=1,Y1308,Y1308+COUNTIF($Y$5:Y1307,Y1308))</f>
        <v>303</v>
      </c>
      <c r="B1308" s="1">
        <f>IF(AND(Kisero_iv!$N$2=C1308,Kisero_iv!$K$5=$B$3,SUM(I1308:L1312)&lt;&gt;0,$B$4=YEAR(W1308)),B1307+1,0)</f>
        <v>0</v>
      </c>
      <c r="C1308" s="1">
        <f t="shared" si="60"/>
        <v>303</v>
      </c>
      <c r="D1308" s="102" t="str">
        <f t="shared" si="61"/>
        <v/>
      </c>
      <c r="E1308" s="44"/>
      <c r="F1308" s="45"/>
      <c r="G1308" s="45"/>
      <c r="H1308" s="45"/>
      <c r="I1308" s="46"/>
      <c r="J1308" s="111" t="str">
        <f>IF(AND(G1308&lt;&gt;"",ISERROR(VLOOKUP(G1308,Keszlet!$C$5:$H$200,6,FALSE))=FALSE),VLOOKUP(G1308,Keszlet!$C$5:$H$200,6,FALSE),"")</f>
        <v/>
      </c>
      <c r="K1308" s="106" t="str">
        <f>IF(AND(G1308&lt;&gt;"",ISERROR(VLOOKUP(G1308,Keszlet!$C$5:$G$200,5,FALSE))=FALSE),VLOOKUP(G1308,Keszlet!$C$5:$G$200,5,FALSE),"")</f>
        <v/>
      </c>
      <c r="L1308" s="106" t="str">
        <f t="shared" si="62"/>
        <v/>
      </c>
      <c r="M1308" s="115" t="str">
        <f>IF(ISERROR(VLOOKUP(G1308,Keszlet!$C$5:$I$200,7,FALSE))=TRUE,"",IF(AND(J1307&lt;&gt;"",J1309=""),VLOOKUP(G1308,Keszlet!$C$5:$I$200,7,FALSE),""))</f>
        <v/>
      </c>
      <c r="Q1308" s="1">
        <f>VLOOKUP(G1308,Keszlet!$C$5:$E$205,3,FALSE)</f>
        <v>0</v>
      </c>
      <c r="T1308" s="1" t="str">
        <f t="shared" si="63"/>
        <v/>
      </c>
      <c r="U1308" s="1">
        <f t="shared" si="64"/>
        <v>0</v>
      </c>
      <c r="W1308" s="6">
        <f t="shared" si="67"/>
        <v>0</v>
      </c>
      <c r="X1308" s="6">
        <f t="shared" si="59"/>
        <v>0</v>
      </c>
      <c r="Y1308" s="1">
        <f t="shared" si="65"/>
        <v>1</v>
      </c>
      <c r="Z1308" s="1">
        <f>IF(COUNTIF($Y$6:Y1308,Y1308)=1,Y1308,Y1308+COUNTIF($Y$5:Y1307,Y1308))</f>
        <v>303</v>
      </c>
      <c r="AD1308" s="1" t="str">
        <f t="shared" si="66"/>
        <v/>
      </c>
      <c r="BA1308" s="1">
        <f>IF(W1308&lt;=Leltar_iv!$Y$1,I1308,0)</f>
        <v>0</v>
      </c>
    </row>
    <row r="1309" spans="1:53" s="1" customFormat="1" x14ac:dyDescent="0.25">
      <c r="A1309" s="18">
        <f>IF(COUNTIF($Y$6:Y1309,Y1309)=1,Y1309,Y1309+COUNTIF($Y$5:Y1308,Y1309))</f>
        <v>304</v>
      </c>
      <c r="B1309" s="1">
        <f>IF(AND(Kisero_iv!$N$2=C1309,Kisero_iv!$K$5=$B$3,SUM(I1309:L1313)&lt;&gt;0,$B$4=YEAR(W1309)),B1308+1,0)</f>
        <v>0</v>
      </c>
      <c r="C1309" s="1">
        <f t="shared" si="60"/>
        <v>304</v>
      </c>
      <c r="D1309" s="102" t="str">
        <f t="shared" si="61"/>
        <v/>
      </c>
      <c r="E1309" s="44"/>
      <c r="F1309" s="45"/>
      <c r="G1309" s="45"/>
      <c r="H1309" s="45"/>
      <c r="I1309" s="46"/>
      <c r="J1309" s="111" t="str">
        <f>IF(AND(G1309&lt;&gt;"",ISERROR(VLOOKUP(G1309,Keszlet!$C$5:$H$200,6,FALSE))=FALSE),VLOOKUP(G1309,Keszlet!$C$5:$H$200,6,FALSE),"")</f>
        <v/>
      </c>
      <c r="K1309" s="106" t="str">
        <f>IF(AND(G1309&lt;&gt;"",ISERROR(VLOOKUP(G1309,Keszlet!$C$5:$G$200,5,FALSE))=FALSE),VLOOKUP(G1309,Keszlet!$C$5:$G$200,5,FALSE),"")</f>
        <v/>
      </c>
      <c r="L1309" s="106" t="str">
        <f t="shared" si="62"/>
        <v/>
      </c>
      <c r="M1309" s="115" t="str">
        <f>IF(ISERROR(VLOOKUP(G1309,Keszlet!$C$5:$I$200,7,FALSE))=TRUE,"",IF(AND(J1308&lt;&gt;"",J1310=""),VLOOKUP(G1309,Keszlet!$C$5:$I$200,7,FALSE),""))</f>
        <v/>
      </c>
      <c r="Q1309" s="1">
        <f>VLOOKUP(G1309,Keszlet!$C$5:$E$205,3,FALSE)</f>
        <v>0</v>
      </c>
      <c r="T1309" s="1" t="str">
        <f t="shared" si="63"/>
        <v/>
      </c>
      <c r="U1309" s="1">
        <f t="shared" si="64"/>
        <v>0</v>
      </c>
      <c r="W1309" s="6">
        <f t="shared" si="67"/>
        <v>0</v>
      </c>
      <c r="X1309" s="6">
        <f t="shared" si="59"/>
        <v>0</v>
      </c>
      <c r="Y1309" s="1">
        <f t="shared" si="65"/>
        <v>1</v>
      </c>
      <c r="Z1309" s="1">
        <f>IF(COUNTIF($Y$6:Y1309,Y1309)=1,Y1309,Y1309+COUNTIF($Y$5:Y1308,Y1309))</f>
        <v>304</v>
      </c>
      <c r="AD1309" s="1" t="str">
        <f t="shared" si="66"/>
        <v/>
      </c>
      <c r="BA1309" s="1">
        <f>IF(W1309&lt;=Leltar_iv!$Y$1,I1309,0)</f>
        <v>0</v>
      </c>
    </row>
    <row r="1310" spans="1:53" s="1" customFormat="1" x14ac:dyDescent="0.25">
      <c r="A1310" s="18">
        <f>IF(COUNTIF($Y$6:Y1310,Y1310)=1,Y1310,Y1310+COUNTIF($Y$5:Y1309,Y1310))</f>
        <v>305</v>
      </c>
      <c r="B1310" s="1">
        <f>IF(AND(Kisero_iv!$N$2=C1310,Kisero_iv!$K$5=$B$3,SUM(I1310:L1314)&lt;&gt;0,$B$4=YEAR(W1310)),B1309+1,0)</f>
        <v>0</v>
      </c>
      <c r="C1310" s="1">
        <f t="shared" si="60"/>
        <v>305</v>
      </c>
      <c r="D1310" s="102" t="str">
        <f t="shared" si="61"/>
        <v/>
      </c>
      <c r="E1310" s="44"/>
      <c r="F1310" s="45"/>
      <c r="G1310" s="45"/>
      <c r="H1310" s="45"/>
      <c r="I1310" s="46"/>
      <c r="J1310" s="111" t="str">
        <f>IF(AND(G1310&lt;&gt;"",ISERROR(VLOOKUP(G1310,Keszlet!$C$5:$H$200,6,FALSE))=FALSE),VLOOKUP(G1310,Keszlet!$C$5:$H$200,6,FALSE),"")</f>
        <v/>
      </c>
      <c r="K1310" s="106" t="str">
        <f>IF(AND(G1310&lt;&gt;"",ISERROR(VLOOKUP(G1310,Keszlet!$C$5:$G$200,5,FALSE))=FALSE),VLOOKUP(G1310,Keszlet!$C$5:$G$200,5,FALSE),"")</f>
        <v/>
      </c>
      <c r="L1310" s="106" t="str">
        <f t="shared" si="62"/>
        <v/>
      </c>
      <c r="M1310" s="115" t="str">
        <f>IF(ISERROR(VLOOKUP(G1310,Keszlet!$C$5:$I$200,7,FALSE))=TRUE,"",IF(AND(J1309&lt;&gt;"",J1311=""),VLOOKUP(G1310,Keszlet!$C$5:$I$200,7,FALSE),""))</f>
        <v/>
      </c>
      <c r="Q1310" s="1">
        <f>VLOOKUP(G1310,Keszlet!$C$5:$E$205,3,FALSE)</f>
        <v>0</v>
      </c>
      <c r="T1310" s="1" t="str">
        <f t="shared" si="63"/>
        <v/>
      </c>
      <c r="U1310" s="1">
        <f t="shared" si="64"/>
        <v>0</v>
      </c>
      <c r="W1310" s="6">
        <f t="shared" si="67"/>
        <v>0</v>
      </c>
      <c r="X1310" s="6">
        <f t="shared" si="59"/>
        <v>0</v>
      </c>
      <c r="Y1310" s="1">
        <f t="shared" si="65"/>
        <v>1</v>
      </c>
      <c r="Z1310" s="1">
        <f>IF(COUNTIF($Y$6:Y1310,Y1310)=1,Y1310,Y1310+COUNTIF($Y$5:Y1309,Y1310))</f>
        <v>305</v>
      </c>
      <c r="AD1310" s="1" t="str">
        <f t="shared" si="66"/>
        <v/>
      </c>
      <c r="BA1310" s="1">
        <f>IF(W1310&lt;=Leltar_iv!$Y$1,I1310,0)</f>
        <v>0</v>
      </c>
    </row>
    <row r="1311" spans="1:53" s="1" customFormat="1" x14ac:dyDescent="0.25">
      <c r="A1311" s="18">
        <f>IF(COUNTIF($Y$6:Y1311,Y1311)=1,Y1311,Y1311+COUNTIF($Y$5:Y1310,Y1311))</f>
        <v>306</v>
      </c>
      <c r="B1311" s="1">
        <f>IF(AND(Kisero_iv!$N$2=C1311,Kisero_iv!$K$5=$B$3,SUM(I1311:L1315)&lt;&gt;0,$B$4=YEAR(W1311)),B1310+1,0)</f>
        <v>0</v>
      </c>
      <c r="C1311" s="1">
        <f t="shared" si="60"/>
        <v>306</v>
      </c>
      <c r="D1311" s="102" t="str">
        <f t="shared" si="61"/>
        <v/>
      </c>
      <c r="E1311" s="44"/>
      <c r="F1311" s="45"/>
      <c r="G1311" s="45"/>
      <c r="H1311" s="45"/>
      <c r="I1311" s="46"/>
      <c r="J1311" s="111" t="str">
        <f>IF(AND(G1311&lt;&gt;"",ISERROR(VLOOKUP(G1311,Keszlet!$C$5:$H$200,6,FALSE))=FALSE),VLOOKUP(G1311,Keszlet!$C$5:$H$200,6,FALSE),"")</f>
        <v/>
      </c>
      <c r="K1311" s="106" t="str">
        <f>IF(AND(G1311&lt;&gt;"",ISERROR(VLOOKUP(G1311,Keszlet!$C$5:$G$200,5,FALSE))=FALSE),VLOOKUP(G1311,Keszlet!$C$5:$G$200,5,FALSE),"")</f>
        <v/>
      </c>
      <c r="L1311" s="106" t="str">
        <f t="shared" si="62"/>
        <v/>
      </c>
      <c r="M1311" s="115" t="str">
        <f>IF(ISERROR(VLOOKUP(G1311,Keszlet!$C$5:$I$200,7,FALSE))=TRUE,"",IF(AND(J1310&lt;&gt;"",J1312=""),VLOOKUP(G1311,Keszlet!$C$5:$I$200,7,FALSE),""))</f>
        <v/>
      </c>
      <c r="Q1311" s="1">
        <f>VLOOKUP(G1311,Keszlet!$C$5:$E$205,3,FALSE)</f>
        <v>0</v>
      </c>
      <c r="T1311" s="1" t="str">
        <f t="shared" si="63"/>
        <v/>
      </c>
      <c r="U1311" s="1">
        <f t="shared" si="64"/>
        <v>0</v>
      </c>
      <c r="W1311" s="6">
        <f t="shared" si="67"/>
        <v>0</v>
      </c>
      <c r="X1311" s="6">
        <f t="shared" si="59"/>
        <v>0</v>
      </c>
      <c r="Y1311" s="1">
        <f t="shared" si="65"/>
        <v>1</v>
      </c>
      <c r="Z1311" s="1">
        <f>IF(COUNTIF($Y$6:Y1311,Y1311)=1,Y1311,Y1311+COUNTIF($Y$5:Y1310,Y1311))</f>
        <v>306</v>
      </c>
      <c r="AD1311" s="1" t="str">
        <f t="shared" si="66"/>
        <v/>
      </c>
      <c r="BA1311" s="1">
        <f>IF(W1311&lt;=Leltar_iv!$Y$1,I1311,0)</f>
        <v>0</v>
      </c>
    </row>
    <row r="1312" spans="1:53" s="1" customFormat="1" x14ac:dyDescent="0.25">
      <c r="A1312" s="18">
        <f>IF(COUNTIF($Y$6:Y1312,Y1312)=1,Y1312,Y1312+COUNTIF($Y$5:Y1311,Y1312))</f>
        <v>307</v>
      </c>
      <c r="B1312" s="1">
        <f>IF(AND(Kisero_iv!$N$2=C1312,Kisero_iv!$K$5=$B$3,SUM(I1312:L1316)&lt;&gt;0,$B$4=YEAR(W1312)),B1311+1,0)</f>
        <v>0</v>
      </c>
      <c r="C1312" s="1">
        <f t="shared" si="60"/>
        <v>307</v>
      </c>
      <c r="D1312" s="102" t="str">
        <f t="shared" si="61"/>
        <v/>
      </c>
      <c r="E1312" s="44"/>
      <c r="F1312" s="45"/>
      <c r="G1312" s="45"/>
      <c r="H1312" s="45"/>
      <c r="I1312" s="46"/>
      <c r="J1312" s="111" t="str">
        <f>IF(AND(G1312&lt;&gt;"",ISERROR(VLOOKUP(G1312,Keszlet!$C$5:$H$200,6,FALSE))=FALSE),VLOOKUP(G1312,Keszlet!$C$5:$H$200,6,FALSE),"")</f>
        <v/>
      </c>
      <c r="K1312" s="106" t="str">
        <f>IF(AND(G1312&lt;&gt;"",ISERROR(VLOOKUP(G1312,Keszlet!$C$5:$G$200,5,FALSE))=FALSE),VLOOKUP(G1312,Keszlet!$C$5:$G$200,5,FALSE),"")</f>
        <v/>
      </c>
      <c r="L1312" s="106" t="str">
        <f t="shared" si="62"/>
        <v/>
      </c>
      <c r="M1312" s="115" t="str">
        <f>IF(ISERROR(VLOOKUP(G1312,Keszlet!$C$5:$I$200,7,FALSE))=TRUE,"",IF(AND(J1311&lt;&gt;"",J1313=""),VLOOKUP(G1312,Keszlet!$C$5:$I$200,7,FALSE),""))</f>
        <v/>
      </c>
      <c r="Q1312" s="1">
        <f>VLOOKUP(G1312,Keszlet!$C$5:$E$205,3,FALSE)</f>
        <v>0</v>
      </c>
      <c r="T1312" s="1" t="str">
        <f t="shared" si="63"/>
        <v/>
      </c>
      <c r="U1312" s="1">
        <f t="shared" si="64"/>
        <v>0</v>
      </c>
      <c r="W1312" s="6">
        <f t="shared" si="67"/>
        <v>0</v>
      </c>
      <c r="X1312" s="6">
        <f t="shared" si="59"/>
        <v>0</v>
      </c>
      <c r="Y1312" s="1">
        <f t="shared" si="65"/>
        <v>1</v>
      </c>
      <c r="Z1312" s="1">
        <f>IF(COUNTIF($Y$6:Y1312,Y1312)=1,Y1312,Y1312+COUNTIF($Y$5:Y1311,Y1312))</f>
        <v>307</v>
      </c>
      <c r="AD1312" s="1" t="str">
        <f t="shared" si="66"/>
        <v/>
      </c>
      <c r="BA1312" s="1">
        <f>IF(W1312&lt;=Leltar_iv!$Y$1,I1312,0)</f>
        <v>0</v>
      </c>
    </row>
    <row r="1313" spans="1:53" s="1" customFormat="1" x14ac:dyDescent="0.25">
      <c r="A1313" s="18">
        <f>IF(COUNTIF($Y$6:Y1313,Y1313)=1,Y1313,Y1313+COUNTIF($Y$5:Y1312,Y1313))</f>
        <v>308</v>
      </c>
      <c r="B1313" s="1">
        <f>IF(AND(Kisero_iv!$N$2=C1313,Kisero_iv!$K$5=$B$3,SUM(I1313:L1317)&lt;&gt;0,$B$4=YEAR(W1313)),B1312+1,0)</f>
        <v>0</v>
      </c>
      <c r="C1313" s="1">
        <f t="shared" si="60"/>
        <v>308</v>
      </c>
      <c r="D1313" s="102" t="str">
        <f t="shared" si="61"/>
        <v/>
      </c>
      <c r="E1313" s="44"/>
      <c r="F1313" s="45"/>
      <c r="G1313" s="45"/>
      <c r="H1313" s="45"/>
      <c r="I1313" s="46"/>
      <c r="J1313" s="111" t="str">
        <f>IF(AND(G1313&lt;&gt;"",ISERROR(VLOOKUP(G1313,Keszlet!$C$5:$H$200,6,FALSE))=FALSE),VLOOKUP(G1313,Keszlet!$C$5:$H$200,6,FALSE),"")</f>
        <v/>
      </c>
      <c r="K1313" s="106" t="str">
        <f>IF(AND(G1313&lt;&gt;"",ISERROR(VLOOKUP(G1313,Keszlet!$C$5:$G$200,5,FALSE))=FALSE),VLOOKUP(G1313,Keszlet!$C$5:$G$200,5,FALSE),"")</f>
        <v/>
      </c>
      <c r="L1313" s="106" t="str">
        <f t="shared" si="62"/>
        <v/>
      </c>
      <c r="M1313" s="115" t="str">
        <f>IF(ISERROR(VLOOKUP(G1313,Keszlet!$C$5:$I$200,7,FALSE))=TRUE,"",IF(AND(J1312&lt;&gt;"",J1314=""),VLOOKUP(G1313,Keszlet!$C$5:$I$200,7,FALSE),""))</f>
        <v/>
      </c>
      <c r="Q1313" s="1">
        <f>VLOOKUP(G1313,Keszlet!$C$5:$E$205,3,FALSE)</f>
        <v>0</v>
      </c>
      <c r="T1313" s="1" t="str">
        <f t="shared" si="63"/>
        <v/>
      </c>
      <c r="U1313" s="1">
        <f t="shared" si="64"/>
        <v>0</v>
      </c>
      <c r="W1313" s="6">
        <f t="shared" si="67"/>
        <v>0</v>
      </c>
      <c r="X1313" s="6">
        <f t="shared" si="59"/>
        <v>0</v>
      </c>
      <c r="Y1313" s="1">
        <f t="shared" si="65"/>
        <v>1</v>
      </c>
      <c r="Z1313" s="1">
        <f>IF(COUNTIF($Y$6:Y1313,Y1313)=1,Y1313,Y1313+COUNTIF($Y$5:Y1312,Y1313))</f>
        <v>308</v>
      </c>
      <c r="AD1313" s="1" t="str">
        <f t="shared" si="66"/>
        <v/>
      </c>
      <c r="BA1313" s="1">
        <f>IF(W1313&lt;=Leltar_iv!$Y$1,I1313,0)</f>
        <v>0</v>
      </c>
    </row>
    <row r="1314" spans="1:53" s="1" customFormat="1" x14ac:dyDescent="0.25">
      <c r="A1314" s="18">
        <f>IF(COUNTIF($Y$6:Y1314,Y1314)=1,Y1314,Y1314+COUNTIF($Y$5:Y1313,Y1314))</f>
        <v>309</v>
      </c>
      <c r="B1314" s="1">
        <f>IF(AND(Kisero_iv!$N$2=C1314,Kisero_iv!$K$5=$B$3,SUM(I1314:L1318)&lt;&gt;0,$B$4=YEAR(W1314)),B1313+1,0)</f>
        <v>0</v>
      </c>
      <c r="C1314" s="1">
        <f t="shared" si="60"/>
        <v>309</v>
      </c>
      <c r="D1314" s="102" t="str">
        <f t="shared" si="61"/>
        <v/>
      </c>
      <c r="E1314" s="44"/>
      <c r="F1314" s="45"/>
      <c r="G1314" s="45"/>
      <c r="H1314" s="45"/>
      <c r="I1314" s="46"/>
      <c r="J1314" s="111" t="str">
        <f>IF(AND(G1314&lt;&gt;"",ISERROR(VLOOKUP(G1314,Keszlet!$C$5:$H$200,6,FALSE))=FALSE),VLOOKUP(G1314,Keszlet!$C$5:$H$200,6,FALSE),"")</f>
        <v/>
      </c>
      <c r="K1314" s="106" t="str">
        <f>IF(AND(G1314&lt;&gt;"",ISERROR(VLOOKUP(G1314,Keszlet!$C$5:$G$200,5,FALSE))=FALSE),VLOOKUP(G1314,Keszlet!$C$5:$G$200,5,FALSE),"")</f>
        <v/>
      </c>
      <c r="L1314" s="106" t="str">
        <f t="shared" si="62"/>
        <v/>
      </c>
      <c r="M1314" s="115" t="str">
        <f>IF(ISERROR(VLOOKUP(G1314,Keszlet!$C$5:$I$200,7,FALSE))=TRUE,"",IF(AND(J1313&lt;&gt;"",J1315=""),VLOOKUP(G1314,Keszlet!$C$5:$I$200,7,FALSE),""))</f>
        <v/>
      </c>
      <c r="Q1314" s="1">
        <f>VLOOKUP(G1314,Keszlet!$C$5:$E$205,3,FALSE)</f>
        <v>0</v>
      </c>
      <c r="T1314" s="1" t="str">
        <f t="shared" si="63"/>
        <v/>
      </c>
      <c r="U1314" s="1">
        <f t="shared" si="64"/>
        <v>0</v>
      </c>
      <c r="W1314" s="6">
        <f t="shared" si="67"/>
        <v>0</v>
      </c>
      <c r="X1314" s="6">
        <f t="shared" si="59"/>
        <v>0</v>
      </c>
      <c r="Y1314" s="1">
        <f t="shared" si="65"/>
        <v>1</v>
      </c>
      <c r="Z1314" s="1">
        <f>IF(COUNTIF($Y$6:Y1314,Y1314)=1,Y1314,Y1314+COUNTIF($Y$5:Y1313,Y1314))</f>
        <v>309</v>
      </c>
      <c r="AD1314" s="1" t="str">
        <f t="shared" si="66"/>
        <v/>
      </c>
      <c r="BA1314" s="1">
        <f>IF(W1314&lt;=Leltar_iv!$Y$1,I1314,0)</f>
        <v>0</v>
      </c>
    </row>
    <row r="1315" spans="1:53" s="1" customFormat="1" x14ac:dyDescent="0.25">
      <c r="A1315" s="18">
        <f>IF(COUNTIF($Y$6:Y1315,Y1315)=1,Y1315,Y1315+COUNTIF($Y$5:Y1314,Y1315))</f>
        <v>310</v>
      </c>
      <c r="B1315" s="1">
        <f>IF(AND(Kisero_iv!$N$2=C1315,Kisero_iv!$K$5=$B$3,SUM(I1315:L1319)&lt;&gt;0,$B$4=YEAR(W1315)),B1314+1,0)</f>
        <v>0</v>
      </c>
      <c r="C1315" s="1">
        <f t="shared" si="60"/>
        <v>310</v>
      </c>
      <c r="D1315" s="102" t="str">
        <f t="shared" si="61"/>
        <v/>
      </c>
      <c r="E1315" s="44"/>
      <c r="F1315" s="45"/>
      <c r="G1315" s="45"/>
      <c r="H1315" s="45"/>
      <c r="I1315" s="46"/>
      <c r="J1315" s="111" t="str">
        <f>IF(AND(G1315&lt;&gt;"",ISERROR(VLOOKUP(G1315,Keszlet!$C$5:$H$200,6,FALSE))=FALSE),VLOOKUP(G1315,Keszlet!$C$5:$H$200,6,FALSE),"")</f>
        <v/>
      </c>
      <c r="K1315" s="106" t="str">
        <f>IF(AND(G1315&lt;&gt;"",ISERROR(VLOOKUP(G1315,Keszlet!$C$5:$G$200,5,FALSE))=FALSE),VLOOKUP(G1315,Keszlet!$C$5:$G$200,5,FALSE),"")</f>
        <v/>
      </c>
      <c r="L1315" s="106" t="str">
        <f t="shared" si="62"/>
        <v/>
      </c>
      <c r="M1315" s="115" t="str">
        <f>IF(ISERROR(VLOOKUP(G1315,Keszlet!$C$5:$I$200,7,FALSE))=TRUE,"",IF(AND(J1314&lt;&gt;"",J1316=""),VLOOKUP(G1315,Keszlet!$C$5:$I$200,7,FALSE),""))</f>
        <v/>
      </c>
      <c r="Q1315" s="1">
        <f>VLOOKUP(G1315,Keszlet!$C$5:$E$205,3,FALSE)</f>
        <v>0</v>
      </c>
      <c r="T1315" s="1" t="str">
        <f t="shared" si="63"/>
        <v/>
      </c>
      <c r="U1315" s="1">
        <f t="shared" si="64"/>
        <v>0</v>
      </c>
      <c r="W1315" s="6">
        <f t="shared" si="67"/>
        <v>0</v>
      </c>
      <c r="X1315" s="6">
        <f t="shared" si="59"/>
        <v>0</v>
      </c>
      <c r="Y1315" s="1">
        <f t="shared" si="65"/>
        <v>1</v>
      </c>
      <c r="Z1315" s="1">
        <f>IF(COUNTIF($Y$6:Y1315,Y1315)=1,Y1315,Y1315+COUNTIF($Y$5:Y1314,Y1315))</f>
        <v>310</v>
      </c>
      <c r="AD1315" s="1" t="str">
        <f t="shared" si="66"/>
        <v/>
      </c>
      <c r="BA1315" s="1">
        <f>IF(W1315&lt;=Leltar_iv!$Y$1,I1315,0)</f>
        <v>0</v>
      </c>
    </row>
    <row r="1316" spans="1:53" s="1" customFormat="1" x14ac:dyDescent="0.25">
      <c r="A1316" s="18">
        <f>IF(COUNTIF($Y$6:Y1316,Y1316)=1,Y1316,Y1316+COUNTIF($Y$5:Y1315,Y1316))</f>
        <v>311</v>
      </c>
      <c r="B1316" s="1">
        <f>IF(AND(Kisero_iv!$N$2=C1316,Kisero_iv!$K$5=$B$3,SUM(I1316:L1320)&lt;&gt;0,$B$4=YEAR(W1316)),B1315+1,0)</f>
        <v>0</v>
      </c>
      <c r="C1316" s="1">
        <f t="shared" si="60"/>
        <v>311</v>
      </c>
      <c r="D1316" s="102" t="str">
        <f t="shared" si="61"/>
        <v/>
      </c>
      <c r="E1316" s="44"/>
      <c r="F1316" s="45"/>
      <c r="G1316" s="45"/>
      <c r="H1316" s="45"/>
      <c r="I1316" s="46"/>
      <c r="J1316" s="111" t="str">
        <f>IF(AND(G1316&lt;&gt;"",ISERROR(VLOOKUP(G1316,Keszlet!$C$5:$H$200,6,FALSE))=FALSE),VLOOKUP(G1316,Keszlet!$C$5:$H$200,6,FALSE),"")</f>
        <v/>
      </c>
      <c r="K1316" s="106" t="str">
        <f>IF(AND(G1316&lt;&gt;"",ISERROR(VLOOKUP(G1316,Keszlet!$C$5:$G$200,5,FALSE))=FALSE),VLOOKUP(G1316,Keszlet!$C$5:$G$200,5,FALSE),"")</f>
        <v/>
      </c>
      <c r="L1316" s="106" t="str">
        <f t="shared" si="62"/>
        <v/>
      </c>
      <c r="M1316" s="115" t="str">
        <f>IF(ISERROR(VLOOKUP(G1316,Keszlet!$C$5:$I$200,7,FALSE))=TRUE,"",IF(AND(J1315&lt;&gt;"",J1317=""),VLOOKUP(G1316,Keszlet!$C$5:$I$200,7,FALSE),""))</f>
        <v/>
      </c>
      <c r="Q1316" s="1">
        <f>VLOOKUP(G1316,Keszlet!$C$5:$E$205,3,FALSE)</f>
        <v>0</v>
      </c>
      <c r="T1316" s="1" t="str">
        <f t="shared" si="63"/>
        <v/>
      </c>
      <c r="U1316" s="1">
        <f t="shared" si="64"/>
        <v>0</v>
      </c>
      <c r="W1316" s="6">
        <f t="shared" si="67"/>
        <v>0</v>
      </c>
      <c r="X1316" s="6">
        <f t="shared" si="59"/>
        <v>0</v>
      </c>
      <c r="Y1316" s="1">
        <f t="shared" si="65"/>
        <v>1</v>
      </c>
      <c r="Z1316" s="1">
        <f>IF(COUNTIF($Y$6:Y1316,Y1316)=1,Y1316,Y1316+COUNTIF($Y$5:Y1315,Y1316))</f>
        <v>311</v>
      </c>
      <c r="AD1316" s="1" t="str">
        <f t="shared" si="66"/>
        <v/>
      </c>
      <c r="BA1316" s="1">
        <f>IF(W1316&lt;=Leltar_iv!$Y$1,I1316,0)</f>
        <v>0</v>
      </c>
    </row>
    <row r="1317" spans="1:53" s="1" customFormat="1" x14ac:dyDescent="0.25">
      <c r="A1317" s="18">
        <f>IF(COUNTIF($Y$6:Y1317,Y1317)=1,Y1317,Y1317+COUNTIF($Y$5:Y1316,Y1317))</f>
        <v>312</v>
      </c>
      <c r="B1317" s="1">
        <f>IF(AND(Kisero_iv!$N$2=C1317,Kisero_iv!$K$5=$B$3,SUM(I1317:L1321)&lt;&gt;0,$B$4=YEAR(W1317)),B1316+1,0)</f>
        <v>0</v>
      </c>
      <c r="C1317" s="1">
        <f t="shared" si="60"/>
        <v>312</v>
      </c>
      <c r="D1317" s="102" t="str">
        <f t="shared" si="61"/>
        <v/>
      </c>
      <c r="E1317" s="44"/>
      <c r="F1317" s="45"/>
      <c r="G1317" s="45"/>
      <c r="H1317" s="45"/>
      <c r="I1317" s="46"/>
      <c r="J1317" s="111" t="str">
        <f>IF(AND(G1317&lt;&gt;"",ISERROR(VLOOKUP(G1317,Keszlet!$C$5:$H$200,6,FALSE))=FALSE),VLOOKUP(G1317,Keszlet!$C$5:$H$200,6,FALSE),"")</f>
        <v/>
      </c>
      <c r="K1317" s="106" t="str">
        <f>IF(AND(G1317&lt;&gt;"",ISERROR(VLOOKUP(G1317,Keszlet!$C$5:$G$200,5,FALSE))=FALSE),VLOOKUP(G1317,Keszlet!$C$5:$G$200,5,FALSE),"")</f>
        <v/>
      </c>
      <c r="L1317" s="106" t="str">
        <f t="shared" si="62"/>
        <v/>
      </c>
      <c r="M1317" s="115" t="str">
        <f>IF(ISERROR(VLOOKUP(G1317,Keszlet!$C$5:$I$200,7,FALSE))=TRUE,"",IF(AND(J1316&lt;&gt;"",J1318=""),VLOOKUP(G1317,Keszlet!$C$5:$I$200,7,FALSE),""))</f>
        <v/>
      </c>
      <c r="Q1317" s="1">
        <f>VLOOKUP(G1317,Keszlet!$C$5:$E$205,3,FALSE)</f>
        <v>0</v>
      </c>
      <c r="T1317" s="1" t="str">
        <f t="shared" si="63"/>
        <v/>
      </c>
      <c r="U1317" s="1">
        <f t="shared" si="64"/>
        <v>0</v>
      </c>
      <c r="W1317" s="6">
        <f t="shared" si="67"/>
        <v>0</v>
      </c>
      <c r="X1317" s="6">
        <f t="shared" si="59"/>
        <v>0</v>
      </c>
      <c r="Y1317" s="1">
        <f t="shared" si="65"/>
        <v>1</v>
      </c>
      <c r="Z1317" s="1">
        <f>IF(COUNTIF($Y$6:Y1317,Y1317)=1,Y1317,Y1317+COUNTIF($Y$5:Y1316,Y1317))</f>
        <v>312</v>
      </c>
      <c r="AD1317" s="1" t="str">
        <f t="shared" si="66"/>
        <v/>
      </c>
      <c r="BA1317" s="1">
        <f>IF(W1317&lt;=Leltar_iv!$Y$1,I1317,0)</f>
        <v>0</v>
      </c>
    </row>
    <row r="1318" spans="1:53" s="1" customFormat="1" x14ac:dyDescent="0.25">
      <c r="A1318" s="18">
        <f>IF(COUNTIF($Y$6:Y1318,Y1318)=1,Y1318,Y1318+COUNTIF($Y$5:Y1317,Y1318))</f>
        <v>313</v>
      </c>
      <c r="B1318" s="1">
        <f>IF(AND(Kisero_iv!$N$2=C1318,Kisero_iv!$K$5=$B$3,SUM(I1318:L1322)&lt;&gt;0,$B$4=YEAR(W1318)),B1317+1,0)</f>
        <v>0</v>
      </c>
      <c r="C1318" s="1">
        <f t="shared" si="60"/>
        <v>313</v>
      </c>
      <c r="D1318" s="102" t="str">
        <f t="shared" si="61"/>
        <v/>
      </c>
      <c r="E1318" s="44"/>
      <c r="F1318" s="45"/>
      <c r="G1318" s="45"/>
      <c r="H1318" s="45"/>
      <c r="I1318" s="46"/>
      <c r="J1318" s="111" t="str">
        <f>IF(AND(G1318&lt;&gt;"",ISERROR(VLOOKUP(G1318,Keszlet!$C$5:$H$200,6,FALSE))=FALSE),VLOOKUP(G1318,Keszlet!$C$5:$H$200,6,FALSE),"")</f>
        <v/>
      </c>
      <c r="K1318" s="106" t="str">
        <f>IF(AND(G1318&lt;&gt;"",ISERROR(VLOOKUP(G1318,Keszlet!$C$5:$G$200,5,FALSE))=FALSE),VLOOKUP(G1318,Keszlet!$C$5:$G$200,5,FALSE),"")</f>
        <v/>
      </c>
      <c r="L1318" s="106" t="str">
        <f t="shared" si="62"/>
        <v/>
      </c>
      <c r="M1318" s="115" t="str">
        <f>IF(ISERROR(VLOOKUP(G1318,Keszlet!$C$5:$I$200,7,FALSE))=TRUE,"",IF(AND(J1317&lt;&gt;"",J1319=""),VLOOKUP(G1318,Keszlet!$C$5:$I$200,7,FALSE),""))</f>
        <v/>
      </c>
      <c r="Q1318" s="1">
        <f>VLOOKUP(G1318,Keszlet!$C$5:$E$205,3,FALSE)</f>
        <v>0</v>
      </c>
      <c r="T1318" s="1" t="str">
        <f t="shared" si="63"/>
        <v/>
      </c>
      <c r="U1318" s="1">
        <f t="shared" si="64"/>
        <v>0</v>
      </c>
      <c r="W1318" s="6">
        <f t="shared" si="67"/>
        <v>0</v>
      </c>
      <c r="X1318" s="6">
        <f t="shared" si="59"/>
        <v>0</v>
      </c>
      <c r="Y1318" s="1">
        <f t="shared" si="65"/>
        <v>1</v>
      </c>
      <c r="Z1318" s="1">
        <f>IF(COUNTIF($Y$6:Y1318,Y1318)=1,Y1318,Y1318+COUNTIF($Y$5:Y1317,Y1318))</f>
        <v>313</v>
      </c>
      <c r="AD1318" s="1" t="str">
        <f t="shared" si="66"/>
        <v/>
      </c>
      <c r="BA1318" s="1">
        <f>IF(W1318&lt;=Leltar_iv!$Y$1,I1318,0)</f>
        <v>0</v>
      </c>
    </row>
    <row r="1319" spans="1:53" s="1" customFormat="1" x14ac:dyDescent="0.25">
      <c r="A1319" s="18">
        <f>IF(COUNTIF($Y$6:Y1319,Y1319)=1,Y1319,Y1319+COUNTIF($Y$5:Y1318,Y1319))</f>
        <v>314</v>
      </c>
      <c r="B1319" s="1">
        <f>IF(AND(Kisero_iv!$N$2=C1319,Kisero_iv!$K$5=$B$3,SUM(I1319:L1323)&lt;&gt;0,$B$4=YEAR(W1319)),B1318+1,0)</f>
        <v>0</v>
      </c>
      <c r="C1319" s="1">
        <f t="shared" si="60"/>
        <v>314</v>
      </c>
      <c r="D1319" s="102" t="str">
        <f t="shared" si="61"/>
        <v/>
      </c>
      <c r="E1319" s="44"/>
      <c r="F1319" s="45"/>
      <c r="G1319" s="45"/>
      <c r="H1319" s="45"/>
      <c r="I1319" s="46"/>
      <c r="J1319" s="111" t="str">
        <f>IF(AND(G1319&lt;&gt;"",ISERROR(VLOOKUP(G1319,Keszlet!$C$5:$H$200,6,FALSE))=FALSE),VLOOKUP(G1319,Keszlet!$C$5:$H$200,6,FALSE),"")</f>
        <v/>
      </c>
      <c r="K1319" s="106" t="str">
        <f>IF(AND(G1319&lt;&gt;"",ISERROR(VLOOKUP(G1319,Keszlet!$C$5:$G$200,5,FALSE))=FALSE),VLOOKUP(G1319,Keszlet!$C$5:$G$200,5,FALSE),"")</f>
        <v/>
      </c>
      <c r="L1319" s="106" t="str">
        <f t="shared" si="62"/>
        <v/>
      </c>
      <c r="M1319" s="115" t="str">
        <f>IF(ISERROR(VLOOKUP(G1319,Keszlet!$C$5:$I$200,7,FALSE))=TRUE,"",IF(AND(J1318&lt;&gt;"",J1320=""),VLOOKUP(G1319,Keszlet!$C$5:$I$200,7,FALSE),""))</f>
        <v/>
      </c>
      <c r="Q1319" s="1">
        <f>VLOOKUP(G1319,Keszlet!$C$5:$E$205,3,FALSE)</f>
        <v>0</v>
      </c>
      <c r="T1319" s="1" t="str">
        <f t="shared" si="63"/>
        <v/>
      </c>
      <c r="U1319" s="1">
        <f t="shared" si="64"/>
        <v>0</v>
      </c>
      <c r="W1319" s="6">
        <f t="shared" si="67"/>
        <v>0</v>
      </c>
      <c r="X1319" s="6">
        <f t="shared" si="59"/>
        <v>0</v>
      </c>
      <c r="Y1319" s="1">
        <f t="shared" si="65"/>
        <v>1</v>
      </c>
      <c r="Z1319" s="1">
        <f>IF(COUNTIF($Y$6:Y1319,Y1319)=1,Y1319,Y1319+COUNTIF($Y$5:Y1318,Y1319))</f>
        <v>314</v>
      </c>
      <c r="AD1319" s="1" t="str">
        <f t="shared" si="66"/>
        <v/>
      </c>
      <c r="BA1319" s="1">
        <f>IF(W1319&lt;=Leltar_iv!$Y$1,I1319,0)</f>
        <v>0</v>
      </c>
    </row>
    <row r="1320" spans="1:53" s="1" customFormat="1" x14ac:dyDescent="0.25">
      <c r="A1320" s="18">
        <f>IF(COUNTIF($Y$6:Y1320,Y1320)=1,Y1320,Y1320+COUNTIF($Y$5:Y1319,Y1320))</f>
        <v>315</v>
      </c>
      <c r="B1320" s="1">
        <f>IF(AND(Kisero_iv!$N$2=C1320,Kisero_iv!$K$5=$B$3,SUM(I1320:L1324)&lt;&gt;0,$B$4=YEAR(W1320)),B1319+1,0)</f>
        <v>0</v>
      </c>
      <c r="C1320" s="1">
        <f t="shared" si="60"/>
        <v>315</v>
      </c>
      <c r="D1320" s="102" t="str">
        <f t="shared" si="61"/>
        <v/>
      </c>
      <c r="E1320" s="44"/>
      <c r="F1320" s="45"/>
      <c r="G1320" s="45"/>
      <c r="H1320" s="45"/>
      <c r="I1320" s="46"/>
      <c r="J1320" s="111" t="str">
        <f>IF(AND(G1320&lt;&gt;"",ISERROR(VLOOKUP(G1320,Keszlet!$C$5:$H$200,6,FALSE))=FALSE),VLOOKUP(G1320,Keszlet!$C$5:$H$200,6,FALSE),"")</f>
        <v/>
      </c>
      <c r="K1320" s="106" t="str">
        <f>IF(AND(G1320&lt;&gt;"",ISERROR(VLOOKUP(G1320,Keszlet!$C$5:$G$200,5,FALSE))=FALSE),VLOOKUP(G1320,Keszlet!$C$5:$G$200,5,FALSE),"")</f>
        <v/>
      </c>
      <c r="L1320" s="106" t="str">
        <f t="shared" si="62"/>
        <v/>
      </c>
      <c r="M1320" s="115" t="str">
        <f>IF(ISERROR(VLOOKUP(G1320,Keszlet!$C$5:$I$200,7,FALSE))=TRUE,"",IF(AND(J1319&lt;&gt;"",J1321=""),VLOOKUP(G1320,Keszlet!$C$5:$I$200,7,FALSE),""))</f>
        <v/>
      </c>
      <c r="Q1320" s="1">
        <f>VLOOKUP(G1320,Keszlet!$C$5:$E$205,3,FALSE)</f>
        <v>0</v>
      </c>
      <c r="T1320" s="1" t="str">
        <f t="shared" si="63"/>
        <v/>
      </c>
      <c r="U1320" s="1">
        <f t="shared" si="64"/>
        <v>0</v>
      </c>
      <c r="W1320" s="6">
        <f t="shared" si="67"/>
        <v>0</v>
      </c>
      <c r="X1320" s="6">
        <f t="shared" si="59"/>
        <v>0</v>
      </c>
      <c r="Y1320" s="1">
        <f t="shared" si="65"/>
        <v>1</v>
      </c>
      <c r="Z1320" s="1">
        <f>IF(COUNTIF($Y$6:Y1320,Y1320)=1,Y1320,Y1320+COUNTIF($Y$5:Y1319,Y1320))</f>
        <v>315</v>
      </c>
      <c r="AD1320" s="1" t="str">
        <f t="shared" si="66"/>
        <v/>
      </c>
      <c r="BA1320" s="1">
        <f>IF(W1320&lt;=Leltar_iv!$Y$1,I1320,0)</f>
        <v>0</v>
      </c>
    </row>
    <row r="1321" spans="1:53" s="1" customFormat="1" x14ac:dyDescent="0.25">
      <c r="A1321" s="18">
        <f>IF(COUNTIF($Y$6:Y1321,Y1321)=1,Y1321,Y1321+COUNTIF($Y$5:Y1320,Y1321))</f>
        <v>316</v>
      </c>
      <c r="B1321" s="1">
        <f>IF(AND(Kisero_iv!$N$2=C1321,Kisero_iv!$K$5=$B$3,SUM(I1321:L1325)&lt;&gt;0,$B$4=YEAR(W1321)),B1320+1,0)</f>
        <v>0</v>
      </c>
      <c r="C1321" s="1">
        <f t="shared" si="60"/>
        <v>316</v>
      </c>
      <c r="D1321" s="102" t="str">
        <f t="shared" si="61"/>
        <v/>
      </c>
      <c r="E1321" s="44"/>
      <c r="F1321" s="45"/>
      <c r="G1321" s="45"/>
      <c r="H1321" s="45"/>
      <c r="I1321" s="46"/>
      <c r="J1321" s="111" t="str">
        <f>IF(AND(G1321&lt;&gt;"",ISERROR(VLOOKUP(G1321,Keszlet!$C$5:$H$200,6,FALSE))=FALSE),VLOOKUP(G1321,Keszlet!$C$5:$H$200,6,FALSE),"")</f>
        <v/>
      </c>
      <c r="K1321" s="106" t="str">
        <f>IF(AND(G1321&lt;&gt;"",ISERROR(VLOOKUP(G1321,Keszlet!$C$5:$G$200,5,FALSE))=FALSE),VLOOKUP(G1321,Keszlet!$C$5:$G$200,5,FALSE),"")</f>
        <v/>
      </c>
      <c r="L1321" s="106" t="str">
        <f t="shared" si="62"/>
        <v/>
      </c>
      <c r="M1321" s="115" t="str">
        <f>IF(ISERROR(VLOOKUP(G1321,Keszlet!$C$5:$I$200,7,FALSE))=TRUE,"",IF(AND(J1320&lt;&gt;"",J1322=""),VLOOKUP(G1321,Keszlet!$C$5:$I$200,7,FALSE),""))</f>
        <v/>
      </c>
      <c r="Q1321" s="1">
        <f>VLOOKUP(G1321,Keszlet!$C$5:$E$205,3,FALSE)</f>
        <v>0</v>
      </c>
      <c r="T1321" s="1" t="str">
        <f t="shared" si="63"/>
        <v/>
      </c>
      <c r="U1321" s="1">
        <f t="shared" si="64"/>
        <v>0</v>
      </c>
      <c r="W1321" s="6">
        <f t="shared" si="67"/>
        <v>0</v>
      </c>
      <c r="X1321" s="6">
        <f t="shared" si="59"/>
        <v>0</v>
      </c>
      <c r="Y1321" s="1">
        <f t="shared" si="65"/>
        <v>1</v>
      </c>
      <c r="Z1321" s="1">
        <f>IF(COUNTIF($Y$6:Y1321,Y1321)=1,Y1321,Y1321+COUNTIF($Y$5:Y1320,Y1321))</f>
        <v>316</v>
      </c>
      <c r="AD1321" s="1" t="str">
        <f t="shared" si="66"/>
        <v/>
      </c>
      <c r="BA1321" s="1">
        <f>IF(W1321&lt;=Leltar_iv!$Y$1,I1321,0)</f>
        <v>0</v>
      </c>
    </row>
    <row r="1322" spans="1:53" s="1" customFormat="1" x14ac:dyDescent="0.25">
      <c r="A1322" s="18">
        <f>IF(COUNTIF($Y$6:Y1322,Y1322)=1,Y1322,Y1322+COUNTIF($Y$5:Y1321,Y1322))</f>
        <v>317</v>
      </c>
      <c r="B1322" s="1">
        <f>IF(AND(Kisero_iv!$N$2=C1322,Kisero_iv!$K$5=$B$3,SUM(I1322:L1326)&lt;&gt;0,$B$4=YEAR(W1322)),B1321+1,0)</f>
        <v>0</v>
      </c>
      <c r="C1322" s="1">
        <f t="shared" si="60"/>
        <v>317</v>
      </c>
      <c r="D1322" s="102" t="str">
        <f t="shared" si="61"/>
        <v/>
      </c>
      <c r="E1322" s="44"/>
      <c r="F1322" s="45"/>
      <c r="G1322" s="45"/>
      <c r="H1322" s="45"/>
      <c r="I1322" s="46"/>
      <c r="J1322" s="111" t="str">
        <f>IF(AND(G1322&lt;&gt;"",ISERROR(VLOOKUP(G1322,Keszlet!$C$5:$H$200,6,FALSE))=FALSE),VLOOKUP(G1322,Keszlet!$C$5:$H$200,6,FALSE),"")</f>
        <v/>
      </c>
      <c r="K1322" s="106" t="str">
        <f>IF(AND(G1322&lt;&gt;"",ISERROR(VLOOKUP(G1322,Keszlet!$C$5:$G$200,5,FALSE))=FALSE),VLOOKUP(G1322,Keszlet!$C$5:$G$200,5,FALSE),"")</f>
        <v/>
      </c>
      <c r="L1322" s="106" t="str">
        <f t="shared" si="62"/>
        <v/>
      </c>
      <c r="M1322" s="115" t="str">
        <f>IF(ISERROR(VLOOKUP(G1322,Keszlet!$C$5:$I$200,7,FALSE))=TRUE,"",IF(AND(J1321&lt;&gt;"",J1323=""),VLOOKUP(G1322,Keszlet!$C$5:$I$200,7,FALSE),""))</f>
        <v/>
      </c>
      <c r="Q1322" s="1">
        <f>VLOOKUP(G1322,Keszlet!$C$5:$E$205,3,FALSE)</f>
        <v>0</v>
      </c>
      <c r="T1322" s="1" t="str">
        <f t="shared" si="63"/>
        <v/>
      </c>
      <c r="U1322" s="1">
        <f t="shared" si="64"/>
        <v>0</v>
      </c>
      <c r="W1322" s="6">
        <f t="shared" si="67"/>
        <v>0</v>
      </c>
      <c r="X1322" s="6">
        <f t="shared" si="59"/>
        <v>0</v>
      </c>
      <c r="Y1322" s="1">
        <f t="shared" si="65"/>
        <v>1</v>
      </c>
      <c r="Z1322" s="1">
        <f>IF(COUNTIF($Y$6:Y1322,Y1322)=1,Y1322,Y1322+COUNTIF($Y$5:Y1321,Y1322))</f>
        <v>317</v>
      </c>
      <c r="AD1322" s="1" t="str">
        <f t="shared" si="66"/>
        <v/>
      </c>
      <c r="BA1322" s="1">
        <f>IF(W1322&lt;=Leltar_iv!$Y$1,I1322,0)</f>
        <v>0</v>
      </c>
    </row>
    <row r="1323" spans="1:53" s="1" customFormat="1" x14ac:dyDescent="0.25">
      <c r="A1323" s="18">
        <f>IF(COUNTIF($Y$6:Y1323,Y1323)=1,Y1323,Y1323+COUNTIF($Y$5:Y1322,Y1323))</f>
        <v>318</v>
      </c>
      <c r="B1323" s="1">
        <f>IF(AND(Kisero_iv!$N$2=C1323,Kisero_iv!$K$5=$B$3,SUM(I1323:L1327)&lt;&gt;0,$B$4=YEAR(W1323)),B1322+1,0)</f>
        <v>0</v>
      </c>
      <c r="C1323" s="1">
        <f t="shared" si="60"/>
        <v>318</v>
      </c>
      <c r="D1323" s="102" t="str">
        <f t="shared" si="61"/>
        <v/>
      </c>
      <c r="E1323" s="44"/>
      <c r="F1323" s="45"/>
      <c r="G1323" s="45"/>
      <c r="H1323" s="45"/>
      <c r="I1323" s="46"/>
      <c r="J1323" s="111" t="str">
        <f>IF(AND(G1323&lt;&gt;"",ISERROR(VLOOKUP(G1323,Keszlet!$C$5:$H$200,6,FALSE))=FALSE),VLOOKUP(G1323,Keszlet!$C$5:$H$200,6,FALSE),"")</f>
        <v/>
      </c>
      <c r="K1323" s="106" t="str">
        <f>IF(AND(G1323&lt;&gt;"",ISERROR(VLOOKUP(G1323,Keszlet!$C$5:$G$200,5,FALSE))=FALSE),VLOOKUP(G1323,Keszlet!$C$5:$G$200,5,FALSE),"")</f>
        <v/>
      </c>
      <c r="L1323" s="106" t="str">
        <f t="shared" si="62"/>
        <v/>
      </c>
      <c r="M1323" s="115" t="str">
        <f>IF(ISERROR(VLOOKUP(G1323,Keszlet!$C$5:$I$200,7,FALSE))=TRUE,"",IF(AND(J1322&lt;&gt;"",J1324=""),VLOOKUP(G1323,Keszlet!$C$5:$I$200,7,FALSE),""))</f>
        <v/>
      </c>
      <c r="Q1323" s="1">
        <f>VLOOKUP(G1323,Keszlet!$C$5:$E$205,3,FALSE)</f>
        <v>0</v>
      </c>
      <c r="T1323" s="1" t="str">
        <f t="shared" si="63"/>
        <v/>
      </c>
      <c r="U1323" s="1">
        <f t="shared" si="64"/>
        <v>0</v>
      </c>
      <c r="W1323" s="6">
        <f t="shared" si="67"/>
        <v>0</v>
      </c>
      <c r="X1323" s="6">
        <f t="shared" si="59"/>
        <v>0</v>
      </c>
      <c r="Y1323" s="1">
        <f t="shared" si="65"/>
        <v>1</v>
      </c>
      <c r="Z1323" s="1">
        <f>IF(COUNTIF($Y$6:Y1323,Y1323)=1,Y1323,Y1323+COUNTIF($Y$5:Y1322,Y1323))</f>
        <v>318</v>
      </c>
      <c r="AD1323" s="1" t="str">
        <f t="shared" si="66"/>
        <v/>
      </c>
      <c r="BA1323" s="1">
        <f>IF(W1323&lt;=Leltar_iv!$Y$1,I1323,0)</f>
        <v>0</v>
      </c>
    </row>
    <row r="1324" spans="1:53" s="1" customFormat="1" x14ac:dyDescent="0.25">
      <c r="A1324" s="18">
        <f>IF(COUNTIF($Y$6:Y1324,Y1324)=1,Y1324,Y1324+COUNTIF($Y$5:Y1323,Y1324))</f>
        <v>319</v>
      </c>
      <c r="B1324" s="1">
        <f>IF(AND(Kisero_iv!$N$2=C1324,Kisero_iv!$K$5=$B$3,SUM(I1324:L1328)&lt;&gt;0,$B$4=YEAR(W1324)),B1323+1,0)</f>
        <v>0</v>
      </c>
      <c r="C1324" s="1">
        <f t="shared" si="60"/>
        <v>319</v>
      </c>
      <c r="D1324" s="102" t="str">
        <f t="shared" si="61"/>
        <v/>
      </c>
      <c r="E1324" s="44"/>
      <c r="F1324" s="45"/>
      <c r="G1324" s="45"/>
      <c r="H1324" s="45"/>
      <c r="I1324" s="46"/>
      <c r="J1324" s="111" t="str">
        <f>IF(AND(G1324&lt;&gt;"",ISERROR(VLOOKUP(G1324,Keszlet!$C$5:$H$200,6,FALSE))=FALSE),VLOOKUP(G1324,Keszlet!$C$5:$H$200,6,FALSE),"")</f>
        <v/>
      </c>
      <c r="K1324" s="106" t="str">
        <f>IF(AND(G1324&lt;&gt;"",ISERROR(VLOOKUP(G1324,Keszlet!$C$5:$G$200,5,FALSE))=FALSE),VLOOKUP(G1324,Keszlet!$C$5:$G$200,5,FALSE),"")</f>
        <v/>
      </c>
      <c r="L1324" s="106" t="str">
        <f t="shared" si="62"/>
        <v/>
      </c>
      <c r="M1324" s="115" t="str">
        <f>IF(ISERROR(VLOOKUP(G1324,Keszlet!$C$5:$I$200,7,FALSE))=TRUE,"",IF(AND(J1323&lt;&gt;"",J1325=""),VLOOKUP(G1324,Keszlet!$C$5:$I$200,7,FALSE),""))</f>
        <v/>
      </c>
      <c r="Q1324" s="1">
        <f>VLOOKUP(G1324,Keszlet!$C$5:$E$205,3,FALSE)</f>
        <v>0</v>
      </c>
      <c r="T1324" s="1" t="str">
        <f t="shared" si="63"/>
        <v/>
      </c>
      <c r="U1324" s="1">
        <f t="shared" si="64"/>
        <v>0</v>
      </c>
      <c r="W1324" s="6">
        <f t="shared" si="67"/>
        <v>0</v>
      </c>
      <c r="X1324" s="6">
        <f t="shared" si="59"/>
        <v>0</v>
      </c>
      <c r="Y1324" s="1">
        <f t="shared" si="65"/>
        <v>1</v>
      </c>
      <c r="Z1324" s="1">
        <f>IF(COUNTIF($Y$6:Y1324,Y1324)=1,Y1324,Y1324+COUNTIF($Y$5:Y1323,Y1324))</f>
        <v>319</v>
      </c>
      <c r="AD1324" s="1" t="str">
        <f t="shared" si="66"/>
        <v/>
      </c>
      <c r="BA1324" s="1">
        <f>IF(W1324&lt;=Leltar_iv!$Y$1,I1324,0)</f>
        <v>0</v>
      </c>
    </row>
    <row r="1325" spans="1:53" s="1" customFormat="1" x14ac:dyDescent="0.25">
      <c r="A1325" s="18">
        <f>IF(COUNTIF($Y$6:Y1325,Y1325)=1,Y1325,Y1325+COUNTIF($Y$5:Y1324,Y1325))</f>
        <v>320</v>
      </c>
      <c r="B1325" s="1">
        <f>IF(AND(Kisero_iv!$N$2=C1325,Kisero_iv!$K$5=$B$3,SUM(I1325:L1329)&lt;&gt;0,$B$4=YEAR(W1325)),B1324+1,0)</f>
        <v>0</v>
      </c>
      <c r="C1325" s="1">
        <f t="shared" si="60"/>
        <v>320</v>
      </c>
      <c r="D1325" s="102" t="str">
        <f t="shared" si="61"/>
        <v/>
      </c>
      <c r="E1325" s="44"/>
      <c r="F1325" s="45"/>
      <c r="G1325" s="45"/>
      <c r="H1325" s="45"/>
      <c r="I1325" s="46"/>
      <c r="J1325" s="111" t="str">
        <f>IF(AND(G1325&lt;&gt;"",ISERROR(VLOOKUP(G1325,Keszlet!$C$5:$H$200,6,FALSE))=FALSE),VLOOKUP(G1325,Keszlet!$C$5:$H$200,6,FALSE),"")</f>
        <v/>
      </c>
      <c r="K1325" s="106" t="str">
        <f>IF(AND(G1325&lt;&gt;"",ISERROR(VLOOKUP(G1325,Keszlet!$C$5:$G$200,5,FALSE))=FALSE),VLOOKUP(G1325,Keszlet!$C$5:$G$200,5,FALSE),"")</f>
        <v/>
      </c>
      <c r="L1325" s="106" t="str">
        <f t="shared" si="62"/>
        <v/>
      </c>
      <c r="M1325" s="115" t="str">
        <f>IF(ISERROR(VLOOKUP(G1325,Keszlet!$C$5:$I$200,7,FALSE))=TRUE,"",IF(AND(J1324&lt;&gt;"",J1326=""),VLOOKUP(G1325,Keszlet!$C$5:$I$200,7,FALSE),""))</f>
        <v/>
      </c>
      <c r="Q1325" s="1">
        <f>VLOOKUP(G1325,Keszlet!$C$5:$E$205,3,FALSE)</f>
        <v>0</v>
      </c>
      <c r="T1325" s="1" t="str">
        <f t="shared" si="63"/>
        <v/>
      </c>
      <c r="U1325" s="1">
        <f t="shared" si="64"/>
        <v>0</v>
      </c>
      <c r="W1325" s="6">
        <f t="shared" si="67"/>
        <v>0</v>
      </c>
      <c r="X1325" s="6">
        <f t="shared" si="59"/>
        <v>0</v>
      </c>
      <c r="Y1325" s="1">
        <f t="shared" si="65"/>
        <v>1</v>
      </c>
      <c r="Z1325" s="1">
        <f>IF(COUNTIF($Y$6:Y1325,Y1325)=1,Y1325,Y1325+COUNTIF($Y$5:Y1324,Y1325))</f>
        <v>320</v>
      </c>
      <c r="AD1325" s="1" t="str">
        <f t="shared" si="66"/>
        <v/>
      </c>
      <c r="BA1325" s="1">
        <f>IF(W1325&lt;=Leltar_iv!$Y$1,I1325,0)</f>
        <v>0</v>
      </c>
    </row>
    <row r="1326" spans="1:53" s="1" customFormat="1" x14ac:dyDescent="0.25">
      <c r="A1326" s="18">
        <f>IF(COUNTIF($Y$6:Y1326,Y1326)=1,Y1326,Y1326+COUNTIF($Y$5:Y1325,Y1326))</f>
        <v>321</v>
      </c>
      <c r="B1326" s="1">
        <f>IF(AND(Kisero_iv!$N$2=C1326,Kisero_iv!$K$5=$B$3,SUM(I1326:L1330)&lt;&gt;0,$B$4=YEAR(W1326)),B1325+1,0)</f>
        <v>0</v>
      </c>
      <c r="C1326" s="1">
        <f t="shared" si="60"/>
        <v>321</v>
      </c>
      <c r="D1326" s="102" t="str">
        <f t="shared" si="61"/>
        <v/>
      </c>
      <c r="E1326" s="44"/>
      <c r="F1326" s="45"/>
      <c r="G1326" s="45"/>
      <c r="H1326" s="45"/>
      <c r="I1326" s="46"/>
      <c r="J1326" s="111" t="str">
        <f>IF(AND(G1326&lt;&gt;"",ISERROR(VLOOKUP(G1326,Keszlet!$C$5:$H$200,6,FALSE))=FALSE),VLOOKUP(G1326,Keszlet!$C$5:$H$200,6,FALSE),"")</f>
        <v/>
      </c>
      <c r="K1326" s="106" t="str">
        <f>IF(AND(G1326&lt;&gt;"",ISERROR(VLOOKUP(G1326,Keszlet!$C$5:$G$200,5,FALSE))=FALSE),VLOOKUP(G1326,Keszlet!$C$5:$G$200,5,FALSE),"")</f>
        <v/>
      </c>
      <c r="L1326" s="106" t="str">
        <f t="shared" si="62"/>
        <v/>
      </c>
      <c r="M1326" s="115" t="str">
        <f>IF(ISERROR(VLOOKUP(G1326,Keszlet!$C$5:$I$200,7,FALSE))=TRUE,"",IF(AND(J1325&lt;&gt;"",J1327=""),VLOOKUP(G1326,Keszlet!$C$5:$I$200,7,FALSE),""))</f>
        <v/>
      </c>
      <c r="Q1326" s="1">
        <f>VLOOKUP(G1326,Keszlet!$C$5:$E$205,3,FALSE)</f>
        <v>0</v>
      </c>
      <c r="T1326" s="1" t="str">
        <f t="shared" si="63"/>
        <v/>
      </c>
      <c r="U1326" s="1">
        <f t="shared" si="64"/>
        <v>0</v>
      </c>
      <c r="W1326" s="6">
        <f t="shared" si="67"/>
        <v>0</v>
      </c>
      <c r="X1326" s="6">
        <f t="shared" ref="X1326:X1389" si="68">IF(G1326=q,W1326,$X$1)</f>
        <v>0</v>
      </c>
      <c r="Y1326" s="1">
        <f t="shared" si="65"/>
        <v>1</v>
      </c>
      <c r="Z1326" s="1">
        <f>IF(COUNTIF($Y$6:Y1326,Y1326)=1,Y1326,Y1326+COUNTIF($Y$5:Y1325,Y1326))</f>
        <v>321</v>
      </c>
      <c r="AD1326" s="1" t="str">
        <f t="shared" si="66"/>
        <v/>
      </c>
      <c r="BA1326" s="1">
        <f>IF(W1326&lt;=Leltar_iv!$Y$1,I1326,0)</f>
        <v>0</v>
      </c>
    </row>
    <row r="1327" spans="1:53" s="1" customFormat="1" x14ac:dyDescent="0.25">
      <c r="A1327" s="18">
        <f>IF(COUNTIF($Y$6:Y1327,Y1327)=1,Y1327,Y1327+COUNTIF($Y$5:Y1326,Y1327))</f>
        <v>322</v>
      </c>
      <c r="B1327" s="1">
        <f>IF(AND(Kisero_iv!$N$2=C1327,Kisero_iv!$K$5=$B$3,SUM(I1327:L1331)&lt;&gt;0,$B$4=YEAR(W1327)),B1326+1,0)</f>
        <v>0</v>
      </c>
      <c r="C1327" s="1">
        <f t="shared" ref="C1327:C1390" si="69">IF(YEAR(W1326)&lt;&gt;YEAR(W1327),1,IF(T1327&lt;&gt;0,C1326+1,C1326))</f>
        <v>322</v>
      </c>
      <c r="D1327" s="102" t="str">
        <f t="shared" ref="D1327:D1390" si="70">IF(AND(OR(C1326&lt;&gt;C1327,C1327=1),SUM(L1327:L1347)&lt;&gt;0),YEAR(W1327)&amp;"/"&amp;C1327,"")</f>
        <v/>
      </c>
      <c r="E1327" s="44"/>
      <c r="F1327" s="45"/>
      <c r="G1327" s="45"/>
      <c r="H1327" s="45"/>
      <c r="I1327" s="46"/>
      <c r="J1327" s="111" t="str">
        <f>IF(AND(G1327&lt;&gt;"",ISERROR(VLOOKUP(G1327,Keszlet!$C$5:$H$200,6,FALSE))=FALSE),VLOOKUP(G1327,Keszlet!$C$5:$H$200,6,FALSE),"")</f>
        <v/>
      </c>
      <c r="K1327" s="106" t="str">
        <f>IF(AND(G1327&lt;&gt;"",ISERROR(VLOOKUP(G1327,Keszlet!$C$5:$G$200,5,FALSE))=FALSE),VLOOKUP(G1327,Keszlet!$C$5:$G$200,5,FALSE),"")</f>
        <v/>
      </c>
      <c r="L1327" s="106" t="str">
        <f t="shared" ref="L1327:L1390" si="71">IF(AND(G1327&lt;&gt;0,K1327&lt;&gt;""),I1327*K1327,"")</f>
        <v/>
      </c>
      <c r="M1327" s="115" t="str">
        <f>IF(ISERROR(VLOOKUP(G1327,Keszlet!$C$5:$I$200,7,FALSE))=TRUE,"",IF(AND(J1326&lt;&gt;"",J1328=""),VLOOKUP(G1327,Keszlet!$C$5:$I$200,7,FALSE),""))</f>
        <v/>
      </c>
      <c r="Q1327" s="1">
        <f>VLOOKUP(G1327,Keszlet!$C$5:$E$205,3,FALSE)</f>
        <v>0</v>
      </c>
      <c r="T1327" s="1" t="str">
        <f t="shared" ref="T1327:T1390" si="72">IF(OR(E1327&lt;&gt;0,COUNTIF(T1318:T1326,0)=9,F1327&lt;&gt;0,SUM(L1327:L1347)=0),E1327&amp;F1327,0)</f>
        <v/>
      </c>
      <c r="U1327" s="1">
        <f t="shared" ref="U1327:U1390" si="73">IF(F1327&lt;&gt;"",F1327,U1326)</f>
        <v>0</v>
      </c>
      <c r="W1327" s="6">
        <f t="shared" si="67"/>
        <v>0</v>
      </c>
      <c r="X1327" s="6">
        <f t="shared" si="68"/>
        <v>0</v>
      </c>
      <c r="Y1327" s="1">
        <f t="shared" ref="Y1327:Y1390" si="74">RANK(X1327,$X$6:$X$10000,1)</f>
        <v>1</v>
      </c>
      <c r="Z1327" s="1">
        <f>IF(COUNTIF($Y$6:Y1327,Y1327)=1,Y1327,Y1327+COUNTIF($Y$5:Y1326,Y1327))</f>
        <v>322</v>
      </c>
      <c r="AD1327" s="1" t="str">
        <f t="shared" ref="AD1327:AD1390" si="75">IF(AND(OR(C1326&lt;&gt;C1327,YEAR(W1327)&lt;&gt;YEAR(W1326)),SUM(L1327:L1347)&lt;&gt;0,$B$4=YEAR(W1327)),C1327,"")</f>
        <v/>
      </c>
      <c r="BA1327" s="1">
        <f>IF(W1327&lt;=Leltar_iv!$Y$1,I1327,0)</f>
        <v>0</v>
      </c>
    </row>
    <row r="1328" spans="1:53" s="1" customFormat="1" x14ac:dyDescent="0.25">
      <c r="A1328" s="18">
        <f>IF(COUNTIF($Y$6:Y1328,Y1328)=1,Y1328,Y1328+COUNTIF($Y$5:Y1327,Y1328))</f>
        <v>323</v>
      </c>
      <c r="B1328" s="1">
        <f>IF(AND(Kisero_iv!$N$2=C1328,Kisero_iv!$K$5=$B$3,SUM(I1328:L1332)&lt;&gt;0,$B$4=YEAR(W1328)),B1327+1,0)</f>
        <v>0</v>
      </c>
      <c r="C1328" s="1">
        <f t="shared" si="69"/>
        <v>323</v>
      </c>
      <c r="D1328" s="102" t="str">
        <f t="shared" si="70"/>
        <v/>
      </c>
      <c r="E1328" s="44"/>
      <c r="F1328" s="45"/>
      <c r="G1328" s="45"/>
      <c r="H1328" s="45"/>
      <c r="I1328" s="46"/>
      <c r="J1328" s="111" t="str">
        <f>IF(AND(G1328&lt;&gt;"",ISERROR(VLOOKUP(G1328,Keszlet!$C$5:$H$200,6,FALSE))=FALSE),VLOOKUP(G1328,Keszlet!$C$5:$H$200,6,FALSE),"")</f>
        <v/>
      </c>
      <c r="K1328" s="106" t="str">
        <f>IF(AND(G1328&lt;&gt;"",ISERROR(VLOOKUP(G1328,Keszlet!$C$5:$G$200,5,FALSE))=FALSE),VLOOKUP(G1328,Keszlet!$C$5:$G$200,5,FALSE),"")</f>
        <v/>
      </c>
      <c r="L1328" s="106" t="str">
        <f t="shared" si="71"/>
        <v/>
      </c>
      <c r="M1328" s="115" t="str">
        <f>IF(ISERROR(VLOOKUP(G1328,Keszlet!$C$5:$I$200,7,FALSE))=TRUE,"",IF(AND(J1327&lt;&gt;"",J1329=""),VLOOKUP(G1328,Keszlet!$C$5:$I$200,7,FALSE),""))</f>
        <v/>
      </c>
      <c r="Q1328" s="1">
        <f>VLOOKUP(G1328,Keszlet!$C$5:$E$205,3,FALSE)</f>
        <v>0</v>
      </c>
      <c r="T1328" s="1" t="str">
        <f t="shared" si="72"/>
        <v/>
      </c>
      <c r="U1328" s="1">
        <f t="shared" si="73"/>
        <v>0</v>
      </c>
      <c r="W1328" s="6">
        <f t="shared" si="67"/>
        <v>0</v>
      </c>
      <c r="X1328" s="6">
        <f t="shared" si="68"/>
        <v>0</v>
      </c>
      <c r="Y1328" s="1">
        <f t="shared" si="74"/>
        <v>1</v>
      </c>
      <c r="Z1328" s="1">
        <f>IF(COUNTIF($Y$6:Y1328,Y1328)=1,Y1328,Y1328+COUNTIF($Y$5:Y1327,Y1328))</f>
        <v>323</v>
      </c>
      <c r="AD1328" s="1" t="str">
        <f t="shared" si="75"/>
        <v/>
      </c>
      <c r="BA1328" s="1">
        <f>IF(W1328&lt;=Leltar_iv!$Y$1,I1328,0)</f>
        <v>0</v>
      </c>
    </row>
    <row r="1329" spans="1:53" s="1" customFormat="1" x14ac:dyDescent="0.25">
      <c r="A1329" s="18">
        <f>IF(COUNTIF($Y$6:Y1329,Y1329)=1,Y1329,Y1329+COUNTIF($Y$5:Y1328,Y1329))</f>
        <v>324</v>
      </c>
      <c r="B1329" s="1">
        <f>IF(AND(Kisero_iv!$N$2=C1329,Kisero_iv!$K$5=$B$3,SUM(I1329:L1333)&lt;&gt;0,$B$4=YEAR(W1329)),B1328+1,0)</f>
        <v>0</v>
      </c>
      <c r="C1329" s="1">
        <f t="shared" si="69"/>
        <v>324</v>
      </c>
      <c r="D1329" s="102" t="str">
        <f t="shared" si="70"/>
        <v/>
      </c>
      <c r="E1329" s="44"/>
      <c r="F1329" s="45"/>
      <c r="G1329" s="45"/>
      <c r="H1329" s="45"/>
      <c r="I1329" s="46"/>
      <c r="J1329" s="111" t="str">
        <f>IF(AND(G1329&lt;&gt;"",ISERROR(VLOOKUP(G1329,Keszlet!$C$5:$H$200,6,FALSE))=FALSE),VLOOKUP(G1329,Keszlet!$C$5:$H$200,6,FALSE),"")</f>
        <v/>
      </c>
      <c r="K1329" s="106" t="str">
        <f>IF(AND(G1329&lt;&gt;"",ISERROR(VLOOKUP(G1329,Keszlet!$C$5:$G$200,5,FALSE))=FALSE),VLOOKUP(G1329,Keszlet!$C$5:$G$200,5,FALSE),"")</f>
        <v/>
      </c>
      <c r="L1329" s="106" t="str">
        <f t="shared" si="71"/>
        <v/>
      </c>
      <c r="M1329" s="115" t="str">
        <f>IF(ISERROR(VLOOKUP(G1329,Keszlet!$C$5:$I$200,7,FALSE))=TRUE,"",IF(AND(J1328&lt;&gt;"",J1330=""),VLOOKUP(G1329,Keszlet!$C$5:$I$200,7,FALSE),""))</f>
        <v/>
      </c>
      <c r="Q1329" s="1">
        <f>VLOOKUP(G1329,Keszlet!$C$5:$E$205,3,FALSE)</f>
        <v>0</v>
      </c>
      <c r="T1329" s="1" t="str">
        <f t="shared" si="72"/>
        <v/>
      </c>
      <c r="U1329" s="1">
        <f t="shared" si="73"/>
        <v>0</v>
      </c>
      <c r="W1329" s="6">
        <f t="shared" ref="W1329:W1392" si="76">IF(E1329&lt;&gt;0,E1329,W1328)</f>
        <v>0</v>
      </c>
      <c r="X1329" s="6">
        <f t="shared" si="68"/>
        <v>0</v>
      </c>
      <c r="Y1329" s="1">
        <f t="shared" si="74"/>
        <v>1</v>
      </c>
      <c r="Z1329" s="1">
        <f>IF(COUNTIF($Y$6:Y1329,Y1329)=1,Y1329,Y1329+COUNTIF($Y$5:Y1328,Y1329))</f>
        <v>324</v>
      </c>
      <c r="AD1329" s="1" t="str">
        <f t="shared" si="75"/>
        <v/>
      </c>
      <c r="BA1329" s="1">
        <f>IF(W1329&lt;=Leltar_iv!$Y$1,I1329,0)</f>
        <v>0</v>
      </c>
    </row>
    <row r="1330" spans="1:53" s="1" customFormat="1" x14ac:dyDescent="0.25">
      <c r="A1330" s="18">
        <f>IF(COUNTIF($Y$6:Y1330,Y1330)=1,Y1330,Y1330+COUNTIF($Y$5:Y1329,Y1330))</f>
        <v>325</v>
      </c>
      <c r="B1330" s="1">
        <f>IF(AND(Kisero_iv!$N$2=C1330,Kisero_iv!$K$5=$B$3,SUM(I1330:L1334)&lt;&gt;0,$B$4=YEAR(W1330)),B1329+1,0)</f>
        <v>0</v>
      </c>
      <c r="C1330" s="1">
        <f t="shared" si="69"/>
        <v>325</v>
      </c>
      <c r="D1330" s="102" t="str">
        <f t="shared" si="70"/>
        <v/>
      </c>
      <c r="E1330" s="44"/>
      <c r="F1330" s="45"/>
      <c r="G1330" s="45"/>
      <c r="H1330" s="45"/>
      <c r="I1330" s="46"/>
      <c r="J1330" s="111" t="str">
        <f>IF(AND(G1330&lt;&gt;"",ISERROR(VLOOKUP(G1330,Keszlet!$C$5:$H$200,6,FALSE))=FALSE),VLOOKUP(G1330,Keszlet!$C$5:$H$200,6,FALSE),"")</f>
        <v/>
      </c>
      <c r="K1330" s="106" t="str">
        <f>IF(AND(G1330&lt;&gt;"",ISERROR(VLOOKUP(G1330,Keszlet!$C$5:$G$200,5,FALSE))=FALSE),VLOOKUP(G1330,Keszlet!$C$5:$G$200,5,FALSE),"")</f>
        <v/>
      </c>
      <c r="L1330" s="106" t="str">
        <f t="shared" si="71"/>
        <v/>
      </c>
      <c r="M1330" s="115" t="str">
        <f>IF(ISERROR(VLOOKUP(G1330,Keszlet!$C$5:$I$200,7,FALSE))=TRUE,"",IF(AND(J1329&lt;&gt;"",J1331=""),VLOOKUP(G1330,Keszlet!$C$5:$I$200,7,FALSE),""))</f>
        <v/>
      </c>
      <c r="Q1330" s="1">
        <f>VLOOKUP(G1330,Keszlet!$C$5:$E$205,3,FALSE)</f>
        <v>0</v>
      </c>
      <c r="T1330" s="1" t="str">
        <f t="shared" si="72"/>
        <v/>
      </c>
      <c r="U1330" s="1">
        <f t="shared" si="73"/>
        <v>0</v>
      </c>
      <c r="W1330" s="6">
        <f t="shared" si="76"/>
        <v>0</v>
      </c>
      <c r="X1330" s="6">
        <f t="shared" si="68"/>
        <v>0</v>
      </c>
      <c r="Y1330" s="1">
        <f t="shared" si="74"/>
        <v>1</v>
      </c>
      <c r="Z1330" s="1">
        <f>IF(COUNTIF($Y$6:Y1330,Y1330)=1,Y1330,Y1330+COUNTIF($Y$5:Y1329,Y1330))</f>
        <v>325</v>
      </c>
      <c r="AD1330" s="1" t="str">
        <f t="shared" si="75"/>
        <v/>
      </c>
      <c r="BA1330" s="1">
        <f>IF(W1330&lt;=Leltar_iv!$Y$1,I1330,0)</f>
        <v>0</v>
      </c>
    </row>
    <row r="1331" spans="1:53" s="1" customFormat="1" x14ac:dyDescent="0.25">
      <c r="A1331" s="18">
        <f>IF(COUNTIF($Y$6:Y1331,Y1331)=1,Y1331,Y1331+COUNTIF($Y$5:Y1330,Y1331))</f>
        <v>326</v>
      </c>
      <c r="B1331" s="1">
        <f>IF(AND(Kisero_iv!$N$2=C1331,Kisero_iv!$K$5=$B$3,SUM(I1331:L1335)&lt;&gt;0,$B$4=YEAR(W1331)),B1330+1,0)</f>
        <v>0</v>
      </c>
      <c r="C1331" s="1">
        <f t="shared" si="69"/>
        <v>326</v>
      </c>
      <c r="D1331" s="102" t="str">
        <f t="shared" si="70"/>
        <v/>
      </c>
      <c r="E1331" s="44"/>
      <c r="F1331" s="45"/>
      <c r="G1331" s="45"/>
      <c r="H1331" s="45"/>
      <c r="I1331" s="46"/>
      <c r="J1331" s="111" t="str">
        <f>IF(AND(G1331&lt;&gt;"",ISERROR(VLOOKUP(G1331,Keszlet!$C$5:$H$200,6,FALSE))=FALSE),VLOOKUP(G1331,Keszlet!$C$5:$H$200,6,FALSE),"")</f>
        <v/>
      </c>
      <c r="K1331" s="106" t="str">
        <f>IF(AND(G1331&lt;&gt;"",ISERROR(VLOOKUP(G1331,Keszlet!$C$5:$G$200,5,FALSE))=FALSE),VLOOKUP(G1331,Keszlet!$C$5:$G$200,5,FALSE),"")</f>
        <v/>
      </c>
      <c r="L1331" s="106" t="str">
        <f t="shared" si="71"/>
        <v/>
      </c>
      <c r="M1331" s="115" t="str">
        <f>IF(ISERROR(VLOOKUP(G1331,Keszlet!$C$5:$I$200,7,FALSE))=TRUE,"",IF(AND(J1330&lt;&gt;"",J1332=""),VLOOKUP(G1331,Keszlet!$C$5:$I$200,7,FALSE),""))</f>
        <v/>
      </c>
      <c r="Q1331" s="1">
        <f>VLOOKUP(G1331,Keszlet!$C$5:$E$205,3,FALSE)</f>
        <v>0</v>
      </c>
      <c r="T1331" s="1" t="str">
        <f t="shared" si="72"/>
        <v/>
      </c>
      <c r="U1331" s="1">
        <f t="shared" si="73"/>
        <v>0</v>
      </c>
      <c r="W1331" s="6">
        <f t="shared" si="76"/>
        <v>0</v>
      </c>
      <c r="X1331" s="6">
        <f t="shared" si="68"/>
        <v>0</v>
      </c>
      <c r="Y1331" s="1">
        <f t="shared" si="74"/>
        <v>1</v>
      </c>
      <c r="Z1331" s="1">
        <f>IF(COUNTIF($Y$6:Y1331,Y1331)=1,Y1331,Y1331+COUNTIF($Y$5:Y1330,Y1331))</f>
        <v>326</v>
      </c>
      <c r="AD1331" s="1" t="str">
        <f t="shared" si="75"/>
        <v/>
      </c>
      <c r="BA1331" s="1">
        <f>IF(W1331&lt;=Leltar_iv!$Y$1,I1331,0)</f>
        <v>0</v>
      </c>
    </row>
    <row r="1332" spans="1:53" s="1" customFormat="1" x14ac:dyDescent="0.25">
      <c r="A1332" s="18">
        <f>IF(COUNTIF($Y$6:Y1332,Y1332)=1,Y1332,Y1332+COUNTIF($Y$5:Y1331,Y1332))</f>
        <v>327</v>
      </c>
      <c r="B1332" s="1">
        <f>IF(AND(Kisero_iv!$N$2=C1332,Kisero_iv!$K$5=$B$3,SUM(I1332:L1336)&lt;&gt;0,$B$4=YEAR(W1332)),B1331+1,0)</f>
        <v>0</v>
      </c>
      <c r="C1332" s="1">
        <f t="shared" si="69"/>
        <v>327</v>
      </c>
      <c r="D1332" s="102" t="str">
        <f t="shared" si="70"/>
        <v/>
      </c>
      <c r="E1332" s="44"/>
      <c r="F1332" s="45"/>
      <c r="G1332" s="45"/>
      <c r="H1332" s="45"/>
      <c r="I1332" s="46"/>
      <c r="J1332" s="111" t="str">
        <f>IF(AND(G1332&lt;&gt;"",ISERROR(VLOOKUP(G1332,Keszlet!$C$5:$H$200,6,FALSE))=FALSE),VLOOKUP(G1332,Keszlet!$C$5:$H$200,6,FALSE),"")</f>
        <v/>
      </c>
      <c r="K1332" s="106" t="str">
        <f>IF(AND(G1332&lt;&gt;"",ISERROR(VLOOKUP(G1332,Keszlet!$C$5:$G$200,5,FALSE))=FALSE),VLOOKUP(G1332,Keszlet!$C$5:$G$200,5,FALSE),"")</f>
        <v/>
      </c>
      <c r="L1332" s="106" t="str">
        <f t="shared" si="71"/>
        <v/>
      </c>
      <c r="M1332" s="115" t="str">
        <f>IF(ISERROR(VLOOKUP(G1332,Keszlet!$C$5:$I$200,7,FALSE))=TRUE,"",IF(AND(J1331&lt;&gt;"",J1333=""),VLOOKUP(G1332,Keszlet!$C$5:$I$200,7,FALSE),""))</f>
        <v/>
      </c>
      <c r="Q1332" s="1">
        <f>VLOOKUP(G1332,Keszlet!$C$5:$E$205,3,FALSE)</f>
        <v>0</v>
      </c>
      <c r="T1332" s="1" t="str">
        <f t="shared" si="72"/>
        <v/>
      </c>
      <c r="U1332" s="1">
        <f t="shared" si="73"/>
        <v>0</v>
      </c>
      <c r="W1332" s="6">
        <f t="shared" si="76"/>
        <v>0</v>
      </c>
      <c r="X1332" s="6">
        <f t="shared" si="68"/>
        <v>0</v>
      </c>
      <c r="Y1332" s="1">
        <f t="shared" si="74"/>
        <v>1</v>
      </c>
      <c r="Z1332" s="1">
        <f>IF(COUNTIF($Y$6:Y1332,Y1332)=1,Y1332,Y1332+COUNTIF($Y$5:Y1331,Y1332))</f>
        <v>327</v>
      </c>
      <c r="AD1332" s="1" t="str">
        <f t="shared" si="75"/>
        <v/>
      </c>
      <c r="BA1332" s="1">
        <f>IF(W1332&lt;=Leltar_iv!$Y$1,I1332,0)</f>
        <v>0</v>
      </c>
    </row>
    <row r="1333" spans="1:53" s="1" customFormat="1" x14ac:dyDescent="0.25">
      <c r="A1333" s="18">
        <f>IF(COUNTIF($Y$6:Y1333,Y1333)=1,Y1333,Y1333+COUNTIF($Y$5:Y1332,Y1333))</f>
        <v>328</v>
      </c>
      <c r="B1333" s="1">
        <f>IF(AND(Kisero_iv!$N$2=C1333,Kisero_iv!$K$5=$B$3,SUM(I1333:L1337)&lt;&gt;0,$B$4=YEAR(W1333)),B1332+1,0)</f>
        <v>0</v>
      </c>
      <c r="C1333" s="1">
        <f t="shared" si="69"/>
        <v>328</v>
      </c>
      <c r="D1333" s="102" t="str">
        <f t="shared" si="70"/>
        <v/>
      </c>
      <c r="E1333" s="44"/>
      <c r="F1333" s="45"/>
      <c r="G1333" s="45"/>
      <c r="H1333" s="45"/>
      <c r="I1333" s="46"/>
      <c r="J1333" s="111" t="str">
        <f>IF(AND(G1333&lt;&gt;"",ISERROR(VLOOKUP(G1333,Keszlet!$C$5:$H$200,6,FALSE))=FALSE),VLOOKUP(G1333,Keszlet!$C$5:$H$200,6,FALSE),"")</f>
        <v/>
      </c>
      <c r="K1333" s="106" t="str">
        <f>IF(AND(G1333&lt;&gt;"",ISERROR(VLOOKUP(G1333,Keszlet!$C$5:$G$200,5,FALSE))=FALSE),VLOOKUP(G1333,Keszlet!$C$5:$G$200,5,FALSE),"")</f>
        <v/>
      </c>
      <c r="L1333" s="106" t="str">
        <f t="shared" si="71"/>
        <v/>
      </c>
      <c r="M1333" s="115" t="str">
        <f>IF(ISERROR(VLOOKUP(G1333,Keszlet!$C$5:$I$200,7,FALSE))=TRUE,"",IF(AND(J1332&lt;&gt;"",J1334=""),VLOOKUP(G1333,Keszlet!$C$5:$I$200,7,FALSE),""))</f>
        <v/>
      </c>
      <c r="Q1333" s="1">
        <f>VLOOKUP(G1333,Keszlet!$C$5:$E$205,3,FALSE)</f>
        <v>0</v>
      </c>
      <c r="T1333" s="1" t="str">
        <f t="shared" si="72"/>
        <v/>
      </c>
      <c r="U1333" s="1">
        <f t="shared" si="73"/>
        <v>0</v>
      </c>
      <c r="W1333" s="6">
        <f t="shared" si="76"/>
        <v>0</v>
      </c>
      <c r="X1333" s="6">
        <f t="shared" si="68"/>
        <v>0</v>
      </c>
      <c r="Y1333" s="1">
        <f t="shared" si="74"/>
        <v>1</v>
      </c>
      <c r="Z1333" s="1">
        <f>IF(COUNTIF($Y$6:Y1333,Y1333)=1,Y1333,Y1333+COUNTIF($Y$5:Y1332,Y1333))</f>
        <v>328</v>
      </c>
      <c r="AD1333" s="1" t="str">
        <f t="shared" si="75"/>
        <v/>
      </c>
      <c r="BA1333" s="1">
        <f>IF(W1333&lt;=Leltar_iv!$Y$1,I1333,0)</f>
        <v>0</v>
      </c>
    </row>
    <row r="1334" spans="1:53" s="1" customFormat="1" x14ac:dyDescent="0.25">
      <c r="A1334" s="18">
        <f>IF(COUNTIF($Y$6:Y1334,Y1334)=1,Y1334,Y1334+COUNTIF($Y$5:Y1333,Y1334))</f>
        <v>329</v>
      </c>
      <c r="B1334" s="1">
        <f>IF(AND(Kisero_iv!$N$2=C1334,Kisero_iv!$K$5=$B$3,SUM(I1334:L1338)&lt;&gt;0,$B$4=YEAR(W1334)),B1333+1,0)</f>
        <v>0</v>
      </c>
      <c r="C1334" s="1">
        <f t="shared" si="69"/>
        <v>329</v>
      </c>
      <c r="D1334" s="102" t="str">
        <f t="shared" si="70"/>
        <v/>
      </c>
      <c r="E1334" s="44"/>
      <c r="F1334" s="45"/>
      <c r="G1334" s="45"/>
      <c r="H1334" s="45"/>
      <c r="I1334" s="46"/>
      <c r="J1334" s="111" t="str">
        <f>IF(AND(G1334&lt;&gt;"",ISERROR(VLOOKUP(G1334,Keszlet!$C$5:$H$200,6,FALSE))=FALSE),VLOOKUP(G1334,Keszlet!$C$5:$H$200,6,FALSE),"")</f>
        <v/>
      </c>
      <c r="K1334" s="106" t="str">
        <f>IF(AND(G1334&lt;&gt;"",ISERROR(VLOOKUP(G1334,Keszlet!$C$5:$G$200,5,FALSE))=FALSE),VLOOKUP(G1334,Keszlet!$C$5:$G$200,5,FALSE),"")</f>
        <v/>
      </c>
      <c r="L1334" s="106" t="str">
        <f t="shared" si="71"/>
        <v/>
      </c>
      <c r="M1334" s="115" t="str">
        <f>IF(ISERROR(VLOOKUP(G1334,Keszlet!$C$5:$I$200,7,FALSE))=TRUE,"",IF(AND(J1333&lt;&gt;"",J1335=""),VLOOKUP(G1334,Keszlet!$C$5:$I$200,7,FALSE),""))</f>
        <v/>
      </c>
      <c r="Q1334" s="1">
        <f>VLOOKUP(G1334,Keszlet!$C$5:$E$205,3,FALSE)</f>
        <v>0</v>
      </c>
      <c r="T1334" s="1" t="str">
        <f t="shared" si="72"/>
        <v/>
      </c>
      <c r="U1334" s="1">
        <f t="shared" si="73"/>
        <v>0</v>
      </c>
      <c r="W1334" s="6">
        <f t="shared" si="76"/>
        <v>0</v>
      </c>
      <c r="X1334" s="6">
        <f t="shared" si="68"/>
        <v>0</v>
      </c>
      <c r="Y1334" s="1">
        <f t="shared" si="74"/>
        <v>1</v>
      </c>
      <c r="Z1334" s="1">
        <f>IF(COUNTIF($Y$6:Y1334,Y1334)=1,Y1334,Y1334+COUNTIF($Y$5:Y1333,Y1334))</f>
        <v>329</v>
      </c>
      <c r="AD1334" s="1" t="str">
        <f t="shared" si="75"/>
        <v/>
      </c>
      <c r="BA1334" s="1">
        <f>IF(W1334&lt;=Leltar_iv!$Y$1,I1334,0)</f>
        <v>0</v>
      </c>
    </row>
    <row r="1335" spans="1:53" s="1" customFormat="1" x14ac:dyDescent="0.25">
      <c r="A1335" s="18">
        <f>IF(COUNTIF($Y$6:Y1335,Y1335)=1,Y1335,Y1335+COUNTIF($Y$5:Y1334,Y1335))</f>
        <v>330</v>
      </c>
      <c r="B1335" s="1">
        <f>IF(AND(Kisero_iv!$N$2=C1335,Kisero_iv!$K$5=$B$3,SUM(I1335:L1339)&lt;&gt;0,$B$4=YEAR(W1335)),B1334+1,0)</f>
        <v>0</v>
      </c>
      <c r="C1335" s="1">
        <f t="shared" si="69"/>
        <v>330</v>
      </c>
      <c r="D1335" s="102" t="str">
        <f t="shared" si="70"/>
        <v/>
      </c>
      <c r="E1335" s="44"/>
      <c r="F1335" s="45"/>
      <c r="G1335" s="45"/>
      <c r="H1335" s="45"/>
      <c r="I1335" s="46"/>
      <c r="J1335" s="111" t="str">
        <f>IF(AND(G1335&lt;&gt;"",ISERROR(VLOOKUP(G1335,Keszlet!$C$5:$H$200,6,FALSE))=FALSE),VLOOKUP(G1335,Keszlet!$C$5:$H$200,6,FALSE),"")</f>
        <v/>
      </c>
      <c r="K1335" s="106" t="str">
        <f>IF(AND(G1335&lt;&gt;"",ISERROR(VLOOKUP(G1335,Keszlet!$C$5:$G$200,5,FALSE))=FALSE),VLOOKUP(G1335,Keszlet!$C$5:$G$200,5,FALSE),"")</f>
        <v/>
      </c>
      <c r="L1335" s="106" t="str">
        <f t="shared" si="71"/>
        <v/>
      </c>
      <c r="M1335" s="115" t="str">
        <f>IF(ISERROR(VLOOKUP(G1335,Keszlet!$C$5:$I$200,7,FALSE))=TRUE,"",IF(AND(J1334&lt;&gt;"",J1336=""),VLOOKUP(G1335,Keszlet!$C$5:$I$200,7,FALSE),""))</f>
        <v/>
      </c>
      <c r="Q1335" s="1">
        <f>VLOOKUP(G1335,Keszlet!$C$5:$E$205,3,FALSE)</f>
        <v>0</v>
      </c>
      <c r="T1335" s="1" t="str">
        <f t="shared" si="72"/>
        <v/>
      </c>
      <c r="U1335" s="1">
        <f t="shared" si="73"/>
        <v>0</v>
      </c>
      <c r="W1335" s="6">
        <f t="shared" si="76"/>
        <v>0</v>
      </c>
      <c r="X1335" s="6">
        <f t="shared" si="68"/>
        <v>0</v>
      </c>
      <c r="Y1335" s="1">
        <f t="shared" si="74"/>
        <v>1</v>
      </c>
      <c r="Z1335" s="1">
        <f>IF(COUNTIF($Y$6:Y1335,Y1335)=1,Y1335,Y1335+COUNTIF($Y$5:Y1334,Y1335))</f>
        <v>330</v>
      </c>
      <c r="AD1335" s="1" t="str">
        <f t="shared" si="75"/>
        <v/>
      </c>
      <c r="BA1335" s="1">
        <f>IF(W1335&lt;=Leltar_iv!$Y$1,I1335,0)</f>
        <v>0</v>
      </c>
    </row>
    <row r="1336" spans="1:53" s="1" customFormat="1" x14ac:dyDescent="0.25">
      <c r="A1336" s="18">
        <f>IF(COUNTIF($Y$6:Y1336,Y1336)=1,Y1336,Y1336+COUNTIF($Y$5:Y1335,Y1336))</f>
        <v>331</v>
      </c>
      <c r="B1336" s="1">
        <f>IF(AND(Kisero_iv!$N$2=C1336,Kisero_iv!$K$5=$B$3,SUM(I1336:L1340)&lt;&gt;0,$B$4=YEAR(W1336)),B1335+1,0)</f>
        <v>0</v>
      </c>
      <c r="C1336" s="1">
        <f t="shared" si="69"/>
        <v>331</v>
      </c>
      <c r="D1336" s="102" t="str">
        <f t="shared" si="70"/>
        <v/>
      </c>
      <c r="E1336" s="44"/>
      <c r="F1336" s="45"/>
      <c r="G1336" s="45"/>
      <c r="H1336" s="45"/>
      <c r="I1336" s="46"/>
      <c r="J1336" s="111" t="str">
        <f>IF(AND(G1336&lt;&gt;"",ISERROR(VLOOKUP(G1336,Keszlet!$C$5:$H$200,6,FALSE))=FALSE),VLOOKUP(G1336,Keszlet!$C$5:$H$200,6,FALSE),"")</f>
        <v/>
      </c>
      <c r="K1336" s="106" t="str">
        <f>IF(AND(G1336&lt;&gt;"",ISERROR(VLOOKUP(G1336,Keszlet!$C$5:$G$200,5,FALSE))=FALSE),VLOOKUP(G1336,Keszlet!$C$5:$G$200,5,FALSE),"")</f>
        <v/>
      </c>
      <c r="L1336" s="106" t="str">
        <f t="shared" si="71"/>
        <v/>
      </c>
      <c r="M1336" s="115" t="str">
        <f>IF(ISERROR(VLOOKUP(G1336,Keszlet!$C$5:$I$200,7,FALSE))=TRUE,"",IF(AND(J1335&lt;&gt;"",J1337=""),VLOOKUP(G1336,Keszlet!$C$5:$I$200,7,FALSE),""))</f>
        <v/>
      </c>
      <c r="Q1336" s="1">
        <f>VLOOKUP(G1336,Keszlet!$C$5:$E$205,3,FALSE)</f>
        <v>0</v>
      </c>
      <c r="T1336" s="1" t="str">
        <f t="shared" si="72"/>
        <v/>
      </c>
      <c r="U1336" s="1">
        <f t="shared" si="73"/>
        <v>0</v>
      </c>
      <c r="W1336" s="6">
        <f t="shared" si="76"/>
        <v>0</v>
      </c>
      <c r="X1336" s="6">
        <f t="shared" si="68"/>
        <v>0</v>
      </c>
      <c r="Y1336" s="1">
        <f t="shared" si="74"/>
        <v>1</v>
      </c>
      <c r="Z1336" s="1">
        <f>IF(COUNTIF($Y$6:Y1336,Y1336)=1,Y1336,Y1336+COUNTIF($Y$5:Y1335,Y1336))</f>
        <v>331</v>
      </c>
      <c r="AD1336" s="1" t="str">
        <f t="shared" si="75"/>
        <v/>
      </c>
      <c r="BA1336" s="1">
        <f>IF(W1336&lt;=Leltar_iv!$Y$1,I1336,0)</f>
        <v>0</v>
      </c>
    </row>
    <row r="1337" spans="1:53" s="1" customFormat="1" x14ac:dyDescent="0.25">
      <c r="A1337" s="18">
        <f>IF(COUNTIF($Y$6:Y1337,Y1337)=1,Y1337,Y1337+COUNTIF($Y$5:Y1336,Y1337))</f>
        <v>332</v>
      </c>
      <c r="B1337" s="1">
        <f>IF(AND(Kisero_iv!$N$2=C1337,Kisero_iv!$K$5=$B$3,SUM(I1337:L1341)&lt;&gt;0,$B$4=YEAR(W1337)),B1336+1,0)</f>
        <v>0</v>
      </c>
      <c r="C1337" s="1">
        <f t="shared" si="69"/>
        <v>332</v>
      </c>
      <c r="D1337" s="102" t="str">
        <f t="shared" si="70"/>
        <v/>
      </c>
      <c r="E1337" s="44"/>
      <c r="F1337" s="45"/>
      <c r="G1337" s="45"/>
      <c r="H1337" s="45"/>
      <c r="I1337" s="46"/>
      <c r="J1337" s="111" t="str">
        <f>IF(AND(G1337&lt;&gt;"",ISERROR(VLOOKUP(G1337,Keszlet!$C$5:$H$200,6,FALSE))=FALSE),VLOOKUP(G1337,Keszlet!$C$5:$H$200,6,FALSE),"")</f>
        <v/>
      </c>
      <c r="K1337" s="106" t="str">
        <f>IF(AND(G1337&lt;&gt;"",ISERROR(VLOOKUP(G1337,Keszlet!$C$5:$G$200,5,FALSE))=FALSE),VLOOKUP(G1337,Keszlet!$C$5:$G$200,5,FALSE),"")</f>
        <v/>
      </c>
      <c r="L1337" s="106" t="str">
        <f t="shared" si="71"/>
        <v/>
      </c>
      <c r="M1337" s="115" t="str">
        <f>IF(ISERROR(VLOOKUP(G1337,Keszlet!$C$5:$I$200,7,FALSE))=TRUE,"",IF(AND(J1336&lt;&gt;"",J1338=""),VLOOKUP(G1337,Keszlet!$C$5:$I$200,7,FALSE),""))</f>
        <v/>
      </c>
      <c r="Q1337" s="1">
        <f>VLOOKUP(G1337,Keszlet!$C$5:$E$205,3,FALSE)</f>
        <v>0</v>
      </c>
      <c r="T1337" s="1" t="str">
        <f t="shared" si="72"/>
        <v/>
      </c>
      <c r="U1337" s="1">
        <f t="shared" si="73"/>
        <v>0</v>
      </c>
      <c r="W1337" s="6">
        <f t="shared" si="76"/>
        <v>0</v>
      </c>
      <c r="X1337" s="6">
        <f t="shared" si="68"/>
        <v>0</v>
      </c>
      <c r="Y1337" s="1">
        <f t="shared" si="74"/>
        <v>1</v>
      </c>
      <c r="Z1337" s="1">
        <f>IF(COUNTIF($Y$6:Y1337,Y1337)=1,Y1337,Y1337+COUNTIF($Y$5:Y1336,Y1337))</f>
        <v>332</v>
      </c>
      <c r="AD1337" s="1" t="str">
        <f t="shared" si="75"/>
        <v/>
      </c>
      <c r="BA1337" s="1">
        <f>IF(W1337&lt;=Leltar_iv!$Y$1,I1337,0)</f>
        <v>0</v>
      </c>
    </row>
    <row r="1338" spans="1:53" s="1" customFormat="1" x14ac:dyDescent="0.25">
      <c r="A1338" s="18">
        <f>IF(COUNTIF($Y$6:Y1338,Y1338)=1,Y1338,Y1338+COUNTIF($Y$5:Y1337,Y1338))</f>
        <v>333</v>
      </c>
      <c r="B1338" s="1">
        <f>IF(AND(Kisero_iv!$N$2=C1338,Kisero_iv!$K$5=$B$3,SUM(I1338:L1342)&lt;&gt;0,$B$4=YEAR(W1338)),B1337+1,0)</f>
        <v>0</v>
      </c>
      <c r="C1338" s="1">
        <f t="shared" si="69"/>
        <v>333</v>
      </c>
      <c r="D1338" s="102" t="str">
        <f t="shared" si="70"/>
        <v/>
      </c>
      <c r="E1338" s="44"/>
      <c r="F1338" s="45"/>
      <c r="G1338" s="45"/>
      <c r="H1338" s="45"/>
      <c r="I1338" s="46"/>
      <c r="J1338" s="111" t="str">
        <f>IF(AND(G1338&lt;&gt;"",ISERROR(VLOOKUP(G1338,Keszlet!$C$5:$H$200,6,FALSE))=FALSE),VLOOKUP(G1338,Keszlet!$C$5:$H$200,6,FALSE),"")</f>
        <v/>
      </c>
      <c r="K1338" s="106" t="str">
        <f>IF(AND(G1338&lt;&gt;"",ISERROR(VLOOKUP(G1338,Keszlet!$C$5:$G$200,5,FALSE))=FALSE),VLOOKUP(G1338,Keszlet!$C$5:$G$200,5,FALSE),"")</f>
        <v/>
      </c>
      <c r="L1338" s="106" t="str">
        <f t="shared" si="71"/>
        <v/>
      </c>
      <c r="M1338" s="115" t="str">
        <f>IF(ISERROR(VLOOKUP(G1338,Keszlet!$C$5:$I$200,7,FALSE))=TRUE,"",IF(AND(J1337&lt;&gt;"",J1339=""),VLOOKUP(G1338,Keszlet!$C$5:$I$200,7,FALSE),""))</f>
        <v/>
      </c>
      <c r="Q1338" s="1">
        <f>VLOOKUP(G1338,Keszlet!$C$5:$E$205,3,FALSE)</f>
        <v>0</v>
      </c>
      <c r="T1338" s="1" t="str">
        <f t="shared" si="72"/>
        <v/>
      </c>
      <c r="U1338" s="1">
        <f t="shared" si="73"/>
        <v>0</v>
      </c>
      <c r="W1338" s="6">
        <f t="shared" si="76"/>
        <v>0</v>
      </c>
      <c r="X1338" s="6">
        <f t="shared" si="68"/>
        <v>0</v>
      </c>
      <c r="Y1338" s="1">
        <f t="shared" si="74"/>
        <v>1</v>
      </c>
      <c r="Z1338" s="1">
        <f>IF(COUNTIF($Y$6:Y1338,Y1338)=1,Y1338,Y1338+COUNTIF($Y$5:Y1337,Y1338))</f>
        <v>333</v>
      </c>
      <c r="AD1338" s="1" t="str">
        <f t="shared" si="75"/>
        <v/>
      </c>
      <c r="BA1338" s="1">
        <f>IF(W1338&lt;=Leltar_iv!$Y$1,I1338,0)</f>
        <v>0</v>
      </c>
    </row>
    <row r="1339" spans="1:53" s="1" customFormat="1" x14ac:dyDescent="0.25">
      <c r="A1339" s="18">
        <f>IF(COUNTIF($Y$6:Y1339,Y1339)=1,Y1339,Y1339+COUNTIF($Y$5:Y1338,Y1339))</f>
        <v>334</v>
      </c>
      <c r="B1339" s="1">
        <f>IF(AND(Kisero_iv!$N$2=C1339,Kisero_iv!$K$5=$B$3,SUM(I1339:L1343)&lt;&gt;0,$B$4=YEAR(W1339)),B1338+1,0)</f>
        <v>0</v>
      </c>
      <c r="C1339" s="1">
        <f t="shared" si="69"/>
        <v>334</v>
      </c>
      <c r="D1339" s="102" t="str">
        <f t="shared" si="70"/>
        <v/>
      </c>
      <c r="E1339" s="44"/>
      <c r="F1339" s="45"/>
      <c r="G1339" s="45"/>
      <c r="H1339" s="45"/>
      <c r="I1339" s="46"/>
      <c r="J1339" s="111" t="str">
        <f>IF(AND(G1339&lt;&gt;"",ISERROR(VLOOKUP(G1339,Keszlet!$C$5:$H$200,6,FALSE))=FALSE),VLOOKUP(G1339,Keszlet!$C$5:$H$200,6,FALSE),"")</f>
        <v/>
      </c>
      <c r="K1339" s="106" t="str">
        <f>IF(AND(G1339&lt;&gt;"",ISERROR(VLOOKUP(G1339,Keszlet!$C$5:$G$200,5,FALSE))=FALSE),VLOOKUP(G1339,Keszlet!$C$5:$G$200,5,FALSE),"")</f>
        <v/>
      </c>
      <c r="L1339" s="106" t="str">
        <f t="shared" si="71"/>
        <v/>
      </c>
      <c r="M1339" s="115" t="str">
        <f>IF(ISERROR(VLOOKUP(G1339,Keszlet!$C$5:$I$200,7,FALSE))=TRUE,"",IF(AND(J1338&lt;&gt;"",J1340=""),VLOOKUP(G1339,Keszlet!$C$5:$I$200,7,FALSE),""))</f>
        <v/>
      </c>
      <c r="Q1339" s="1">
        <f>VLOOKUP(G1339,Keszlet!$C$5:$E$205,3,FALSE)</f>
        <v>0</v>
      </c>
      <c r="T1339" s="1" t="str">
        <f t="shared" si="72"/>
        <v/>
      </c>
      <c r="U1339" s="1">
        <f t="shared" si="73"/>
        <v>0</v>
      </c>
      <c r="W1339" s="6">
        <f t="shared" si="76"/>
        <v>0</v>
      </c>
      <c r="X1339" s="6">
        <f t="shared" si="68"/>
        <v>0</v>
      </c>
      <c r="Y1339" s="1">
        <f t="shared" si="74"/>
        <v>1</v>
      </c>
      <c r="Z1339" s="1">
        <f>IF(COUNTIF($Y$6:Y1339,Y1339)=1,Y1339,Y1339+COUNTIF($Y$5:Y1338,Y1339))</f>
        <v>334</v>
      </c>
      <c r="AD1339" s="1" t="str">
        <f t="shared" si="75"/>
        <v/>
      </c>
      <c r="BA1339" s="1">
        <f>IF(W1339&lt;=Leltar_iv!$Y$1,I1339,0)</f>
        <v>0</v>
      </c>
    </row>
    <row r="1340" spans="1:53" s="1" customFormat="1" x14ac:dyDescent="0.25">
      <c r="A1340" s="18">
        <f>IF(COUNTIF($Y$6:Y1340,Y1340)=1,Y1340,Y1340+COUNTIF($Y$5:Y1339,Y1340))</f>
        <v>335</v>
      </c>
      <c r="B1340" s="1">
        <f>IF(AND(Kisero_iv!$N$2=C1340,Kisero_iv!$K$5=$B$3,SUM(I1340:L1344)&lt;&gt;0,$B$4=YEAR(W1340)),B1339+1,0)</f>
        <v>0</v>
      </c>
      <c r="C1340" s="1">
        <f t="shared" si="69"/>
        <v>335</v>
      </c>
      <c r="D1340" s="102" t="str">
        <f t="shared" si="70"/>
        <v/>
      </c>
      <c r="E1340" s="44"/>
      <c r="F1340" s="45"/>
      <c r="G1340" s="45"/>
      <c r="H1340" s="45"/>
      <c r="I1340" s="46"/>
      <c r="J1340" s="111" t="str">
        <f>IF(AND(G1340&lt;&gt;"",ISERROR(VLOOKUP(G1340,Keszlet!$C$5:$H$200,6,FALSE))=FALSE),VLOOKUP(G1340,Keszlet!$C$5:$H$200,6,FALSE),"")</f>
        <v/>
      </c>
      <c r="K1340" s="106" t="str">
        <f>IF(AND(G1340&lt;&gt;"",ISERROR(VLOOKUP(G1340,Keszlet!$C$5:$G$200,5,FALSE))=FALSE),VLOOKUP(G1340,Keszlet!$C$5:$G$200,5,FALSE),"")</f>
        <v/>
      </c>
      <c r="L1340" s="106" t="str">
        <f t="shared" si="71"/>
        <v/>
      </c>
      <c r="M1340" s="115" t="str">
        <f>IF(ISERROR(VLOOKUP(G1340,Keszlet!$C$5:$I$200,7,FALSE))=TRUE,"",IF(AND(J1339&lt;&gt;"",J1341=""),VLOOKUP(G1340,Keszlet!$C$5:$I$200,7,FALSE),""))</f>
        <v/>
      </c>
      <c r="Q1340" s="1">
        <f>VLOOKUP(G1340,Keszlet!$C$5:$E$205,3,FALSE)</f>
        <v>0</v>
      </c>
      <c r="T1340" s="1" t="str">
        <f t="shared" si="72"/>
        <v/>
      </c>
      <c r="U1340" s="1">
        <f t="shared" si="73"/>
        <v>0</v>
      </c>
      <c r="W1340" s="6">
        <f t="shared" si="76"/>
        <v>0</v>
      </c>
      <c r="X1340" s="6">
        <f t="shared" si="68"/>
        <v>0</v>
      </c>
      <c r="Y1340" s="1">
        <f t="shared" si="74"/>
        <v>1</v>
      </c>
      <c r="Z1340" s="1">
        <f>IF(COUNTIF($Y$6:Y1340,Y1340)=1,Y1340,Y1340+COUNTIF($Y$5:Y1339,Y1340))</f>
        <v>335</v>
      </c>
      <c r="AD1340" s="1" t="str">
        <f t="shared" si="75"/>
        <v/>
      </c>
      <c r="BA1340" s="1">
        <f>IF(W1340&lt;=Leltar_iv!$Y$1,I1340,0)</f>
        <v>0</v>
      </c>
    </row>
    <row r="1341" spans="1:53" s="1" customFormat="1" x14ac:dyDescent="0.25">
      <c r="A1341" s="18">
        <f>IF(COUNTIF($Y$6:Y1341,Y1341)=1,Y1341,Y1341+COUNTIF($Y$5:Y1340,Y1341))</f>
        <v>336</v>
      </c>
      <c r="B1341" s="1">
        <f>IF(AND(Kisero_iv!$N$2=C1341,Kisero_iv!$K$5=$B$3,SUM(I1341:L1345)&lt;&gt;0,$B$4=YEAR(W1341)),B1340+1,0)</f>
        <v>0</v>
      </c>
      <c r="C1341" s="1">
        <f t="shared" si="69"/>
        <v>336</v>
      </c>
      <c r="D1341" s="102" t="str">
        <f t="shared" si="70"/>
        <v/>
      </c>
      <c r="E1341" s="44"/>
      <c r="F1341" s="45"/>
      <c r="G1341" s="45"/>
      <c r="H1341" s="45"/>
      <c r="I1341" s="46"/>
      <c r="J1341" s="111" t="str">
        <f>IF(AND(G1341&lt;&gt;"",ISERROR(VLOOKUP(G1341,Keszlet!$C$5:$H$200,6,FALSE))=FALSE),VLOOKUP(G1341,Keszlet!$C$5:$H$200,6,FALSE),"")</f>
        <v/>
      </c>
      <c r="K1341" s="106" t="str">
        <f>IF(AND(G1341&lt;&gt;"",ISERROR(VLOOKUP(G1341,Keszlet!$C$5:$G$200,5,FALSE))=FALSE),VLOOKUP(G1341,Keszlet!$C$5:$G$200,5,FALSE),"")</f>
        <v/>
      </c>
      <c r="L1341" s="106" t="str">
        <f t="shared" si="71"/>
        <v/>
      </c>
      <c r="M1341" s="115" t="str">
        <f>IF(ISERROR(VLOOKUP(G1341,Keszlet!$C$5:$I$200,7,FALSE))=TRUE,"",IF(AND(J1340&lt;&gt;"",J1342=""),VLOOKUP(G1341,Keszlet!$C$5:$I$200,7,FALSE),""))</f>
        <v/>
      </c>
      <c r="Q1341" s="1">
        <f>VLOOKUP(G1341,Keszlet!$C$5:$E$205,3,FALSE)</f>
        <v>0</v>
      </c>
      <c r="T1341" s="1" t="str">
        <f t="shared" si="72"/>
        <v/>
      </c>
      <c r="U1341" s="1">
        <f t="shared" si="73"/>
        <v>0</v>
      </c>
      <c r="W1341" s="6">
        <f t="shared" si="76"/>
        <v>0</v>
      </c>
      <c r="X1341" s="6">
        <f t="shared" si="68"/>
        <v>0</v>
      </c>
      <c r="Y1341" s="1">
        <f t="shared" si="74"/>
        <v>1</v>
      </c>
      <c r="Z1341" s="1">
        <f>IF(COUNTIF($Y$6:Y1341,Y1341)=1,Y1341,Y1341+COUNTIF($Y$5:Y1340,Y1341))</f>
        <v>336</v>
      </c>
      <c r="AD1341" s="1" t="str">
        <f t="shared" si="75"/>
        <v/>
      </c>
      <c r="BA1341" s="1">
        <f>IF(W1341&lt;=Leltar_iv!$Y$1,I1341,0)</f>
        <v>0</v>
      </c>
    </row>
    <row r="1342" spans="1:53" s="1" customFormat="1" x14ac:dyDescent="0.25">
      <c r="A1342" s="18">
        <f>IF(COUNTIF($Y$6:Y1342,Y1342)=1,Y1342,Y1342+COUNTIF($Y$5:Y1341,Y1342))</f>
        <v>337</v>
      </c>
      <c r="B1342" s="1">
        <f>IF(AND(Kisero_iv!$N$2=C1342,Kisero_iv!$K$5=$B$3,SUM(I1342:L1346)&lt;&gt;0,$B$4=YEAR(W1342)),B1341+1,0)</f>
        <v>0</v>
      </c>
      <c r="C1342" s="1">
        <f t="shared" si="69"/>
        <v>337</v>
      </c>
      <c r="D1342" s="102" t="str">
        <f t="shared" si="70"/>
        <v/>
      </c>
      <c r="E1342" s="44"/>
      <c r="F1342" s="45"/>
      <c r="G1342" s="45"/>
      <c r="H1342" s="45"/>
      <c r="I1342" s="46"/>
      <c r="J1342" s="111" t="str">
        <f>IF(AND(G1342&lt;&gt;"",ISERROR(VLOOKUP(G1342,Keszlet!$C$5:$H$200,6,FALSE))=FALSE),VLOOKUP(G1342,Keszlet!$C$5:$H$200,6,FALSE),"")</f>
        <v/>
      </c>
      <c r="K1342" s="106" t="str">
        <f>IF(AND(G1342&lt;&gt;"",ISERROR(VLOOKUP(G1342,Keszlet!$C$5:$G$200,5,FALSE))=FALSE),VLOOKUP(G1342,Keszlet!$C$5:$G$200,5,FALSE),"")</f>
        <v/>
      </c>
      <c r="L1342" s="106" t="str">
        <f t="shared" si="71"/>
        <v/>
      </c>
      <c r="M1342" s="115" t="str">
        <f>IF(ISERROR(VLOOKUP(G1342,Keszlet!$C$5:$I$200,7,FALSE))=TRUE,"",IF(AND(J1341&lt;&gt;"",J1343=""),VLOOKUP(G1342,Keszlet!$C$5:$I$200,7,FALSE),""))</f>
        <v/>
      </c>
      <c r="Q1342" s="1">
        <f>VLOOKUP(G1342,Keszlet!$C$5:$E$205,3,FALSE)</f>
        <v>0</v>
      </c>
      <c r="T1342" s="1" t="str">
        <f t="shared" si="72"/>
        <v/>
      </c>
      <c r="U1342" s="1">
        <f t="shared" si="73"/>
        <v>0</v>
      </c>
      <c r="W1342" s="6">
        <f t="shared" si="76"/>
        <v>0</v>
      </c>
      <c r="X1342" s="6">
        <f t="shared" si="68"/>
        <v>0</v>
      </c>
      <c r="Y1342" s="1">
        <f t="shared" si="74"/>
        <v>1</v>
      </c>
      <c r="Z1342" s="1">
        <f>IF(COUNTIF($Y$6:Y1342,Y1342)=1,Y1342,Y1342+COUNTIF($Y$5:Y1341,Y1342))</f>
        <v>337</v>
      </c>
      <c r="AD1342" s="1" t="str">
        <f t="shared" si="75"/>
        <v/>
      </c>
      <c r="BA1342" s="1">
        <f>IF(W1342&lt;=Leltar_iv!$Y$1,I1342,0)</f>
        <v>0</v>
      </c>
    </row>
    <row r="1343" spans="1:53" s="1" customFormat="1" x14ac:dyDescent="0.25">
      <c r="A1343" s="18">
        <f>IF(COUNTIF($Y$6:Y1343,Y1343)=1,Y1343,Y1343+COUNTIF($Y$5:Y1342,Y1343))</f>
        <v>338</v>
      </c>
      <c r="B1343" s="1">
        <f>IF(AND(Kisero_iv!$N$2=C1343,Kisero_iv!$K$5=$B$3,SUM(I1343:L1347)&lt;&gt;0,$B$4=YEAR(W1343)),B1342+1,0)</f>
        <v>0</v>
      </c>
      <c r="C1343" s="1">
        <f t="shared" si="69"/>
        <v>338</v>
      </c>
      <c r="D1343" s="102" t="str">
        <f t="shared" si="70"/>
        <v/>
      </c>
      <c r="E1343" s="44"/>
      <c r="F1343" s="45"/>
      <c r="G1343" s="45"/>
      <c r="H1343" s="45"/>
      <c r="I1343" s="46"/>
      <c r="J1343" s="111" t="str">
        <f>IF(AND(G1343&lt;&gt;"",ISERROR(VLOOKUP(G1343,Keszlet!$C$5:$H$200,6,FALSE))=FALSE),VLOOKUP(G1343,Keszlet!$C$5:$H$200,6,FALSE),"")</f>
        <v/>
      </c>
      <c r="K1343" s="106" t="str">
        <f>IF(AND(G1343&lt;&gt;"",ISERROR(VLOOKUP(G1343,Keszlet!$C$5:$G$200,5,FALSE))=FALSE),VLOOKUP(G1343,Keszlet!$C$5:$G$200,5,FALSE),"")</f>
        <v/>
      </c>
      <c r="L1343" s="106" t="str">
        <f t="shared" si="71"/>
        <v/>
      </c>
      <c r="M1343" s="115" t="str">
        <f>IF(ISERROR(VLOOKUP(G1343,Keszlet!$C$5:$I$200,7,FALSE))=TRUE,"",IF(AND(J1342&lt;&gt;"",J1344=""),VLOOKUP(G1343,Keszlet!$C$5:$I$200,7,FALSE),""))</f>
        <v/>
      </c>
      <c r="Q1343" s="1">
        <f>VLOOKUP(G1343,Keszlet!$C$5:$E$205,3,FALSE)</f>
        <v>0</v>
      </c>
      <c r="T1343" s="1" t="str">
        <f t="shared" si="72"/>
        <v/>
      </c>
      <c r="U1343" s="1">
        <f t="shared" si="73"/>
        <v>0</v>
      </c>
      <c r="W1343" s="6">
        <f t="shared" si="76"/>
        <v>0</v>
      </c>
      <c r="X1343" s="6">
        <f t="shared" si="68"/>
        <v>0</v>
      </c>
      <c r="Y1343" s="1">
        <f t="shared" si="74"/>
        <v>1</v>
      </c>
      <c r="Z1343" s="1">
        <f>IF(COUNTIF($Y$6:Y1343,Y1343)=1,Y1343,Y1343+COUNTIF($Y$5:Y1342,Y1343))</f>
        <v>338</v>
      </c>
      <c r="AD1343" s="1" t="str">
        <f t="shared" si="75"/>
        <v/>
      </c>
      <c r="BA1343" s="1">
        <f>IF(W1343&lt;=Leltar_iv!$Y$1,I1343,0)</f>
        <v>0</v>
      </c>
    </row>
    <row r="1344" spans="1:53" s="1" customFormat="1" x14ac:dyDescent="0.25">
      <c r="A1344" s="18">
        <f>IF(COUNTIF($Y$6:Y1344,Y1344)=1,Y1344,Y1344+COUNTIF($Y$5:Y1343,Y1344))</f>
        <v>339</v>
      </c>
      <c r="B1344" s="1">
        <f>IF(AND(Kisero_iv!$N$2=C1344,Kisero_iv!$K$5=$B$3,SUM(I1344:L1348)&lt;&gt;0,$B$4=YEAR(W1344)),B1343+1,0)</f>
        <v>0</v>
      </c>
      <c r="C1344" s="1">
        <f t="shared" si="69"/>
        <v>339</v>
      </c>
      <c r="D1344" s="102" t="str">
        <f t="shared" si="70"/>
        <v/>
      </c>
      <c r="E1344" s="44"/>
      <c r="F1344" s="45"/>
      <c r="G1344" s="45"/>
      <c r="H1344" s="45"/>
      <c r="I1344" s="46"/>
      <c r="J1344" s="111" t="str">
        <f>IF(AND(G1344&lt;&gt;"",ISERROR(VLOOKUP(G1344,Keszlet!$C$5:$H$200,6,FALSE))=FALSE),VLOOKUP(G1344,Keszlet!$C$5:$H$200,6,FALSE),"")</f>
        <v/>
      </c>
      <c r="K1344" s="106" t="str">
        <f>IF(AND(G1344&lt;&gt;"",ISERROR(VLOOKUP(G1344,Keszlet!$C$5:$G$200,5,FALSE))=FALSE),VLOOKUP(G1344,Keszlet!$C$5:$G$200,5,FALSE),"")</f>
        <v/>
      </c>
      <c r="L1344" s="106" t="str">
        <f t="shared" si="71"/>
        <v/>
      </c>
      <c r="M1344" s="115" t="str">
        <f>IF(ISERROR(VLOOKUP(G1344,Keszlet!$C$5:$I$200,7,FALSE))=TRUE,"",IF(AND(J1343&lt;&gt;"",J1345=""),VLOOKUP(G1344,Keszlet!$C$5:$I$200,7,FALSE),""))</f>
        <v/>
      </c>
      <c r="Q1344" s="1">
        <f>VLOOKUP(G1344,Keszlet!$C$5:$E$205,3,FALSE)</f>
        <v>0</v>
      </c>
      <c r="T1344" s="1" t="str">
        <f t="shared" si="72"/>
        <v/>
      </c>
      <c r="U1344" s="1">
        <f t="shared" si="73"/>
        <v>0</v>
      </c>
      <c r="W1344" s="6">
        <f t="shared" si="76"/>
        <v>0</v>
      </c>
      <c r="X1344" s="6">
        <f t="shared" si="68"/>
        <v>0</v>
      </c>
      <c r="Y1344" s="1">
        <f t="shared" si="74"/>
        <v>1</v>
      </c>
      <c r="Z1344" s="1">
        <f>IF(COUNTIF($Y$6:Y1344,Y1344)=1,Y1344,Y1344+COUNTIF($Y$5:Y1343,Y1344))</f>
        <v>339</v>
      </c>
      <c r="AD1344" s="1" t="str">
        <f t="shared" si="75"/>
        <v/>
      </c>
      <c r="BA1344" s="1">
        <f>IF(W1344&lt;=Leltar_iv!$Y$1,I1344,0)</f>
        <v>0</v>
      </c>
    </row>
    <row r="1345" spans="1:53" s="1" customFormat="1" x14ac:dyDescent="0.25">
      <c r="A1345" s="18">
        <f>IF(COUNTIF($Y$6:Y1345,Y1345)=1,Y1345,Y1345+COUNTIF($Y$5:Y1344,Y1345))</f>
        <v>340</v>
      </c>
      <c r="B1345" s="1">
        <f>IF(AND(Kisero_iv!$N$2=C1345,Kisero_iv!$K$5=$B$3,SUM(I1345:L1349)&lt;&gt;0,$B$4=YEAR(W1345)),B1344+1,0)</f>
        <v>0</v>
      </c>
      <c r="C1345" s="1">
        <f t="shared" si="69"/>
        <v>340</v>
      </c>
      <c r="D1345" s="102" t="str">
        <f t="shared" si="70"/>
        <v/>
      </c>
      <c r="E1345" s="44"/>
      <c r="F1345" s="45"/>
      <c r="G1345" s="45"/>
      <c r="H1345" s="45"/>
      <c r="I1345" s="46"/>
      <c r="J1345" s="111" t="str">
        <f>IF(AND(G1345&lt;&gt;"",ISERROR(VLOOKUP(G1345,Keszlet!$C$5:$H$200,6,FALSE))=FALSE),VLOOKUP(G1345,Keszlet!$C$5:$H$200,6,FALSE),"")</f>
        <v/>
      </c>
      <c r="K1345" s="106" t="str">
        <f>IF(AND(G1345&lt;&gt;"",ISERROR(VLOOKUP(G1345,Keszlet!$C$5:$G$200,5,FALSE))=FALSE),VLOOKUP(G1345,Keszlet!$C$5:$G$200,5,FALSE),"")</f>
        <v/>
      </c>
      <c r="L1345" s="106" t="str">
        <f t="shared" si="71"/>
        <v/>
      </c>
      <c r="M1345" s="115" t="str">
        <f>IF(ISERROR(VLOOKUP(G1345,Keszlet!$C$5:$I$200,7,FALSE))=TRUE,"",IF(AND(J1344&lt;&gt;"",J1346=""),VLOOKUP(G1345,Keszlet!$C$5:$I$200,7,FALSE),""))</f>
        <v/>
      </c>
      <c r="Q1345" s="1">
        <f>VLOOKUP(G1345,Keszlet!$C$5:$E$205,3,FALSE)</f>
        <v>0</v>
      </c>
      <c r="T1345" s="1" t="str">
        <f t="shared" si="72"/>
        <v/>
      </c>
      <c r="U1345" s="1">
        <f t="shared" si="73"/>
        <v>0</v>
      </c>
      <c r="W1345" s="6">
        <f t="shared" si="76"/>
        <v>0</v>
      </c>
      <c r="X1345" s="6">
        <f t="shared" si="68"/>
        <v>0</v>
      </c>
      <c r="Y1345" s="1">
        <f t="shared" si="74"/>
        <v>1</v>
      </c>
      <c r="Z1345" s="1">
        <f>IF(COUNTIF($Y$6:Y1345,Y1345)=1,Y1345,Y1345+COUNTIF($Y$5:Y1344,Y1345))</f>
        <v>340</v>
      </c>
      <c r="AD1345" s="1" t="str">
        <f t="shared" si="75"/>
        <v/>
      </c>
      <c r="BA1345" s="1">
        <f>IF(W1345&lt;=Leltar_iv!$Y$1,I1345,0)</f>
        <v>0</v>
      </c>
    </row>
    <row r="1346" spans="1:53" s="1" customFormat="1" x14ac:dyDescent="0.25">
      <c r="A1346" s="18">
        <f>IF(COUNTIF($Y$6:Y1346,Y1346)=1,Y1346,Y1346+COUNTIF($Y$5:Y1345,Y1346))</f>
        <v>341</v>
      </c>
      <c r="B1346" s="1">
        <f>IF(AND(Kisero_iv!$N$2=C1346,Kisero_iv!$K$5=$B$3,SUM(I1346:L1350)&lt;&gt;0,$B$4=YEAR(W1346)),B1345+1,0)</f>
        <v>0</v>
      </c>
      <c r="C1346" s="1">
        <f t="shared" si="69"/>
        <v>341</v>
      </c>
      <c r="D1346" s="102" t="str">
        <f t="shared" si="70"/>
        <v/>
      </c>
      <c r="E1346" s="44"/>
      <c r="F1346" s="45"/>
      <c r="G1346" s="45"/>
      <c r="H1346" s="45"/>
      <c r="I1346" s="46"/>
      <c r="J1346" s="111" t="str">
        <f>IF(AND(G1346&lt;&gt;"",ISERROR(VLOOKUP(G1346,Keszlet!$C$5:$H$200,6,FALSE))=FALSE),VLOOKUP(G1346,Keszlet!$C$5:$H$200,6,FALSE),"")</f>
        <v/>
      </c>
      <c r="K1346" s="106" t="str">
        <f>IF(AND(G1346&lt;&gt;"",ISERROR(VLOOKUP(G1346,Keszlet!$C$5:$G$200,5,FALSE))=FALSE),VLOOKUP(G1346,Keszlet!$C$5:$G$200,5,FALSE),"")</f>
        <v/>
      </c>
      <c r="L1346" s="106" t="str">
        <f t="shared" si="71"/>
        <v/>
      </c>
      <c r="M1346" s="115" t="str">
        <f>IF(ISERROR(VLOOKUP(G1346,Keszlet!$C$5:$I$200,7,FALSE))=TRUE,"",IF(AND(J1345&lt;&gt;"",J1347=""),VLOOKUP(G1346,Keszlet!$C$5:$I$200,7,FALSE),""))</f>
        <v/>
      </c>
      <c r="Q1346" s="1">
        <f>VLOOKUP(G1346,Keszlet!$C$5:$E$205,3,FALSE)</f>
        <v>0</v>
      </c>
      <c r="T1346" s="1" t="str">
        <f t="shared" si="72"/>
        <v/>
      </c>
      <c r="U1346" s="1">
        <f t="shared" si="73"/>
        <v>0</v>
      </c>
      <c r="W1346" s="6">
        <f t="shared" si="76"/>
        <v>0</v>
      </c>
      <c r="X1346" s="6">
        <f t="shared" si="68"/>
        <v>0</v>
      </c>
      <c r="Y1346" s="1">
        <f t="shared" si="74"/>
        <v>1</v>
      </c>
      <c r="Z1346" s="1">
        <f>IF(COUNTIF($Y$6:Y1346,Y1346)=1,Y1346,Y1346+COUNTIF($Y$5:Y1345,Y1346))</f>
        <v>341</v>
      </c>
      <c r="AD1346" s="1" t="str">
        <f t="shared" si="75"/>
        <v/>
      </c>
      <c r="BA1346" s="1">
        <f>IF(W1346&lt;=Leltar_iv!$Y$1,I1346,0)</f>
        <v>0</v>
      </c>
    </row>
    <row r="1347" spans="1:53" s="1" customFormat="1" x14ac:dyDescent="0.25">
      <c r="A1347" s="18">
        <f>IF(COUNTIF($Y$6:Y1347,Y1347)=1,Y1347,Y1347+COUNTIF($Y$5:Y1346,Y1347))</f>
        <v>342</v>
      </c>
      <c r="B1347" s="1">
        <f>IF(AND(Kisero_iv!$N$2=C1347,Kisero_iv!$K$5=$B$3,SUM(I1347:L1351)&lt;&gt;0,$B$4=YEAR(W1347)),B1346+1,0)</f>
        <v>0</v>
      </c>
      <c r="C1347" s="1">
        <f t="shared" si="69"/>
        <v>342</v>
      </c>
      <c r="D1347" s="102" t="str">
        <f t="shared" si="70"/>
        <v/>
      </c>
      <c r="E1347" s="44"/>
      <c r="F1347" s="45"/>
      <c r="G1347" s="45"/>
      <c r="H1347" s="45"/>
      <c r="I1347" s="46"/>
      <c r="J1347" s="111" t="str">
        <f>IF(AND(G1347&lt;&gt;"",ISERROR(VLOOKUP(G1347,Keszlet!$C$5:$H$200,6,FALSE))=FALSE),VLOOKUP(G1347,Keszlet!$C$5:$H$200,6,FALSE),"")</f>
        <v/>
      </c>
      <c r="K1347" s="106" t="str">
        <f>IF(AND(G1347&lt;&gt;"",ISERROR(VLOOKUP(G1347,Keszlet!$C$5:$G$200,5,FALSE))=FALSE),VLOOKUP(G1347,Keszlet!$C$5:$G$200,5,FALSE),"")</f>
        <v/>
      </c>
      <c r="L1347" s="106" t="str">
        <f t="shared" si="71"/>
        <v/>
      </c>
      <c r="M1347" s="115" t="str">
        <f>IF(ISERROR(VLOOKUP(G1347,Keszlet!$C$5:$I$200,7,FALSE))=TRUE,"",IF(AND(J1346&lt;&gt;"",J1348=""),VLOOKUP(G1347,Keszlet!$C$5:$I$200,7,FALSE),""))</f>
        <v/>
      </c>
      <c r="Q1347" s="1">
        <f>VLOOKUP(G1347,Keszlet!$C$5:$E$205,3,FALSE)</f>
        <v>0</v>
      </c>
      <c r="T1347" s="1" t="str">
        <f t="shared" si="72"/>
        <v/>
      </c>
      <c r="U1347" s="1">
        <f t="shared" si="73"/>
        <v>0</v>
      </c>
      <c r="W1347" s="6">
        <f t="shared" si="76"/>
        <v>0</v>
      </c>
      <c r="X1347" s="6">
        <f t="shared" si="68"/>
        <v>0</v>
      </c>
      <c r="Y1347" s="1">
        <f t="shared" si="74"/>
        <v>1</v>
      </c>
      <c r="Z1347" s="1">
        <f>IF(COUNTIF($Y$6:Y1347,Y1347)=1,Y1347,Y1347+COUNTIF($Y$5:Y1346,Y1347))</f>
        <v>342</v>
      </c>
      <c r="AD1347" s="1" t="str">
        <f t="shared" si="75"/>
        <v/>
      </c>
      <c r="BA1347" s="1">
        <f>IF(W1347&lt;=Leltar_iv!$Y$1,I1347,0)</f>
        <v>0</v>
      </c>
    </row>
    <row r="1348" spans="1:53" s="1" customFormat="1" x14ac:dyDescent="0.25">
      <c r="A1348" s="18">
        <f>IF(COUNTIF($Y$6:Y1348,Y1348)=1,Y1348,Y1348+COUNTIF($Y$5:Y1347,Y1348))</f>
        <v>343</v>
      </c>
      <c r="B1348" s="1">
        <f>IF(AND(Kisero_iv!$N$2=C1348,Kisero_iv!$K$5=$B$3,SUM(I1348:L1352)&lt;&gt;0,$B$4=YEAR(W1348)),B1347+1,0)</f>
        <v>0</v>
      </c>
      <c r="C1348" s="1">
        <f t="shared" si="69"/>
        <v>343</v>
      </c>
      <c r="D1348" s="102" t="str">
        <f t="shared" si="70"/>
        <v/>
      </c>
      <c r="E1348" s="44"/>
      <c r="F1348" s="45"/>
      <c r="G1348" s="45"/>
      <c r="H1348" s="45"/>
      <c r="I1348" s="46"/>
      <c r="J1348" s="111" t="str">
        <f>IF(AND(G1348&lt;&gt;"",ISERROR(VLOOKUP(G1348,Keszlet!$C$5:$H$200,6,FALSE))=FALSE),VLOOKUP(G1348,Keszlet!$C$5:$H$200,6,FALSE),"")</f>
        <v/>
      </c>
      <c r="K1348" s="106" t="str">
        <f>IF(AND(G1348&lt;&gt;"",ISERROR(VLOOKUP(G1348,Keszlet!$C$5:$G$200,5,FALSE))=FALSE),VLOOKUP(G1348,Keszlet!$C$5:$G$200,5,FALSE),"")</f>
        <v/>
      </c>
      <c r="L1348" s="106" t="str">
        <f t="shared" si="71"/>
        <v/>
      </c>
      <c r="M1348" s="115" t="str">
        <f>IF(ISERROR(VLOOKUP(G1348,Keszlet!$C$5:$I$200,7,FALSE))=TRUE,"",IF(AND(J1347&lt;&gt;"",J1349=""),VLOOKUP(G1348,Keszlet!$C$5:$I$200,7,FALSE),""))</f>
        <v/>
      </c>
      <c r="Q1348" s="1">
        <f>VLOOKUP(G1348,Keszlet!$C$5:$E$205,3,FALSE)</f>
        <v>0</v>
      </c>
      <c r="T1348" s="1" t="str">
        <f t="shared" si="72"/>
        <v/>
      </c>
      <c r="U1348" s="1">
        <f t="shared" si="73"/>
        <v>0</v>
      </c>
      <c r="W1348" s="6">
        <f t="shared" si="76"/>
        <v>0</v>
      </c>
      <c r="X1348" s="6">
        <f t="shared" si="68"/>
        <v>0</v>
      </c>
      <c r="Y1348" s="1">
        <f t="shared" si="74"/>
        <v>1</v>
      </c>
      <c r="Z1348" s="1">
        <f>IF(COUNTIF($Y$6:Y1348,Y1348)=1,Y1348,Y1348+COUNTIF($Y$5:Y1347,Y1348))</f>
        <v>343</v>
      </c>
      <c r="AD1348" s="1" t="str">
        <f t="shared" si="75"/>
        <v/>
      </c>
      <c r="BA1348" s="1">
        <f>IF(W1348&lt;=Leltar_iv!$Y$1,I1348,0)</f>
        <v>0</v>
      </c>
    </row>
    <row r="1349" spans="1:53" s="1" customFormat="1" x14ac:dyDescent="0.25">
      <c r="A1349" s="18">
        <f>IF(COUNTIF($Y$6:Y1349,Y1349)=1,Y1349,Y1349+COUNTIF($Y$5:Y1348,Y1349))</f>
        <v>344</v>
      </c>
      <c r="B1349" s="1">
        <f>IF(AND(Kisero_iv!$N$2=C1349,Kisero_iv!$K$5=$B$3,SUM(I1349:L1353)&lt;&gt;0,$B$4=YEAR(W1349)),B1348+1,0)</f>
        <v>0</v>
      </c>
      <c r="C1349" s="1">
        <f t="shared" si="69"/>
        <v>344</v>
      </c>
      <c r="D1349" s="102" t="str">
        <f t="shared" si="70"/>
        <v/>
      </c>
      <c r="E1349" s="44"/>
      <c r="F1349" s="45"/>
      <c r="G1349" s="45"/>
      <c r="H1349" s="45"/>
      <c r="I1349" s="46"/>
      <c r="J1349" s="111" t="str">
        <f>IF(AND(G1349&lt;&gt;"",ISERROR(VLOOKUP(G1349,Keszlet!$C$5:$H$200,6,FALSE))=FALSE),VLOOKUP(G1349,Keszlet!$C$5:$H$200,6,FALSE),"")</f>
        <v/>
      </c>
      <c r="K1349" s="106" t="str">
        <f>IF(AND(G1349&lt;&gt;"",ISERROR(VLOOKUP(G1349,Keszlet!$C$5:$G$200,5,FALSE))=FALSE),VLOOKUP(G1349,Keszlet!$C$5:$G$200,5,FALSE),"")</f>
        <v/>
      </c>
      <c r="L1349" s="106" t="str">
        <f t="shared" si="71"/>
        <v/>
      </c>
      <c r="M1349" s="115" t="str">
        <f>IF(ISERROR(VLOOKUP(G1349,Keszlet!$C$5:$I$200,7,FALSE))=TRUE,"",IF(AND(J1348&lt;&gt;"",J1350=""),VLOOKUP(G1349,Keszlet!$C$5:$I$200,7,FALSE),""))</f>
        <v/>
      </c>
      <c r="Q1349" s="1">
        <f>VLOOKUP(G1349,Keszlet!$C$5:$E$205,3,FALSE)</f>
        <v>0</v>
      </c>
      <c r="T1349" s="1" t="str">
        <f t="shared" si="72"/>
        <v/>
      </c>
      <c r="U1349" s="1">
        <f t="shared" si="73"/>
        <v>0</v>
      </c>
      <c r="W1349" s="6">
        <f t="shared" si="76"/>
        <v>0</v>
      </c>
      <c r="X1349" s="6">
        <f t="shared" si="68"/>
        <v>0</v>
      </c>
      <c r="Y1349" s="1">
        <f t="shared" si="74"/>
        <v>1</v>
      </c>
      <c r="Z1349" s="1">
        <f>IF(COUNTIF($Y$6:Y1349,Y1349)=1,Y1349,Y1349+COUNTIF($Y$5:Y1348,Y1349))</f>
        <v>344</v>
      </c>
      <c r="AD1349" s="1" t="str">
        <f t="shared" si="75"/>
        <v/>
      </c>
      <c r="BA1349" s="1">
        <f>IF(W1349&lt;=Leltar_iv!$Y$1,I1349,0)</f>
        <v>0</v>
      </c>
    </row>
    <row r="1350" spans="1:53" s="1" customFormat="1" x14ac:dyDescent="0.25">
      <c r="A1350" s="18">
        <f>IF(COUNTIF($Y$6:Y1350,Y1350)=1,Y1350,Y1350+COUNTIF($Y$5:Y1349,Y1350))</f>
        <v>345</v>
      </c>
      <c r="B1350" s="1">
        <f>IF(AND(Kisero_iv!$N$2=C1350,Kisero_iv!$K$5=$B$3,SUM(I1350:L1354)&lt;&gt;0,$B$4=YEAR(W1350)),B1349+1,0)</f>
        <v>0</v>
      </c>
      <c r="C1350" s="1">
        <f t="shared" si="69"/>
        <v>345</v>
      </c>
      <c r="D1350" s="102" t="str">
        <f t="shared" si="70"/>
        <v/>
      </c>
      <c r="E1350" s="44"/>
      <c r="F1350" s="45"/>
      <c r="G1350" s="45"/>
      <c r="H1350" s="45"/>
      <c r="I1350" s="46"/>
      <c r="J1350" s="111" t="str">
        <f>IF(AND(G1350&lt;&gt;"",ISERROR(VLOOKUP(G1350,Keszlet!$C$5:$H$200,6,FALSE))=FALSE),VLOOKUP(G1350,Keszlet!$C$5:$H$200,6,FALSE),"")</f>
        <v/>
      </c>
      <c r="K1350" s="106" t="str">
        <f>IF(AND(G1350&lt;&gt;"",ISERROR(VLOOKUP(G1350,Keszlet!$C$5:$G$200,5,FALSE))=FALSE),VLOOKUP(G1350,Keszlet!$C$5:$G$200,5,FALSE),"")</f>
        <v/>
      </c>
      <c r="L1350" s="106" t="str">
        <f t="shared" si="71"/>
        <v/>
      </c>
      <c r="M1350" s="115" t="str">
        <f>IF(ISERROR(VLOOKUP(G1350,Keszlet!$C$5:$I$200,7,FALSE))=TRUE,"",IF(AND(J1349&lt;&gt;"",J1351=""),VLOOKUP(G1350,Keszlet!$C$5:$I$200,7,FALSE),""))</f>
        <v/>
      </c>
      <c r="Q1350" s="1">
        <f>VLOOKUP(G1350,Keszlet!$C$5:$E$205,3,FALSE)</f>
        <v>0</v>
      </c>
      <c r="T1350" s="1" t="str">
        <f t="shared" si="72"/>
        <v/>
      </c>
      <c r="U1350" s="1">
        <f t="shared" si="73"/>
        <v>0</v>
      </c>
      <c r="W1350" s="6">
        <f t="shared" si="76"/>
        <v>0</v>
      </c>
      <c r="X1350" s="6">
        <f t="shared" si="68"/>
        <v>0</v>
      </c>
      <c r="Y1350" s="1">
        <f t="shared" si="74"/>
        <v>1</v>
      </c>
      <c r="Z1350" s="1">
        <f>IF(COUNTIF($Y$6:Y1350,Y1350)=1,Y1350,Y1350+COUNTIF($Y$5:Y1349,Y1350))</f>
        <v>345</v>
      </c>
      <c r="AD1350" s="1" t="str">
        <f t="shared" si="75"/>
        <v/>
      </c>
      <c r="BA1350" s="1">
        <f>IF(W1350&lt;=Leltar_iv!$Y$1,I1350,0)</f>
        <v>0</v>
      </c>
    </row>
    <row r="1351" spans="1:53" s="1" customFormat="1" x14ac:dyDescent="0.25">
      <c r="A1351" s="18">
        <f>IF(COUNTIF($Y$6:Y1351,Y1351)=1,Y1351,Y1351+COUNTIF($Y$5:Y1350,Y1351))</f>
        <v>346</v>
      </c>
      <c r="B1351" s="1">
        <f>IF(AND(Kisero_iv!$N$2=C1351,Kisero_iv!$K$5=$B$3,SUM(I1351:L1355)&lt;&gt;0,$B$4=YEAR(W1351)),B1350+1,0)</f>
        <v>0</v>
      </c>
      <c r="C1351" s="1">
        <f t="shared" si="69"/>
        <v>346</v>
      </c>
      <c r="D1351" s="102" t="str">
        <f t="shared" si="70"/>
        <v/>
      </c>
      <c r="E1351" s="44"/>
      <c r="F1351" s="45"/>
      <c r="G1351" s="45"/>
      <c r="H1351" s="45"/>
      <c r="I1351" s="46"/>
      <c r="J1351" s="111" t="str">
        <f>IF(AND(G1351&lt;&gt;"",ISERROR(VLOOKUP(G1351,Keszlet!$C$5:$H$200,6,FALSE))=FALSE),VLOOKUP(G1351,Keszlet!$C$5:$H$200,6,FALSE),"")</f>
        <v/>
      </c>
      <c r="K1351" s="106" t="str">
        <f>IF(AND(G1351&lt;&gt;"",ISERROR(VLOOKUP(G1351,Keszlet!$C$5:$G$200,5,FALSE))=FALSE),VLOOKUP(G1351,Keszlet!$C$5:$G$200,5,FALSE),"")</f>
        <v/>
      </c>
      <c r="L1351" s="106" t="str">
        <f t="shared" si="71"/>
        <v/>
      </c>
      <c r="M1351" s="115" t="str">
        <f>IF(ISERROR(VLOOKUP(G1351,Keszlet!$C$5:$I$200,7,FALSE))=TRUE,"",IF(AND(J1350&lt;&gt;"",J1352=""),VLOOKUP(G1351,Keszlet!$C$5:$I$200,7,FALSE),""))</f>
        <v/>
      </c>
      <c r="Q1351" s="1">
        <f>VLOOKUP(G1351,Keszlet!$C$5:$E$205,3,FALSE)</f>
        <v>0</v>
      </c>
      <c r="T1351" s="1" t="str">
        <f t="shared" si="72"/>
        <v/>
      </c>
      <c r="U1351" s="1">
        <f t="shared" si="73"/>
        <v>0</v>
      </c>
      <c r="W1351" s="6">
        <f t="shared" si="76"/>
        <v>0</v>
      </c>
      <c r="X1351" s="6">
        <f t="shared" si="68"/>
        <v>0</v>
      </c>
      <c r="Y1351" s="1">
        <f t="shared" si="74"/>
        <v>1</v>
      </c>
      <c r="Z1351" s="1">
        <f>IF(COUNTIF($Y$6:Y1351,Y1351)=1,Y1351,Y1351+COUNTIF($Y$5:Y1350,Y1351))</f>
        <v>346</v>
      </c>
      <c r="AD1351" s="1" t="str">
        <f t="shared" si="75"/>
        <v/>
      </c>
      <c r="BA1351" s="1">
        <f>IF(W1351&lt;=Leltar_iv!$Y$1,I1351,0)</f>
        <v>0</v>
      </c>
    </row>
    <row r="1352" spans="1:53" s="1" customFormat="1" x14ac:dyDescent="0.25">
      <c r="A1352" s="18">
        <f>IF(COUNTIF($Y$6:Y1352,Y1352)=1,Y1352,Y1352+COUNTIF($Y$5:Y1351,Y1352))</f>
        <v>347</v>
      </c>
      <c r="B1352" s="1">
        <f>IF(AND(Kisero_iv!$N$2=C1352,Kisero_iv!$K$5=$B$3,SUM(I1352:L1356)&lt;&gt;0,$B$4=YEAR(W1352)),B1351+1,0)</f>
        <v>0</v>
      </c>
      <c r="C1352" s="1">
        <f t="shared" si="69"/>
        <v>347</v>
      </c>
      <c r="D1352" s="102" t="str">
        <f t="shared" si="70"/>
        <v/>
      </c>
      <c r="E1352" s="44"/>
      <c r="F1352" s="45"/>
      <c r="G1352" s="45"/>
      <c r="H1352" s="45"/>
      <c r="I1352" s="46"/>
      <c r="J1352" s="111" t="str">
        <f>IF(AND(G1352&lt;&gt;"",ISERROR(VLOOKUP(G1352,Keszlet!$C$5:$H$200,6,FALSE))=FALSE),VLOOKUP(G1352,Keszlet!$C$5:$H$200,6,FALSE),"")</f>
        <v/>
      </c>
      <c r="K1352" s="106" t="str">
        <f>IF(AND(G1352&lt;&gt;"",ISERROR(VLOOKUP(G1352,Keszlet!$C$5:$G$200,5,FALSE))=FALSE),VLOOKUP(G1352,Keszlet!$C$5:$G$200,5,FALSE),"")</f>
        <v/>
      </c>
      <c r="L1352" s="106" t="str">
        <f t="shared" si="71"/>
        <v/>
      </c>
      <c r="M1352" s="115" t="str">
        <f>IF(ISERROR(VLOOKUP(G1352,Keszlet!$C$5:$I$200,7,FALSE))=TRUE,"",IF(AND(J1351&lt;&gt;"",J1353=""),VLOOKUP(G1352,Keszlet!$C$5:$I$200,7,FALSE),""))</f>
        <v/>
      </c>
      <c r="Q1352" s="1">
        <f>VLOOKUP(G1352,Keszlet!$C$5:$E$205,3,FALSE)</f>
        <v>0</v>
      </c>
      <c r="T1352" s="1" t="str">
        <f t="shared" si="72"/>
        <v/>
      </c>
      <c r="U1352" s="1">
        <f t="shared" si="73"/>
        <v>0</v>
      </c>
      <c r="W1352" s="6">
        <f t="shared" si="76"/>
        <v>0</v>
      </c>
      <c r="X1352" s="6">
        <f t="shared" si="68"/>
        <v>0</v>
      </c>
      <c r="Y1352" s="1">
        <f t="shared" si="74"/>
        <v>1</v>
      </c>
      <c r="Z1352" s="1">
        <f>IF(COUNTIF($Y$6:Y1352,Y1352)=1,Y1352,Y1352+COUNTIF($Y$5:Y1351,Y1352))</f>
        <v>347</v>
      </c>
      <c r="AD1352" s="1" t="str">
        <f t="shared" si="75"/>
        <v/>
      </c>
      <c r="BA1352" s="1">
        <f>IF(W1352&lt;=Leltar_iv!$Y$1,I1352,0)</f>
        <v>0</v>
      </c>
    </row>
    <row r="1353" spans="1:53" s="1" customFormat="1" x14ac:dyDescent="0.25">
      <c r="A1353" s="18">
        <f>IF(COUNTIF($Y$6:Y1353,Y1353)=1,Y1353,Y1353+COUNTIF($Y$5:Y1352,Y1353))</f>
        <v>348</v>
      </c>
      <c r="B1353" s="1">
        <f>IF(AND(Kisero_iv!$N$2=C1353,Kisero_iv!$K$5=$B$3,SUM(I1353:L1357)&lt;&gt;0,$B$4=YEAR(W1353)),B1352+1,0)</f>
        <v>0</v>
      </c>
      <c r="C1353" s="1">
        <f t="shared" si="69"/>
        <v>348</v>
      </c>
      <c r="D1353" s="102" t="str">
        <f t="shared" si="70"/>
        <v/>
      </c>
      <c r="E1353" s="44"/>
      <c r="F1353" s="45"/>
      <c r="G1353" s="45"/>
      <c r="H1353" s="45"/>
      <c r="I1353" s="46"/>
      <c r="J1353" s="111" t="str">
        <f>IF(AND(G1353&lt;&gt;"",ISERROR(VLOOKUP(G1353,Keszlet!$C$5:$H$200,6,FALSE))=FALSE),VLOOKUP(G1353,Keszlet!$C$5:$H$200,6,FALSE),"")</f>
        <v/>
      </c>
      <c r="K1353" s="106" t="str">
        <f>IF(AND(G1353&lt;&gt;"",ISERROR(VLOOKUP(G1353,Keszlet!$C$5:$G$200,5,FALSE))=FALSE),VLOOKUP(G1353,Keszlet!$C$5:$G$200,5,FALSE),"")</f>
        <v/>
      </c>
      <c r="L1353" s="106" t="str">
        <f t="shared" si="71"/>
        <v/>
      </c>
      <c r="M1353" s="115" t="str">
        <f>IF(ISERROR(VLOOKUP(G1353,Keszlet!$C$5:$I$200,7,FALSE))=TRUE,"",IF(AND(J1352&lt;&gt;"",J1354=""),VLOOKUP(G1353,Keszlet!$C$5:$I$200,7,FALSE),""))</f>
        <v/>
      </c>
      <c r="Q1353" s="1">
        <f>VLOOKUP(G1353,Keszlet!$C$5:$E$205,3,FALSE)</f>
        <v>0</v>
      </c>
      <c r="T1353" s="1" t="str">
        <f t="shared" si="72"/>
        <v/>
      </c>
      <c r="U1353" s="1">
        <f t="shared" si="73"/>
        <v>0</v>
      </c>
      <c r="W1353" s="6">
        <f t="shared" si="76"/>
        <v>0</v>
      </c>
      <c r="X1353" s="6">
        <f t="shared" si="68"/>
        <v>0</v>
      </c>
      <c r="Y1353" s="1">
        <f t="shared" si="74"/>
        <v>1</v>
      </c>
      <c r="Z1353" s="1">
        <f>IF(COUNTIF($Y$6:Y1353,Y1353)=1,Y1353,Y1353+COUNTIF($Y$5:Y1352,Y1353))</f>
        <v>348</v>
      </c>
      <c r="AD1353" s="1" t="str">
        <f t="shared" si="75"/>
        <v/>
      </c>
      <c r="BA1353" s="1">
        <f>IF(W1353&lt;=Leltar_iv!$Y$1,I1353,0)</f>
        <v>0</v>
      </c>
    </row>
    <row r="1354" spans="1:53" s="1" customFormat="1" x14ac:dyDescent="0.25">
      <c r="A1354" s="18">
        <f>IF(COUNTIF($Y$6:Y1354,Y1354)=1,Y1354,Y1354+COUNTIF($Y$5:Y1353,Y1354))</f>
        <v>349</v>
      </c>
      <c r="B1354" s="1">
        <f>IF(AND(Kisero_iv!$N$2=C1354,Kisero_iv!$K$5=$B$3,SUM(I1354:L1358)&lt;&gt;0,$B$4=YEAR(W1354)),B1353+1,0)</f>
        <v>0</v>
      </c>
      <c r="C1354" s="1">
        <f t="shared" si="69"/>
        <v>349</v>
      </c>
      <c r="D1354" s="102" t="str">
        <f t="shared" si="70"/>
        <v/>
      </c>
      <c r="E1354" s="44"/>
      <c r="F1354" s="45"/>
      <c r="G1354" s="45"/>
      <c r="H1354" s="45"/>
      <c r="I1354" s="46"/>
      <c r="J1354" s="111" t="str">
        <f>IF(AND(G1354&lt;&gt;"",ISERROR(VLOOKUP(G1354,Keszlet!$C$5:$H$200,6,FALSE))=FALSE),VLOOKUP(G1354,Keszlet!$C$5:$H$200,6,FALSE),"")</f>
        <v/>
      </c>
      <c r="K1354" s="106" t="str">
        <f>IF(AND(G1354&lt;&gt;"",ISERROR(VLOOKUP(G1354,Keszlet!$C$5:$G$200,5,FALSE))=FALSE),VLOOKUP(G1354,Keszlet!$C$5:$G$200,5,FALSE),"")</f>
        <v/>
      </c>
      <c r="L1354" s="106" t="str">
        <f t="shared" si="71"/>
        <v/>
      </c>
      <c r="M1354" s="115" t="str">
        <f>IF(ISERROR(VLOOKUP(G1354,Keszlet!$C$5:$I$200,7,FALSE))=TRUE,"",IF(AND(J1353&lt;&gt;"",J1355=""),VLOOKUP(G1354,Keszlet!$C$5:$I$200,7,FALSE),""))</f>
        <v/>
      </c>
      <c r="Q1354" s="1">
        <f>VLOOKUP(G1354,Keszlet!$C$5:$E$205,3,FALSE)</f>
        <v>0</v>
      </c>
      <c r="T1354" s="1" t="str">
        <f t="shared" si="72"/>
        <v/>
      </c>
      <c r="U1354" s="1">
        <f t="shared" si="73"/>
        <v>0</v>
      </c>
      <c r="W1354" s="6">
        <f t="shared" si="76"/>
        <v>0</v>
      </c>
      <c r="X1354" s="6">
        <f t="shared" si="68"/>
        <v>0</v>
      </c>
      <c r="Y1354" s="1">
        <f t="shared" si="74"/>
        <v>1</v>
      </c>
      <c r="Z1354" s="1">
        <f>IF(COUNTIF($Y$6:Y1354,Y1354)=1,Y1354,Y1354+COUNTIF($Y$5:Y1353,Y1354))</f>
        <v>349</v>
      </c>
      <c r="AD1354" s="1" t="str">
        <f t="shared" si="75"/>
        <v/>
      </c>
      <c r="BA1354" s="1">
        <f>IF(W1354&lt;=Leltar_iv!$Y$1,I1354,0)</f>
        <v>0</v>
      </c>
    </row>
    <row r="1355" spans="1:53" s="1" customFormat="1" x14ac:dyDescent="0.25">
      <c r="A1355" s="18">
        <f>IF(COUNTIF($Y$6:Y1355,Y1355)=1,Y1355,Y1355+COUNTIF($Y$5:Y1354,Y1355))</f>
        <v>350</v>
      </c>
      <c r="B1355" s="1">
        <f>IF(AND(Kisero_iv!$N$2=C1355,Kisero_iv!$K$5=$B$3,SUM(I1355:L1359)&lt;&gt;0,$B$4=YEAR(W1355)),B1354+1,0)</f>
        <v>0</v>
      </c>
      <c r="C1355" s="1">
        <f t="shared" si="69"/>
        <v>350</v>
      </c>
      <c r="D1355" s="102" t="str">
        <f t="shared" si="70"/>
        <v/>
      </c>
      <c r="E1355" s="44"/>
      <c r="F1355" s="45"/>
      <c r="G1355" s="45"/>
      <c r="H1355" s="45"/>
      <c r="I1355" s="46"/>
      <c r="J1355" s="111" t="str">
        <f>IF(AND(G1355&lt;&gt;"",ISERROR(VLOOKUP(G1355,Keszlet!$C$5:$H$200,6,FALSE))=FALSE),VLOOKUP(G1355,Keszlet!$C$5:$H$200,6,FALSE),"")</f>
        <v/>
      </c>
      <c r="K1355" s="106" t="str">
        <f>IF(AND(G1355&lt;&gt;"",ISERROR(VLOOKUP(G1355,Keszlet!$C$5:$G$200,5,FALSE))=FALSE),VLOOKUP(G1355,Keszlet!$C$5:$G$200,5,FALSE),"")</f>
        <v/>
      </c>
      <c r="L1355" s="106" t="str">
        <f t="shared" si="71"/>
        <v/>
      </c>
      <c r="M1355" s="115" t="str">
        <f>IF(ISERROR(VLOOKUP(G1355,Keszlet!$C$5:$I$200,7,FALSE))=TRUE,"",IF(AND(J1354&lt;&gt;"",J1356=""),VLOOKUP(G1355,Keszlet!$C$5:$I$200,7,FALSE),""))</f>
        <v/>
      </c>
      <c r="Q1355" s="1">
        <f>VLOOKUP(G1355,Keszlet!$C$5:$E$205,3,FALSE)</f>
        <v>0</v>
      </c>
      <c r="T1355" s="1" t="str">
        <f t="shared" si="72"/>
        <v/>
      </c>
      <c r="U1355" s="1">
        <f t="shared" si="73"/>
        <v>0</v>
      </c>
      <c r="W1355" s="6">
        <f t="shared" si="76"/>
        <v>0</v>
      </c>
      <c r="X1355" s="6">
        <f t="shared" si="68"/>
        <v>0</v>
      </c>
      <c r="Y1355" s="1">
        <f t="shared" si="74"/>
        <v>1</v>
      </c>
      <c r="Z1355" s="1">
        <f>IF(COUNTIF($Y$6:Y1355,Y1355)=1,Y1355,Y1355+COUNTIF($Y$5:Y1354,Y1355))</f>
        <v>350</v>
      </c>
      <c r="AD1355" s="1" t="str">
        <f t="shared" si="75"/>
        <v/>
      </c>
      <c r="BA1355" s="1">
        <f>IF(W1355&lt;=Leltar_iv!$Y$1,I1355,0)</f>
        <v>0</v>
      </c>
    </row>
    <row r="1356" spans="1:53" s="1" customFormat="1" x14ac:dyDescent="0.25">
      <c r="A1356" s="18">
        <f>IF(COUNTIF($Y$6:Y1356,Y1356)=1,Y1356,Y1356+COUNTIF($Y$5:Y1355,Y1356))</f>
        <v>351</v>
      </c>
      <c r="B1356" s="1">
        <f>IF(AND(Kisero_iv!$N$2=C1356,Kisero_iv!$K$5=$B$3,SUM(I1356:L1360)&lt;&gt;0,$B$4=YEAR(W1356)),B1355+1,0)</f>
        <v>0</v>
      </c>
      <c r="C1356" s="1">
        <f t="shared" si="69"/>
        <v>351</v>
      </c>
      <c r="D1356" s="102" t="str">
        <f t="shared" si="70"/>
        <v/>
      </c>
      <c r="E1356" s="44"/>
      <c r="F1356" s="45"/>
      <c r="G1356" s="45"/>
      <c r="H1356" s="45"/>
      <c r="I1356" s="46"/>
      <c r="J1356" s="111" t="str">
        <f>IF(AND(G1356&lt;&gt;"",ISERROR(VLOOKUP(G1356,Keszlet!$C$5:$H$200,6,FALSE))=FALSE),VLOOKUP(G1356,Keszlet!$C$5:$H$200,6,FALSE),"")</f>
        <v/>
      </c>
      <c r="K1356" s="106" t="str">
        <f>IF(AND(G1356&lt;&gt;"",ISERROR(VLOOKUP(G1356,Keszlet!$C$5:$G$200,5,FALSE))=FALSE),VLOOKUP(G1356,Keszlet!$C$5:$G$200,5,FALSE),"")</f>
        <v/>
      </c>
      <c r="L1356" s="106" t="str">
        <f t="shared" si="71"/>
        <v/>
      </c>
      <c r="M1356" s="115" t="str">
        <f>IF(ISERROR(VLOOKUP(G1356,Keszlet!$C$5:$I$200,7,FALSE))=TRUE,"",IF(AND(J1355&lt;&gt;"",J1357=""),VLOOKUP(G1356,Keszlet!$C$5:$I$200,7,FALSE),""))</f>
        <v/>
      </c>
      <c r="Q1356" s="1">
        <f>VLOOKUP(G1356,Keszlet!$C$5:$E$205,3,FALSE)</f>
        <v>0</v>
      </c>
      <c r="T1356" s="1" t="str">
        <f t="shared" si="72"/>
        <v/>
      </c>
      <c r="U1356" s="1">
        <f t="shared" si="73"/>
        <v>0</v>
      </c>
      <c r="W1356" s="6">
        <f t="shared" si="76"/>
        <v>0</v>
      </c>
      <c r="X1356" s="6">
        <f t="shared" si="68"/>
        <v>0</v>
      </c>
      <c r="Y1356" s="1">
        <f t="shared" si="74"/>
        <v>1</v>
      </c>
      <c r="Z1356" s="1">
        <f>IF(COUNTIF($Y$6:Y1356,Y1356)=1,Y1356,Y1356+COUNTIF($Y$5:Y1355,Y1356))</f>
        <v>351</v>
      </c>
      <c r="AD1356" s="1" t="str">
        <f t="shared" si="75"/>
        <v/>
      </c>
      <c r="BA1356" s="1">
        <f>IF(W1356&lt;=Leltar_iv!$Y$1,I1356,0)</f>
        <v>0</v>
      </c>
    </row>
    <row r="1357" spans="1:53" s="1" customFormat="1" x14ac:dyDescent="0.25">
      <c r="A1357" s="18">
        <f>IF(COUNTIF($Y$6:Y1357,Y1357)=1,Y1357,Y1357+COUNTIF($Y$5:Y1356,Y1357))</f>
        <v>352</v>
      </c>
      <c r="B1357" s="1">
        <f>IF(AND(Kisero_iv!$N$2=C1357,Kisero_iv!$K$5=$B$3,SUM(I1357:L1361)&lt;&gt;0,$B$4=YEAR(W1357)),B1356+1,0)</f>
        <v>0</v>
      </c>
      <c r="C1357" s="1">
        <f t="shared" si="69"/>
        <v>352</v>
      </c>
      <c r="D1357" s="102" t="str">
        <f t="shared" si="70"/>
        <v/>
      </c>
      <c r="E1357" s="44"/>
      <c r="F1357" s="45"/>
      <c r="G1357" s="45"/>
      <c r="H1357" s="45"/>
      <c r="I1357" s="46"/>
      <c r="J1357" s="111" t="str">
        <f>IF(AND(G1357&lt;&gt;"",ISERROR(VLOOKUP(G1357,Keszlet!$C$5:$H$200,6,FALSE))=FALSE),VLOOKUP(G1357,Keszlet!$C$5:$H$200,6,FALSE),"")</f>
        <v/>
      </c>
      <c r="K1357" s="106" t="str">
        <f>IF(AND(G1357&lt;&gt;"",ISERROR(VLOOKUP(G1357,Keszlet!$C$5:$G$200,5,FALSE))=FALSE),VLOOKUP(G1357,Keszlet!$C$5:$G$200,5,FALSE),"")</f>
        <v/>
      </c>
      <c r="L1357" s="106" t="str">
        <f t="shared" si="71"/>
        <v/>
      </c>
      <c r="M1357" s="115" t="str">
        <f>IF(ISERROR(VLOOKUP(G1357,Keszlet!$C$5:$I$200,7,FALSE))=TRUE,"",IF(AND(J1356&lt;&gt;"",J1358=""),VLOOKUP(G1357,Keszlet!$C$5:$I$200,7,FALSE),""))</f>
        <v/>
      </c>
      <c r="Q1357" s="1">
        <f>VLOOKUP(G1357,Keszlet!$C$5:$E$205,3,FALSE)</f>
        <v>0</v>
      </c>
      <c r="T1357" s="1" t="str">
        <f t="shared" si="72"/>
        <v/>
      </c>
      <c r="U1357" s="1">
        <f t="shared" si="73"/>
        <v>0</v>
      </c>
      <c r="W1357" s="6">
        <f t="shared" si="76"/>
        <v>0</v>
      </c>
      <c r="X1357" s="6">
        <f t="shared" si="68"/>
        <v>0</v>
      </c>
      <c r="Y1357" s="1">
        <f t="shared" si="74"/>
        <v>1</v>
      </c>
      <c r="Z1357" s="1">
        <f>IF(COUNTIF($Y$6:Y1357,Y1357)=1,Y1357,Y1357+COUNTIF($Y$5:Y1356,Y1357))</f>
        <v>352</v>
      </c>
      <c r="AD1357" s="1" t="str">
        <f t="shared" si="75"/>
        <v/>
      </c>
      <c r="BA1357" s="1">
        <f>IF(W1357&lt;=Leltar_iv!$Y$1,I1357,0)</f>
        <v>0</v>
      </c>
    </row>
    <row r="1358" spans="1:53" s="1" customFormat="1" x14ac:dyDescent="0.25">
      <c r="A1358" s="18">
        <f>IF(COUNTIF($Y$6:Y1358,Y1358)=1,Y1358,Y1358+COUNTIF($Y$5:Y1357,Y1358))</f>
        <v>353</v>
      </c>
      <c r="B1358" s="1">
        <f>IF(AND(Kisero_iv!$N$2=C1358,Kisero_iv!$K$5=$B$3,SUM(I1358:L1362)&lt;&gt;0,$B$4=YEAR(W1358)),B1357+1,0)</f>
        <v>0</v>
      </c>
      <c r="C1358" s="1">
        <f t="shared" si="69"/>
        <v>353</v>
      </c>
      <c r="D1358" s="102" t="str">
        <f t="shared" si="70"/>
        <v/>
      </c>
      <c r="E1358" s="44"/>
      <c r="F1358" s="45"/>
      <c r="G1358" s="45"/>
      <c r="H1358" s="45"/>
      <c r="I1358" s="46"/>
      <c r="J1358" s="111" t="str">
        <f>IF(AND(G1358&lt;&gt;"",ISERROR(VLOOKUP(G1358,Keszlet!$C$5:$H$200,6,FALSE))=FALSE),VLOOKUP(G1358,Keszlet!$C$5:$H$200,6,FALSE),"")</f>
        <v/>
      </c>
      <c r="K1358" s="106" t="str">
        <f>IF(AND(G1358&lt;&gt;"",ISERROR(VLOOKUP(G1358,Keszlet!$C$5:$G$200,5,FALSE))=FALSE),VLOOKUP(G1358,Keszlet!$C$5:$G$200,5,FALSE),"")</f>
        <v/>
      </c>
      <c r="L1358" s="106" t="str">
        <f t="shared" si="71"/>
        <v/>
      </c>
      <c r="M1358" s="115" t="str">
        <f>IF(ISERROR(VLOOKUP(G1358,Keszlet!$C$5:$I$200,7,FALSE))=TRUE,"",IF(AND(J1357&lt;&gt;"",J1359=""),VLOOKUP(G1358,Keszlet!$C$5:$I$200,7,FALSE),""))</f>
        <v/>
      </c>
      <c r="Q1358" s="1">
        <f>VLOOKUP(G1358,Keszlet!$C$5:$E$205,3,FALSE)</f>
        <v>0</v>
      </c>
      <c r="T1358" s="1" t="str">
        <f t="shared" si="72"/>
        <v/>
      </c>
      <c r="U1358" s="1">
        <f t="shared" si="73"/>
        <v>0</v>
      </c>
      <c r="W1358" s="6">
        <f t="shared" si="76"/>
        <v>0</v>
      </c>
      <c r="X1358" s="6">
        <f t="shared" si="68"/>
        <v>0</v>
      </c>
      <c r="Y1358" s="1">
        <f t="shared" si="74"/>
        <v>1</v>
      </c>
      <c r="Z1358" s="1">
        <f>IF(COUNTIF($Y$6:Y1358,Y1358)=1,Y1358,Y1358+COUNTIF($Y$5:Y1357,Y1358))</f>
        <v>353</v>
      </c>
      <c r="AD1358" s="1" t="str">
        <f t="shared" si="75"/>
        <v/>
      </c>
      <c r="BA1358" s="1">
        <f>IF(W1358&lt;=Leltar_iv!$Y$1,I1358,0)</f>
        <v>0</v>
      </c>
    </row>
    <row r="1359" spans="1:53" s="1" customFormat="1" x14ac:dyDescent="0.25">
      <c r="A1359" s="18">
        <f>IF(COUNTIF($Y$6:Y1359,Y1359)=1,Y1359,Y1359+COUNTIF($Y$5:Y1358,Y1359))</f>
        <v>354</v>
      </c>
      <c r="B1359" s="1">
        <f>IF(AND(Kisero_iv!$N$2=C1359,Kisero_iv!$K$5=$B$3,SUM(I1359:L1363)&lt;&gt;0,$B$4=YEAR(W1359)),B1358+1,0)</f>
        <v>0</v>
      </c>
      <c r="C1359" s="1">
        <f t="shared" si="69"/>
        <v>354</v>
      </c>
      <c r="D1359" s="102" t="str">
        <f t="shared" si="70"/>
        <v/>
      </c>
      <c r="E1359" s="44"/>
      <c r="F1359" s="45"/>
      <c r="G1359" s="45"/>
      <c r="H1359" s="45"/>
      <c r="I1359" s="46"/>
      <c r="J1359" s="111" t="str">
        <f>IF(AND(G1359&lt;&gt;"",ISERROR(VLOOKUP(G1359,Keszlet!$C$5:$H$200,6,FALSE))=FALSE),VLOOKUP(G1359,Keszlet!$C$5:$H$200,6,FALSE),"")</f>
        <v/>
      </c>
      <c r="K1359" s="106" t="str">
        <f>IF(AND(G1359&lt;&gt;"",ISERROR(VLOOKUP(G1359,Keszlet!$C$5:$G$200,5,FALSE))=FALSE),VLOOKUP(G1359,Keszlet!$C$5:$G$200,5,FALSE),"")</f>
        <v/>
      </c>
      <c r="L1359" s="106" t="str">
        <f t="shared" si="71"/>
        <v/>
      </c>
      <c r="M1359" s="115" t="str">
        <f>IF(ISERROR(VLOOKUP(G1359,Keszlet!$C$5:$I$200,7,FALSE))=TRUE,"",IF(AND(J1358&lt;&gt;"",J1360=""),VLOOKUP(G1359,Keszlet!$C$5:$I$200,7,FALSE),""))</f>
        <v/>
      </c>
      <c r="Q1359" s="1">
        <f>VLOOKUP(G1359,Keszlet!$C$5:$E$205,3,FALSE)</f>
        <v>0</v>
      </c>
      <c r="T1359" s="1" t="str">
        <f t="shared" si="72"/>
        <v/>
      </c>
      <c r="U1359" s="1">
        <f t="shared" si="73"/>
        <v>0</v>
      </c>
      <c r="W1359" s="6">
        <f t="shared" si="76"/>
        <v>0</v>
      </c>
      <c r="X1359" s="6">
        <f t="shared" si="68"/>
        <v>0</v>
      </c>
      <c r="Y1359" s="1">
        <f t="shared" si="74"/>
        <v>1</v>
      </c>
      <c r="Z1359" s="1">
        <f>IF(COUNTIF($Y$6:Y1359,Y1359)=1,Y1359,Y1359+COUNTIF($Y$5:Y1358,Y1359))</f>
        <v>354</v>
      </c>
      <c r="AD1359" s="1" t="str">
        <f t="shared" si="75"/>
        <v/>
      </c>
      <c r="BA1359" s="1">
        <f>IF(W1359&lt;=Leltar_iv!$Y$1,I1359,0)</f>
        <v>0</v>
      </c>
    </row>
    <row r="1360" spans="1:53" s="1" customFormat="1" x14ac:dyDescent="0.25">
      <c r="A1360" s="18">
        <f>IF(COUNTIF($Y$6:Y1360,Y1360)=1,Y1360,Y1360+COUNTIF($Y$5:Y1359,Y1360))</f>
        <v>355</v>
      </c>
      <c r="B1360" s="1">
        <f>IF(AND(Kisero_iv!$N$2=C1360,Kisero_iv!$K$5=$B$3,SUM(I1360:L1364)&lt;&gt;0,$B$4=YEAR(W1360)),B1359+1,0)</f>
        <v>0</v>
      </c>
      <c r="C1360" s="1">
        <f t="shared" si="69"/>
        <v>355</v>
      </c>
      <c r="D1360" s="102" t="str">
        <f t="shared" si="70"/>
        <v/>
      </c>
      <c r="E1360" s="44"/>
      <c r="F1360" s="45"/>
      <c r="G1360" s="45"/>
      <c r="H1360" s="45"/>
      <c r="I1360" s="46"/>
      <c r="J1360" s="111" t="str">
        <f>IF(AND(G1360&lt;&gt;"",ISERROR(VLOOKUP(G1360,Keszlet!$C$5:$H$200,6,FALSE))=FALSE),VLOOKUP(G1360,Keszlet!$C$5:$H$200,6,FALSE),"")</f>
        <v/>
      </c>
      <c r="K1360" s="106" t="str">
        <f>IF(AND(G1360&lt;&gt;"",ISERROR(VLOOKUP(G1360,Keszlet!$C$5:$G$200,5,FALSE))=FALSE),VLOOKUP(G1360,Keszlet!$C$5:$G$200,5,FALSE),"")</f>
        <v/>
      </c>
      <c r="L1360" s="106" t="str">
        <f t="shared" si="71"/>
        <v/>
      </c>
      <c r="M1360" s="115" t="str">
        <f>IF(ISERROR(VLOOKUP(G1360,Keszlet!$C$5:$I$200,7,FALSE))=TRUE,"",IF(AND(J1359&lt;&gt;"",J1361=""),VLOOKUP(G1360,Keszlet!$C$5:$I$200,7,FALSE),""))</f>
        <v/>
      </c>
      <c r="Q1360" s="1">
        <f>VLOOKUP(G1360,Keszlet!$C$5:$E$205,3,FALSE)</f>
        <v>0</v>
      </c>
      <c r="T1360" s="1" t="str">
        <f t="shared" si="72"/>
        <v/>
      </c>
      <c r="U1360" s="1">
        <f t="shared" si="73"/>
        <v>0</v>
      </c>
      <c r="W1360" s="6">
        <f t="shared" si="76"/>
        <v>0</v>
      </c>
      <c r="X1360" s="6">
        <f t="shared" si="68"/>
        <v>0</v>
      </c>
      <c r="Y1360" s="1">
        <f t="shared" si="74"/>
        <v>1</v>
      </c>
      <c r="Z1360" s="1">
        <f>IF(COUNTIF($Y$6:Y1360,Y1360)=1,Y1360,Y1360+COUNTIF($Y$5:Y1359,Y1360))</f>
        <v>355</v>
      </c>
      <c r="AD1360" s="1" t="str">
        <f t="shared" si="75"/>
        <v/>
      </c>
      <c r="BA1360" s="1">
        <f>IF(W1360&lt;=Leltar_iv!$Y$1,I1360,0)</f>
        <v>0</v>
      </c>
    </row>
    <row r="1361" spans="1:53" s="1" customFormat="1" x14ac:dyDescent="0.25">
      <c r="A1361" s="18">
        <f>IF(COUNTIF($Y$6:Y1361,Y1361)=1,Y1361,Y1361+COUNTIF($Y$5:Y1360,Y1361))</f>
        <v>356</v>
      </c>
      <c r="B1361" s="1">
        <f>IF(AND(Kisero_iv!$N$2=C1361,Kisero_iv!$K$5=$B$3,SUM(I1361:L1365)&lt;&gt;0,$B$4=YEAR(W1361)),B1360+1,0)</f>
        <v>0</v>
      </c>
      <c r="C1361" s="1">
        <f t="shared" si="69"/>
        <v>356</v>
      </c>
      <c r="D1361" s="102" t="str">
        <f t="shared" si="70"/>
        <v/>
      </c>
      <c r="E1361" s="44"/>
      <c r="F1361" s="45"/>
      <c r="G1361" s="45"/>
      <c r="H1361" s="45"/>
      <c r="I1361" s="46"/>
      <c r="J1361" s="111" t="str">
        <f>IF(AND(G1361&lt;&gt;"",ISERROR(VLOOKUP(G1361,Keszlet!$C$5:$H$200,6,FALSE))=FALSE),VLOOKUP(G1361,Keszlet!$C$5:$H$200,6,FALSE),"")</f>
        <v/>
      </c>
      <c r="K1361" s="106" t="str">
        <f>IF(AND(G1361&lt;&gt;"",ISERROR(VLOOKUP(G1361,Keszlet!$C$5:$G$200,5,FALSE))=FALSE),VLOOKUP(G1361,Keszlet!$C$5:$G$200,5,FALSE),"")</f>
        <v/>
      </c>
      <c r="L1361" s="106" t="str">
        <f t="shared" si="71"/>
        <v/>
      </c>
      <c r="M1361" s="115" t="str">
        <f>IF(ISERROR(VLOOKUP(G1361,Keszlet!$C$5:$I$200,7,FALSE))=TRUE,"",IF(AND(J1360&lt;&gt;"",J1362=""),VLOOKUP(G1361,Keszlet!$C$5:$I$200,7,FALSE),""))</f>
        <v/>
      </c>
      <c r="Q1361" s="1">
        <f>VLOOKUP(G1361,Keszlet!$C$5:$E$205,3,FALSE)</f>
        <v>0</v>
      </c>
      <c r="T1361" s="1" t="str">
        <f t="shared" si="72"/>
        <v/>
      </c>
      <c r="U1361" s="1">
        <f t="shared" si="73"/>
        <v>0</v>
      </c>
      <c r="W1361" s="6">
        <f t="shared" si="76"/>
        <v>0</v>
      </c>
      <c r="X1361" s="6">
        <f t="shared" si="68"/>
        <v>0</v>
      </c>
      <c r="Y1361" s="1">
        <f t="shared" si="74"/>
        <v>1</v>
      </c>
      <c r="Z1361" s="1">
        <f>IF(COUNTIF($Y$6:Y1361,Y1361)=1,Y1361,Y1361+COUNTIF($Y$5:Y1360,Y1361))</f>
        <v>356</v>
      </c>
      <c r="AD1361" s="1" t="str">
        <f t="shared" si="75"/>
        <v/>
      </c>
      <c r="BA1361" s="1">
        <f>IF(W1361&lt;=Leltar_iv!$Y$1,I1361,0)</f>
        <v>0</v>
      </c>
    </row>
    <row r="1362" spans="1:53" s="1" customFormat="1" x14ac:dyDescent="0.25">
      <c r="A1362" s="18">
        <f>IF(COUNTIF($Y$6:Y1362,Y1362)=1,Y1362,Y1362+COUNTIF($Y$5:Y1361,Y1362))</f>
        <v>357</v>
      </c>
      <c r="B1362" s="1">
        <f>IF(AND(Kisero_iv!$N$2=C1362,Kisero_iv!$K$5=$B$3,SUM(I1362:L1366)&lt;&gt;0,$B$4=YEAR(W1362)),B1361+1,0)</f>
        <v>0</v>
      </c>
      <c r="C1362" s="1">
        <f t="shared" si="69"/>
        <v>357</v>
      </c>
      <c r="D1362" s="102" t="str">
        <f t="shared" si="70"/>
        <v/>
      </c>
      <c r="E1362" s="44"/>
      <c r="F1362" s="45"/>
      <c r="G1362" s="45"/>
      <c r="H1362" s="45"/>
      <c r="I1362" s="46"/>
      <c r="J1362" s="111" t="str">
        <f>IF(AND(G1362&lt;&gt;"",ISERROR(VLOOKUP(G1362,Keszlet!$C$5:$H$200,6,FALSE))=FALSE),VLOOKUP(G1362,Keszlet!$C$5:$H$200,6,FALSE),"")</f>
        <v/>
      </c>
      <c r="K1362" s="106" t="str">
        <f>IF(AND(G1362&lt;&gt;"",ISERROR(VLOOKUP(G1362,Keszlet!$C$5:$G$200,5,FALSE))=FALSE),VLOOKUP(G1362,Keszlet!$C$5:$G$200,5,FALSE),"")</f>
        <v/>
      </c>
      <c r="L1362" s="106" t="str">
        <f t="shared" si="71"/>
        <v/>
      </c>
      <c r="M1362" s="115" t="str">
        <f>IF(ISERROR(VLOOKUP(G1362,Keszlet!$C$5:$I$200,7,FALSE))=TRUE,"",IF(AND(J1361&lt;&gt;"",J1363=""),VLOOKUP(G1362,Keszlet!$C$5:$I$200,7,FALSE),""))</f>
        <v/>
      </c>
      <c r="Q1362" s="1">
        <f>VLOOKUP(G1362,Keszlet!$C$5:$E$205,3,FALSE)</f>
        <v>0</v>
      </c>
      <c r="T1362" s="1" t="str">
        <f t="shared" si="72"/>
        <v/>
      </c>
      <c r="U1362" s="1">
        <f t="shared" si="73"/>
        <v>0</v>
      </c>
      <c r="W1362" s="6">
        <f t="shared" si="76"/>
        <v>0</v>
      </c>
      <c r="X1362" s="6">
        <f t="shared" si="68"/>
        <v>0</v>
      </c>
      <c r="Y1362" s="1">
        <f t="shared" si="74"/>
        <v>1</v>
      </c>
      <c r="Z1362" s="1">
        <f>IF(COUNTIF($Y$6:Y1362,Y1362)=1,Y1362,Y1362+COUNTIF($Y$5:Y1361,Y1362))</f>
        <v>357</v>
      </c>
      <c r="AD1362" s="1" t="str">
        <f t="shared" si="75"/>
        <v/>
      </c>
      <c r="BA1362" s="1">
        <f>IF(W1362&lt;=Leltar_iv!$Y$1,I1362,0)</f>
        <v>0</v>
      </c>
    </row>
    <row r="1363" spans="1:53" s="1" customFormat="1" x14ac:dyDescent="0.25">
      <c r="A1363" s="18">
        <f>IF(COUNTIF($Y$6:Y1363,Y1363)=1,Y1363,Y1363+COUNTIF($Y$5:Y1362,Y1363))</f>
        <v>358</v>
      </c>
      <c r="B1363" s="1">
        <f>IF(AND(Kisero_iv!$N$2=C1363,Kisero_iv!$K$5=$B$3,SUM(I1363:L1367)&lt;&gt;0,$B$4=YEAR(W1363)),B1362+1,0)</f>
        <v>0</v>
      </c>
      <c r="C1363" s="1">
        <f t="shared" si="69"/>
        <v>358</v>
      </c>
      <c r="D1363" s="102" t="str">
        <f t="shared" si="70"/>
        <v/>
      </c>
      <c r="E1363" s="44"/>
      <c r="F1363" s="45"/>
      <c r="G1363" s="45"/>
      <c r="H1363" s="45"/>
      <c r="I1363" s="46"/>
      <c r="J1363" s="111" t="str">
        <f>IF(AND(G1363&lt;&gt;"",ISERROR(VLOOKUP(G1363,Keszlet!$C$5:$H$200,6,FALSE))=FALSE),VLOOKUP(G1363,Keszlet!$C$5:$H$200,6,FALSE),"")</f>
        <v/>
      </c>
      <c r="K1363" s="106" t="str">
        <f>IF(AND(G1363&lt;&gt;"",ISERROR(VLOOKUP(G1363,Keszlet!$C$5:$G$200,5,FALSE))=FALSE),VLOOKUP(G1363,Keszlet!$C$5:$G$200,5,FALSE),"")</f>
        <v/>
      </c>
      <c r="L1363" s="106" t="str">
        <f t="shared" si="71"/>
        <v/>
      </c>
      <c r="M1363" s="115" t="str">
        <f>IF(ISERROR(VLOOKUP(G1363,Keszlet!$C$5:$I$200,7,FALSE))=TRUE,"",IF(AND(J1362&lt;&gt;"",J1364=""),VLOOKUP(G1363,Keszlet!$C$5:$I$200,7,FALSE),""))</f>
        <v/>
      </c>
      <c r="Q1363" s="1">
        <f>VLOOKUP(G1363,Keszlet!$C$5:$E$205,3,FALSE)</f>
        <v>0</v>
      </c>
      <c r="T1363" s="1" t="str">
        <f t="shared" si="72"/>
        <v/>
      </c>
      <c r="U1363" s="1">
        <f t="shared" si="73"/>
        <v>0</v>
      </c>
      <c r="W1363" s="6">
        <f t="shared" si="76"/>
        <v>0</v>
      </c>
      <c r="X1363" s="6">
        <f t="shared" si="68"/>
        <v>0</v>
      </c>
      <c r="Y1363" s="1">
        <f t="shared" si="74"/>
        <v>1</v>
      </c>
      <c r="Z1363" s="1">
        <f>IF(COUNTIF($Y$6:Y1363,Y1363)=1,Y1363,Y1363+COUNTIF($Y$5:Y1362,Y1363))</f>
        <v>358</v>
      </c>
      <c r="AD1363" s="1" t="str">
        <f t="shared" si="75"/>
        <v/>
      </c>
      <c r="BA1363" s="1">
        <f>IF(W1363&lt;=Leltar_iv!$Y$1,I1363,0)</f>
        <v>0</v>
      </c>
    </row>
    <row r="1364" spans="1:53" s="1" customFormat="1" x14ac:dyDescent="0.25">
      <c r="A1364" s="18">
        <f>IF(COUNTIF($Y$6:Y1364,Y1364)=1,Y1364,Y1364+COUNTIF($Y$5:Y1363,Y1364))</f>
        <v>359</v>
      </c>
      <c r="B1364" s="1">
        <f>IF(AND(Kisero_iv!$N$2=C1364,Kisero_iv!$K$5=$B$3,SUM(I1364:L1368)&lt;&gt;0,$B$4=YEAR(W1364)),B1363+1,0)</f>
        <v>0</v>
      </c>
      <c r="C1364" s="1">
        <f t="shared" si="69"/>
        <v>359</v>
      </c>
      <c r="D1364" s="102" t="str">
        <f t="shared" si="70"/>
        <v/>
      </c>
      <c r="E1364" s="44"/>
      <c r="F1364" s="45"/>
      <c r="G1364" s="45"/>
      <c r="H1364" s="45"/>
      <c r="I1364" s="46"/>
      <c r="J1364" s="111" t="str">
        <f>IF(AND(G1364&lt;&gt;"",ISERROR(VLOOKUP(G1364,Keszlet!$C$5:$H$200,6,FALSE))=FALSE),VLOOKUP(G1364,Keszlet!$C$5:$H$200,6,FALSE),"")</f>
        <v/>
      </c>
      <c r="K1364" s="106" t="str">
        <f>IF(AND(G1364&lt;&gt;"",ISERROR(VLOOKUP(G1364,Keszlet!$C$5:$G$200,5,FALSE))=FALSE),VLOOKUP(G1364,Keszlet!$C$5:$G$200,5,FALSE),"")</f>
        <v/>
      </c>
      <c r="L1364" s="106" t="str">
        <f t="shared" si="71"/>
        <v/>
      </c>
      <c r="M1364" s="115" t="str">
        <f>IF(ISERROR(VLOOKUP(G1364,Keszlet!$C$5:$I$200,7,FALSE))=TRUE,"",IF(AND(J1363&lt;&gt;"",J1365=""),VLOOKUP(G1364,Keszlet!$C$5:$I$200,7,FALSE),""))</f>
        <v/>
      </c>
      <c r="Q1364" s="1">
        <f>VLOOKUP(G1364,Keszlet!$C$5:$E$205,3,FALSE)</f>
        <v>0</v>
      </c>
      <c r="T1364" s="1" t="str">
        <f t="shared" si="72"/>
        <v/>
      </c>
      <c r="U1364" s="1">
        <f t="shared" si="73"/>
        <v>0</v>
      </c>
      <c r="W1364" s="6">
        <f t="shared" si="76"/>
        <v>0</v>
      </c>
      <c r="X1364" s="6">
        <f t="shared" si="68"/>
        <v>0</v>
      </c>
      <c r="Y1364" s="1">
        <f t="shared" si="74"/>
        <v>1</v>
      </c>
      <c r="Z1364" s="1">
        <f>IF(COUNTIF($Y$6:Y1364,Y1364)=1,Y1364,Y1364+COUNTIF($Y$5:Y1363,Y1364))</f>
        <v>359</v>
      </c>
      <c r="AD1364" s="1" t="str">
        <f t="shared" si="75"/>
        <v/>
      </c>
      <c r="BA1364" s="1">
        <f>IF(W1364&lt;=Leltar_iv!$Y$1,I1364,0)</f>
        <v>0</v>
      </c>
    </row>
    <row r="1365" spans="1:53" s="1" customFormat="1" x14ac:dyDescent="0.25">
      <c r="A1365" s="18">
        <f>IF(COUNTIF($Y$6:Y1365,Y1365)=1,Y1365,Y1365+COUNTIF($Y$5:Y1364,Y1365))</f>
        <v>360</v>
      </c>
      <c r="B1365" s="1">
        <f>IF(AND(Kisero_iv!$N$2=C1365,Kisero_iv!$K$5=$B$3,SUM(I1365:L1369)&lt;&gt;0,$B$4=YEAR(W1365)),B1364+1,0)</f>
        <v>0</v>
      </c>
      <c r="C1365" s="1">
        <f t="shared" si="69"/>
        <v>360</v>
      </c>
      <c r="D1365" s="102" t="str">
        <f t="shared" si="70"/>
        <v/>
      </c>
      <c r="E1365" s="44"/>
      <c r="F1365" s="45"/>
      <c r="G1365" s="45"/>
      <c r="H1365" s="45"/>
      <c r="I1365" s="46"/>
      <c r="J1365" s="111" t="str">
        <f>IF(AND(G1365&lt;&gt;"",ISERROR(VLOOKUP(G1365,Keszlet!$C$5:$H$200,6,FALSE))=FALSE),VLOOKUP(G1365,Keszlet!$C$5:$H$200,6,FALSE),"")</f>
        <v/>
      </c>
      <c r="K1365" s="106" t="str">
        <f>IF(AND(G1365&lt;&gt;"",ISERROR(VLOOKUP(G1365,Keszlet!$C$5:$G$200,5,FALSE))=FALSE),VLOOKUP(G1365,Keszlet!$C$5:$G$200,5,FALSE),"")</f>
        <v/>
      </c>
      <c r="L1365" s="106" t="str">
        <f t="shared" si="71"/>
        <v/>
      </c>
      <c r="M1365" s="115" t="str">
        <f>IF(ISERROR(VLOOKUP(G1365,Keszlet!$C$5:$I$200,7,FALSE))=TRUE,"",IF(AND(J1364&lt;&gt;"",J1366=""),VLOOKUP(G1365,Keszlet!$C$5:$I$200,7,FALSE),""))</f>
        <v/>
      </c>
      <c r="Q1365" s="1">
        <f>VLOOKUP(G1365,Keszlet!$C$5:$E$205,3,FALSE)</f>
        <v>0</v>
      </c>
      <c r="T1365" s="1" t="str">
        <f t="shared" si="72"/>
        <v/>
      </c>
      <c r="U1365" s="1">
        <f t="shared" si="73"/>
        <v>0</v>
      </c>
      <c r="W1365" s="6">
        <f t="shared" si="76"/>
        <v>0</v>
      </c>
      <c r="X1365" s="6">
        <f t="shared" si="68"/>
        <v>0</v>
      </c>
      <c r="Y1365" s="1">
        <f t="shared" si="74"/>
        <v>1</v>
      </c>
      <c r="Z1365" s="1">
        <f>IF(COUNTIF($Y$6:Y1365,Y1365)=1,Y1365,Y1365+COUNTIF($Y$5:Y1364,Y1365))</f>
        <v>360</v>
      </c>
      <c r="AD1365" s="1" t="str">
        <f t="shared" si="75"/>
        <v/>
      </c>
      <c r="BA1365" s="1">
        <f>IF(W1365&lt;=Leltar_iv!$Y$1,I1365,0)</f>
        <v>0</v>
      </c>
    </row>
    <row r="1366" spans="1:53" s="1" customFormat="1" x14ac:dyDescent="0.25">
      <c r="A1366" s="18">
        <f>IF(COUNTIF($Y$6:Y1366,Y1366)=1,Y1366,Y1366+COUNTIF($Y$5:Y1365,Y1366))</f>
        <v>361</v>
      </c>
      <c r="B1366" s="1">
        <f>IF(AND(Kisero_iv!$N$2=C1366,Kisero_iv!$K$5=$B$3,SUM(I1366:L1370)&lt;&gt;0,$B$4=YEAR(W1366)),B1365+1,0)</f>
        <v>0</v>
      </c>
      <c r="C1366" s="1">
        <f t="shared" si="69"/>
        <v>361</v>
      </c>
      <c r="D1366" s="102" t="str">
        <f t="shared" si="70"/>
        <v/>
      </c>
      <c r="E1366" s="44"/>
      <c r="F1366" s="45"/>
      <c r="G1366" s="45"/>
      <c r="H1366" s="45"/>
      <c r="I1366" s="46"/>
      <c r="J1366" s="111" t="str">
        <f>IF(AND(G1366&lt;&gt;"",ISERROR(VLOOKUP(G1366,Keszlet!$C$5:$H$200,6,FALSE))=FALSE),VLOOKUP(G1366,Keszlet!$C$5:$H$200,6,FALSE),"")</f>
        <v/>
      </c>
      <c r="K1366" s="106" t="str">
        <f>IF(AND(G1366&lt;&gt;"",ISERROR(VLOOKUP(G1366,Keszlet!$C$5:$G$200,5,FALSE))=FALSE),VLOOKUP(G1366,Keszlet!$C$5:$G$200,5,FALSE),"")</f>
        <v/>
      </c>
      <c r="L1366" s="106" t="str">
        <f t="shared" si="71"/>
        <v/>
      </c>
      <c r="M1366" s="115" t="str">
        <f>IF(ISERROR(VLOOKUP(G1366,Keszlet!$C$5:$I$200,7,FALSE))=TRUE,"",IF(AND(J1365&lt;&gt;"",J1367=""),VLOOKUP(G1366,Keszlet!$C$5:$I$200,7,FALSE),""))</f>
        <v/>
      </c>
      <c r="Q1366" s="1">
        <f>VLOOKUP(G1366,Keszlet!$C$5:$E$205,3,FALSE)</f>
        <v>0</v>
      </c>
      <c r="T1366" s="1" t="str">
        <f t="shared" si="72"/>
        <v/>
      </c>
      <c r="U1366" s="1">
        <f t="shared" si="73"/>
        <v>0</v>
      </c>
      <c r="W1366" s="6">
        <f t="shared" si="76"/>
        <v>0</v>
      </c>
      <c r="X1366" s="6">
        <f t="shared" si="68"/>
        <v>0</v>
      </c>
      <c r="Y1366" s="1">
        <f t="shared" si="74"/>
        <v>1</v>
      </c>
      <c r="Z1366" s="1">
        <f>IF(COUNTIF($Y$6:Y1366,Y1366)=1,Y1366,Y1366+COUNTIF($Y$5:Y1365,Y1366))</f>
        <v>361</v>
      </c>
      <c r="AD1366" s="1" t="str">
        <f t="shared" si="75"/>
        <v/>
      </c>
      <c r="BA1366" s="1">
        <f>IF(W1366&lt;=Leltar_iv!$Y$1,I1366,0)</f>
        <v>0</v>
      </c>
    </row>
    <row r="1367" spans="1:53" s="1" customFormat="1" x14ac:dyDescent="0.25">
      <c r="A1367" s="18">
        <f>IF(COUNTIF($Y$6:Y1367,Y1367)=1,Y1367,Y1367+COUNTIF($Y$5:Y1366,Y1367))</f>
        <v>362</v>
      </c>
      <c r="B1367" s="1">
        <f>IF(AND(Kisero_iv!$N$2=C1367,Kisero_iv!$K$5=$B$3,SUM(I1367:L1371)&lt;&gt;0,$B$4=YEAR(W1367)),B1366+1,0)</f>
        <v>0</v>
      </c>
      <c r="C1367" s="1">
        <f t="shared" si="69"/>
        <v>362</v>
      </c>
      <c r="D1367" s="102" t="str">
        <f t="shared" si="70"/>
        <v/>
      </c>
      <c r="E1367" s="44"/>
      <c r="F1367" s="45"/>
      <c r="G1367" s="45"/>
      <c r="H1367" s="45"/>
      <c r="I1367" s="46"/>
      <c r="J1367" s="111" t="str">
        <f>IF(AND(G1367&lt;&gt;"",ISERROR(VLOOKUP(G1367,Keszlet!$C$5:$H$200,6,FALSE))=FALSE),VLOOKUP(G1367,Keszlet!$C$5:$H$200,6,FALSE),"")</f>
        <v/>
      </c>
      <c r="K1367" s="106" t="str">
        <f>IF(AND(G1367&lt;&gt;"",ISERROR(VLOOKUP(G1367,Keszlet!$C$5:$G$200,5,FALSE))=FALSE),VLOOKUP(G1367,Keszlet!$C$5:$G$200,5,FALSE),"")</f>
        <v/>
      </c>
      <c r="L1367" s="106" t="str">
        <f t="shared" si="71"/>
        <v/>
      </c>
      <c r="M1367" s="115" t="str">
        <f>IF(ISERROR(VLOOKUP(G1367,Keszlet!$C$5:$I$200,7,FALSE))=TRUE,"",IF(AND(J1366&lt;&gt;"",J1368=""),VLOOKUP(G1367,Keszlet!$C$5:$I$200,7,FALSE),""))</f>
        <v/>
      </c>
      <c r="Q1367" s="1">
        <f>VLOOKUP(G1367,Keszlet!$C$5:$E$205,3,FALSE)</f>
        <v>0</v>
      </c>
      <c r="T1367" s="1" t="str">
        <f t="shared" si="72"/>
        <v/>
      </c>
      <c r="U1367" s="1">
        <f t="shared" si="73"/>
        <v>0</v>
      </c>
      <c r="W1367" s="6">
        <f t="shared" si="76"/>
        <v>0</v>
      </c>
      <c r="X1367" s="6">
        <f t="shared" si="68"/>
        <v>0</v>
      </c>
      <c r="Y1367" s="1">
        <f t="shared" si="74"/>
        <v>1</v>
      </c>
      <c r="Z1367" s="1">
        <f>IF(COUNTIF($Y$6:Y1367,Y1367)=1,Y1367,Y1367+COUNTIF($Y$5:Y1366,Y1367))</f>
        <v>362</v>
      </c>
      <c r="AD1367" s="1" t="str">
        <f t="shared" si="75"/>
        <v/>
      </c>
      <c r="BA1367" s="1">
        <f>IF(W1367&lt;=Leltar_iv!$Y$1,I1367,0)</f>
        <v>0</v>
      </c>
    </row>
    <row r="1368" spans="1:53" s="1" customFormat="1" x14ac:dyDescent="0.25">
      <c r="A1368" s="18">
        <f>IF(COUNTIF($Y$6:Y1368,Y1368)=1,Y1368,Y1368+COUNTIF($Y$5:Y1367,Y1368))</f>
        <v>363</v>
      </c>
      <c r="B1368" s="1">
        <f>IF(AND(Kisero_iv!$N$2=C1368,Kisero_iv!$K$5=$B$3,SUM(I1368:L1372)&lt;&gt;0,$B$4=YEAR(W1368)),B1367+1,0)</f>
        <v>0</v>
      </c>
      <c r="C1368" s="1">
        <f t="shared" si="69"/>
        <v>363</v>
      </c>
      <c r="D1368" s="102" t="str">
        <f t="shared" si="70"/>
        <v/>
      </c>
      <c r="E1368" s="44"/>
      <c r="F1368" s="45"/>
      <c r="G1368" s="45"/>
      <c r="H1368" s="45"/>
      <c r="I1368" s="46"/>
      <c r="J1368" s="111" t="str">
        <f>IF(AND(G1368&lt;&gt;"",ISERROR(VLOOKUP(G1368,Keszlet!$C$5:$H$200,6,FALSE))=FALSE),VLOOKUP(G1368,Keszlet!$C$5:$H$200,6,FALSE),"")</f>
        <v/>
      </c>
      <c r="K1368" s="106" t="str">
        <f>IF(AND(G1368&lt;&gt;"",ISERROR(VLOOKUP(G1368,Keszlet!$C$5:$G$200,5,FALSE))=FALSE),VLOOKUP(G1368,Keszlet!$C$5:$G$200,5,FALSE),"")</f>
        <v/>
      </c>
      <c r="L1368" s="106" t="str">
        <f t="shared" si="71"/>
        <v/>
      </c>
      <c r="M1368" s="115" t="str">
        <f>IF(ISERROR(VLOOKUP(G1368,Keszlet!$C$5:$I$200,7,FALSE))=TRUE,"",IF(AND(J1367&lt;&gt;"",J1369=""),VLOOKUP(G1368,Keszlet!$C$5:$I$200,7,FALSE),""))</f>
        <v/>
      </c>
      <c r="Q1368" s="1">
        <f>VLOOKUP(G1368,Keszlet!$C$5:$E$205,3,FALSE)</f>
        <v>0</v>
      </c>
      <c r="T1368" s="1" t="str">
        <f t="shared" si="72"/>
        <v/>
      </c>
      <c r="U1368" s="1">
        <f t="shared" si="73"/>
        <v>0</v>
      </c>
      <c r="W1368" s="6">
        <f t="shared" si="76"/>
        <v>0</v>
      </c>
      <c r="X1368" s="6">
        <f t="shared" si="68"/>
        <v>0</v>
      </c>
      <c r="Y1368" s="1">
        <f t="shared" si="74"/>
        <v>1</v>
      </c>
      <c r="Z1368" s="1">
        <f>IF(COUNTIF($Y$6:Y1368,Y1368)=1,Y1368,Y1368+COUNTIF($Y$5:Y1367,Y1368))</f>
        <v>363</v>
      </c>
      <c r="AD1368" s="1" t="str">
        <f t="shared" si="75"/>
        <v/>
      </c>
      <c r="BA1368" s="1">
        <f>IF(W1368&lt;=Leltar_iv!$Y$1,I1368,0)</f>
        <v>0</v>
      </c>
    </row>
    <row r="1369" spans="1:53" s="1" customFormat="1" x14ac:dyDescent="0.25">
      <c r="A1369" s="18">
        <f>IF(COUNTIF($Y$6:Y1369,Y1369)=1,Y1369,Y1369+COUNTIF($Y$5:Y1368,Y1369))</f>
        <v>364</v>
      </c>
      <c r="B1369" s="1">
        <f>IF(AND(Kisero_iv!$N$2=C1369,Kisero_iv!$K$5=$B$3,SUM(I1369:L1373)&lt;&gt;0,$B$4=YEAR(W1369)),B1368+1,0)</f>
        <v>0</v>
      </c>
      <c r="C1369" s="1">
        <f t="shared" si="69"/>
        <v>364</v>
      </c>
      <c r="D1369" s="102" t="str">
        <f t="shared" si="70"/>
        <v/>
      </c>
      <c r="E1369" s="44"/>
      <c r="F1369" s="45"/>
      <c r="G1369" s="45"/>
      <c r="H1369" s="45"/>
      <c r="I1369" s="46"/>
      <c r="J1369" s="111" t="str">
        <f>IF(AND(G1369&lt;&gt;"",ISERROR(VLOOKUP(G1369,Keszlet!$C$5:$H$200,6,FALSE))=FALSE),VLOOKUP(G1369,Keszlet!$C$5:$H$200,6,FALSE),"")</f>
        <v/>
      </c>
      <c r="K1369" s="106" t="str">
        <f>IF(AND(G1369&lt;&gt;"",ISERROR(VLOOKUP(G1369,Keszlet!$C$5:$G$200,5,FALSE))=FALSE),VLOOKUP(G1369,Keszlet!$C$5:$G$200,5,FALSE),"")</f>
        <v/>
      </c>
      <c r="L1369" s="106" t="str">
        <f t="shared" si="71"/>
        <v/>
      </c>
      <c r="M1369" s="115" t="str">
        <f>IF(ISERROR(VLOOKUP(G1369,Keszlet!$C$5:$I$200,7,FALSE))=TRUE,"",IF(AND(J1368&lt;&gt;"",J1370=""),VLOOKUP(G1369,Keszlet!$C$5:$I$200,7,FALSE),""))</f>
        <v/>
      </c>
      <c r="Q1369" s="1">
        <f>VLOOKUP(G1369,Keszlet!$C$5:$E$205,3,FALSE)</f>
        <v>0</v>
      </c>
      <c r="T1369" s="1" t="str">
        <f t="shared" si="72"/>
        <v/>
      </c>
      <c r="U1369" s="1">
        <f t="shared" si="73"/>
        <v>0</v>
      </c>
      <c r="W1369" s="6">
        <f t="shared" si="76"/>
        <v>0</v>
      </c>
      <c r="X1369" s="6">
        <f t="shared" si="68"/>
        <v>0</v>
      </c>
      <c r="Y1369" s="1">
        <f t="shared" si="74"/>
        <v>1</v>
      </c>
      <c r="Z1369" s="1">
        <f>IF(COUNTIF($Y$6:Y1369,Y1369)=1,Y1369,Y1369+COUNTIF($Y$5:Y1368,Y1369))</f>
        <v>364</v>
      </c>
      <c r="AD1369" s="1" t="str">
        <f t="shared" si="75"/>
        <v/>
      </c>
      <c r="BA1369" s="1">
        <f>IF(W1369&lt;=Leltar_iv!$Y$1,I1369,0)</f>
        <v>0</v>
      </c>
    </row>
    <row r="1370" spans="1:53" s="1" customFormat="1" x14ac:dyDescent="0.25">
      <c r="A1370" s="18">
        <f>IF(COUNTIF($Y$6:Y1370,Y1370)=1,Y1370,Y1370+COUNTIF($Y$5:Y1369,Y1370))</f>
        <v>365</v>
      </c>
      <c r="B1370" s="1">
        <f>IF(AND(Kisero_iv!$N$2=C1370,Kisero_iv!$K$5=$B$3,SUM(I1370:L1374)&lt;&gt;0,$B$4=YEAR(W1370)),B1369+1,0)</f>
        <v>0</v>
      </c>
      <c r="C1370" s="1">
        <f t="shared" si="69"/>
        <v>365</v>
      </c>
      <c r="D1370" s="102" t="str">
        <f t="shared" si="70"/>
        <v/>
      </c>
      <c r="E1370" s="44"/>
      <c r="F1370" s="45"/>
      <c r="G1370" s="45"/>
      <c r="H1370" s="45"/>
      <c r="I1370" s="46"/>
      <c r="J1370" s="111" t="str">
        <f>IF(AND(G1370&lt;&gt;"",ISERROR(VLOOKUP(G1370,Keszlet!$C$5:$H$200,6,FALSE))=FALSE),VLOOKUP(G1370,Keszlet!$C$5:$H$200,6,FALSE),"")</f>
        <v/>
      </c>
      <c r="K1370" s="106" t="str">
        <f>IF(AND(G1370&lt;&gt;"",ISERROR(VLOOKUP(G1370,Keszlet!$C$5:$G$200,5,FALSE))=FALSE),VLOOKUP(G1370,Keszlet!$C$5:$G$200,5,FALSE),"")</f>
        <v/>
      </c>
      <c r="L1370" s="106" t="str">
        <f t="shared" si="71"/>
        <v/>
      </c>
      <c r="M1370" s="115" t="str">
        <f>IF(ISERROR(VLOOKUP(G1370,Keszlet!$C$5:$I$200,7,FALSE))=TRUE,"",IF(AND(J1369&lt;&gt;"",J1371=""),VLOOKUP(G1370,Keszlet!$C$5:$I$200,7,FALSE),""))</f>
        <v/>
      </c>
      <c r="Q1370" s="1">
        <f>VLOOKUP(G1370,Keszlet!$C$5:$E$205,3,FALSE)</f>
        <v>0</v>
      </c>
      <c r="T1370" s="1" t="str">
        <f t="shared" si="72"/>
        <v/>
      </c>
      <c r="U1370" s="1">
        <f t="shared" si="73"/>
        <v>0</v>
      </c>
      <c r="W1370" s="6">
        <f t="shared" si="76"/>
        <v>0</v>
      </c>
      <c r="X1370" s="6">
        <f t="shared" si="68"/>
        <v>0</v>
      </c>
      <c r="Y1370" s="1">
        <f t="shared" si="74"/>
        <v>1</v>
      </c>
      <c r="Z1370" s="1">
        <f>IF(COUNTIF($Y$6:Y1370,Y1370)=1,Y1370,Y1370+COUNTIF($Y$5:Y1369,Y1370))</f>
        <v>365</v>
      </c>
      <c r="AD1370" s="1" t="str">
        <f t="shared" si="75"/>
        <v/>
      </c>
      <c r="BA1370" s="1">
        <f>IF(W1370&lt;=Leltar_iv!$Y$1,I1370,0)</f>
        <v>0</v>
      </c>
    </row>
    <row r="1371" spans="1:53" s="1" customFormat="1" x14ac:dyDescent="0.25">
      <c r="A1371" s="18">
        <f>IF(COUNTIF($Y$6:Y1371,Y1371)=1,Y1371,Y1371+COUNTIF($Y$5:Y1370,Y1371))</f>
        <v>366</v>
      </c>
      <c r="B1371" s="1">
        <f>IF(AND(Kisero_iv!$N$2=C1371,Kisero_iv!$K$5=$B$3,SUM(I1371:L1375)&lt;&gt;0,$B$4=YEAR(W1371)),B1370+1,0)</f>
        <v>0</v>
      </c>
      <c r="C1371" s="1">
        <f t="shared" si="69"/>
        <v>366</v>
      </c>
      <c r="D1371" s="102" t="str">
        <f t="shared" si="70"/>
        <v/>
      </c>
      <c r="E1371" s="44"/>
      <c r="F1371" s="45"/>
      <c r="G1371" s="45"/>
      <c r="H1371" s="45"/>
      <c r="I1371" s="46"/>
      <c r="J1371" s="111" t="str">
        <f>IF(AND(G1371&lt;&gt;"",ISERROR(VLOOKUP(G1371,Keszlet!$C$5:$H$200,6,FALSE))=FALSE),VLOOKUP(G1371,Keszlet!$C$5:$H$200,6,FALSE),"")</f>
        <v/>
      </c>
      <c r="K1371" s="106" t="str">
        <f>IF(AND(G1371&lt;&gt;"",ISERROR(VLOOKUP(G1371,Keszlet!$C$5:$G$200,5,FALSE))=FALSE),VLOOKUP(G1371,Keszlet!$C$5:$G$200,5,FALSE),"")</f>
        <v/>
      </c>
      <c r="L1371" s="106" t="str">
        <f t="shared" si="71"/>
        <v/>
      </c>
      <c r="M1371" s="115" t="str">
        <f>IF(ISERROR(VLOOKUP(G1371,Keszlet!$C$5:$I$200,7,FALSE))=TRUE,"",IF(AND(J1370&lt;&gt;"",J1372=""),VLOOKUP(G1371,Keszlet!$C$5:$I$200,7,FALSE),""))</f>
        <v/>
      </c>
      <c r="Q1371" s="1">
        <f>VLOOKUP(G1371,Keszlet!$C$5:$E$205,3,FALSE)</f>
        <v>0</v>
      </c>
      <c r="T1371" s="1" t="str">
        <f t="shared" si="72"/>
        <v/>
      </c>
      <c r="U1371" s="1">
        <f t="shared" si="73"/>
        <v>0</v>
      </c>
      <c r="W1371" s="6">
        <f t="shared" si="76"/>
        <v>0</v>
      </c>
      <c r="X1371" s="6">
        <f t="shared" si="68"/>
        <v>0</v>
      </c>
      <c r="Y1371" s="1">
        <f t="shared" si="74"/>
        <v>1</v>
      </c>
      <c r="Z1371" s="1">
        <f>IF(COUNTIF($Y$6:Y1371,Y1371)=1,Y1371,Y1371+COUNTIF($Y$5:Y1370,Y1371))</f>
        <v>366</v>
      </c>
      <c r="AD1371" s="1" t="str">
        <f t="shared" si="75"/>
        <v/>
      </c>
      <c r="BA1371" s="1">
        <f>IF(W1371&lt;=Leltar_iv!$Y$1,I1371,0)</f>
        <v>0</v>
      </c>
    </row>
    <row r="1372" spans="1:53" s="1" customFormat="1" x14ac:dyDescent="0.25">
      <c r="A1372" s="18">
        <f>IF(COUNTIF($Y$6:Y1372,Y1372)=1,Y1372,Y1372+COUNTIF($Y$5:Y1371,Y1372))</f>
        <v>367</v>
      </c>
      <c r="B1372" s="1">
        <f>IF(AND(Kisero_iv!$N$2=C1372,Kisero_iv!$K$5=$B$3,SUM(I1372:L1376)&lt;&gt;0,$B$4=YEAR(W1372)),B1371+1,0)</f>
        <v>0</v>
      </c>
      <c r="C1372" s="1">
        <f t="shared" si="69"/>
        <v>367</v>
      </c>
      <c r="D1372" s="102" t="str">
        <f t="shared" si="70"/>
        <v/>
      </c>
      <c r="E1372" s="44"/>
      <c r="F1372" s="45"/>
      <c r="G1372" s="45"/>
      <c r="H1372" s="45"/>
      <c r="I1372" s="46"/>
      <c r="J1372" s="111" t="str">
        <f>IF(AND(G1372&lt;&gt;"",ISERROR(VLOOKUP(G1372,Keszlet!$C$5:$H$200,6,FALSE))=FALSE),VLOOKUP(G1372,Keszlet!$C$5:$H$200,6,FALSE),"")</f>
        <v/>
      </c>
      <c r="K1372" s="106" t="str">
        <f>IF(AND(G1372&lt;&gt;"",ISERROR(VLOOKUP(G1372,Keszlet!$C$5:$G$200,5,FALSE))=FALSE),VLOOKUP(G1372,Keszlet!$C$5:$G$200,5,FALSE),"")</f>
        <v/>
      </c>
      <c r="L1372" s="106" t="str">
        <f t="shared" si="71"/>
        <v/>
      </c>
      <c r="M1372" s="115" t="str">
        <f>IF(ISERROR(VLOOKUP(G1372,Keszlet!$C$5:$I$200,7,FALSE))=TRUE,"",IF(AND(J1371&lt;&gt;"",J1373=""),VLOOKUP(G1372,Keszlet!$C$5:$I$200,7,FALSE),""))</f>
        <v/>
      </c>
      <c r="Q1372" s="1">
        <f>VLOOKUP(G1372,Keszlet!$C$5:$E$205,3,FALSE)</f>
        <v>0</v>
      </c>
      <c r="T1372" s="1" t="str">
        <f t="shared" si="72"/>
        <v/>
      </c>
      <c r="U1372" s="1">
        <f t="shared" si="73"/>
        <v>0</v>
      </c>
      <c r="W1372" s="6">
        <f t="shared" si="76"/>
        <v>0</v>
      </c>
      <c r="X1372" s="6">
        <f t="shared" si="68"/>
        <v>0</v>
      </c>
      <c r="Y1372" s="1">
        <f t="shared" si="74"/>
        <v>1</v>
      </c>
      <c r="Z1372" s="1">
        <f>IF(COUNTIF($Y$6:Y1372,Y1372)=1,Y1372,Y1372+COUNTIF($Y$5:Y1371,Y1372))</f>
        <v>367</v>
      </c>
      <c r="AD1372" s="1" t="str">
        <f t="shared" si="75"/>
        <v/>
      </c>
      <c r="BA1372" s="1">
        <f>IF(W1372&lt;=Leltar_iv!$Y$1,I1372,0)</f>
        <v>0</v>
      </c>
    </row>
    <row r="1373" spans="1:53" s="1" customFormat="1" x14ac:dyDescent="0.25">
      <c r="A1373" s="18">
        <f>IF(COUNTIF($Y$6:Y1373,Y1373)=1,Y1373,Y1373+COUNTIF($Y$5:Y1372,Y1373))</f>
        <v>368</v>
      </c>
      <c r="B1373" s="1">
        <f>IF(AND(Kisero_iv!$N$2=C1373,Kisero_iv!$K$5=$B$3,SUM(I1373:L1377)&lt;&gt;0,$B$4=YEAR(W1373)),B1372+1,0)</f>
        <v>0</v>
      </c>
      <c r="C1373" s="1">
        <f t="shared" si="69"/>
        <v>368</v>
      </c>
      <c r="D1373" s="102" t="str">
        <f t="shared" si="70"/>
        <v/>
      </c>
      <c r="E1373" s="44"/>
      <c r="F1373" s="45"/>
      <c r="G1373" s="45"/>
      <c r="H1373" s="45"/>
      <c r="I1373" s="46"/>
      <c r="J1373" s="111" t="str">
        <f>IF(AND(G1373&lt;&gt;"",ISERROR(VLOOKUP(G1373,Keszlet!$C$5:$H$200,6,FALSE))=FALSE),VLOOKUP(G1373,Keszlet!$C$5:$H$200,6,FALSE),"")</f>
        <v/>
      </c>
      <c r="K1373" s="106" t="str">
        <f>IF(AND(G1373&lt;&gt;"",ISERROR(VLOOKUP(G1373,Keszlet!$C$5:$G$200,5,FALSE))=FALSE),VLOOKUP(G1373,Keszlet!$C$5:$G$200,5,FALSE),"")</f>
        <v/>
      </c>
      <c r="L1373" s="106" t="str">
        <f t="shared" si="71"/>
        <v/>
      </c>
      <c r="M1373" s="115" t="str">
        <f>IF(ISERROR(VLOOKUP(G1373,Keszlet!$C$5:$I$200,7,FALSE))=TRUE,"",IF(AND(J1372&lt;&gt;"",J1374=""),VLOOKUP(G1373,Keszlet!$C$5:$I$200,7,FALSE),""))</f>
        <v/>
      </c>
      <c r="Q1373" s="1">
        <f>VLOOKUP(G1373,Keszlet!$C$5:$E$205,3,FALSE)</f>
        <v>0</v>
      </c>
      <c r="T1373" s="1" t="str">
        <f t="shared" si="72"/>
        <v/>
      </c>
      <c r="U1373" s="1">
        <f t="shared" si="73"/>
        <v>0</v>
      </c>
      <c r="W1373" s="6">
        <f t="shared" si="76"/>
        <v>0</v>
      </c>
      <c r="X1373" s="6">
        <f t="shared" si="68"/>
        <v>0</v>
      </c>
      <c r="Y1373" s="1">
        <f t="shared" si="74"/>
        <v>1</v>
      </c>
      <c r="Z1373" s="1">
        <f>IF(COUNTIF($Y$6:Y1373,Y1373)=1,Y1373,Y1373+COUNTIF($Y$5:Y1372,Y1373))</f>
        <v>368</v>
      </c>
      <c r="AD1373" s="1" t="str">
        <f t="shared" si="75"/>
        <v/>
      </c>
      <c r="BA1373" s="1">
        <f>IF(W1373&lt;=Leltar_iv!$Y$1,I1373,0)</f>
        <v>0</v>
      </c>
    </row>
    <row r="1374" spans="1:53" s="1" customFormat="1" x14ac:dyDescent="0.25">
      <c r="A1374" s="18">
        <f>IF(COUNTIF($Y$6:Y1374,Y1374)=1,Y1374,Y1374+COUNTIF($Y$5:Y1373,Y1374))</f>
        <v>369</v>
      </c>
      <c r="B1374" s="1">
        <f>IF(AND(Kisero_iv!$N$2=C1374,Kisero_iv!$K$5=$B$3,SUM(I1374:L1378)&lt;&gt;0,$B$4=YEAR(W1374)),B1373+1,0)</f>
        <v>0</v>
      </c>
      <c r="C1374" s="1">
        <f t="shared" si="69"/>
        <v>369</v>
      </c>
      <c r="D1374" s="102" t="str">
        <f t="shared" si="70"/>
        <v/>
      </c>
      <c r="E1374" s="44"/>
      <c r="F1374" s="45"/>
      <c r="G1374" s="45"/>
      <c r="H1374" s="45"/>
      <c r="I1374" s="46"/>
      <c r="J1374" s="111" t="str">
        <f>IF(AND(G1374&lt;&gt;"",ISERROR(VLOOKUP(G1374,Keszlet!$C$5:$H$200,6,FALSE))=FALSE),VLOOKUP(G1374,Keszlet!$C$5:$H$200,6,FALSE),"")</f>
        <v/>
      </c>
      <c r="K1374" s="106" t="str">
        <f>IF(AND(G1374&lt;&gt;"",ISERROR(VLOOKUP(G1374,Keszlet!$C$5:$G$200,5,FALSE))=FALSE),VLOOKUP(G1374,Keszlet!$C$5:$G$200,5,FALSE),"")</f>
        <v/>
      </c>
      <c r="L1374" s="106" t="str">
        <f t="shared" si="71"/>
        <v/>
      </c>
      <c r="M1374" s="115" t="str">
        <f>IF(ISERROR(VLOOKUP(G1374,Keszlet!$C$5:$I$200,7,FALSE))=TRUE,"",IF(AND(J1373&lt;&gt;"",J1375=""),VLOOKUP(G1374,Keszlet!$C$5:$I$200,7,FALSE),""))</f>
        <v/>
      </c>
      <c r="Q1374" s="1">
        <f>VLOOKUP(G1374,Keszlet!$C$5:$E$205,3,FALSE)</f>
        <v>0</v>
      </c>
      <c r="T1374" s="1" t="str">
        <f t="shared" si="72"/>
        <v/>
      </c>
      <c r="U1374" s="1">
        <f t="shared" si="73"/>
        <v>0</v>
      </c>
      <c r="W1374" s="6">
        <f t="shared" si="76"/>
        <v>0</v>
      </c>
      <c r="X1374" s="6">
        <f t="shared" si="68"/>
        <v>0</v>
      </c>
      <c r="Y1374" s="1">
        <f t="shared" si="74"/>
        <v>1</v>
      </c>
      <c r="Z1374" s="1">
        <f>IF(COUNTIF($Y$6:Y1374,Y1374)=1,Y1374,Y1374+COUNTIF($Y$5:Y1373,Y1374))</f>
        <v>369</v>
      </c>
      <c r="AD1374" s="1" t="str">
        <f t="shared" si="75"/>
        <v/>
      </c>
      <c r="BA1374" s="1">
        <f>IF(W1374&lt;=Leltar_iv!$Y$1,I1374,0)</f>
        <v>0</v>
      </c>
    </row>
    <row r="1375" spans="1:53" s="1" customFormat="1" x14ac:dyDescent="0.25">
      <c r="A1375" s="18">
        <f>IF(COUNTIF($Y$6:Y1375,Y1375)=1,Y1375,Y1375+COUNTIF($Y$5:Y1374,Y1375))</f>
        <v>370</v>
      </c>
      <c r="B1375" s="1">
        <f>IF(AND(Kisero_iv!$N$2=C1375,Kisero_iv!$K$5=$B$3,SUM(I1375:L1379)&lt;&gt;0,$B$4=YEAR(W1375)),B1374+1,0)</f>
        <v>0</v>
      </c>
      <c r="C1375" s="1">
        <f t="shared" si="69"/>
        <v>370</v>
      </c>
      <c r="D1375" s="102" t="str">
        <f t="shared" si="70"/>
        <v/>
      </c>
      <c r="E1375" s="44"/>
      <c r="F1375" s="45"/>
      <c r="G1375" s="45"/>
      <c r="H1375" s="45"/>
      <c r="I1375" s="46"/>
      <c r="J1375" s="111" t="str">
        <f>IF(AND(G1375&lt;&gt;"",ISERROR(VLOOKUP(G1375,Keszlet!$C$5:$H$200,6,FALSE))=FALSE),VLOOKUP(G1375,Keszlet!$C$5:$H$200,6,FALSE),"")</f>
        <v/>
      </c>
      <c r="K1375" s="106" t="str">
        <f>IF(AND(G1375&lt;&gt;"",ISERROR(VLOOKUP(G1375,Keszlet!$C$5:$G$200,5,FALSE))=FALSE),VLOOKUP(G1375,Keszlet!$C$5:$G$200,5,FALSE),"")</f>
        <v/>
      </c>
      <c r="L1375" s="106" t="str">
        <f t="shared" si="71"/>
        <v/>
      </c>
      <c r="M1375" s="115" t="str">
        <f>IF(ISERROR(VLOOKUP(G1375,Keszlet!$C$5:$I$200,7,FALSE))=TRUE,"",IF(AND(J1374&lt;&gt;"",J1376=""),VLOOKUP(G1375,Keszlet!$C$5:$I$200,7,FALSE),""))</f>
        <v/>
      </c>
      <c r="Q1375" s="1">
        <f>VLOOKUP(G1375,Keszlet!$C$5:$E$205,3,FALSE)</f>
        <v>0</v>
      </c>
      <c r="T1375" s="1" t="str">
        <f t="shared" si="72"/>
        <v/>
      </c>
      <c r="U1375" s="1">
        <f t="shared" si="73"/>
        <v>0</v>
      </c>
      <c r="W1375" s="6">
        <f t="shared" si="76"/>
        <v>0</v>
      </c>
      <c r="X1375" s="6">
        <f t="shared" si="68"/>
        <v>0</v>
      </c>
      <c r="Y1375" s="1">
        <f t="shared" si="74"/>
        <v>1</v>
      </c>
      <c r="Z1375" s="1">
        <f>IF(COUNTIF($Y$6:Y1375,Y1375)=1,Y1375,Y1375+COUNTIF($Y$5:Y1374,Y1375))</f>
        <v>370</v>
      </c>
      <c r="AD1375" s="1" t="str">
        <f t="shared" si="75"/>
        <v/>
      </c>
      <c r="BA1375" s="1">
        <f>IF(W1375&lt;=Leltar_iv!$Y$1,I1375,0)</f>
        <v>0</v>
      </c>
    </row>
    <row r="1376" spans="1:53" s="1" customFormat="1" x14ac:dyDescent="0.25">
      <c r="A1376" s="18">
        <f>IF(COUNTIF($Y$6:Y1376,Y1376)=1,Y1376,Y1376+COUNTIF($Y$5:Y1375,Y1376))</f>
        <v>371</v>
      </c>
      <c r="B1376" s="1">
        <f>IF(AND(Kisero_iv!$N$2=C1376,Kisero_iv!$K$5=$B$3,SUM(I1376:L1380)&lt;&gt;0,$B$4=YEAR(W1376)),B1375+1,0)</f>
        <v>0</v>
      </c>
      <c r="C1376" s="1">
        <f t="shared" si="69"/>
        <v>371</v>
      </c>
      <c r="D1376" s="102" t="str">
        <f t="shared" si="70"/>
        <v/>
      </c>
      <c r="E1376" s="44"/>
      <c r="F1376" s="45"/>
      <c r="G1376" s="45"/>
      <c r="H1376" s="45"/>
      <c r="I1376" s="46"/>
      <c r="J1376" s="111" t="str">
        <f>IF(AND(G1376&lt;&gt;"",ISERROR(VLOOKUP(G1376,Keszlet!$C$5:$H$200,6,FALSE))=FALSE),VLOOKUP(G1376,Keszlet!$C$5:$H$200,6,FALSE),"")</f>
        <v/>
      </c>
      <c r="K1376" s="106" t="str">
        <f>IF(AND(G1376&lt;&gt;"",ISERROR(VLOOKUP(G1376,Keszlet!$C$5:$G$200,5,FALSE))=FALSE),VLOOKUP(G1376,Keszlet!$C$5:$G$200,5,FALSE),"")</f>
        <v/>
      </c>
      <c r="L1376" s="106" t="str">
        <f t="shared" si="71"/>
        <v/>
      </c>
      <c r="M1376" s="115" t="str">
        <f>IF(ISERROR(VLOOKUP(G1376,Keszlet!$C$5:$I$200,7,FALSE))=TRUE,"",IF(AND(J1375&lt;&gt;"",J1377=""),VLOOKUP(G1376,Keszlet!$C$5:$I$200,7,FALSE),""))</f>
        <v/>
      </c>
      <c r="Q1376" s="1">
        <f>VLOOKUP(G1376,Keszlet!$C$5:$E$205,3,FALSE)</f>
        <v>0</v>
      </c>
      <c r="T1376" s="1" t="str">
        <f t="shared" si="72"/>
        <v/>
      </c>
      <c r="U1376" s="1">
        <f t="shared" si="73"/>
        <v>0</v>
      </c>
      <c r="W1376" s="6">
        <f t="shared" si="76"/>
        <v>0</v>
      </c>
      <c r="X1376" s="6">
        <f t="shared" si="68"/>
        <v>0</v>
      </c>
      <c r="Y1376" s="1">
        <f t="shared" si="74"/>
        <v>1</v>
      </c>
      <c r="Z1376" s="1">
        <f>IF(COUNTIF($Y$6:Y1376,Y1376)=1,Y1376,Y1376+COUNTIF($Y$5:Y1375,Y1376))</f>
        <v>371</v>
      </c>
      <c r="AD1376" s="1" t="str">
        <f t="shared" si="75"/>
        <v/>
      </c>
      <c r="BA1376" s="1">
        <f>IF(W1376&lt;=Leltar_iv!$Y$1,I1376,0)</f>
        <v>0</v>
      </c>
    </row>
    <row r="1377" spans="1:53" s="1" customFormat="1" x14ac:dyDescent="0.25">
      <c r="A1377" s="18">
        <f>IF(COUNTIF($Y$6:Y1377,Y1377)=1,Y1377,Y1377+COUNTIF($Y$5:Y1376,Y1377))</f>
        <v>372</v>
      </c>
      <c r="B1377" s="1">
        <f>IF(AND(Kisero_iv!$N$2=C1377,Kisero_iv!$K$5=$B$3,SUM(I1377:L1381)&lt;&gt;0,$B$4=YEAR(W1377)),B1376+1,0)</f>
        <v>0</v>
      </c>
      <c r="C1377" s="1">
        <f t="shared" si="69"/>
        <v>372</v>
      </c>
      <c r="D1377" s="102" t="str">
        <f t="shared" si="70"/>
        <v/>
      </c>
      <c r="E1377" s="44"/>
      <c r="F1377" s="45"/>
      <c r="G1377" s="45"/>
      <c r="H1377" s="45"/>
      <c r="I1377" s="46"/>
      <c r="J1377" s="111" t="str">
        <f>IF(AND(G1377&lt;&gt;"",ISERROR(VLOOKUP(G1377,Keszlet!$C$5:$H$200,6,FALSE))=FALSE),VLOOKUP(G1377,Keszlet!$C$5:$H$200,6,FALSE),"")</f>
        <v/>
      </c>
      <c r="K1377" s="106" t="str">
        <f>IF(AND(G1377&lt;&gt;"",ISERROR(VLOOKUP(G1377,Keszlet!$C$5:$G$200,5,FALSE))=FALSE),VLOOKUP(G1377,Keszlet!$C$5:$G$200,5,FALSE),"")</f>
        <v/>
      </c>
      <c r="L1377" s="106" t="str">
        <f t="shared" si="71"/>
        <v/>
      </c>
      <c r="M1377" s="115" t="str">
        <f>IF(ISERROR(VLOOKUP(G1377,Keszlet!$C$5:$I$200,7,FALSE))=TRUE,"",IF(AND(J1376&lt;&gt;"",J1378=""),VLOOKUP(G1377,Keszlet!$C$5:$I$200,7,FALSE),""))</f>
        <v/>
      </c>
      <c r="Q1377" s="1">
        <f>VLOOKUP(G1377,Keszlet!$C$5:$E$205,3,FALSE)</f>
        <v>0</v>
      </c>
      <c r="T1377" s="1" t="str">
        <f t="shared" si="72"/>
        <v/>
      </c>
      <c r="U1377" s="1">
        <f t="shared" si="73"/>
        <v>0</v>
      </c>
      <c r="W1377" s="6">
        <f t="shared" si="76"/>
        <v>0</v>
      </c>
      <c r="X1377" s="6">
        <f t="shared" si="68"/>
        <v>0</v>
      </c>
      <c r="Y1377" s="1">
        <f t="shared" si="74"/>
        <v>1</v>
      </c>
      <c r="Z1377" s="1">
        <f>IF(COUNTIF($Y$6:Y1377,Y1377)=1,Y1377,Y1377+COUNTIF($Y$5:Y1376,Y1377))</f>
        <v>372</v>
      </c>
      <c r="AD1377" s="1" t="str">
        <f t="shared" si="75"/>
        <v/>
      </c>
      <c r="BA1377" s="1">
        <f>IF(W1377&lt;=Leltar_iv!$Y$1,I1377,0)</f>
        <v>0</v>
      </c>
    </row>
    <row r="1378" spans="1:53" s="1" customFormat="1" x14ac:dyDescent="0.25">
      <c r="A1378" s="18">
        <f>IF(COUNTIF($Y$6:Y1378,Y1378)=1,Y1378,Y1378+COUNTIF($Y$5:Y1377,Y1378))</f>
        <v>373</v>
      </c>
      <c r="B1378" s="1">
        <f>IF(AND(Kisero_iv!$N$2=C1378,Kisero_iv!$K$5=$B$3,SUM(I1378:L1382)&lt;&gt;0,$B$4=YEAR(W1378)),B1377+1,0)</f>
        <v>0</v>
      </c>
      <c r="C1378" s="1">
        <f t="shared" si="69"/>
        <v>373</v>
      </c>
      <c r="D1378" s="102" t="str">
        <f t="shared" si="70"/>
        <v/>
      </c>
      <c r="E1378" s="44"/>
      <c r="F1378" s="45"/>
      <c r="G1378" s="45"/>
      <c r="H1378" s="45"/>
      <c r="I1378" s="46"/>
      <c r="J1378" s="111" t="str">
        <f>IF(AND(G1378&lt;&gt;"",ISERROR(VLOOKUP(G1378,Keszlet!$C$5:$H$200,6,FALSE))=FALSE),VLOOKUP(G1378,Keszlet!$C$5:$H$200,6,FALSE),"")</f>
        <v/>
      </c>
      <c r="K1378" s="106" t="str">
        <f>IF(AND(G1378&lt;&gt;"",ISERROR(VLOOKUP(G1378,Keszlet!$C$5:$G$200,5,FALSE))=FALSE),VLOOKUP(G1378,Keszlet!$C$5:$G$200,5,FALSE),"")</f>
        <v/>
      </c>
      <c r="L1378" s="106" t="str">
        <f t="shared" si="71"/>
        <v/>
      </c>
      <c r="M1378" s="115" t="str">
        <f>IF(ISERROR(VLOOKUP(G1378,Keszlet!$C$5:$I$200,7,FALSE))=TRUE,"",IF(AND(J1377&lt;&gt;"",J1379=""),VLOOKUP(G1378,Keszlet!$C$5:$I$200,7,FALSE),""))</f>
        <v/>
      </c>
      <c r="Q1378" s="1">
        <f>VLOOKUP(G1378,Keszlet!$C$5:$E$205,3,FALSE)</f>
        <v>0</v>
      </c>
      <c r="T1378" s="1" t="str">
        <f t="shared" si="72"/>
        <v/>
      </c>
      <c r="U1378" s="1">
        <f t="shared" si="73"/>
        <v>0</v>
      </c>
      <c r="W1378" s="6">
        <f t="shared" si="76"/>
        <v>0</v>
      </c>
      <c r="X1378" s="6">
        <f t="shared" si="68"/>
        <v>0</v>
      </c>
      <c r="Y1378" s="1">
        <f t="shared" si="74"/>
        <v>1</v>
      </c>
      <c r="Z1378" s="1">
        <f>IF(COUNTIF($Y$6:Y1378,Y1378)=1,Y1378,Y1378+COUNTIF($Y$5:Y1377,Y1378))</f>
        <v>373</v>
      </c>
      <c r="AD1378" s="1" t="str">
        <f t="shared" si="75"/>
        <v/>
      </c>
      <c r="BA1378" s="1">
        <f>IF(W1378&lt;=Leltar_iv!$Y$1,I1378,0)</f>
        <v>0</v>
      </c>
    </row>
    <row r="1379" spans="1:53" s="1" customFormat="1" x14ac:dyDescent="0.25">
      <c r="A1379" s="18">
        <f>IF(COUNTIF($Y$6:Y1379,Y1379)=1,Y1379,Y1379+COUNTIF($Y$5:Y1378,Y1379))</f>
        <v>374</v>
      </c>
      <c r="B1379" s="1">
        <f>IF(AND(Kisero_iv!$N$2=C1379,Kisero_iv!$K$5=$B$3,SUM(I1379:L1383)&lt;&gt;0,$B$4=YEAR(W1379)),B1378+1,0)</f>
        <v>0</v>
      </c>
      <c r="C1379" s="1">
        <f t="shared" si="69"/>
        <v>374</v>
      </c>
      <c r="D1379" s="102" t="str">
        <f t="shared" si="70"/>
        <v/>
      </c>
      <c r="E1379" s="44"/>
      <c r="F1379" s="45"/>
      <c r="G1379" s="45"/>
      <c r="H1379" s="45"/>
      <c r="I1379" s="46"/>
      <c r="J1379" s="111" t="str">
        <f>IF(AND(G1379&lt;&gt;"",ISERROR(VLOOKUP(G1379,Keszlet!$C$5:$H$200,6,FALSE))=FALSE),VLOOKUP(G1379,Keszlet!$C$5:$H$200,6,FALSE),"")</f>
        <v/>
      </c>
      <c r="K1379" s="106" t="str">
        <f>IF(AND(G1379&lt;&gt;"",ISERROR(VLOOKUP(G1379,Keszlet!$C$5:$G$200,5,FALSE))=FALSE),VLOOKUP(G1379,Keszlet!$C$5:$G$200,5,FALSE),"")</f>
        <v/>
      </c>
      <c r="L1379" s="106" t="str">
        <f t="shared" si="71"/>
        <v/>
      </c>
      <c r="M1379" s="115" t="str">
        <f>IF(ISERROR(VLOOKUP(G1379,Keszlet!$C$5:$I$200,7,FALSE))=TRUE,"",IF(AND(J1378&lt;&gt;"",J1380=""),VLOOKUP(G1379,Keszlet!$C$5:$I$200,7,FALSE),""))</f>
        <v/>
      </c>
      <c r="Q1379" s="1">
        <f>VLOOKUP(G1379,Keszlet!$C$5:$E$205,3,FALSE)</f>
        <v>0</v>
      </c>
      <c r="T1379" s="1" t="str">
        <f t="shared" si="72"/>
        <v/>
      </c>
      <c r="U1379" s="1">
        <f t="shared" si="73"/>
        <v>0</v>
      </c>
      <c r="W1379" s="6">
        <f t="shared" si="76"/>
        <v>0</v>
      </c>
      <c r="X1379" s="6">
        <f t="shared" si="68"/>
        <v>0</v>
      </c>
      <c r="Y1379" s="1">
        <f t="shared" si="74"/>
        <v>1</v>
      </c>
      <c r="Z1379" s="1">
        <f>IF(COUNTIF($Y$6:Y1379,Y1379)=1,Y1379,Y1379+COUNTIF($Y$5:Y1378,Y1379))</f>
        <v>374</v>
      </c>
      <c r="AD1379" s="1" t="str">
        <f t="shared" si="75"/>
        <v/>
      </c>
      <c r="BA1379" s="1">
        <f>IF(W1379&lt;=Leltar_iv!$Y$1,I1379,0)</f>
        <v>0</v>
      </c>
    </row>
    <row r="1380" spans="1:53" s="1" customFormat="1" x14ac:dyDescent="0.25">
      <c r="A1380" s="18">
        <f>IF(COUNTIF($Y$6:Y1380,Y1380)=1,Y1380,Y1380+COUNTIF($Y$5:Y1379,Y1380))</f>
        <v>375</v>
      </c>
      <c r="B1380" s="1">
        <f>IF(AND(Kisero_iv!$N$2=C1380,Kisero_iv!$K$5=$B$3,SUM(I1380:L1384)&lt;&gt;0,$B$4=YEAR(W1380)),B1379+1,0)</f>
        <v>0</v>
      </c>
      <c r="C1380" s="1">
        <f t="shared" si="69"/>
        <v>375</v>
      </c>
      <c r="D1380" s="102" t="str">
        <f t="shared" si="70"/>
        <v/>
      </c>
      <c r="E1380" s="44"/>
      <c r="F1380" s="45"/>
      <c r="G1380" s="45"/>
      <c r="H1380" s="45"/>
      <c r="I1380" s="46"/>
      <c r="J1380" s="111" t="str">
        <f>IF(AND(G1380&lt;&gt;"",ISERROR(VLOOKUP(G1380,Keszlet!$C$5:$H$200,6,FALSE))=FALSE),VLOOKUP(G1380,Keszlet!$C$5:$H$200,6,FALSE),"")</f>
        <v/>
      </c>
      <c r="K1380" s="106" t="str">
        <f>IF(AND(G1380&lt;&gt;"",ISERROR(VLOOKUP(G1380,Keszlet!$C$5:$G$200,5,FALSE))=FALSE),VLOOKUP(G1380,Keszlet!$C$5:$G$200,5,FALSE),"")</f>
        <v/>
      </c>
      <c r="L1380" s="106" t="str">
        <f t="shared" si="71"/>
        <v/>
      </c>
      <c r="M1380" s="115" t="str">
        <f>IF(ISERROR(VLOOKUP(G1380,Keszlet!$C$5:$I$200,7,FALSE))=TRUE,"",IF(AND(J1379&lt;&gt;"",J1381=""),VLOOKUP(G1380,Keszlet!$C$5:$I$200,7,FALSE),""))</f>
        <v/>
      </c>
      <c r="Q1380" s="1">
        <f>VLOOKUP(G1380,Keszlet!$C$5:$E$205,3,FALSE)</f>
        <v>0</v>
      </c>
      <c r="T1380" s="1" t="str">
        <f t="shared" si="72"/>
        <v/>
      </c>
      <c r="U1380" s="1">
        <f t="shared" si="73"/>
        <v>0</v>
      </c>
      <c r="W1380" s="6">
        <f t="shared" si="76"/>
        <v>0</v>
      </c>
      <c r="X1380" s="6">
        <f t="shared" si="68"/>
        <v>0</v>
      </c>
      <c r="Y1380" s="1">
        <f t="shared" si="74"/>
        <v>1</v>
      </c>
      <c r="Z1380" s="1">
        <f>IF(COUNTIF($Y$6:Y1380,Y1380)=1,Y1380,Y1380+COUNTIF($Y$5:Y1379,Y1380))</f>
        <v>375</v>
      </c>
      <c r="AD1380" s="1" t="str">
        <f t="shared" si="75"/>
        <v/>
      </c>
      <c r="BA1380" s="1">
        <f>IF(W1380&lt;=Leltar_iv!$Y$1,I1380,0)</f>
        <v>0</v>
      </c>
    </row>
    <row r="1381" spans="1:53" s="1" customFormat="1" x14ac:dyDescent="0.25">
      <c r="A1381" s="18">
        <f>IF(COUNTIF($Y$6:Y1381,Y1381)=1,Y1381,Y1381+COUNTIF($Y$5:Y1380,Y1381))</f>
        <v>376</v>
      </c>
      <c r="B1381" s="1">
        <f>IF(AND(Kisero_iv!$N$2=C1381,Kisero_iv!$K$5=$B$3,SUM(I1381:L1385)&lt;&gt;0,$B$4=YEAR(W1381)),B1380+1,0)</f>
        <v>0</v>
      </c>
      <c r="C1381" s="1">
        <f t="shared" si="69"/>
        <v>376</v>
      </c>
      <c r="D1381" s="102" t="str">
        <f t="shared" si="70"/>
        <v/>
      </c>
      <c r="E1381" s="44"/>
      <c r="F1381" s="45"/>
      <c r="G1381" s="45"/>
      <c r="H1381" s="45"/>
      <c r="I1381" s="46"/>
      <c r="J1381" s="111" t="str">
        <f>IF(AND(G1381&lt;&gt;"",ISERROR(VLOOKUP(G1381,Keszlet!$C$5:$H$200,6,FALSE))=FALSE),VLOOKUP(G1381,Keszlet!$C$5:$H$200,6,FALSE),"")</f>
        <v/>
      </c>
      <c r="K1381" s="106" t="str">
        <f>IF(AND(G1381&lt;&gt;"",ISERROR(VLOOKUP(G1381,Keszlet!$C$5:$G$200,5,FALSE))=FALSE),VLOOKUP(G1381,Keszlet!$C$5:$G$200,5,FALSE),"")</f>
        <v/>
      </c>
      <c r="L1381" s="106" t="str">
        <f t="shared" si="71"/>
        <v/>
      </c>
      <c r="M1381" s="115" t="str">
        <f>IF(ISERROR(VLOOKUP(G1381,Keszlet!$C$5:$I$200,7,FALSE))=TRUE,"",IF(AND(J1380&lt;&gt;"",J1382=""),VLOOKUP(G1381,Keszlet!$C$5:$I$200,7,FALSE),""))</f>
        <v/>
      </c>
      <c r="Q1381" s="1">
        <f>VLOOKUP(G1381,Keszlet!$C$5:$E$205,3,FALSE)</f>
        <v>0</v>
      </c>
      <c r="T1381" s="1" t="str">
        <f t="shared" si="72"/>
        <v/>
      </c>
      <c r="U1381" s="1">
        <f t="shared" si="73"/>
        <v>0</v>
      </c>
      <c r="W1381" s="6">
        <f t="shared" si="76"/>
        <v>0</v>
      </c>
      <c r="X1381" s="6">
        <f t="shared" si="68"/>
        <v>0</v>
      </c>
      <c r="Y1381" s="1">
        <f t="shared" si="74"/>
        <v>1</v>
      </c>
      <c r="Z1381" s="1">
        <f>IF(COUNTIF($Y$6:Y1381,Y1381)=1,Y1381,Y1381+COUNTIF($Y$5:Y1380,Y1381))</f>
        <v>376</v>
      </c>
      <c r="AD1381" s="1" t="str">
        <f t="shared" si="75"/>
        <v/>
      </c>
      <c r="BA1381" s="1">
        <f>IF(W1381&lt;=Leltar_iv!$Y$1,I1381,0)</f>
        <v>0</v>
      </c>
    </row>
    <row r="1382" spans="1:53" s="1" customFormat="1" x14ac:dyDescent="0.25">
      <c r="A1382" s="18">
        <f>IF(COUNTIF($Y$6:Y1382,Y1382)=1,Y1382,Y1382+COUNTIF($Y$5:Y1381,Y1382))</f>
        <v>377</v>
      </c>
      <c r="B1382" s="1">
        <f>IF(AND(Kisero_iv!$N$2=C1382,Kisero_iv!$K$5=$B$3,SUM(I1382:L1386)&lt;&gt;0,$B$4=YEAR(W1382)),B1381+1,0)</f>
        <v>0</v>
      </c>
      <c r="C1382" s="1">
        <f t="shared" si="69"/>
        <v>377</v>
      </c>
      <c r="D1382" s="102" t="str">
        <f t="shared" si="70"/>
        <v/>
      </c>
      <c r="E1382" s="44"/>
      <c r="F1382" s="45"/>
      <c r="G1382" s="45"/>
      <c r="H1382" s="45"/>
      <c r="I1382" s="46"/>
      <c r="J1382" s="111" t="str">
        <f>IF(AND(G1382&lt;&gt;"",ISERROR(VLOOKUP(G1382,Keszlet!$C$5:$H$200,6,FALSE))=FALSE),VLOOKUP(G1382,Keszlet!$C$5:$H$200,6,FALSE),"")</f>
        <v/>
      </c>
      <c r="K1382" s="106" t="str">
        <f>IF(AND(G1382&lt;&gt;"",ISERROR(VLOOKUP(G1382,Keszlet!$C$5:$G$200,5,FALSE))=FALSE),VLOOKUP(G1382,Keszlet!$C$5:$G$200,5,FALSE),"")</f>
        <v/>
      </c>
      <c r="L1382" s="106" t="str">
        <f t="shared" si="71"/>
        <v/>
      </c>
      <c r="M1382" s="115" t="str">
        <f>IF(ISERROR(VLOOKUP(G1382,Keszlet!$C$5:$I$200,7,FALSE))=TRUE,"",IF(AND(J1381&lt;&gt;"",J1383=""),VLOOKUP(G1382,Keszlet!$C$5:$I$200,7,FALSE),""))</f>
        <v/>
      </c>
      <c r="Q1382" s="1">
        <f>VLOOKUP(G1382,Keszlet!$C$5:$E$205,3,FALSE)</f>
        <v>0</v>
      </c>
      <c r="T1382" s="1" t="str">
        <f t="shared" si="72"/>
        <v/>
      </c>
      <c r="U1382" s="1">
        <f t="shared" si="73"/>
        <v>0</v>
      </c>
      <c r="W1382" s="6">
        <f t="shared" si="76"/>
        <v>0</v>
      </c>
      <c r="X1382" s="6">
        <f t="shared" si="68"/>
        <v>0</v>
      </c>
      <c r="Y1382" s="1">
        <f t="shared" si="74"/>
        <v>1</v>
      </c>
      <c r="Z1382" s="1">
        <f>IF(COUNTIF($Y$6:Y1382,Y1382)=1,Y1382,Y1382+COUNTIF($Y$5:Y1381,Y1382))</f>
        <v>377</v>
      </c>
      <c r="AD1382" s="1" t="str">
        <f t="shared" si="75"/>
        <v/>
      </c>
      <c r="BA1382" s="1">
        <f>IF(W1382&lt;=Leltar_iv!$Y$1,I1382,0)</f>
        <v>0</v>
      </c>
    </row>
    <row r="1383" spans="1:53" s="1" customFormat="1" x14ac:dyDescent="0.25">
      <c r="A1383" s="18">
        <f>IF(COUNTIF($Y$6:Y1383,Y1383)=1,Y1383,Y1383+COUNTIF($Y$5:Y1382,Y1383))</f>
        <v>378</v>
      </c>
      <c r="B1383" s="1">
        <f>IF(AND(Kisero_iv!$N$2=C1383,Kisero_iv!$K$5=$B$3,SUM(I1383:L1387)&lt;&gt;0,$B$4=YEAR(W1383)),B1382+1,0)</f>
        <v>0</v>
      </c>
      <c r="C1383" s="1">
        <f t="shared" si="69"/>
        <v>378</v>
      </c>
      <c r="D1383" s="102" t="str">
        <f t="shared" si="70"/>
        <v/>
      </c>
      <c r="E1383" s="44"/>
      <c r="F1383" s="45"/>
      <c r="G1383" s="45"/>
      <c r="H1383" s="45"/>
      <c r="I1383" s="46"/>
      <c r="J1383" s="111" t="str">
        <f>IF(AND(G1383&lt;&gt;"",ISERROR(VLOOKUP(G1383,Keszlet!$C$5:$H$200,6,FALSE))=FALSE),VLOOKUP(G1383,Keszlet!$C$5:$H$200,6,FALSE),"")</f>
        <v/>
      </c>
      <c r="K1383" s="106" t="str">
        <f>IF(AND(G1383&lt;&gt;"",ISERROR(VLOOKUP(G1383,Keszlet!$C$5:$G$200,5,FALSE))=FALSE),VLOOKUP(G1383,Keszlet!$C$5:$G$200,5,FALSE),"")</f>
        <v/>
      </c>
      <c r="L1383" s="106" t="str">
        <f t="shared" si="71"/>
        <v/>
      </c>
      <c r="M1383" s="115" t="str">
        <f>IF(ISERROR(VLOOKUP(G1383,Keszlet!$C$5:$I$200,7,FALSE))=TRUE,"",IF(AND(J1382&lt;&gt;"",J1384=""),VLOOKUP(G1383,Keszlet!$C$5:$I$200,7,FALSE),""))</f>
        <v/>
      </c>
      <c r="Q1383" s="1">
        <f>VLOOKUP(G1383,Keszlet!$C$5:$E$205,3,FALSE)</f>
        <v>0</v>
      </c>
      <c r="T1383" s="1" t="str">
        <f t="shared" si="72"/>
        <v/>
      </c>
      <c r="U1383" s="1">
        <f t="shared" si="73"/>
        <v>0</v>
      </c>
      <c r="W1383" s="6">
        <f t="shared" si="76"/>
        <v>0</v>
      </c>
      <c r="X1383" s="6">
        <f t="shared" si="68"/>
        <v>0</v>
      </c>
      <c r="Y1383" s="1">
        <f t="shared" si="74"/>
        <v>1</v>
      </c>
      <c r="Z1383" s="1">
        <f>IF(COUNTIF($Y$6:Y1383,Y1383)=1,Y1383,Y1383+COUNTIF($Y$5:Y1382,Y1383))</f>
        <v>378</v>
      </c>
      <c r="AD1383" s="1" t="str">
        <f t="shared" si="75"/>
        <v/>
      </c>
      <c r="BA1383" s="1">
        <f>IF(W1383&lt;=Leltar_iv!$Y$1,I1383,0)</f>
        <v>0</v>
      </c>
    </row>
    <row r="1384" spans="1:53" s="1" customFormat="1" x14ac:dyDescent="0.25">
      <c r="A1384" s="18">
        <f>IF(COUNTIF($Y$6:Y1384,Y1384)=1,Y1384,Y1384+COUNTIF($Y$5:Y1383,Y1384))</f>
        <v>379</v>
      </c>
      <c r="B1384" s="1">
        <f>IF(AND(Kisero_iv!$N$2=C1384,Kisero_iv!$K$5=$B$3,SUM(I1384:L1388)&lt;&gt;0,$B$4=YEAR(W1384)),B1383+1,0)</f>
        <v>0</v>
      </c>
      <c r="C1384" s="1">
        <f t="shared" si="69"/>
        <v>379</v>
      </c>
      <c r="D1384" s="102" t="str">
        <f t="shared" si="70"/>
        <v/>
      </c>
      <c r="E1384" s="44"/>
      <c r="F1384" s="45"/>
      <c r="G1384" s="45"/>
      <c r="H1384" s="45"/>
      <c r="I1384" s="46"/>
      <c r="J1384" s="111" t="str">
        <f>IF(AND(G1384&lt;&gt;"",ISERROR(VLOOKUP(G1384,Keszlet!$C$5:$H$200,6,FALSE))=FALSE),VLOOKUP(G1384,Keszlet!$C$5:$H$200,6,FALSE),"")</f>
        <v/>
      </c>
      <c r="K1384" s="106" t="str">
        <f>IF(AND(G1384&lt;&gt;"",ISERROR(VLOOKUP(G1384,Keszlet!$C$5:$G$200,5,FALSE))=FALSE),VLOOKUP(G1384,Keszlet!$C$5:$G$200,5,FALSE),"")</f>
        <v/>
      </c>
      <c r="L1384" s="106" t="str">
        <f t="shared" si="71"/>
        <v/>
      </c>
      <c r="M1384" s="115" t="str">
        <f>IF(ISERROR(VLOOKUP(G1384,Keszlet!$C$5:$I$200,7,FALSE))=TRUE,"",IF(AND(J1383&lt;&gt;"",J1385=""),VLOOKUP(G1384,Keszlet!$C$5:$I$200,7,FALSE),""))</f>
        <v/>
      </c>
      <c r="Q1384" s="1">
        <f>VLOOKUP(G1384,Keszlet!$C$5:$E$205,3,FALSE)</f>
        <v>0</v>
      </c>
      <c r="T1384" s="1" t="str">
        <f t="shared" si="72"/>
        <v/>
      </c>
      <c r="U1384" s="1">
        <f t="shared" si="73"/>
        <v>0</v>
      </c>
      <c r="W1384" s="6">
        <f t="shared" si="76"/>
        <v>0</v>
      </c>
      <c r="X1384" s="6">
        <f t="shared" si="68"/>
        <v>0</v>
      </c>
      <c r="Y1384" s="1">
        <f t="shared" si="74"/>
        <v>1</v>
      </c>
      <c r="Z1384" s="1">
        <f>IF(COUNTIF($Y$6:Y1384,Y1384)=1,Y1384,Y1384+COUNTIF($Y$5:Y1383,Y1384))</f>
        <v>379</v>
      </c>
      <c r="AD1384" s="1" t="str">
        <f t="shared" si="75"/>
        <v/>
      </c>
      <c r="BA1384" s="1">
        <f>IF(W1384&lt;=Leltar_iv!$Y$1,I1384,0)</f>
        <v>0</v>
      </c>
    </row>
    <row r="1385" spans="1:53" s="1" customFormat="1" x14ac:dyDescent="0.25">
      <c r="A1385" s="18">
        <f>IF(COUNTIF($Y$6:Y1385,Y1385)=1,Y1385,Y1385+COUNTIF($Y$5:Y1384,Y1385))</f>
        <v>380</v>
      </c>
      <c r="B1385" s="1">
        <f>IF(AND(Kisero_iv!$N$2=C1385,Kisero_iv!$K$5=$B$3,SUM(I1385:L1389)&lt;&gt;0,$B$4=YEAR(W1385)),B1384+1,0)</f>
        <v>0</v>
      </c>
      <c r="C1385" s="1">
        <f t="shared" si="69"/>
        <v>380</v>
      </c>
      <c r="D1385" s="102" t="str">
        <f t="shared" si="70"/>
        <v/>
      </c>
      <c r="E1385" s="44"/>
      <c r="F1385" s="45"/>
      <c r="G1385" s="45"/>
      <c r="H1385" s="45"/>
      <c r="I1385" s="46"/>
      <c r="J1385" s="111" t="str">
        <f>IF(AND(G1385&lt;&gt;"",ISERROR(VLOOKUP(G1385,Keszlet!$C$5:$H$200,6,FALSE))=FALSE),VLOOKUP(G1385,Keszlet!$C$5:$H$200,6,FALSE),"")</f>
        <v/>
      </c>
      <c r="K1385" s="106" t="str">
        <f>IF(AND(G1385&lt;&gt;"",ISERROR(VLOOKUP(G1385,Keszlet!$C$5:$G$200,5,FALSE))=FALSE),VLOOKUP(G1385,Keszlet!$C$5:$G$200,5,FALSE),"")</f>
        <v/>
      </c>
      <c r="L1385" s="106" t="str">
        <f t="shared" si="71"/>
        <v/>
      </c>
      <c r="M1385" s="115" t="str">
        <f>IF(ISERROR(VLOOKUP(G1385,Keszlet!$C$5:$I$200,7,FALSE))=TRUE,"",IF(AND(J1384&lt;&gt;"",J1386=""),VLOOKUP(G1385,Keszlet!$C$5:$I$200,7,FALSE),""))</f>
        <v/>
      </c>
      <c r="Q1385" s="1">
        <f>VLOOKUP(G1385,Keszlet!$C$5:$E$205,3,FALSE)</f>
        <v>0</v>
      </c>
      <c r="T1385" s="1" t="str">
        <f t="shared" si="72"/>
        <v/>
      </c>
      <c r="U1385" s="1">
        <f t="shared" si="73"/>
        <v>0</v>
      </c>
      <c r="W1385" s="6">
        <f t="shared" si="76"/>
        <v>0</v>
      </c>
      <c r="X1385" s="6">
        <f t="shared" si="68"/>
        <v>0</v>
      </c>
      <c r="Y1385" s="1">
        <f t="shared" si="74"/>
        <v>1</v>
      </c>
      <c r="Z1385" s="1">
        <f>IF(COUNTIF($Y$6:Y1385,Y1385)=1,Y1385,Y1385+COUNTIF($Y$5:Y1384,Y1385))</f>
        <v>380</v>
      </c>
      <c r="AD1385" s="1" t="str">
        <f t="shared" si="75"/>
        <v/>
      </c>
      <c r="BA1385" s="1">
        <f>IF(W1385&lt;=Leltar_iv!$Y$1,I1385,0)</f>
        <v>0</v>
      </c>
    </row>
    <row r="1386" spans="1:53" s="1" customFormat="1" x14ac:dyDescent="0.25">
      <c r="A1386" s="18">
        <f>IF(COUNTIF($Y$6:Y1386,Y1386)=1,Y1386,Y1386+COUNTIF($Y$5:Y1385,Y1386))</f>
        <v>381</v>
      </c>
      <c r="B1386" s="1">
        <f>IF(AND(Kisero_iv!$N$2=C1386,Kisero_iv!$K$5=$B$3,SUM(I1386:L1390)&lt;&gt;0,$B$4=YEAR(W1386)),B1385+1,0)</f>
        <v>0</v>
      </c>
      <c r="C1386" s="1">
        <f t="shared" si="69"/>
        <v>381</v>
      </c>
      <c r="D1386" s="102" t="str">
        <f t="shared" si="70"/>
        <v/>
      </c>
      <c r="E1386" s="44"/>
      <c r="F1386" s="45"/>
      <c r="G1386" s="45"/>
      <c r="H1386" s="45"/>
      <c r="I1386" s="46"/>
      <c r="J1386" s="111" t="str">
        <f>IF(AND(G1386&lt;&gt;"",ISERROR(VLOOKUP(G1386,Keszlet!$C$5:$H$200,6,FALSE))=FALSE),VLOOKUP(G1386,Keszlet!$C$5:$H$200,6,FALSE),"")</f>
        <v/>
      </c>
      <c r="K1386" s="106" t="str">
        <f>IF(AND(G1386&lt;&gt;"",ISERROR(VLOOKUP(G1386,Keszlet!$C$5:$G$200,5,FALSE))=FALSE),VLOOKUP(G1386,Keszlet!$C$5:$G$200,5,FALSE),"")</f>
        <v/>
      </c>
      <c r="L1386" s="106" t="str">
        <f t="shared" si="71"/>
        <v/>
      </c>
      <c r="M1386" s="115" t="str">
        <f>IF(ISERROR(VLOOKUP(G1386,Keszlet!$C$5:$I$200,7,FALSE))=TRUE,"",IF(AND(J1385&lt;&gt;"",J1387=""),VLOOKUP(G1386,Keszlet!$C$5:$I$200,7,FALSE),""))</f>
        <v/>
      </c>
      <c r="Q1386" s="1">
        <f>VLOOKUP(G1386,Keszlet!$C$5:$E$205,3,FALSE)</f>
        <v>0</v>
      </c>
      <c r="T1386" s="1" t="str">
        <f t="shared" si="72"/>
        <v/>
      </c>
      <c r="U1386" s="1">
        <f t="shared" si="73"/>
        <v>0</v>
      </c>
      <c r="W1386" s="6">
        <f t="shared" si="76"/>
        <v>0</v>
      </c>
      <c r="X1386" s="6">
        <f t="shared" si="68"/>
        <v>0</v>
      </c>
      <c r="Y1386" s="1">
        <f t="shared" si="74"/>
        <v>1</v>
      </c>
      <c r="Z1386" s="1">
        <f>IF(COUNTIF($Y$6:Y1386,Y1386)=1,Y1386,Y1386+COUNTIF($Y$5:Y1385,Y1386))</f>
        <v>381</v>
      </c>
      <c r="AD1386" s="1" t="str">
        <f t="shared" si="75"/>
        <v/>
      </c>
      <c r="BA1386" s="1">
        <f>IF(W1386&lt;=Leltar_iv!$Y$1,I1386,0)</f>
        <v>0</v>
      </c>
    </row>
    <row r="1387" spans="1:53" s="1" customFormat="1" x14ac:dyDescent="0.25">
      <c r="A1387" s="18">
        <f>IF(COUNTIF($Y$6:Y1387,Y1387)=1,Y1387,Y1387+COUNTIF($Y$5:Y1386,Y1387))</f>
        <v>382</v>
      </c>
      <c r="B1387" s="1">
        <f>IF(AND(Kisero_iv!$N$2=C1387,Kisero_iv!$K$5=$B$3,SUM(I1387:L1391)&lt;&gt;0,$B$4=YEAR(W1387)),B1386+1,0)</f>
        <v>0</v>
      </c>
      <c r="C1387" s="1">
        <f t="shared" si="69"/>
        <v>382</v>
      </c>
      <c r="D1387" s="102" t="str">
        <f t="shared" si="70"/>
        <v/>
      </c>
      <c r="E1387" s="44"/>
      <c r="F1387" s="45"/>
      <c r="G1387" s="45"/>
      <c r="H1387" s="45"/>
      <c r="I1387" s="46"/>
      <c r="J1387" s="111" t="str">
        <f>IF(AND(G1387&lt;&gt;"",ISERROR(VLOOKUP(G1387,Keszlet!$C$5:$H$200,6,FALSE))=FALSE),VLOOKUP(G1387,Keszlet!$C$5:$H$200,6,FALSE),"")</f>
        <v/>
      </c>
      <c r="K1387" s="106" t="str">
        <f>IF(AND(G1387&lt;&gt;"",ISERROR(VLOOKUP(G1387,Keszlet!$C$5:$G$200,5,FALSE))=FALSE),VLOOKUP(G1387,Keszlet!$C$5:$G$200,5,FALSE),"")</f>
        <v/>
      </c>
      <c r="L1387" s="106" t="str">
        <f t="shared" si="71"/>
        <v/>
      </c>
      <c r="M1387" s="115" t="str">
        <f>IF(ISERROR(VLOOKUP(G1387,Keszlet!$C$5:$I$200,7,FALSE))=TRUE,"",IF(AND(J1386&lt;&gt;"",J1388=""),VLOOKUP(G1387,Keszlet!$C$5:$I$200,7,FALSE),""))</f>
        <v/>
      </c>
      <c r="Q1387" s="1">
        <f>VLOOKUP(G1387,Keszlet!$C$5:$E$205,3,FALSE)</f>
        <v>0</v>
      </c>
      <c r="T1387" s="1" t="str">
        <f t="shared" si="72"/>
        <v/>
      </c>
      <c r="U1387" s="1">
        <f t="shared" si="73"/>
        <v>0</v>
      </c>
      <c r="W1387" s="6">
        <f t="shared" si="76"/>
        <v>0</v>
      </c>
      <c r="X1387" s="6">
        <f t="shared" si="68"/>
        <v>0</v>
      </c>
      <c r="Y1387" s="1">
        <f t="shared" si="74"/>
        <v>1</v>
      </c>
      <c r="Z1387" s="1">
        <f>IF(COUNTIF($Y$6:Y1387,Y1387)=1,Y1387,Y1387+COUNTIF($Y$5:Y1386,Y1387))</f>
        <v>382</v>
      </c>
      <c r="AD1387" s="1" t="str">
        <f t="shared" si="75"/>
        <v/>
      </c>
      <c r="BA1387" s="1">
        <f>IF(W1387&lt;=Leltar_iv!$Y$1,I1387,0)</f>
        <v>0</v>
      </c>
    </row>
    <row r="1388" spans="1:53" s="1" customFormat="1" x14ac:dyDescent="0.25">
      <c r="A1388" s="18">
        <f>IF(COUNTIF($Y$6:Y1388,Y1388)=1,Y1388,Y1388+COUNTIF($Y$5:Y1387,Y1388))</f>
        <v>383</v>
      </c>
      <c r="B1388" s="1">
        <f>IF(AND(Kisero_iv!$N$2=C1388,Kisero_iv!$K$5=$B$3,SUM(I1388:L1392)&lt;&gt;0,$B$4=YEAR(W1388)),B1387+1,0)</f>
        <v>0</v>
      </c>
      <c r="C1388" s="1">
        <f t="shared" si="69"/>
        <v>383</v>
      </c>
      <c r="D1388" s="102" t="str">
        <f t="shared" si="70"/>
        <v/>
      </c>
      <c r="E1388" s="44"/>
      <c r="F1388" s="45"/>
      <c r="G1388" s="45"/>
      <c r="H1388" s="45"/>
      <c r="I1388" s="46"/>
      <c r="J1388" s="111" t="str">
        <f>IF(AND(G1388&lt;&gt;"",ISERROR(VLOOKUP(G1388,Keszlet!$C$5:$H$200,6,FALSE))=FALSE),VLOOKUP(G1388,Keszlet!$C$5:$H$200,6,FALSE),"")</f>
        <v/>
      </c>
      <c r="K1388" s="106" t="str">
        <f>IF(AND(G1388&lt;&gt;"",ISERROR(VLOOKUP(G1388,Keszlet!$C$5:$G$200,5,FALSE))=FALSE),VLOOKUP(G1388,Keszlet!$C$5:$G$200,5,FALSE),"")</f>
        <v/>
      </c>
      <c r="L1388" s="106" t="str">
        <f t="shared" si="71"/>
        <v/>
      </c>
      <c r="M1388" s="115" t="str">
        <f>IF(ISERROR(VLOOKUP(G1388,Keszlet!$C$5:$I$200,7,FALSE))=TRUE,"",IF(AND(J1387&lt;&gt;"",J1389=""),VLOOKUP(G1388,Keszlet!$C$5:$I$200,7,FALSE),""))</f>
        <v/>
      </c>
      <c r="Q1388" s="1">
        <f>VLOOKUP(G1388,Keszlet!$C$5:$E$205,3,FALSE)</f>
        <v>0</v>
      </c>
      <c r="T1388" s="1" t="str">
        <f t="shared" si="72"/>
        <v/>
      </c>
      <c r="U1388" s="1">
        <f t="shared" si="73"/>
        <v>0</v>
      </c>
      <c r="W1388" s="6">
        <f t="shared" si="76"/>
        <v>0</v>
      </c>
      <c r="X1388" s="6">
        <f t="shared" si="68"/>
        <v>0</v>
      </c>
      <c r="Y1388" s="1">
        <f t="shared" si="74"/>
        <v>1</v>
      </c>
      <c r="Z1388" s="1">
        <f>IF(COUNTIF($Y$6:Y1388,Y1388)=1,Y1388,Y1388+COUNTIF($Y$5:Y1387,Y1388))</f>
        <v>383</v>
      </c>
      <c r="AD1388" s="1" t="str">
        <f t="shared" si="75"/>
        <v/>
      </c>
      <c r="BA1388" s="1">
        <f>IF(W1388&lt;=Leltar_iv!$Y$1,I1388,0)</f>
        <v>0</v>
      </c>
    </row>
    <row r="1389" spans="1:53" s="1" customFormat="1" x14ac:dyDescent="0.25">
      <c r="A1389" s="18">
        <f>IF(COUNTIF($Y$6:Y1389,Y1389)=1,Y1389,Y1389+COUNTIF($Y$5:Y1388,Y1389))</f>
        <v>384</v>
      </c>
      <c r="B1389" s="1">
        <f>IF(AND(Kisero_iv!$N$2=C1389,Kisero_iv!$K$5=$B$3,SUM(I1389:L1393)&lt;&gt;0,$B$4=YEAR(W1389)),B1388+1,0)</f>
        <v>0</v>
      </c>
      <c r="C1389" s="1">
        <f t="shared" si="69"/>
        <v>384</v>
      </c>
      <c r="D1389" s="102" t="str">
        <f t="shared" si="70"/>
        <v/>
      </c>
      <c r="E1389" s="44"/>
      <c r="F1389" s="45"/>
      <c r="G1389" s="45"/>
      <c r="H1389" s="45"/>
      <c r="I1389" s="46"/>
      <c r="J1389" s="111" t="str">
        <f>IF(AND(G1389&lt;&gt;"",ISERROR(VLOOKUP(G1389,Keszlet!$C$5:$H$200,6,FALSE))=FALSE),VLOOKUP(G1389,Keszlet!$C$5:$H$200,6,FALSE),"")</f>
        <v/>
      </c>
      <c r="K1389" s="106" t="str">
        <f>IF(AND(G1389&lt;&gt;"",ISERROR(VLOOKUP(G1389,Keszlet!$C$5:$G$200,5,FALSE))=FALSE),VLOOKUP(G1389,Keszlet!$C$5:$G$200,5,FALSE),"")</f>
        <v/>
      </c>
      <c r="L1389" s="106" t="str">
        <f t="shared" si="71"/>
        <v/>
      </c>
      <c r="M1389" s="115" t="str">
        <f>IF(ISERROR(VLOOKUP(G1389,Keszlet!$C$5:$I$200,7,FALSE))=TRUE,"",IF(AND(J1388&lt;&gt;"",J1390=""),VLOOKUP(G1389,Keszlet!$C$5:$I$200,7,FALSE),""))</f>
        <v/>
      </c>
      <c r="Q1389" s="1">
        <f>VLOOKUP(G1389,Keszlet!$C$5:$E$205,3,FALSE)</f>
        <v>0</v>
      </c>
      <c r="T1389" s="1" t="str">
        <f t="shared" si="72"/>
        <v/>
      </c>
      <c r="U1389" s="1">
        <f t="shared" si="73"/>
        <v>0</v>
      </c>
      <c r="W1389" s="6">
        <f t="shared" si="76"/>
        <v>0</v>
      </c>
      <c r="X1389" s="6">
        <f t="shared" si="68"/>
        <v>0</v>
      </c>
      <c r="Y1389" s="1">
        <f t="shared" si="74"/>
        <v>1</v>
      </c>
      <c r="Z1389" s="1">
        <f>IF(COUNTIF($Y$6:Y1389,Y1389)=1,Y1389,Y1389+COUNTIF($Y$5:Y1388,Y1389))</f>
        <v>384</v>
      </c>
      <c r="AD1389" s="1" t="str">
        <f t="shared" si="75"/>
        <v/>
      </c>
      <c r="BA1389" s="1">
        <f>IF(W1389&lt;=Leltar_iv!$Y$1,I1389,0)</f>
        <v>0</v>
      </c>
    </row>
    <row r="1390" spans="1:53" s="1" customFormat="1" x14ac:dyDescent="0.25">
      <c r="A1390" s="18">
        <f>IF(COUNTIF($Y$6:Y1390,Y1390)=1,Y1390,Y1390+COUNTIF($Y$5:Y1389,Y1390))</f>
        <v>385</v>
      </c>
      <c r="B1390" s="1">
        <f>IF(AND(Kisero_iv!$N$2=C1390,Kisero_iv!$K$5=$B$3,SUM(I1390:L1394)&lt;&gt;0,$B$4=YEAR(W1390)),B1389+1,0)</f>
        <v>0</v>
      </c>
      <c r="C1390" s="1">
        <f t="shared" si="69"/>
        <v>385</v>
      </c>
      <c r="D1390" s="102" t="str">
        <f t="shared" si="70"/>
        <v/>
      </c>
      <c r="E1390" s="44"/>
      <c r="F1390" s="45"/>
      <c r="G1390" s="45"/>
      <c r="H1390" s="45"/>
      <c r="I1390" s="46"/>
      <c r="J1390" s="111" t="str">
        <f>IF(AND(G1390&lt;&gt;"",ISERROR(VLOOKUP(G1390,Keszlet!$C$5:$H$200,6,FALSE))=FALSE),VLOOKUP(G1390,Keszlet!$C$5:$H$200,6,FALSE),"")</f>
        <v/>
      </c>
      <c r="K1390" s="106" t="str">
        <f>IF(AND(G1390&lt;&gt;"",ISERROR(VLOOKUP(G1390,Keszlet!$C$5:$G$200,5,FALSE))=FALSE),VLOOKUP(G1390,Keszlet!$C$5:$G$200,5,FALSE),"")</f>
        <v/>
      </c>
      <c r="L1390" s="106" t="str">
        <f t="shared" si="71"/>
        <v/>
      </c>
      <c r="M1390" s="115" t="str">
        <f>IF(ISERROR(VLOOKUP(G1390,Keszlet!$C$5:$I$200,7,FALSE))=TRUE,"",IF(AND(J1389&lt;&gt;"",J1391=""),VLOOKUP(G1390,Keszlet!$C$5:$I$200,7,FALSE),""))</f>
        <v/>
      </c>
      <c r="Q1390" s="1">
        <f>VLOOKUP(G1390,Keszlet!$C$5:$E$205,3,FALSE)</f>
        <v>0</v>
      </c>
      <c r="T1390" s="1" t="str">
        <f t="shared" si="72"/>
        <v/>
      </c>
      <c r="U1390" s="1">
        <f t="shared" si="73"/>
        <v>0</v>
      </c>
      <c r="W1390" s="6">
        <f t="shared" si="76"/>
        <v>0</v>
      </c>
      <c r="X1390" s="6">
        <f t="shared" ref="X1390:X1453" si="77">IF(G1390=q,W1390,$X$1)</f>
        <v>0</v>
      </c>
      <c r="Y1390" s="1">
        <f t="shared" si="74"/>
        <v>1</v>
      </c>
      <c r="Z1390" s="1">
        <f>IF(COUNTIF($Y$6:Y1390,Y1390)=1,Y1390,Y1390+COUNTIF($Y$5:Y1389,Y1390))</f>
        <v>385</v>
      </c>
      <c r="AD1390" s="1" t="str">
        <f t="shared" si="75"/>
        <v/>
      </c>
      <c r="BA1390" s="1">
        <f>IF(W1390&lt;=Leltar_iv!$Y$1,I1390,0)</f>
        <v>0</v>
      </c>
    </row>
    <row r="1391" spans="1:53" s="1" customFormat="1" x14ac:dyDescent="0.25">
      <c r="A1391" s="18">
        <f>IF(COUNTIF($Y$6:Y1391,Y1391)=1,Y1391,Y1391+COUNTIF($Y$5:Y1390,Y1391))</f>
        <v>386</v>
      </c>
      <c r="B1391" s="1">
        <f>IF(AND(Kisero_iv!$N$2=C1391,Kisero_iv!$K$5=$B$3,SUM(I1391:L1395)&lt;&gt;0,$B$4=YEAR(W1391)),B1390+1,0)</f>
        <v>0</v>
      </c>
      <c r="C1391" s="1">
        <f t="shared" ref="C1391:C1454" si="78">IF(YEAR(W1390)&lt;&gt;YEAR(W1391),1,IF(T1391&lt;&gt;0,C1390+1,C1390))</f>
        <v>386</v>
      </c>
      <c r="D1391" s="102" t="str">
        <f t="shared" ref="D1391:D1454" si="79">IF(AND(OR(C1390&lt;&gt;C1391,C1391=1),SUM(L1391:L1411)&lt;&gt;0),YEAR(W1391)&amp;"/"&amp;C1391,"")</f>
        <v/>
      </c>
      <c r="E1391" s="44"/>
      <c r="F1391" s="45"/>
      <c r="G1391" s="45"/>
      <c r="H1391" s="45"/>
      <c r="I1391" s="46"/>
      <c r="J1391" s="111" t="str">
        <f>IF(AND(G1391&lt;&gt;"",ISERROR(VLOOKUP(G1391,Keszlet!$C$5:$H$200,6,FALSE))=FALSE),VLOOKUP(G1391,Keszlet!$C$5:$H$200,6,FALSE),"")</f>
        <v/>
      </c>
      <c r="K1391" s="106" t="str">
        <f>IF(AND(G1391&lt;&gt;"",ISERROR(VLOOKUP(G1391,Keszlet!$C$5:$G$200,5,FALSE))=FALSE),VLOOKUP(G1391,Keszlet!$C$5:$G$200,5,FALSE),"")</f>
        <v/>
      </c>
      <c r="L1391" s="106" t="str">
        <f t="shared" ref="L1391:L1454" si="80">IF(AND(G1391&lt;&gt;0,K1391&lt;&gt;""),I1391*K1391,"")</f>
        <v/>
      </c>
      <c r="M1391" s="115" t="str">
        <f>IF(ISERROR(VLOOKUP(G1391,Keszlet!$C$5:$I$200,7,FALSE))=TRUE,"",IF(AND(J1390&lt;&gt;"",J1392=""),VLOOKUP(G1391,Keszlet!$C$5:$I$200,7,FALSE),""))</f>
        <v/>
      </c>
      <c r="Q1391" s="1">
        <f>VLOOKUP(G1391,Keszlet!$C$5:$E$205,3,FALSE)</f>
        <v>0</v>
      </c>
      <c r="T1391" s="1" t="str">
        <f t="shared" ref="T1391:T1454" si="81">IF(OR(E1391&lt;&gt;0,COUNTIF(T1382:T1390,0)=9,F1391&lt;&gt;0,SUM(L1391:L1411)=0),E1391&amp;F1391,0)</f>
        <v/>
      </c>
      <c r="U1391" s="1">
        <f t="shared" ref="U1391:U1454" si="82">IF(F1391&lt;&gt;"",F1391,U1390)</f>
        <v>0</v>
      </c>
      <c r="W1391" s="6">
        <f t="shared" si="76"/>
        <v>0</v>
      </c>
      <c r="X1391" s="6">
        <f t="shared" si="77"/>
        <v>0</v>
      </c>
      <c r="Y1391" s="1">
        <f t="shared" ref="Y1391:Y1454" si="83">RANK(X1391,$X$6:$X$10000,1)</f>
        <v>1</v>
      </c>
      <c r="Z1391" s="1">
        <f>IF(COUNTIF($Y$6:Y1391,Y1391)=1,Y1391,Y1391+COUNTIF($Y$5:Y1390,Y1391))</f>
        <v>386</v>
      </c>
      <c r="AD1391" s="1" t="str">
        <f t="shared" ref="AD1391:AD1454" si="84">IF(AND(OR(C1390&lt;&gt;C1391,YEAR(W1391)&lt;&gt;YEAR(W1390)),SUM(L1391:L1411)&lt;&gt;0,$B$4=YEAR(W1391)),C1391,"")</f>
        <v/>
      </c>
      <c r="BA1391" s="1">
        <f>IF(W1391&lt;=Leltar_iv!$Y$1,I1391,0)</f>
        <v>0</v>
      </c>
    </row>
    <row r="1392" spans="1:53" s="1" customFormat="1" x14ac:dyDescent="0.25">
      <c r="A1392" s="18">
        <f>IF(COUNTIF($Y$6:Y1392,Y1392)=1,Y1392,Y1392+COUNTIF($Y$5:Y1391,Y1392))</f>
        <v>387</v>
      </c>
      <c r="B1392" s="1">
        <f>IF(AND(Kisero_iv!$N$2=C1392,Kisero_iv!$K$5=$B$3,SUM(I1392:L1396)&lt;&gt;0,$B$4=YEAR(W1392)),B1391+1,0)</f>
        <v>0</v>
      </c>
      <c r="C1392" s="1">
        <f t="shared" si="78"/>
        <v>387</v>
      </c>
      <c r="D1392" s="102" t="str">
        <f t="shared" si="79"/>
        <v/>
      </c>
      <c r="E1392" s="44"/>
      <c r="F1392" s="45"/>
      <c r="G1392" s="45"/>
      <c r="H1392" s="45"/>
      <c r="I1392" s="46"/>
      <c r="J1392" s="111" t="str">
        <f>IF(AND(G1392&lt;&gt;"",ISERROR(VLOOKUP(G1392,Keszlet!$C$5:$H$200,6,FALSE))=FALSE),VLOOKUP(G1392,Keszlet!$C$5:$H$200,6,FALSE),"")</f>
        <v/>
      </c>
      <c r="K1392" s="106" t="str">
        <f>IF(AND(G1392&lt;&gt;"",ISERROR(VLOOKUP(G1392,Keszlet!$C$5:$G$200,5,FALSE))=FALSE),VLOOKUP(G1392,Keszlet!$C$5:$G$200,5,FALSE),"")</f>
        <v/>
      </c>
      <c r="L1392" s="106" t="str">
        <f t="shared" si="80"/>
        <v/>
      </c>
      <c r="M1392" s="115" t="str">
        <f>IF(ISERROR(VLOOKUP(G1392,Keszlet!$C$5:$I$200,7,FALSE))=TRUE,"",IF(AND(J1391&lt;&gt;"",J1393=""),VLOOKUP(G1392,Keszlet!$C$5:$I$200,7,FALSE),""))</f>
        <v/>
      </c>
      <c r="Q1392" s="1">
        <f>VLOOKUP(G1392,Keszlet!$C$5:$E$205,3,FALSE)</f>
        <v>0</v>
      </c>
      <c r="T1392" s="1" t="str">
        <f t="shared" si="81"/>
        <v/>
      </c>
      <c r="U1392" s="1">
        <f t="shared" si="82"/>
        <v>0</v>
      </c>
      <c r="W1392" s="6">
        <f t="shared" si="76"/>
        <v>0</v>
      </c>
      <c r="X1392" s="6">
        <f t="shared" si="77"/>
        <v>0</v>
      </c>
      <c r="Y1392" s="1">
        <f t="shared" si="83"/>
        <v>1</v>
      </c>
      <c r="Z1392" s="1">
        <f>IF(COUNTIF($Y$6:Y1392,Y1392)=1,Y1392,Y1392+COUNTIF($Y$5:Y1391,Y1392))</f>
        <v>387</v>
      </c>
      <c r="AD1392" s="1" t="str">
        <f t="shared" si="84"/>
        <v/>
      </c>
      <c r="BA1392" s="1">
        <f>IF(W1392&lt;=Leltar_iv!$Y$1,I1392,0)</f>
        <v>0</v>
      </c>
    </row>
    <row r="1393" spans="1:53" s="1" customFormat="1" x14ac:dyDescent="0.25">
      <c r="A1393" s="18">
        <f>IF(COUNTIF($Y$6:Y1393,Y1393)=1,Y1393,Y1393+COUNTIF($Y$5:Y1392,Y1393))</f>
        <v>388</v>
      </c>
      <c r="B1393" s="1">
        <f>IF(AND(Kisero_iv!$N$2=C1393,Kisero_iv!$K$5=$B$3,SUM(I1393:L1397)&lt;&gt;0,$B$4=YEAR(W1393)),B1392+1,0)</f>
        <v>0</v>
      </c>
      <c r="C1393" s="1">
        <f t="shared" si="78"/>
        <v>388</v>
      </c>
      <c r="D1393" s="102" t="str">
        <f t="shared" si="79"/>
        <v/>
      </c>
      <c r="E1393" s="44"/>
      <c r="F1393" s="45"/>
      <c r="G1393" s="45"/>
      <c r="H1393" s="45"/>
      <c r="I1393" s="46"/>
      <c r="J1393" s="111" t="str">
        <f>IF(AND(G1393&lt;&gt;"",ISERROR(VLOOKUP(G1393,Keszlet!$C$5:$H$200,6,FALSE))=FALSE),VLOOKUP(G1393,Keszlet!$C$5:$H$200,6,FALSE),"")</f>
        <v/>
      </c>
      <c r="K1393" s="106" t="str">
        <f>IF(AND(G1393&lt;&gt;"",ISERROR(VLOOKUP(G1393,Keszlet!$C$5:$G$200,5,FALSE))=FALSE),VLOOKUP(G1393,Keszlet!$C$5:$G$200,5,FALSE),"")</f>
        <v/>
      </c>
      <c r="L1393" s="106" t="str">
        <f t="shared" si="80"/>
        <v/>
      </c>
      <c r="M1393" s="115" t="str">
        <f>IF(ISERROR(VLOOKUP(G1393,Keszlet!$C$5:$I$200,7,FALSE))=TRUE,"",IF(AND(J1392&lt;&gt;"",J1394=""),VLOOKUP(G1393,Keszlet!$C$5:$I$200,7,FALSE),""))</f>
        <v/>
      </c>
      <c r="Q1393" s="1">
        <f>VLOOKUP(G1393,Keszlet!$C$5:$E$205,3,FALSE)</f>
        <v>0</v>
      </c>
      <c r="T1393" s="1" t="str">
        <f t="shared" si="81"/>
        <v/>
      </c>
      <c r="U1393" s="1">
        <f t="shared" si="82"/>
        <v>0</v>
      </c>
      <c r="W1393" s="6">
        <f t="shared" ref="W1393:W1456" si="85">IF(E1393&lt;&gt;0,E1393,W1392)</f>
        <v>0</v>
      </c>
      <c r="X1393" s="6">
        <f t="shared" si="77"/>
        <v>0</v>
      </c>
      <c r="Y1393" s="1">
        <f t="shared" si="83"/>
        <v>1</v>
      </c>
      <c r="Z1393" s="1">
        <f>IF(COUNTIF($Y$6:Y1393,Y1393)=1,Y1393,Y1393+COUNTIF($Y$5:Y1392,Y1393))</f>
        <v>388</v>
      </c>
      <c r="AD1393" s="1" t="str">
        <f t="shared" si="84"/>
        <v/>
      </c>
      <c r="BA1393" s="1">
        <f>IF(W1393&lt;=Leltar_iv!$Y$1,I1393,0)</f>
        <v>0</v>
      </c>
    </row>
    <row r="1394" spans="1:53" s="1" customFormat="1" x14ac:dyDescent="0.25">
      <c r="A1394" s="18">
        <f>IF(COUNTIF($Y$6:Y1394,Y1394)=1,Y1394,Y1394+COUNTIF($Y$5:Y1393,Y1394))</f>
        <v>389</v>
      </c>
      <c r="B1394" s="1">
        <f>IF(AND(Kisero_iv!$N$2=C1394,Kisero_iv!$K$5=$B$3,SUM(I1394:L1398)&lt;&gt;0,$B$4=YEAR(W1394)),B1393+1,0)</f>
        <v>0</v>
      </c>
      <c r="C1394" s="1">
        <f t="shared" si="78"/>
        <v>389</v>
      </c>
      <c r="D1394" s="102" t="str">
        <f t="shared" si="79"/>
        <v/>
      </c>
      <c r="E1394" s="44"/>
      <c r="F1394" s="45"/>
      <c r="G1394" s="45"/>
      <c r="H1394" s="45"/>
      <c r="I1394" s="46"/>
      <c r="J1394" s="111" t="str">
        <f>IF(AND(G1394&lt;&gt;"",ISERROR(VLOOKUP(G1394,Keszlet!$C$5:$H$200,6,FALSE))=FALSE),VLOOKUP(G1394,Keszlet!$C$5:$H$200,6,FALSE),"")</f>
        <v/>
      </c>
      <c r="K1394" s="106" t="str">
        <f>IF(AND(G1394&lt;&gt;"",ISERROR(VLOOKUP(G1394,Keszlet!$C$5:$G$200,5,FALSE))=FALSE),VLOOKUP(G1394,Keszlet!$C$5:$G$200,5,FALSE),"")</f>
        <v/>
      </c>
      <c r="L1394" s="106" t="str">
        <f t="shared" si="80"/>
        <v/>
      </c>
      <c r="M1394" s="115" t="str">
        <f>IF(ISERROR(VLOOKUP(G1394,Keszlet!$C$5:$I$200,7,FALSE))=TRUE,"",IF(AND(J1393&lt;&gt;"",J1395=""),VLOOKUP(G1394,Keszlet!$C$5:$I$200,7,FALSE),""))</f>
        <v/>
      </c>
      <c r="Q1394" s="1">
        <f>VLOOKUP(G1394,Keszlet!$C$5:$E$205,3,FALSE)</f>
        <v>0</v>
      </c>
      <c r="T1394" s="1" t="str">
        <f t="shared" si="81"/>
        <v/>
      </c>
      <c r="U1394" s="1">
        <f t="shared" si="82"/>
        <v>0</v>
      </c>
      <c r="W1394" s="6">
        <f t="shared" si="85"/>
        <v>0</v>
      </c>
      <c r="X1394" s="6">
        <f t="shared" si="77"/>
        <v>0</v>
      </c>
      <c r="Y1394" s="1">
        <f t="shared" si="83"/>
        <v>1</v>
      </c>
      <c r="Z1394" s="1">
        <f>IF(COUNTIF($Y$6:Y1394,Y1394)=1,Y1394,Y1394+COUNTIF($Y$5:Y1393,Y1394))</f>
        <v>389</v>
      </c>
      <c r="AD1394" s="1" t="str">
        <f t="shared" si="84"/>
        <v/>
      </c>
      <c r="BA1394" s="1">
        <f>IF(W1394&lt;=Leltar_iv!$Y$1,I1394,0)</f>
        <v>0</v>
      </c>
    </row>
    <row r="1395" spans="1:53" s="1" customFormat="1" x14ac:dyDescent="0.25">
      <c r="A1395" s="18">
        <f>IF(COUNTIF($Y$6:Y1395,Y1395)=1,Y1395,Y1395+COUNTIF($Y$5:Y1394,Y1395))</f>
        <v>390</v>
      </c>
      <c r="B1395" s="1">
        <f>IF(AND(Kisero_iv!$N$2=C1395,Kisero_iv!$K$5=$B$3,SUM(I1395:L1399)&lt;&gt;0,$B$4=YEAR(W1395)),B1394+1,0)</f>
        <v>0</v>
      </c>
      <c r="C1395" s="1">
        <f t="shared" si="78"/>
        <v>390</v>
      </c>
      <c r="D1395" s="102" t="str">
        <f t="shared" si="79"/>
        <v/>
      </c>
      <c r="E1395" s="44"/>
      <c r="F1395" s="45"/>
      <c r="G1395" s="45"/>
      <c r="H1395" s="45"/>
      <c r="I1395" s="46"/>
      <c r="J1395" s="111" t="str">
        <f>IF(AND(G1395&lt;&gt;"",ISERROR(VLOOKUP(G1395,Keszlet!$C$5:$H$200,6,FALSE))=FALSE),VLOOKUP(G1395,Keszlet!$C$5:$H$200,6,FALSE),"")</f>
        <v/>
      </c>
      <c r="K1395" s="106" t="str">
        <f>IF(AND(G1395&lt;&gt;"",ISERROR(VLOOKUP(G1395,Keszlet!$C$5:$G$200,5,FALSE))=FALSE),VLOOKUP(G1395,Keszlet!$C$5:$G$200,5,FALSE),"")</f>
        <v/>
      </c>
      <c r="L1395" s="106" t="str">
        <f t="shared" si="80"/>
        <v/>
      </c>
      <c r="M1395" s="115" t="str">
        <f>IF(ISERROR(VLOOKUP(G1395,Keszlet!$C$5:$I$200,7,FALSE))=TRUE,"",IF(AND(J1394&lt;&gt;"",J1396=""),VLOOKUP(G1395,Keszlet!$C$5:$I$200,7,FALSE),""))</f>
        <v/>
      </c>
      <c r="Q1395" s="1">
        <f>VLOOKUP(G1395,Keszlet!$C$5:$E$205,3,FALSE)</f>
        <v>0</v>
      </c>
      <c r="T1395" s="1" t="str">
        <f t="shared" si="81"/>
        <v/>
      </c>
      <c r="U1395" s="1">
        <f t="shared" si="82"/>
        <v>0</v>
      </c>
      <c r="W1395" s="6">
        <f t="shared" si="85"/>
        <v>0</v>
      </c>
      <c r="X1395" s="6">
        <f t="shared" si="77"/>
        <v>0</v>
      </c>
      <c r="Y1395" s="1">
        <f t="shared" si="83"/>
        <v>1</v>
      </c>
      <c r="Z1395" s="1">
        <f>IF(COUNTIF($Y$6:Y1395,Y1395)=1,Y1395,Y1395+COUNTIF($Y$5:Y1394,Y1395))</f>
        <v>390</v>
      </c>
      <c r="AD1395" s="1" t="str">
        <f t="shared" si="84"/>
        <v/>
      </c>
      <c r="BA1395" s="1">
        <f>IF(W1395&lt;=Leltar_iv!$Y$1,I1395,0)</f>
        <v>0</v>
      </c>
    </row>
    <row r="1396" spans="1:53" s="1" customFormat="1" x14ac:dyDescent="0.25">
      <c r="A1396" s="18">
        <f>IF(COUNTIF($Y$6:Y1396,Y1396)=1,Y1396,Y1396+COUNTIF($Y$5:Y1395,Y1396))</f>
        <v>391</v>
      </c>
      <c r="B1396" s="1">
        <f>IF(AND(Kisero_iv!$N$2=C1396,Kisero_iv!$K$5=$B$3,SUM(I1396:L1400)&lt;&gt;0,$B$4=YEAR(W1396)),B1395+1,0)</f>
        <v>0</v>
      </c>
      <c r="C1396" s="1">
        <f t="shared" si="78"/>
        <v>391</v>
      </c>
      <c r="D1396" s="102" t="str">
        <f t="shared" si="79"/>
        <v/>
      </c>
      <c r="E1396" s="44"/>
      <c r="F1396" s="45"/>
      <c r="G1396" s="45"/>
      <c r="H1396" s="45"/>
      <c r="I1396" s="46"/>
      <c r="J1396" s="111" t="str">
        <f>IF(AND(G1396&lt;&gt;"",ISERROR(VLOOKUP(G1396,Keszlet!$C$5:$H$200,6,FALSE))=FALSE),VLOOKUP(G1396,Keszlet!$C$5:$H$200,6,FALSE),"")</f>
        <v/>
      </c>
      <c r="K1396" s="106" t="str">
        <f>IF(AND(G1396&lt;&gt;"",ISERROR(VLOOKUP(G1396,Keszlet!$C$5:$G$200,5,FALSE))=FALSE),VLOOKUP(G1396,Keszlet!$C$5:$G$200,5,FALSE),"")</f>
        <v/>
      </c>
      <c r="L1396" s="106" t="str">
        <f t="shared" si="80"/>
        <v/>
      </c>
      <c r="M1396" s="115" t="str">
        <f>IF(ISERROR(VLOOKUP(G1396,Keszlet!$C$5:$I$200,7,FALSE))=TRUE,"",IF(AND(J1395&lt;&gt;"",J1397=""),VLOOKUP(G1396,Keszlet!$C$5:$I$200,7,FALSE),""))</f>
        <v/>
      </c>
      <c r="Q1396" s="1">
        <f>VLOOKUP(G1396,Keszlet!$C$5:$E$205,3,FALSE)</f>
        <v>0</v>
      </c>
      <c r="T1396" s="1" t="str">
        <f t="shared" si="81"/>
        <v/>
      </c>
      <c r="U1396" s="1">
        <f t="shared" si="82"/>
        <v>0</v>
      </c>
      <c r="W1396" s="6">
        <f t="shared" si="85"/>
        <v>0</v>
      </c>
      <c r="X1396" s="6">
        <f t="shared" si="77"/>
        <v>0</v>
      </c>
      <c r="Y1396" s="1">
        <f t="shared" si="83"/>
        <v>1</v>
      </c>
      <c r="Z1396" s="1">
        <f>IF(COUNTIF($Y$6:Y1396,Y1396)=1,Y1396,Y1396+COUNTIF($Y$5:Y1395,Y1396))</f>
        <v>391</v>
      </c>
      <c r="AD1396" s="1" t="str">
        <f t="shared" si="84"/>
        <v/>
      </c>
      <c r="BA1396" s="1">
        <f>IF(W1396&lt;=Leltar_iv!$Y$1,I1396,0)</f>
        <v>0</v>
      </c>
    </row>
    <row r="1397" spans="1:53" s="1" customFormat="1" x14ac:dyDescent="0.25">
      <c r="A1397" s="18">
        <f>IF(COUNTIF($Y$6:Y1397,Y1397)=1,Y1397,Y1397+COUNTIF($Y$5:Y1396,Y1397))</f>
        <v>392</v>
      </c>
      <c r="B1397" s="1">
        <f>IF(AND(Kisero_iv!$N$2=C1397,Kisero_iv!$K$5=$B$3,SUM(I1397:L1401)&lt;&gt;0,$B$4=YEAR(W1397)),B1396+1,0)</f>
        <v>0</v>
      </c>
      <c r="C1397" s="1">
        <f t="shared" si="78"/>
        <v>392</v>
      </c>
      <c r="D1397" s="102" t="str">
        <f t="shared" si="79"/>
        <v/>
      </c>
      <c r="E1397" s="44"/>
      <c r="F1397" s="45"/>
      <c r="G1397" s="45"/>
      <c r="H1397" s="45"/>
      <c r="I1397" s="46"/>
      <c r="J1397" s="111" t="str">
        <f>IF(AND(G1397&lt;&gt;"",ISERROR(VLOOKUP(G1397,Keszlet!$C$5:$H$200,6,FALSE))=FALSE),VLOOKUP(G1397,Keszlet!$C$5:$H$200,6,FALSE),"")</f>
        <v/>
      </c>
      <c r="K1397" s="106" t="str">
        <f>IF(AND(G1397&lt;&gt;"",ISERROR(VLOOKUP(G1397,Keszlet!$C$5:$G$200,5,FALSE))=FALSE),VLOOKUP(G1397,Keszlet!$C$5:$G$200,5,FALSE),"")</f>
        <v/>
      </c>
      <c r="L1397" s="106" t="str">
        <f t="shared" si="80"/>
        <v/>
      </c>
      <c r="M1397" s="115" t="str">
        <f>IF(ISERROR(VLOOKUP(G1397,Keszlet!$C$5:$I$200,7,FALSE))=TRUE,"",IF(AND(J1396&lt;&gt;"",J1398=""),VLOOKUP(G1397,Keszlet!$C$5:$I$200,7,FALSE),""))</f>
        <v/>
      </c>
      <c r="Q1397" s="1">
        <f>VLOOKUP(G1397,Keszlet!$C$5:$E$205,3,FALSE)</f>
        <v>0</v>
      </c>
      <c r="T1397" s="1" t="str">
        <f t="shared" si="81"/>
        <v/>
      </c>
      <c r="U1397" s="1">
        <f t="shared" si="82"/>
        <v>0</v>
      </c>
      <c r="W1397" s="6">
        <f t="shared" si="85"/>
        <v>0</v>
      </c>
      <c r="X1397" s="6">
        <f t="shared" si="77"/>
        <v>0</v>
      </c>
      <c r="Y1397" s="1">
        <f t="shared" si="83"/>
        <v>1</v>
      </c>
      <c r="Z1397" s="1">
        <f>IF(COUNTIF($Y$6:Y1397,Y1397)=1,Y1397,Y1397+COUNTIF($Y$5:Y1396,Y1397))</f>
        <v>392</v>
      </c>
      <c r="AD1397" s="1" t="str">
        <f t="shared" si="84"/>
        <v/>
      </c>
      <c r="BA1397" s="1">
        <f>IF(W1397&lt;=Leltar_iv!$Y$1,I1397,0)</f>
        <v>0</v>
      </c>
    </row>
    <row r="1398" spans="1:53" s="1" customFormat="1" x14ac:dyDescent="0.25">
      <c r="A1398" s="18">
        <f>IF(COUNTIF($Y$6:Y1398,Y1398)=1,Y1398,Y1398+COUNTIF($Y$5:Y1397,Y1398))</f>
        <v>393</v>
      </c>
      <c r="B1398" s="1">
        <f>IF(AND(Kisero_iv!$N$2=C1398,Kisero_iv!$K$5=$B$3,SUM(I1398:L1402)&lt;&gt;0,$B$4=YEAR(W1398)),B1397+1,0)</f>
        <v>0</v>
      </c>
      <c r="C1398" s="1">
        <f t="shared" si="78"/>
        <v>393</v>
      </c>
      <c r="D1398" s="102" t="str">
        <f t="shared" si="79"/>
        <v/>
      </c>
      <c r="E1398" s="44"/>
      <c r="F1398" s="45"/>
      <c r="G1398" s="45"/>
      <c r="H1398" s="45"/>
      <c r="I1398" s="46"/>
      <c r="J1398" s="111" t="str">
        <f>IF(AND(G1398&lt;&gt;"",ISERROR(VLOOKUP(G1398,Keszlet!$C$5:$H$200,6,FALSE))=FALSE),VLOOKUP(G1398,Keszlet!$C$5:$H$200,6,FALSE),"")</f>
        <v/>
      </c>
      <c r="K1398" s="106" t="str">
        <f>IF(AND(G1398&lt;&gt;"",ISERROR(VLOOKUP(G1398,Keszlet!$C$5:$G$200,5,FALSE))=FALSE),VLOOKUP(G1398,Keszlet!$C$5:$G$200,5,FALSE),"")</f>
        <v/>
      </c>
      <c r="L1398" s="106" t="str">
        <f t="shared" si="80"/>
        <v/>
      </c>
      <c r="M1398" s="115" t="str">
        <f>IF(ISERROR(VLOOKUP(G1398,Keszlet!$C$5:$I$200,7,FALSE))=TRUE,"",IF(AND(J1397&lt;&gt;"",J1399=""),VLOOKUP(G1398,Keszlet!$C$5:$I$200,7,FALSE),""))</f>
        <v/>
      </c>
      <c r="Q1398" s="1">
        <f>VLOOKUP(G1398,Keszlet!$C$5:$E$205,3,FALSE)</f>
        <v>0</v>
      </c>
      <c r="T1398" s="1" t="str">
        <f t="shared" si="81"/>
        <v/>
      </c>
      <c r="U1398" s="1">
        <f t="shared" si="82"/>
        <v>0</v>
      </c>
      <c r="W1398" s="6">
        <f t="shared" si="85"/>
        <v>0</v>
      </c>
      <c r="X1398" s="6">
        <f t="shared" si="77"/>
        <v>0</v>
      </c>
      <c r="Y1398" s="1">
        <f t="shared" si="83"/>
        <v>1</v>
      </c>
      <c r="Z1398" s="1">
        <f>IF(COUNTIF($Y$6:Y1398,Y1398)=1,Y1398,Y1398+COUNTIF($Y$5:Y1397,Y1398))</f>
        <v>393</v>
      </c>
      <c r="AD1398" s="1" t="str">
        <f t="shared" si="84"/>
        <v/>
      </c>
      <c r="BA1398" s="1">
        <f>IF(W1398&lt;=Leltar_iv!$Y$1,I1398,0)</f>
        <v>0</v>
      </c>
    </row>
    <row r="1399" spans="1:53" s="1" customFormat="1" x14ac:dyDescent="0.25">
      <c r="A1399" s="18">
        <f>IF(COUNTIF($Y$6:Y1399,Y1399)=1,Y1399,Y1399+COUNTIF($Y$5:Y1398,Y1399))</f>
        <v>394</v>
      </c>
      <c r="B1399" s="1">
        <f>IF(AND(Kisero_iv!$N$2=C1399,Kisero_iv!$K$5=$B$3,SUM(I1399:L1403)&lt;&gt;0,$B$4=YEAR(W1399)),B1398+1,0)</f>
        <v>0</v>
      </c>
      <c r="C1399" s="1">
        <f t="shared" si="78"/>
        <v>394</v>
      </c>
      <c r="D1399" s="102" t="str">
        <f t="shared" si="79"/>
        <v/>
      </c>
      <c r="E1399" s="44"/>
      <c r="F1399" s="45"/>
      <c r="G1399" s="45"/>
      <c r="H1399" s="45"/>
      <c r="I1399" s="46"/>
      <c r="J1399" s="111" t="str">
        <f>IF(AND(G1399&lt;&gt;"",ISERROR(VLOOKUP(G1399,Keszlet!$C$5:$H$200,6,FALSE))=FALSE),VLOOKUP(G1399,Keszlet!$C$5:$H$200,6,FALSE),"")</f>
        <v/>
      </c>
      <c r="K1399" s="106" t="str">
        <f>IF(AND(G1399&lt;&gt;"",ISERROR(VLOOKUP(G1399,Keszlet!$C$5:$G$200,5,FALSE))=FALSE),VLOOKUP(G1399,Keszlet!$C$5:$G$200,5,FALSE),"")</f>
        <v/>
      </c>
      <c r="L1399" s="106" t="str">
        <f t="shared" si="80"/>
        <v/>
      </c>
      <c r="M1399" s="115" t="str">
        <f>IF(ISERROR(VLOOKUP(G1399,Keszlet!$C$5:$I$200,7,FALSE))=TRUE,"",IF(AND(J1398&lt;&gt;"",J1400=""),VLOOKUP(G1399,Keszlet!$C$5:$I$200,7,FALSE),""))</f>
        <v/>
      </c>
      <c r="Q1399" s="1">
        <f>VLOOKUP(G1399,Keszlet!$C$5:$E$205,3,FALSE)</f>
        <v>0</v>
      </c>
      <c r="T1399" s="1" t="str">
        <f t="shared" si="81"/>
        <v/>
      </c>
      <c r="U1399" s="1">
        <f t="shared" si="82"/>
        <v>0</v>
      </c>
      <c r="W1399" s="6">
        <f t="shared" si="85"/>
        <v>0</v>
      </c>
      <c r="X1399" s="6">
        <f t="shared" si="77"/>
        <v>0</v>
      </c>
      <c r="Y1399" s="1">
        <f t="shared" si="83"/>
        <v>1</v>
      </c>
      <c r="Z1399" s="1">
        <f>IF(COUNTIF($Y$6:Y1399,Y1399)=1,Y1399,Y1399+COUNTIF($Y$5:Y1398,Y1399))</f>
        <v>394</v>
      </c>
      <c r="AD1399" s="1" t="str">
        <f t="shared" si="84"/>
        <v/>
      </c>
      <c r="BA1399" s="1">
        <f>IF(W1399&lt;=Leltar_iv!$Y$1,I1399,0)</f>
        <v>0</v>
      </c>
    </row>
    <row r="1400" spans="1:53" s="1" customFormat="1" x14ac:dyDescent="0.25">
      <c r="A1400" s="18">
        <f>IF(COUNTIF($Y$6:Y1400,Y1400)=1,Y1400,Y1400+COUNTIF($Y$5:Y1399,Y1400))</f>
        <v>395</v>
      </c>
      <c r="B1400" s="1">
        <f>IF(AND(Kisero_iv!$N$2=C1400,Kisero_iv!$K$5=$B$3,SUM(I1400:L1404)&lt;&gt;0,$B$4=YEAR(W1400)),B1399+1,0)</f>
        <v>0</v>
      </c>
      <c r="C1400" s="1">
        <f t="shared" si="78"/>
        <v>395</v>
      </c>
      <c r="D1400" s="102" t="str">
        <f t="shared" si="79"/>
        <v/>
      </c>
      <c r="E1400" s="44"/>
      <c r="F1400" s="45"/>
      <c r="G1400" s="45"/>
      <c r="H1400" s="45"/>
      <c r="I1400" s="46"/>
      <c r="J1400" s="111" t="str">
        <f>IF(AND(G1400&lt;&gt;"",ISERROR(VLOOKUP(G1400,Keszlet!$C$5:$H$200,6,FALSE))=FALSE),VLOOKUP(G1400,Keszlet!$C$5:$H$200,6,FALSE),"")</f>
        <v/>
      </c>
      <c r="K1400" s="106" t="str">
        <f>IF(AND(G1400&lt;&gt;"",ISERROR(VLOOKUP(G1400,Keszlet!$C$5:$G$200,5,FALSE))=FALSE),VLOOKUP(G1400,Keszlet!$C$5:$G$200,5,FALSE),"")</f>
        <v/>
      </c>
      <c r="L1400" s="106" t="str">
        <f t="shared" si="80"/>
        <v/>
      </c>
      <c r="M1400" s="115" t="str">
        <f>IF(ISERROR(VLOOKUP(G1400,Keszlet!$C$5:$I$200,7,FALSE))=TRUE,"",IF(AND(J1399&lt;&gt;"",J1401=""),VLOOKUP(G1400,Keszlet!$C$5:$I$200,7,FALSE),""))</f>
        <v/>
      </c>
      <c r="Q1400" s="1">
        <f>VLOOKUP(G1400,Keszlet!$C$5:$E$205,3,FALSE)</f>
        <v>0</v>
      </c>
      <c r="T1400" s="1" t="str">
        <f t="shared" si="81"/>
        <v/>
      </c>
      <c r="U1400" s="1">
        <f t="shared" si="82"/>
        <v>0</v>
      </c>
      <c r="W1400" s="6">
        <f t="shared" si="85"/>
        <v>0</v>
      </c>
      <c r="X1400" s="6">
        <f t="shared" si="77"/>
        <v>0</v>
      </c>
      <c r="Y1400" s="1">
        <f t="shared" si="83"/>
        <v>1</v>
      </c>
      <c r="Z1400" s="1">
        <f>IF(COUNTIF($Y$6:Y1400,Y1400)=1,Y1400,Y1400+COUNTIF($Y$5:Y1399,Y1400))</f>
        <v>395</v>
      </c>
      <c r="AD1400" s="1" t="str">
        <f t="shared" si="84"/>
        <v/>
      </c>
      <c r="BA1400" s="1">
        <f>IF(W1400&lt;=Leltar_iv!$Y$1,I1400,0)</f>
        <v>0</v>
      </c>
    </row>
    <row r="1401" spans="1:53" s="1" customFormat="1" x14ac:dyDescent="0.25">
      <c r="A1401" s="18">
        <f>IF(COUNTIF($Y$6:Y1401,Y1401)=1,Y1401,Y1401+COUNTIF($Y$5:Y1400,Y1401))</f>
        <v>396</v>
      </c>
      <c r="B1401" s="1">
        <f>IF(AND(Kisero_iv!$N$2=C1401,Kisero_iv!$K$5=$B$3,SUM(I1401:L1405)&lt;&gt;0,$B$4=YEAR(W1401)),B1400+1,0)</f>
        <v>0</v>
      </c>
      <c r="C1401" s="1">
        <f t="shared" si="78"/>
        <v>396</v>
      </c>
      <c r="D1401" s="102" t="str">
        <f t="shared" si="79"/>
        <v/>
      </c>
      <c r="E1401" s="44"/>
      <c r="F1401" s="45"/>
      <c r="G1401" s="45"/>
      <c r="H1401" s="45"/>
      <c r="I1401" s="46"/>
      <c r="J1401" s="111" t="str">
        <f>IF(AND(G1401&lt;&gt;"",ISERROR(VLOOKUP(G1401,Keszlet!$C$5:$H$200,6,FALSE))=FALSE),VLOOKUP(G1401,Keszlet!$C$5:$H$200,6,FALSE),"")</f>
        <v/>
      </c>
      <c r="K1401" s="106" t="str">
        <f>IF(AND(G1401&lt;&gt;"",ISERROR(VLOOKUP(G1401,Keszlet!$C$5:$G$200,5,FALSE))=FALSE),VLOOKUP(G1401,Keszlet!$C$5:$G$200,5,FALSE),"")</f>
        <v/>
      </c>
      <c r="L1401" s="106" t="str">
        <f t="shared" si="80"/>
        <v/>
      </c>
      <c r="M1401" s="115" t="str">
        <f>IF(ISERROR(VLOOKUP(G1401,Keszlet!$C$5:$I$200,7,FALSE))=TRUE,"",IF(AND(J1400&lt;&gt;"",J1402=""),VLOOKUP(G1401,Keszlet!$C$5:$I$200,7,FALSE),""))</f>
        <v/>
      </c>
      <c r="Q1401" s="1">
        <f>VLOOKUP(G1401,Keszlet!$C$5:$E$205,3,FALSE)</f>
        <v>0</v>
      </c>
      <c r="T1401" s="1" t="str">
        <f t="shared" si="81"/>
        <v/>
      </c>
      <c r="U1401" s="1">
        <f t="shared" si="82"/>
        <v>0</v>
      </c>
      <c r="W1401" s="6">
        <f t="shared" si="85"/>
        <v>0</v>
      </c>
      <c r="X1401" s="6">
        <f t="shared" si="77"/>
        <v>0</v>
      </c>
      <c r="Y1401" s="1">
        <f t="shared" si="83"/>
        <v>1</v>
      </c>
      <c r="Z1401" s="1">
        <f>IF(COUNTIF($Y$6:Y1401,Y1401)=1,Y1401,Y1401+COUNTIF($Y$5:Y1400,Y1401))</f>
        <v>396</v>
      </c>
      <c r="AD1401" s="1" t="str">
        <f t="shared" si="84"/>
        <v/>
      </c>
      <c r="BA1401" s="1">
        <f>IF(W1401&lt;=Leltar_iv!$Y$1,I1401,0)</f>
        <v>0</v>
      </c>
    </row>
    <row r="1402" spans="1:53" s="1" customFormat="1" x14ac:dyDescent="0.25">
      <c r="A1402" s="18">
        <f>IF(COUNTIF($Y$6:Y1402,Y1402)=1,Y1402,Y1402+COUNTIF($Y$5:Y1401,Y1402))</f>
        <v>397</v>
      </c>
      <c r="B1402" s="1">
        <f>IF(AND(Kisero_iv!$N$2=C1402,Kisero_iv!$K$5=$B$3,SUM(I1402:L1406)&lt;&gt;0,$B$4=YEAR(W1402)),B1401+1,0)</f>
        <v>0</v>
      </c>
      <c r="C1402" s="1">
        <f t="shared" si="78"/>
        <v>397</v>
      </c>
      <c r="D1402" s="102" t="str">
        <f t="shared" si="79"/>
        <v/>
      </c>
      <c r="E1402" s="44"/>
      <c r="F1402" s="45"/>
      <c r="G1402" s="45"/>
      <c r="H1402" s="45"/>
      <c r="I1402" s="46"/>
      <c r="J1402" s="111" t="str">
        <f>IF(AND(G1402&lt;&gt;"",ISERROR(VLOOKUP(G1402,Keszlet!$C$5:$H$200,6,FALSE))=FALSE),VLOOKUP(G1402,Keszlet!$C$5:$H$200,6,FALSE),"")</f>
        <v/>
      </c>
      <c r="K1402" s="106" t="str">
        <f>IF(AND(G1402&lt;&gt;"",ISERROR(VLOOKUP(G1402,Keszlet!$C$5:$G$200,5,FALSE))=FALSE),VLOOKUP(G1402,Keszlet!$C$5:$G$200,5,FALSE),"")</f>
        <v/>
      </c>
      <c r="L1402" s="106" t="str">
        <f t="shared" si="80"/>
        <v/>
      </c>
      <c r="M1402" s="115" t="str">
        <f>IF(ISERROR(VLOOKUP(G1402,Keszlet!$C$5:$I$200,7,FALSE))=TRUE,"",IF(AND(J1401&lt;&gt;"",J1403=""),VLOOKUP(G1402,Keszlet!$C$5:$I$200,7,FALSE),""))</f>
        <v/>
      </c>
      <c r="Q1402" s="1">
        <f>VLOOKUP(G1402,Keszlet!$C$5:$E$205,3,FALSE)</f>
        <v>0</v>
      </c>
      <c r="T1402" s="1" t="str">
        <f t="shared" si="81"/>
        <v/>
      </c>
      <c r="U1402" s="1">
        <f t="shared" si="82"/>
        <v>0</v>
      </c>
      <c r="W1402" s="6">
        <f t="shared" si="85"/>
        <v>0</v>
      </c>
      <c r="X1402" s="6">
        <f t="shared" si="77"/>
        <v>0</v>
      </c>
      <c r="Y1402" s="1">
        <f t="shared" si="83"/>
        <v>1</v>
      </c>
      <c r="Z1402" s="1">
        <f>IF(COUNTIF($Y$6:Y1402,Y1402)=1,Y1402,Y1402+COUNTIF($Y$5:Y1401,Y1402))</f>
        <v>397</v>
      </c>
      <c r="AD1402" s="1" t="str">
        <f t="shared" si="84"/>
        <v/>
      </c>
      <c r="BA1402" s="1">
        <f>IF(W1402&lt;=Leltar_iv!$Y$1,I1402,0)</f>
        <v>0</v>
      </c>
    </row>
    <row r="1403" spans="1:53" s="1" customFormat="1" x14ac:dyDescent="0.25">
      <c r="A1403" s="18">
        <f>IF(COUNTIF($Y$6:Y1403,Y1403)=1,Y1403,Y1403+COUNTIF($Y$5:Y1402,Y1403))</f>
        <v>398</v>
      </c>
      <c r="B1403" s="1">
        <f>IF(AND(Kisero_iv!$N$2=C1403,Kisero_iv!$K$5=$B$3,SUM(I1403:L1407)&lt;&gt;0,$B$4=YEAR(W1403)),B1402+1,0)</f>
        <v>0</v>
      </c>
      <c r="C1403" s="1">
        <f t="shared" si="78"/>
        <v>398</v>
      </c>
      <c r="D1403" s="102" t="str">
        <f t="shared" si="79"/>
        <v/>
      </c>
      <c r="E1403" s="44"/>
      <c r="F1403" s="45"/>
      <c r="G1403" s="45"/>
      <c r="H1403" s="45"/>
      <c r="I1403" s="46"/>
      <c r="J1403" s="111" t="str">
        <f>IF(AND(G1403&lt;&gt;"",ISERROR(VLOOKUP(G1403,Keszlet!$C$5:$H$200,6,FALSE))=FALSE),VLOOKUP(G1403,Keszlet!$C$5:$H$200,6,FALSE),"")</f>
        <v/>
      </c>
      <c r="K1403" s="106" t="str">
        <f>IF(AND(G1403&lt;&gt;"",ISERROR(VLOOKUP(G1403,Keszlet!$C$5:$G$200,5,FALSE))=FALSE),VLOOKUP(G1403,Keszlet!$C$5:$G$200,5,FALSE),"")</f>
        <v/>
      </c>
      <c r="L1403" s="106" t="str">
        <f t="shared" si="80"/>
        <v/>
      </c>
      <c r="M1403" s="115" t="str">
        <f>IF(ISERROR(VLOOKUP(G1403,Keszlet!$C$5:$I$200,7,FALSE))=TRUE,"",IF(AND(J1402&lt;&gt;"",J1404=""),VLOOKUP(G1403,Keszlet!$C$5:$I$200,7,FALSE),""))</f>
        <v/>
      </c>
      <c r="Q1403" s="1">
        <f>VLOOKUP(G1403,Keszlet!$C$5:$E$205,3,FALSE)</f>
        <v>0</v>
      </c>
      <c r="T1403" s="1" t="str">
        <f t="shared" si="81"/>
        <v/>
      </c>
      <c r="U1403" s="1">
        <f t="shared" si="82"/>
        <v>0</v>
      </c>
      <c r="W1403" s="6">
        <f t="shared" si="85"/>
        <v>0</v>
      </c>
      <c r="X1403" s="6">
        <f t="shared" si="77"/>
        <v>0</v>
      </c>
      <c r="Y1403" s="1">
        <f t="shared" si="83"/>
        <v>1</v>
      </c>
      <c r="Z1403" s="1">
        <f>IF(COUNTIF($Y$6:Y1403,Y1403)=1,Y1403,Y1403+COUNTIF($Y$5:Y1402,Y1403))</f>
        <v>398</v>
      </c>
      <c r="AD1403" s="1" t="str">
        <f t="shared" si="84"/>
        <v/>
      </c>
      <c r="BA1403" s="1">
        <f>IF(W1403&lt;=Leltar_iv!$Y$1,I1403,0)</f>
        <v>0</v>
      </c>
    </row>
    <row r="1404" spans="1:53" s="1" customFormat="1" x14ac:dyDescent="0.25">
      <c r="A1404" s="18">
        <f>IF(COUNTIF($Y$6:Y1404,Y1404)=1,Y1404,Y1404+COUNTIF($Y$5:Y1403,Y1404))</f>
        <v>399</v>
      </c>
      <c r="B1404" s="1">
        <f>IF(AND(Kisero_iv!$N$2=C1404,Kisero_iv!$K$5=$B$3,SUM(I1404:L1408)&lt;&gt;0,$B$4=YEAR(W1404)),B1403+1,0)</f>
        <v>0</v>
      </c>
      <c r="C1404" s="1">
        <f t="shared" si="78"/>
        <v>399</v>
      </c>
      <c r="D1404" s="102" t="str">
        <f t="shared" si="79"/>
        <v/>
      </c>
      <c r="E1404" s="44"/>
      <c r="F1404" s="45"/>
      <c r="G1404" s="45"/>
      <c r="H1404" s="45"/>
      <c r="I1404" s="46"/>
      <c r="J1404" s="111" t="str">
        <f>IF(AND(G1404&lt;&gt;"",ISERROR(VLOOKUP(G1404,Keszlet!$C$5:$H$200,6,FALSE))=FALSE),VLOOKUP(G1404,Keszlet!$C$5:$H$200,6,FALSE),"")</f>
        <v/>
      </c>
      <c r="K1404" s="106" t="str">
        <f>IF(AND(G1404&lt;&gt;"",ISERROR(VLOOKUP(G1404,Keszlet!$C$5:$G$200,5,FALSE))=FALSE),VLOOKUP(G1404,Keszlet!$C$5:$G$200,5,FALSE),"")</f>
        <v/>
      </c>
      <c r="L1404" s="106" t="str">
        <f t="shared" si="80"/>
        <v/>
      </c>
      <c r="M1404" s="115" t="str">
        <f>IF(ISERROR(VLOOKUP(G1404,Keszlet!$C$5:$I$200,7,FALSE))=TRUE,"",IF(AND(J1403&lt;&gt;"",J1405=""),VLOOKUP(G1404,Keszlet!$C$5:$I$200,7,FALSE),""))</f>
        <v/>
      </c>
      <c r="Q1404" s="1">
        <f>VLOOKUP(G1404,Keszlet!$C$5:$E$205,3,FALSE)</f>
        <v>0</v>
      </c>
      <c r="T1404" s="1" t="str">
        <f t="shared" si="81"/>
        <v/>
      </c>
      <c r="U1404" s="1">
        <f t="shared" si="82"/>
        <v>0</v>
      </c>
      <c r="W1404" s="6">
        <f t="shared" si="85"/>
        <v>0</v>
      </c>
      <c r="X1404" s="6">
        <f t="shared" si="77"/>
        <v>0</v>
      </c>
      <c r="Y1404" s="1">
        <f t="shared" si="83"/>
        <v>1</v>
      </c>
      <c r="Z1404" s="1">
        <f>IF(COUNTIF($Y$6:Y1404,Y1404)=1,Y1404,Y1404+COUNTIF($Y$5:Y1403,Y1404))</f>
        <v>399</v>
      </c>
      <c r="AD1404" s="1" t="str">
        <f t="shared" si="84"/>
        <v/>
      </c>
      <c r="BA1404" s="1">
        <f>IF(W1404&lt;=Leltar_iv!$Y$1,I1404,0)</f>
        <v>0</v>
      </c>
    </row>
    <row r="1405" spans="1:53" s="1" customFormat="1" x14ac:dyDescent="0.25">
      <c r="A1405" s="18">
        <f>IF(COUNTIF($Y$6:Y1405,Y1405)=1,Y1405,Y1405+COUNTIF($Y$5:Y1404,Y1405))</f>
        <v>400</v>
      </c>
      <c r="B1405" s="1">
        <f>IF(AND(Kisero_iv!$N$2=C1405,Kisero_iv!$K$5=$B$3,SUM(I1405:L1409)&lt;&gt;0,$B$4=YEAR(W1405)),B1404+1,0)</f>
        <v>0</v>
      </c>
      <c r="C1405" s="1">
        <f t="shared" si="78"/>
        <v>400</v>
      </c>
      <c r="D1405" s="102" t="str">
        <f t="shared" si="79"/>
        <v/>
      </c>
      <c r="E1405" s="44"/>
      <c r="F1405" s="45"/>
      <c r="G1405" s="45"/>
      <c r="H1405" s="45"/>
      <c r="I1405" s="46"/>
      <c r="J1405" s="111" t="str">
        <f>IF(AND(G1405&lt;&gt;"",ISERROR(VLOOKUP(G1405,Keszlet!$C$5:$H$200,6,FALSE))=FALSE),VLOOKUP(G1405,Keszlet!$C$5:$H$200,6,FALSE),"")</f>
        <v/>
      </c>
      <c r="K1405" s="106" t="str">
        <f>IF(AND(G1405&lt;&gt;"",ISERROR(VLOOKUP(G1405,Keszlet!$C$5:$G$200,5,FALSE))=FALSE),VLOOKUP(G1405,Keszlet!$C$5:$G$200,5,FALSE),"")</f>
        <v/>
      </c>
      <c r="L1405" s="106" t="str">
        <f t="shared" si="80"/>
        <v/>
      </c>
      <c r="M1405" s="115" t="str">
        <f>IF(ISERROR(VLOOKUP(G1405,Keszlet!$C$5:$I$200,7,FALSE))=TRUE,"",IF(AND(J1404&lt;&gt;"",J1406=""),VLOOKUP(G1405,Keszlet!$C$5:$I$200,7,FALSE),""))</f>
        <v/>
      </c>
      <c r="Q1405" s="1">
        <f>VLOOKUP(G1405,Keszlet!$C$5:$E$205,3,FALSE)</f>
        <v>0</v>
      </c>
      <c r="T1405" s="1" t="str">
        <f t="shared" si="81"/>
        <v/>
      </c>
      <c r="U1405" s="1">
        <f t="shared" si="82"/>
        <v>0</v>
      </c>
      <c r="W1405" s="6">
        <f t="shared" si="85"/>
        <v>0</v>
      </c>
      <c r="X1405" s="6">
        <f t="shared" si="77"/>
        <v>0</v>
      </c>
      <c r="Y1405" s="1">
        <f t="shared" si="83"/>
        <v>1</v>
      </c>
      <c r="Z1405" s="1">
        <f>IF(COUNTIF($Y$6:Y1405,Y1405)=1,Y1405,Y1405+COUNTIF($Y$5:Y1404,Y1405))</f>
        <v>400</v>
      </c>
      <c r="AD1405" s="1" t="str">
        <f t="shared" si="84"/>
        <v/>
      </c>
      <c r="BA1405" s="1">
        <f>IF(W1405&lt;=Leltar_iv!$Y$1,I1405,0)</f>
        <v>0</v>
      </c>
    </row>
    <row r="1406" spans="1:53" s="1" customFormat="1" x14ac:dyDescent="0.25">
      <c r="A1406" s="18">
        <f>IF(COUNTIF($Y$6:Y1406,Y1406)=1,Y1406,Y1406+COUNTIF($Y$5:Y1405,Y1406))</f>
        <v>401</v>
      </c>
      <c r="B1406" s="1">
        <f>IF(AND(Kisero_iv!$N$2=C1406,Kisero_iv!$K$5=$B$3,SUM(I1406:L1410)&lt;&gt;0,$B$4=YEAR(W1406)),B1405+1,0)</f>
        <v>0</v>
      </c>
      <c r="C1406" s="1">
        <f t="shared" si="78"/>
        <v>401</v>
      </c>
      <c r="D1406" s="102" t="str">
        <f t="shared" si="79"/>
        <v/>
      </c>
      <c r="E1406" s="44"/>
      <c r="F1406" s="45"/>
      <c r="G1406" s="45"/>
      <c r="H1406" s="45"/>
      <c r="I1406" s="46"/>
      <c r="J1406" s="111" t="str">
        <f>IF(AND(G1406&lt;&gt;"",ISERROR(VLOOKUP(G1406,Keszlet!$C$5:$H$200,6,FALSE))=FALSE),VLOOKUP(G1406,Keszlet!$C$5:$H$200,6,FALSE),"")</f>
        <v/>
      </c>
      <c r="K1406" s="106" t="str">
        <f>IF(AND(G1406&lt;&gt;"",ISERROR(VLOOKUP(G1406,Keszlet!$C$5:$G$200,5,FALSE))=FALSE),VLOOKUP(G1406,Keszlet!$C$5:$G$200,5,FALSE),"")</f>
        <v/>
      </c>
      <c r="L1406" s="106" t="str">
        <f t="shared" si="80"/>
        <v/>
      </c>
      <c r="M1406" s="115" t="str">
        <f>IF(ISERROR(VLOOKUP(G1406,Keszlet!$C$5:$I$200,7,FALSE))=TRUE,"",IF(AND(J1405&lt;&gt;"",J1407=""),VLOOKUP(G1406,Keszlet!$C$5:$I$200,7,FALSE),""))</f>
        <v/>
      </c>
      <c r="Q1406" s="1">
        <f>VLOOKUP(G1406,Keszlet!$C$5:$E$205,3,FALSE)</f>
        <v>0</v>
      </c>
      <c r="T1406" s="1" t="str">
        <f t="shared" si="81"/>
        <v/>
      </c>
      <c r="U1406" s="1">
        <f t="shared" si="82"/>
        <v>0</v>
      </c>
      <c r="W1406" s="6">
        <f t="shared" si="85"/>
        <v>0</v>
      </c>
      <c r="X1406" s="6">
        <f t="shared" si="77"/>
        <v>0</v>
      </c>
      <c r="Y1406" s="1">
        <f t="shared" si="83"/>
        <v>1</v>
      </c>
      <c r="Z1406" s="1">
        <f>IF(COUNTIF($Y$6:Y1406,Y1406)=1,Y1406,Y1406+COUNTIF($Y$5:Y1405,Y1406))</f>
        <v>401</v>
      </c>
      <c r="AD1406" s="1" t="str">
        <f t="shared" si="84"/>
        <v/>
      </c>
      <c r="BA1406" s="1">
        <f>IF(W1406&lt;=Leltar_iv!$Y$1,I1406,0)</f>
        <v>0</v>
      </c>
    </row>
    <row r="1407" spans="1:53" s="1" customFormat="1" x14ac:dyDescent="0.25">
      <c r="A1407" s="18">
        <f>IF(COUNTIF($Y$6:Y1407,Y1407)=1,Y1407,Y1407+COUNTIF($Y$5:Y1406,Y1407))</f>
        <v>402</v>
      </c>
      <c r="B1407" s="1">
        <f>IF(AND(Kisero_iv!$N$2=C1407,Kisero_iv!$K$5=$B$3,SUM(I1407:L1411)&lt;&gt;0,$B$4=YEAR(W1407)),B1406+1,0)</f>
        <v>0</v>
      </c>
      <c r="C1407" s="1">
        <f t="shared" si="78"/>
        <v>402</v>
      </c>
      <c r="D1407" s="102" t="str">
        <f t="shared" si="79"/>
        <v/>
      </c>
      <c r="E1407" s="44"/>
      <c r="F1407" s="45"/>
      <c r="G1407" s="45"/>
      <c r="H1407" s="45"/>
      <c r="I1407" s="46"/>
      <c r="J1407" s="111" t="str">
        <f>IF(AND(G1407&lt;&gt;"",ISERROR(VLOOKUP(G1407,Keszlet!$C$5:$H$200,6,FALSE))=FALSE),VLOOKUP(G1407,Keszlet!$C$5:$H$200,6,FALSE),"")</f>
        <v/>
      </c>
      <c r="K1407" s="106" t="str">
        <f>IF(AND(G1407&lt;&gt;"",ISERROR(VLOOKUP(G1407,Keszlet!$C$5:$G$200,5,FALSE))=FALSE),VLOOKUP(G1407,Keszlet!$C$5:$G$200,5,FALSE),"")</f>
        <v/>
      </c>
      <c r="L1407" s="106" t="str">
        <f t="shared" si="80"/>
        <v/>
      </c>
      <c r="M1407" s="115" t="str">
        <f>IF(ISERROR(VLOOKUP(G1407,Keszlet!$C$5:$I$200,7,FALSE))=TRUE,"",IF(AND(J1406&lt;&gt;"",J1408=""),VLOOKUP(G1407,Keszlet!$C$5:$I$200,7,FALSE),""))</f>
        <v/>
      </c>
      <c r="Q1407" s="1">
        <f>VLOOKUP(G1407,Keszlet!$C$5:$E$205,3,FALSE)</f>
        <v>0</v>
      </c>
      <c r="T1407" s="1" t="str">
        <f t="shared" si="81"/>
        <v/>
      </c>
      <c r="U1407" s="1">
        <f t="shared" si="82"/>
        <v>0</v>
      </c>
      <c r="W1407" s="6">
        <f t="shared" si="85"/>
        <v>0</v>
      </c>
      <c r="X1407" s="6">
        <f t="shared" si="77"/>
        <v>0</v>
      </c>
      <c r="Y1407" s="1">
        <f t="shared" si="83"/>
        <v>1</v>
      </c>
      <c r="Z1407" s="1">
        <f>IF(COUNTIF($Y$6:Y1407,Y1407)=1,Y1407,Y1407+COUNTIF($Y$5:Y1406,Y1407))</f>
        <v>402</v>
      </c>
      <c r="AD1407" s="1" t="str">
        <f t="shared" si="84"/>
        <v/>
      </c>
      <c r="BA1407" s="1">
        <f>IF(W1407&lt;=Leltar_iv!$Y$1,I1407,0)</f>
        <v>0</v>
      </c>
    </row>
    <row r="1408" spans="1:53" s="1" customFormat="1" x14ac:dyDescent="0.25">
      <c r="A1408" s="18">
        <f>IF(COUNTIF($Y$6:Y1408,Y1408)=1,Y1408,Y1408+COUNTIF($Y$5:Y1407,Y1408))</f>
        <v>403</v>
      </c>
      <c r="B1408" s="1">
        <f>IF(AND(Kisero_iv!$N$2=C1408,Kisero_iv!$K$5=$B$3,SUM(I1408:L1412)&lt;&gt;0,$B$4=YEAR(W1408)),B1407+1,0)</f>
        <v>0</v>
      </c>
      <c r="C1408" s="1">
        <f t="shared" si="78"/>
        <v>403</v>
      </c>
      <c r="D1408" s="102" t="str">
        <f t="shared" si="79"/>
        <v/>
      </c>
      <c r="E1408" s="44"/>
      <c r="F1408" s="45"/>
      <c r="G1408" s="45"/>
      <c r="H1408" s="45"/>
      <c r="I1408" s="46"/>
      <c r="J1408" s="111" t="str">
        <f>IF(AND(G1408&lt;&gt;"",ISERROR(VLOOKUP(G1408,Keszlet!$C$5:$H$200,6,FALSE))=FALSE),VLOOKUP(G1408,Keszlet!$C$5:$H$200,6,FALSE),"")</f>
        <v/>
      </c>
      <c r="K1408" s="106" t="str">
        <f>IF(AND(G1408&lt;&gt;"",ISERROR(VLOOKUP(G1408,Keszlet!$C$5:$G$200,5,FALSE))=FALSE),VLOOKUP(G1408,Keszlet!$C$5:$G$200,5,FALSE),"")</f>
        <v/>
      </c>
      <c r="L1408" s="106" t="str">
        <f t="shared" si="80"/>
        <v/>
      </c>
      <c r="M1408" s="115" t="str">
        <f>IF(ISERROR(VLOOKUP(G1408,Keszlet!$C$5:$I$200,7,FALSE))=TRUE,"",IF(AND(J1407&lt;&gt;"",J1409=""),VLOOKUP(G1408,Keszlet!$C$5:$I$200,7,FALSE),""))</f>
        <v/>
      </c>
      <c r="Q1408" s="1">
        <f>VLOOKUP(G1408,Keszlet!$C$5:$E$205,3,FALSE)</f>
        <v>0</v>
      </c>
      <c r="T1408" s="1" t="str">
        <f t="shared" si="81"/>
        <v/>
      </c>
      <c r="U1408" s="1">
        <f t="shared" si="82"/>
        <v>0</v>
      </c>
      <c r="W1408" s="6">
        <f t="shared" si="85"/>
        <v>0</v>
      </c>
      <c r="X1408" s="6">
        <f t="shared" si="77"/>
        <v>0</v>
      </c>
      <c r="Y1408" s="1">
        <f t="shared" si="83"/>
        <v>1</v>
      </c>
      <c r="Z1408" s="1">
        <f>IF(COUNTIF($Y$6:Y1408,Y1408)=1,Y1408,Y1408+COUNTIF($Y$5:Y1407,Y1408))</f>
        <v>403</v>
      </c>
      <c r="AD1408" s="1" t="str">
        <f t="shared" si="84"/>
        <v/>
      </c>
      <c r="BA1408" s="1">
        <f>IF(W1408&lt;=Leltar_iv!$Y$1,I1408,0)</f>
        <v>0</v>
      </c>
    </row>
    <row r="1409" spans="1:53" s="1" customFormat="1" x14ac:dyDescent="0.25">
      <c r="A1409" s="18">
        <f>IF(COUNTIF($Y$6:Y1409,Y1409)=1,Y1409,Y1409+COUNTIF($Y$5:Y1408,Y1409))</f>
        <v>404</v>
      </c>
      <c r="B1409" s="1">
        <f>IF(AND(Kisero_iv!$N$2=C1409,Kisero_iv!$K$5=$B$3,SUM(I1409:L1413)&lt;&gt;0,$B$4=YEAR(W1409)),B1408+1,0)</f>
        <v>0</v>
      </c>
      <c r="C1409" s="1">
        <f t="shared" si="78"/>
        <v>404</v>
      </c>
      <c r="D1409" s="102" t="str">
        <f t="shared" si="79"/>
        <v/>
      </c>
      <c r="E1409" s="44"/>
      <c r="F1409" s="45"/>
      <c r="G1409" s="45"/>
      <c r="H1409" s="45"/>
      <c r="I1409" s="46"/>
      <c r="J1409" s="111" t="str">
        <f>IF(AND(G1409&lt;&gt;"",ISERROR(VLOOKUP(G1409,Keszlet!$C$5:$H$200,6,FALSE))=FALSE),VLOOKUP(G1409,Keszlet!$C$5:$H$200,6,FALSE),"")</f>
        <v/>
      </c>
      <c r="K1409" s="106" t="str">
        <f>IF(AND(G1409&lt;&gt;"",ISERROR(VLOOKUP(G1409,Keszlet!$C$5:$G$200,5,FALSE))=FALSE),VLOOKUP(G1409,Keszlet!$C$5:$G$200,5,FALSE),"")</f>
        <v/>
      </c>
      <c r="L1409" s="106" t="str">
        <f t="shared" si="80"/>
        <v/>
      </c>
      <c r="M1409" s="115" t="str">
        <f>IF(ISERROR(VLOOKUP(G1409,Keszlet!$C$5:$I$200,7,FALSE))=TRUE,"",IF(AND(J1408&lt;&gt;"",J1410=""),VLOOKUP(G1409,Keszlet!$C$5:$I$200,7,FALSE),""))</f>
        <v/>
      </c>
      <c r="Q1409" s="1">
        <f>VLOOKUP(G1409,Keszlet!$C$5:$E$205,3,FALSE)</f>
        <v>0</v>
      </c>
      <c r="T1409" s="1" t="str">
        <f t="shared" si="81"/>
        <v/>
      </c>
      <c r="U1409" s="1">
        <f t="shared" si="82"/>
        <v>0</v>
      </c>
      <c r="W1409" s="6">
        <f t="shared" si="85"/>
        <v>0</v>
      </c>
      <c r="X1409" s="6">
        <f t="shared" si="77"/>
        <v>0</v>
      </c>
      <c r="Y1409" s="1">
        <f t="shared" si="83"/>
        <v>1</v>
      </c>
      <c r="Z1409" s="1">
        <f>IF(COUNTIF($Y$6:Y1409,Y1409)=1,Y1409,Y1409+COUNTIF($Y$5:Y1408,Y1409))</f>
        <v>404</v>
      </c>
      <c r="AD1409" s="1" t="str">
        <f t="shared" si="84"/>
        <v/>
      </c>
      <c r="BA1409" s="1">
        <f>IF(W1409&lt;=Leltar_iv!$Y$1,I1409,0)</f>
        <v>0</v>
      </c>
    </row>
    <row r="1410" spans="1:53" s="1" customFormat="1" x14ac:dyDescent="0.25">
      <c r="A1410" s="18">
        <f>IF(COUNTIF($Y$6:Y1410,Y1410)=1,Y1410,Y1410+COUNTIF($Y$5:Y1409,Y1410))</f>
        <v>405</v>
      </c>
      <c r="B1410" s="1">
        <f>IF(AND(Kisero_iv!$N$2=C1410,Kisero_iv!$K$5=$B$3,SUM(I1410:L1414)&lt;&gt;0,$B$4=YEAR(W1410)),B1409+1,0)</f>
        <v>0</v>
      </c>
      <c r="C1410" s="1">
        <f t="shared" si="78"/>
        <v>405</v>
      </c>
      <c r="D1410" s="102" t="str">
        <f t="shared" si="79"/>
        <v/>
      </c>
      <c r="E1410" s="44"/>
      <c r="F1410" s="45"/>
      <c r="G1410" s="45"/>
      <c r="H1410" s="45"/>
      <c r="I1410" s="46"/>
      <c r="J1410" s="111" t="str">
        <f>IF(AND(G1410&lt;&gt;"",ISERROR(VLOOKUP(G1410,Keszlet!$C$5:$H$200,6,FALSE))=FALSE),VLOOKUP(G1410,Keszlet!$C$5:$H$200,6,FALSE),"")</f>
        <v/>
      </c>
      <c r="K1410" s="106" t="str">
        <f>IF(AND(G1410&lt;&gt;"",ISERROR(VLOOKUP(G1410,Keszlet!$C$5:$G$200,5,FALSE))=FALSE),VLOOKUP(G1410,Keszlet!$C$5:$G$200,5,FALSE),"")</f>
        <v/>
      </c>
      <c r="L1410" s="106" t="str">
        <f t="shared" si="80"/>
        <v/>
      </c>
      <c r="M1410" s="115" t="str">
        <f>IF(ISERROR(VLOOKUP(G1410,Keszlet!$C$5:$I$200,7,FALSE))=TRUE,"",IF(AND(J1409&lt;&gt;"",J1411=""),VLOOKUP(G1410,Keszlet!$C$5:$I$200,7,FALSE),""))</f>
        <v/>
      </c>
      <c r="Q1410" s="1">
        <f>VLOOKUP(G1410,Keszlet!$C$5:$E$205,3,FALSE)</f>
        <v>0</v>
      </c>
      <c r="T1410" s="1" t="str">
        <f t="shared" si="81"/>
        <v/>
      </c>
      <c r="U1410" s="1">
        <f t="shared" si="82"/>
        <v>0</v>
      </c>
      <c r="W1410" s="6">
        <f t="shared" si="85"/>
        <v>0</v>
      </c>
      <c r="X1410" s="6">
        <f t="shared" si="77"/>
        <v>0</v>
      </c>
      <c r="Y1410" s="1">
        <f t="shared" si="83"/>
        <v>1</v>
      </c>
      <c r="Z1410" s="1">
        <f>IF(COUNTIF($Y$6:Y1410,Y1410)=1,Y1410,Y1410+COUNTIF($Y$5:Y1409,Y1410))</f>
        <v>405</v>
      </c>
      <c r="AD1410" s="1" t="str">
        <f t="shared" si="84"/>
        <v/>
      </c>
      <c r="BA1410" s="1">
        <f>IF(W1410&lt;=Leltar_iv!$Y$1,I1410,0)</f>
        <v>0</v>
      </c>
    </row>
    <row r="1411" spans="1:53" s="1" customFormat="1" x14ac:dyDescent="0.25">
      <c r="A1411" s="18">
        <f>IF(COUNTIF($Y$6:Y1411,Y1411)=1,Y1411,Y1411+COUNTIF($Y$5:Y1410,Y1411))</f>
        <v>406</v>
      </c>
      <c r="B1411" s="1">
        <f>IF(AND(Kisero_iv!$N$2=C1411,Kisero_iv!$K$5=$B$3,SUM(I1411:L1415)&lt;&gt;0,$B$4=YEAR(W1411)),B1410+1,0)</f>
        <v>0</v>
      </c>
      <c r="C1411" s="1">
        <f t="shared" si="78"/>
        <v>406</v>
      </c>
      <c r="D1411" s="102" t="str">
        <f t="shared" si="79"/>
        <v/>
      </c>
      <c r="E1411" s="44"/>
      <c r="F1411" s="45"/>
      <c r="G1411" s="45"/>
      <c r="H1411" s="45"/>
      <c r="I1411" s="46"/>
      <c r="J1411" s="111" t="str">
        <f>IF(AND(G1411&lt;&gt;"",ISERROR(VLOOKUP(G1411,Keszlet!$C$5:$H$200,6,FALSE))=FALSE),VLOOKUP(G1411,Keszlet!$C$5:$H$200,6,FALSE),"")</f>
        <v/>
      </c>
      <c r="K1411" s="106" t="str">
        <f>IF(AND(G1411&lt;&gt;"",ISERROR(VLOOKUP(G1411,Keszlet!$C$5:$G$200,5,FALSE))=FALSE),VLOOKUP(G1411,Keszlet!$C$5:$G$200,5,FALSE),"")</f>
        <v/>
      </c>
      <c r="L1411" s="106" t="str">
        <f t="shared" si="80"/>
        <v/>
      </c>
      <c r="M1411" s="115" t="str">
        <f>IF(ISERROR(VLOOKUP(G1411,Keszlet!$C$5:$I$200,7,FALSE))=TRUE,"",IF(AND(J1410&lt;&gt;"",J1412=""),VLOOKUP(G1411,Keszlet!$C$5:$I$200,7,FALSE),""))</f>
        <v/>
      </c>
      <c r="Q1411" s="1">
        <f>VLOOKUP(G1411,Keszlet!$C$5:$E$205,3,FALSE)</f>
        <v>0</v>
      </c>
      <c r="T1411" s="1" t="str">
        <f t="shared" si="81"/>
        <v/>
      </c>
      <c r="U1411" s="1">
        <f t="shared" si="82"/>
        <v>0</v>
      </c>
      <c r="W1411" s="6">
        <f t="shared" si="85"/>
        <v>0</v>
      </c>
      <c r="X1411" s="6">
        <f t="shared" si="77"/>
        <v>0</v>
      </c>
      <c r="Y1411" s="1">
        <f t="shared" si="83"/>
        <v>1</v>
      </c>
      <c r="Z1411" s="1">
        <f>IF(COUNTIF($Y$6:Y1411,Y1411)=1,Y1411,Y1411+COUNTIF($Y$5:Y1410,Y1411))</f>
        <v>406</v>
      </c>
      <c r="AD1411" s="1" t="str">
        <f t="shared" si="84"/>
        <v/>
      </c>
      <c r="BA1411" s="1">
        <f>IF(W1411&lt;=Leltar_iv!$Y$1,I1411,0)</f>
        <v>0</v>
      </c>
    </row>
    <row r="1412" spans="1:53" s="1" customFormat="1" x14ac:dyDescent="0.25">
      <c r="A1412" s="18">
        <f>IF(COUNTIF($Y$6:Y1412,Y1412)=1,Y1412,Y1412+COUNTIF($Y$5:Y1411,Y1412))</f>
        <v>407</v>
      </c>
      <c r="B1412" s="1">
        <f>IF(AND(Kisero_iv!$N$2=C1412,Kisero_iv!$K$5=$B$3,SUM(I1412:L1416)&lt;&gt;0,$B$4=YEAR(W1412)),B1411+1,0)</f>
        <v>0</v>
      </c>
      <c r="C1412" s="1">
        <f t="shared" si="78"/>
        <v>407</v>
      </c>
      <c r="D1412" s="102" t="str">
        <f t="shared" si="79"/>
        <v/>
      </c>
      <c r="E1412" s="44"/>
      <c r="F1412" s="45"/>
      <c r="G1412" s="45"/>
      <c r="H1412" s="45"/>
      <c r="I1412" s="46"/>
      <c r="J1412" s="111" t="str">
        <f>IF(AND(G1412&lt;&gt;"",ISERROR(VLOOKUP(G1412,Keszlet!$C$5:$H$200,6,FALSE))=FALSE),VLOOKUP(G1412,Keszlet!$C$5:$H$200,6,FALSE),"")</f>
        <v/>
      </c>
      <c r="K1412" s="106" t="str">
        <f>IF(AND(G1412&lt;&gt;"",ISERROR(VLOOKUP(G1412,Keszlet!$C$5:$G$200,5,FALSE))=FALSE),VLOOKUP(G1412,Keszlet!$C$5:$G$200,5,FALSE),"")</f>
        <v/>
      </c>
      <c r="L1412" s="106" t="str">
        <f t="shared" si="80"/>
        <v/>
      </c>
      <c r="M1412" s="115" t="str">
        <f>IF(ISERROR(VLOOKUP(G1412,Keszlet!$C$5:$I$200,7,FALSE))=TRUE,"",IF(AND(J1411&lt;&gt;"",J1413=""),VLOOKUP(G1412,Keszlet!$C$5:$I$200,7,FALSE),""))</f>
        <v/>
      </c>
      <c r="Q1412" s="1">
        <f>VLOOKUP(G1412,Keszlet!$C$5:$E$205,3,FALSE)</f>
        <v>0</v>
      </c>
      <c r="T1412" s="1" t="str">
        <f t="shared" si="81"/>
        <v/>
      </c>
      <c r="U1412" s="1">
        <f t="shared" si="82"/>
        <v>0</v>
      </c>
      <c r="W1412" s="6">
        <f t="shared" si="85"/>
        <v>0</v>
      </c>
      <c r="X1412" s="6">
        <f t="shared" si="77"/>
        <v>0</v>
      </c>
      <c r="Y1412" s="1">
        <f t="shared" si="83"/>
        <v>1</v>
      </c>
      <c r="Z1412" s="1">
        <f>IF(COUNTIF($Y$6:Y1412,Y1412)=1,Y1412,Y1412+COUNTIF($Y$5:Y1411,Y1412))</f>
        <v>407</v>
      </c>
      <c r="AD1412" s="1" t="str">
        <f t="shared" si="84"/>
        <v/>
      </c>
      <c r="BA1412" s="1">
        <f>IF(W1412&lt;=Leltar_iv!$Y$1,I1412,0)</f>
        <v>0</v>
      </c>
    </row>
    <row r="1413" spans="1:53" s="1" customFormat="1" x14ac:dyDescent="0.25">
      <c r="A1413" s="18">
        <f>IF(COUNTIF($Y$6:Y1413,Y1413)=1,Y1413,Y1413+COUNTIF($Y$5:Y1412,Y1413))</f>
        <v>408</v>
      </c>
      <c r="B1413" s="1">
        <f>IF(AND(Kisero_iv!$N$2=C1413,Kisero_iv!$K$5=$B$3,SUM(I1413:L1417)&lt;&gt;0,$B$4=YEAR(W1413)),B1412+1,0)</f>
        <v>0</v>
      </c>
      <c r="C1413" s="1">
        <f t="shared" si="78"/>
        <v>408</v>
      </c>
      <c r="D1413" s="102" t="str">
        <f t="shared" si="79"/>
        <v/>
      </c>
      <c r="E1413" s="44"/>
      <c r="F1413" s="45"/>
      <c r="G1413" s="45"/>
      <c r="H1413" s="45"/>
      <c r="I1413" s="46"/>
      <c r="J1413" s="111" t="str">
        <f>IF(AND(G1413&lt;&gt;"",ISERROR(VLOOKUP(G1413,Keszlet!$C$5:$H$200,6,FALSE))=FALSE),VLOOKUP(G1413,Keszlet!$C$5:$H$200,6,FALSE),"")</f>
        <v/>
      </c>
      <c r="K1413" s="106" t="str">
        <f>IF(AND(G1413&lt;&gt;"",ISERROR(VLOOKUP(G1413,Keszlet!$C$5:$G$200,5,FALSE))=FALSE),VLOOKUP(G1413,Keszlet!$C$5:$G$200,5,FALSE),"")</f>
        <v/>
      </c>
      <c r="L1413" s="106" t="str">
        <f t="shared" si="80"/>
        <v/>
      </c>
      <c r="M1413" s="115" t="str">
        <f>IF(ISERROR(VLOOKUP(G1413,Keszlet!$C$5:$I$200,7,FALSE))=TRUE,"",IF(AND(J1412&lt;&gt;"",J1414=""),VLOOKUP(G1413,Keszlet!$C$5:$I$200,7,FALSE),""))</f>
        <v/>
      </c>
      <c r="Q1413" s="1">
        <f>VLOOKUP(G1413,Keszlet!$C$5:$E$205,3,FALSE)</f>
        <v>0</v>
      </c>
      <c r="T1413" s="1" t="str">
        <f t="shared" si="81"/>
        <v/>
      </c>
      <c r="U1413" s="1">
        <f t="shared" si="82"/>
        <v>0</v>
      </c>
      <c r="W1413" s="6">
        <f t="shared" si="85"/>
        <v>0</v>
      </c>
      <c r="X1413" s="6">
        <f t="shared" si="77"/>
        <v>0</v>
      </c>
      <c r="Y1413" s="1">
        <f t="shared" si="83"/>
        <v>1</v>
      </c>
      <c r="Z1413" s="1">
        <f>IF(COUNTIF($Y$6:Y1413,Y1413)=1,Y1413,Y1413+COUNTIF($Y$5:Y1412,Y1413))</f>
        <v>408</v>
      </c>
      <c r="AD1413" s="1" t="str">
        <f t="shared" si="84"/>
        <v/>
      </c>
      <c r="BA1413" s="1">
        <f>IF(W1413&lt;=Leltar_iv!$Y$1,I1413,0)</f>
        <v>0</v>
      </c>
    </row>
    <row r="1414" spans="1:53" s="1" customFormat="1" x14ac:dyDescent="0.25">
      <c r="A1414" s="18">
        <f>IF(COUNTIF($Y$6:Y1414,Y1414)=1,Y1414,Y1414+COUNTIF($Y$5:Y1413,Y1414))</f>
        <v>409</v>
      </c>
      <c r="B1414" s="1">
        <f>IF(AND(Kisero_iv!$N$2=C1414,Kisero_iv!$K$5=$B$3,SUM(I1414:L1418)&lt;&gt;0,$B$4=YEAR(W1414)),B1413+1,0)</f>
        <v>0</v>
      </c>
      <c r="C1414" s="1">
        <f t="shared" si="78"/>
        <v>409</v>
      </c>
      <c r="D1414" s="102" t="str">
        <f t="shared" si="79"/>
        <v/>
      </c>
      <c r="E1414" s="44"/>
      <c r="F1414" s="45"/>
      <c r="G1414" s="45"/>
      <c r="H1414" s="45"/>
      <c r="I1414" s="46"/>
      <c r="J1414" s="111" t="str">
        <f>IF(AND(G1414&lt;&gt;"",ISERROR(VLOOKUP(G1414,Keszlet!$C$5:$H$200,6,FALSE))=FALSE),VLOOKUP(G1414,Keszlet!$C$5:$H$200,6,FALSE),"")</f>
        <v/>
      </c>
      <c r="K1414" s="106" t="str">
        <f>IF(AND(G1414&lt;&gt;"",ISERROR(VLOOKUP(G1414,Keszlet!$C$5:$G$200,5,FALSE))=FALSE),VLOOKUP(G1414,Keszlet!$C$5:$G$200,5,FALSE),"")</f>
        <v/>
      </c>
      <c r="L1414" s="106" t="str">
        <f t="shared" si="80"/>
        <v/>
      </c>
      <c r="M1414" s="115" t="str">
        <f>IF(ISERROR(VLOOKUP(G1414,Keszlet!$C$5:$I$200,7,FALSE))=TRUE,"",IF(AND(J1413&lt;&gt;"",J1415=""),VLOOKUP(G1414,Keszlet!$C$5:$I$200,7,FALSE),""))</f>
        <v/>
      </c>
      <c r="Q1414" s="1">
        <f>VLOOKUP(G1414,Keszlet!$C$5:$E$205,3,FALSE)</f>
        <v>0</v>
      </c>
      <c r="T1414" s="1" t="str">
        <f t="shared" si="81"/>
        <v/>
      </c>
      <c r="U1414" s="1">
        <f t="shared" si="82"/>
        <v>0</v>
      </c>
      <c r="W1414" s="6">
        <f t="shared" si="85"/>
        <v>0</v>
      </c>
      <c r="X1414" s="6">
        <f t="shared" si="77"/>
        <v>0</v>
      </c>
      <c r="Y1414" s="1">
        <f t="shared" si="83"/>
        <v>1</v>
      </c>
      <c r="Z1414" s="1">
        <f>IF(COUNTIF($Y$6:Y1414,Y1414)=1,Y1414,Y1414+COUNTIF($Y$5:Y1413,Y1414))</f>
        <v>409</v>
      </c>
      <c r="AD1414" s="1" t="str">
        <f t="shared" si="84"/>
        <v/>
      </c>
      <c r="BA1414" s="1">
        <f>IF(W1414&lt;=Leltar_iv!$Y$1,I1414,0)</f>
        <v>0</v>
      </c>
    </row>
    <row r="1415" spans="1:53" s="1" customFormat="1" x14ac:dyDescent="0.25">
      <c r="A1415" s="18">
        <f>IF(COUNTIF($Y$6:Y1415,Y1415)=1,Y1415,Y1415+COUNTIF($Y$5:Y1414,Y1415))</f>
        <v>410</v>
      </c>
      <c r="B1415" s="1">
        <f>IF(AND(Kisero_iv!$N$2=C1415,Kisero_iv!$K$5=$B$3,SUM(I1415:L1419)&lt;&gt;0,$B$4=YEAR(W1415)),B1414+1,0)</f>
        <v>0</v>
      </c>
      <c r="C1415" s="1">
        <f t="shared" si="78"/>
        <v>410</v>
      </c>
      <c r="D1415" s="102" t="str">
        <f t="shared" si="79"/>
        <v/>
      </c>
      <c r="E1415" s="44"/>
      <c r="F1415" s="45"/>
      <c r="G1415" s="45"/>
      <c r="H1415" s="45"/>
      <c r="I1415" s="46"/>
      <c r="J1415" s="111" t="str">
        <f>IF(AND(G1415&lt;&gt;"",ISERROR(VLOOKUP(G1415,Keszlet!$C$5:$H$200,6,FALSE))=FALSE),VLOOKUP(G1415,Keszlet!$C$5:$H$200,6,FALSE),"")</f>
        <v/>
      </c>
      <c r="K1415" s="106" t="str">
        <f>IF(AND(G1415&lt;&gt;"",ISERROR(VLOOKUP(G1415,Keszlet!$C$5:$G$200,5,FALSE))=FALSE),VLOOKUP(G1415,Keszlet!$C$5:$G$200,5,FALSE),"")</f>
        <v/>
      </c>
      <c r="L1415" s="106" t="str">
        <f t="shared" si="80"/>
        <v/>
      </c>
      <c r="M1415" s="115" t="str">
        <f>IF(ISERROR(VLOOKUP(G1415,Keszlet!$C$5:$I$200,7,FALSE))=TRUE,"",IF(AND(J1414&lt;&gt;"",J1416=""),VLOOKUP(G1415,Keszlet!$C$5:$I$200,7,FALSE),""))</f>
        <v/>
      </c>
      <c r="Q1415" s="1">
        <f>VLOOKUP(G1415,Keszlet!$C$5:$E$205,3,FALSE)</f>
        <v>0</v>
      </c>
      <c r="T1415" s="1" t="str">
        <f t="shared" si="81"/>
        <v/>
      </c>
      <c r="U1415" s="1">
        <f t="shared" si="82"/>
        <v>0</v>
      </c>
      <c r="W1415" s="6">
        <f t="shared" si="85"/>
        <v>0</v>
      </c>
      <c r="X1415" s="6">
        <f t="shared" si="77"/>
        <v>0</v>
      </c>
      <c r="Y1415" s="1">
        <f t="shared" si="83"/>
        <v>1</v>
      </c>
      <c r="Z1415" s="1">
        <f>IF(COUNTIF($Y$6:Y1415,Y1415)=1,Y1415,Y1415+COUNTIF($Y$5:Y1414,Y1415))</f>
        <v>410</v>
      </c>
      <c r="AD1415" s="1" t="str">
        <f t="shared" si="84"/>
        <v/>
      </c>
      <c r="BA1415" s="1">
        <f>IF(W1415&lt;=Leltar_iv!$Y$1,I1415,0)</f>
        <v>0</v>
      </c>
    </row>
    <row r="1416" spans="1:53" s="1" customFormat="1" x14ac:dyDescent="0.25">
      <c r="A1416" s="18">
        <f>IF(COUNTIF($Y$6:Y1416,Y1416)=1,Y1416,Y1416+COUNTIF($Y$5:Y1415,Y1416))</f>
        <v>411</v>
      </c>
      <c r="B1416" s="1">
        <f>IF(AND(Kisero_iv!$N$2=C1416,Kisero_iv!$K$5=$B$3,SUM(I1416:L1420)&lt;&gt;0,$B$4=YEAR(W1416)),B1415+1,0)</f>
        <v>0</v>
      </c>
      <c r="C1416" s="1">
        <f t="shared" si="78"/>
        <v>411</v>
      </c>
      <c r="D1416" s="102" t="str">
        <f t="shared" si="79"/>
        <v/>
      </c>
      <c r="E1416" s="44"/>
      <c r="F1416" s="45"/>
      <c r="G1416" s="45"/>
      <c r="H1416" s="45"/>
      <c r="I1416" s="46"/>
      <c r="J1416" s="111" t="str">
        <f>IF(AND(G1416&lt;&gt;"",ISERROR(VLOOKUP(G1416,Keszlet!$C$5:$H$200,6,FALSE))=FALSE),VLOOKUP(G1416,Keszlet!$C$5:$H$200,6,FALSE),"")</f>
        <v/>
      </c>
      <c r="K1416" s="106" t="str">
        <f>IF(AND(G1416&lt;&gt;"",ISERROR(VLOOKUP(G1416,Keszlet!$C$5:$G$200,5,FALSE))=FALSE),VLOOKUP(G1416,Keszlet!$C$5:$G$200,5,FALSE),"")</f>
        <v/>
      </c>
      <c r="L1416" s="106" t="str">
        <f t="shared" si="80"/>
        <v/>
      </c>
      <c r="M1416" s="115" t="str">
        <f>IF(ISERROR(VLOOKUP(G1416,Keszlet!$C$5:$I$200,7,FALSE))=TRUE,"",IF(AND(J1415&lt;&gt;"",J1417=""),VLOOKUP(G1416,Keszlet!$C$5:$I$200,7,FALSE),""))</f>
        <v/>
      </c>
      <c r="Q1416" s="1">
        <f>VLOOKUP(G1416,Keszlet!$C$5:$E$205,3,FALSE)</f>
        <v>0</v>
      </c>
      <c r="T1416" s="1" t="str">
        <f t="shared" si="81"/>
        <v/>
      </c>
      <c r="U1416" s="1">
        <f t="shared" si="82"/>
        <v>0</v>
      </c>
      <c r="W1416" s="6">
        <f t="shared" si="85"/>
        <v>0</v>
      </c>
      <c r="X1416" s="6">
        <f t="shared" si="77"/>
        <v>0</v>
      </c>
      <c r="Y1416" s="1">
        <f t="shared" si="83"/>
        <v>1</v>
      </c>
      <c r="Z1416" s="1">
        <f>IF(COUNTIF($Y$6:Y1416,Y1416)=1,Y1416,Y1416+COUNTIF($Y$5:Y1415,Y1416))</f>
        <v>411</v>
      </c>
      <c r="AD1416" s="1" t="str">
        <f t="shared" si="84"/>
        <v/>
      </c>
      <c r="BA1416" s="1">
        <f>IF(W1416&lt;=Leltar_iv!$Y$1,I1416,0)</f>
        <v>0</v>
      </c>
    </row>
    <row r="1417" spans="1:53" s="1" customFormat="1" x14ac:dyDescent="0.25">
      <c r="A1417" s="18">
        <f>IF(COUNTIF($Y$6:Y1417,Y1417)=1,Y1417,Y1417+COUNTIF($Y$5:Y1416,Y1417))</f>
        <v>412</v>
      </c>
      <c r="B1417" s="1">
        <f>IF(AND(Kisero_iv!$N$2=C1417,Kisero_iv!$K$5=$B$3,SUM(I1417:L1421)&lt;&gt;0,$B$4=YEAR(W1417)),B1416+1,0)</f>
        <v>0</v>
      </c>
      <c r="C1417" s="1">
        <f t="shared" si="78"/>
        <v>412</v>
      </c>
      <c r="D1417" s="102" t="str">
        <f t="shared" si="79"/>
        <v/>
      </c>
      <c r="E1417" s="44"/>
      <c r="F1417" s="45"/>
      <c r="G1417" s="45"/>
      <c r="H1417" s="45"/>
      <c r="I1417" s="46"/>
      <c r="J1417" s="111" t="str">
        <f>IF(AND(G1417&lt;&gt;"",ISERROR(VLOOKUP(G1417,Keszlet!$C$5:$H$200,6,FALSE))=FALSE),VLOOKUP(G1417,Keszlet!$C$5:$H$200,6,FALSE),"")</f>
        <v/>
      </c>
      <c r="K1417" s="106" t="str">
        <f>IF(AND(G1417&lt;&gt;"",ISERROR(VLOOKUP(G1417,Keszlet!$C$5:$G$200,5,FALSE))=FALSE),VLOOKUP(G1417,Keszlet!$C$5:$G$200,5,FALSE),"")</f>
        <v/>
      </c>
      <c r="L1417" s="106" t="str">
        <f t="shared" si="80"/>
        <v/>
      </c>
      <c r="M1417" s="115" t="str">
        <f>IF(ISERROR(VLOOKUP(G1417,Keszlet!$C$5:$I$200,7,FALSE))=TRUE,"",IF(AND(J1416&lt;&gt;"",J1418=""),VLOOKUP(G1417,Keszlet!$C$5:$I$200,7,FALSE),""))</f>
        <v/>
      </c>
      <c r="Q1417" s="1">
        <f>VLOOKUP(G1417,Keszlet!$C$5:$E$205,3,FALSE)</f>
        <v>0</v>
      </c>
      <c r="T1417" s="1" t="str">
        <f t="shared" si="81"/>
        <v/>
      </c>
      <c r="U1417" s="1">
        <f t="shared" si="82"/>
        <v>0</v>
      </c>
      <c r="W1417" s="6">
        <f t="shared" si="85"/>
        <v>0</v>
      </c>
      <c r="X1417" s="6">
        <f t="shared" si="77"/>
        <v>0</v>
      </c>
      <c r="Y1417" s="1">
        <f t="shared" si="83"/>
        <v>1</v>
      </c>
      <c r="Z1417" s="1">
        <f>IF(COUNTIF($Y$6:Y1417,Y1417)=1,Y1417,Y1417+COUNTIF($Y$5:Y1416,Y1417))</f>
        <v>412</v>
      </c>
      <c r="AD1417" s="1" t="str">
        <f t="shared" si="84"/>
        <v/>
      </c>
      <c r="BA1417" s="1">
        <f>IF(W1417&lt;=Leltar_iv!$Y$1,I1417,0)</f>
        <v>0</v>
      </c>
    </row>
    <row r="1418" spans="1:53" s="1" customFormat="1" x14ac:dyDescent="0.25">
      <c r="A1418" s="18">
        <f>IF(COUNTIF($Y$6:Y1418,Y1418)=1,Y1418,Y1418+COUNTIF($Y$5:Y1417,Y1418))</f>
        <v>413</v>
      </c>
      <c r="B1418" s="1">
        <f>IF(AND(Kisero_iv!$N$2=C1418,Kisero_iv!$K$5=$B$3,SUM(I1418:L1422)&lt;&gt;0,$B$4=YEAR(W1418)),B1417+1,0)</f>
        <v>0</v>
      </c>
      <c r="C1418" s="1">
        <f t="shared" si="78"/>
        <v>413</v>
      </c>
      <c r="D1418" s="102" t="str">
        <f t="shared" si="79"/>
        <v/>
      </c>
      <c r="E1418" s="44"/>
      <c r="F1418" s="45"/>
      <c r="G1418" s="45"/>
      <c r="H1418" s="45"/>
      <c r="I1418" s="46"/>
      <c r="J1418" s="111" t="str">
        <f>IF(AND(G1418&lt;&gt;"",ISERROR(VLOOKUP(G1418,Keszlet!$C$5:$H$200,6,FALSE))=FALSE),VLOOKUP(G1418,Keszlet!$C$5:$H$200,6,FALSE),"")</f>
        <v/>
      </c>
      <c r="K1418" s="106" t="str">
        <f>IF(AND(G1418&lt;&gt;"",ISERROR(VLOOKUP(G1418,Keszlet!$C$5:$G$200,5,FALSE))=FALSE),VLOOKUP(G1418,Keszlet!$C$5:$G$200,5,FALSE),"")</f>
        <v/>
      </c>
      <c r="L1418" s="106" t="str">
        <f t="shared" si="80"/>
        <v/>
      </c>
      <c r="M1418" s="115" t="str">
        <f>IF(ISERROR(VLOOKUP(G1418,Keszlet!$C$5:$I$200,7,FALSE))=TRUE,"",IF(AND(J1417&lt;&gt;"",J1419=""),VLOOKUP(G1418,Keszlet!$C$5:$I$200,7,FALSE),""))</f>
        <v/>
      </c>
      <c r="Q1418" s="1">
        <f>VLOOKUP(G1418,Keszlet!$C$5:$E$205,3,FALSE)</f>
        <v>0</v>
      </c>
      <c r="T1418" s="1" t="str">
        <f t="shared" si="81"/>
        <v/>
      </c>
      <c r="U1418" s="1">
        <f t="shared" si="82"/>
        <v>0</v>
      </c>
      <c r="W1418" s="6">
        <f t="shared" si="85"/>
        <v>0</v>
      </c>
      <c r="X1418" s="6">
        <f t="shared" si="77"/>
        <v>0</v>
      </c>
      <c r="Y1418" s="1">
        <f t="shared" si="83"/>
        <v>1</v>
      </c>
      <c r="Z1418" s="1">
        <f>IF(COUNTIF($Y$6:Y1418,Y1418)=1,Y1418,Y1418+COUNTIF($Y$5:Y1417,Y1418))</f>
        <v>413</v>
      </c>
      <c r="AD1418" s="1" t="str">
        <f t="shared" si="84"/>
        <v/>
      </c>
      <c r="BA1418" s="1">
        <f>IF(W1418&lt;=Leltar_iv!$Y$1,I1418,0)</f>
        <v>0</v>
      </c>
    </row>
    <row r="1419" spans="1:53" s="1" customFormat="1" x14ac:dyDescent="0.25">
      <c r="A1419" s="18">
        <f>IF(COUNTIF($Y$6:Y1419,Y1419)=1,Y1419,Y1419+COUNTIF($Y$5:Y1418,Y1419))</f>
        <v>414</v>
      </c>
      <c r="B1419" s="1">
        <f>IF(AND(Kisero_iv!$N$2=C1419,Kisero_iv!$K$5=$B$3,SUM(I1419:L1423)&lt;&gt;0,$B$4=YEAR(W1419)),B1418+1,0)</f>
        <v>0</v>
      </c>
      <c r="C1419" s="1">
        <f t="shared" si="78"/>
        <v>414</v>
      </c>
      <c r="D1419" s="102" t="str">
        <f t="shared" si="79"/>
        <v/>
      </c>
      <c r="E1419" s="44"/>
      <c r="F1419" s="45"/>
      <c r="G1419" s="45"/>
      <c r="H1419" s="45"/>
      <c r="I1419" s="46"/>
      <c r="J1419" s="111" t="str">
        <f>IF(AND(G1419&lt;&gt;"",ISERROR(VLOOKUP(G1419,Keszlet!$C$5:$H$200,6,FALSE))=FALSE),VLOOKUP(G1419,Keszlet!$C$5:$H$200,6,FALSE),"")</f>
        <v/>
      </c>
      <c r="K1419" s="106" t="str">
        <f>IF(AND(G1419&lt;&gt;"",ISERROR(VLOOKUP(G1419,Keszlet!$C$5:$G$200,5,FALSE))=FALSE),VLOOKUP(G1419,Keszlet!$C$5:$G$200,5,FALSE),"")</f>
        <v/>
      </c>
      <c r="L1419" s="106" t="str">
        <f t="shared" si="80"/>
        <v/>
      </c>
      <c r="M1419" s="115" t="str">
        <f>IF(ISERROR(VLOOKUP(G1419,Keszlet!$C$5:$I$200,7,FALSE))=TRUE,"",IF(AND(J1418&lt;&gt;"",J1420=""),VLOOKUP(G1419,Keszlet!$C$5:$I$200,7,FALSE),""))</f>
        <v/>
      </c>
      <c r="Q1419" s="1">
        <f>VLOOKUP(G1419,Keszlet!$C$5:$E$205,3,FALSE)</f>
        <v>0</v>
      </c>
      <c r="T1419" s="1" t="str">
        <f t="shared" si="81"/>
        <v/>
      </c>
      <c r="U1419" s="1">
        <f t="shared" si="82"/>
        <v>0</v>
      </c>
      <c r="W1419" s="6">
        <f t="shared" si="85"/>
        <v>0</v>
      </c>
      <c r="X1419" s="6">
        <f t="shared" si="77"/>
        <v>0</v>
      </c>
      <c r="Y1419" s="1">
        <f t="shared" si="83"/>
        <v>1</v>
      </c>
      <c r="Z1419" s="1">
        <f>IF(COUNTIF($Y$6:Y1419,Y1419)=1,Y1419,Y1419+COUNTIF($Y$5:Y1418,Y1419))</f>
        <v>414</v>
      </c>
      <c r="AD1419" s="1" t="str">
        <f t="shared" si="84"/>
        <v/>
      </c>
      <c r="BA1419" s="1">
        <f>IF(W1419&lt;=Leltar_iv!$Y$1,I1419,0)</f>
        <v>0</v>
      </c>
    </row>
    <row r="1420" spans="1:53" s="1" customFormat="1" x14ac:dyDescent="0.25">
      <c r="A1420" s="18">
        <f>IF(COUNTIF($Y$6:Y1420,Y1420)=1,Y1420,Y1420+COUNTIF($Y$5:Y1419,Y1420))</f>
        <v>415</v>
      </c>
      <c r="B1420" s="1">
        <f>IF(AND(Kisero_iv!$N$2=C1420,Kisero_iv!$K$5=$B$3,SUM(I1420:L1424)&lt;&gt;0,$B$4=YEAR(W1420)),B1419+1,0)</f>
        <v>0</v>
      </c>
      <c r="C1420" s="1">
        <f t="shared" si="78"/>
        <v>415</v>
      </c>
      <c r="D1420" s="102" t="str">
        <f t="shared" si="79"/>
        <v/>
      </c>
      <c r="E1420" s="44"/>
      <c r="F1420" s="45"/>
      <c r="G1420" s="45"/>
      <c r="H1420" s="45"/>
      <c r="I1420" s="46"/>
      <c r="J1420" s="111" t="str">
        <f>IF(AND(G1420&lt;&gt;"",ISERROR(VLOOKUP(G1420,Keszlet!$C$5:$H$200,6,FALSE))=FALSE),VLOOKUP(G1420,Keszlet!$C$5:$H$200,6,FALSE),"")</f>
        <v/>
      </c>
      <c r="K1420" s="106" t="str">
        <f>IF(AND(G1420&lt;&gt;"",ISERROR(VLOOKUP(G1420,Keszlet!$C$5:$G$200,5,FALSE))=FALSE),VLOOKUP(G1420,Keszlet!$C$5:$G$200,5,FALSE),"")</f>
        <v/>
      </c>
      <c r="L1420" s="106" t="str">
        <f t="shared" si="80"/>
        <v/>
      </c>
      <c r="M1420" s="115" t="str">
        <f>IF(ISERROR(VLOOKUP(G1420,Keszlet!$C$5:$I$200,7,FALSE))=TRUE,"",IF(AND(J1419&lt;&gt;"",J1421=""),VLOOKUP(G1420,Keszlet!$C$5:$I$200,7,FALSE),""))</f>
        <v/>
      </c>
      <c r="Q1420" s="1">
        <f>VLOOKUP(G1420,Keszlet!$C$5:$E$205,3,FALSE)</f>
        <v>0</v>
      </c>
      <c r="T1420" s="1" t="str">
        <f t="shared" si="81"/>
        <v/>
      </c>
      <c r="U1420" s="1">
        <f t="shared" si="82"/>
        <v>0</v>
      </c>
      <c r="W1420" s="6">
        <f t="shared" si="85"/>
        <v>0</v>
      </c>
      <c r="X1420" s="6">
        <f t="shared" si="77"/>
        <v>0</v>
      </c>
      <c r="Y1420" s="1">
        <f t="shared" si="83"/>
        <v>1</v>
      </c>
      <c r="Z1420" s="1">
        <f>IF(COUNTIF($Y$6:Y1420,Y1420)=1,Y1420,Y1420+COUNTIF($Y$5:Y1419,Y1420))</f>
        <v>415</v>
      </c>
      <c r="AD1420" s="1" t="str">
        <f t="shared" si="84"/>
        <v/>
      </c>
      <c r="BA1420" s="1">
        <f>IF(W1420&lt;=Leltar_iv!$Y$1,I1420,0)</f>
        <v>0</v>
      </c>
    </row>
    <row r="1421" spans="1:53" s="1" customFormat="1" x14ac:dyDescent="0.25">
      <c r="A1421" s="18">
        <f>IF(COUNTIF($Y$6:Y1421,Y1421)=1,Y1421,Y1421+COUNTIF($Y$5:Y1420,Y1421))</f>
        <v>416</v>
      </c>
      <c r="B1421" s="1">
        <f>IF(AND(Kisero_iv!$N$2=C1421,Kisero_iv!$K$5=$B$3,SUM(I1421:L1425)&lt;&gt;0,$B$4=YEAR(W1421)),B1420+1,0)</f>
        <v>0</v>
      </c>
      <c r="C1421" s="1">
        <f t="shared" si="78"/>
        <v>416</v>
      </c>
      <c r="D1421" s="102" t="str">
        <f t="shared" si="79"/>
        <v/>
      </c>
      <c r="E1421" s="44"/>
      <c r="F1421" s="45"/>
      <c r="G1421" s="45"/>
      <c r="H1421" s="45"/>
      <c r="I1421" s="46"/>
      <c r="J1421" s="111" t="str">
        <f>IF(AND(G1421&lt;&gt;"",ISERROR(VLOOKUP(G1421,Keszlet!$C$5:$H$200,6,FALSE))=FALSE),VLOOKUP(G1421,Keszlet!$C$5:$H$200,6,FALSE),"")</f>
        <v/>
      </c>
      <c r="K1421" s="106" t="str">
        <f>IF(AND(G1421&lt;&gt;"",ISERROR(VLOOKUP(G1421,Keszlet!$C$5:$G$200,5,FALSE))=FALSE),VLOOKUP(G1421,Keszlet!$C$5:$G$200,5,FALSE),"")</f>
        <v/>
      </c>
      <c r="L1421" s="106" t="str">
        <f t="shared" si="80"/>
        <v/>
      </c>
      <c r="M1421" s="115" t="str">
        <f>IF(ISERROR(VLOOKUP(G1421,Keszlet!$C$5:$I$200,7,FALSE))=TRUE,"",IF(AND(J1420&lt;&gt;"",J1422=""),VLOOKUP(G1421,Keszlet!$C$5:$I$200,7,FALSE),""))</f>
        <v/>
      </c>
      <c r="Q1421" s="1">
        <f>VLOOKUP(G1421,Keszlet!$C$5:$E$205,3,FALSE)</f>
        <v>0</v>
      </c>
      <c r="T1421" s="1" t="str">
        <f t="shared" si="81"/>
        <v/>
      </c>
      <c r="U1421" s="1">
        <f t="shared" si="82"/>
        <v>0</v>
      </c>
      <c r="W1421" s="6">
        <f t="shared" si="85"/>
        <v>0</v>
      </c>
      <c r="X1421" s="6">
        <f t="shared" si="77"/>
        <v>0</v>
      </c>
      <c r="Y1421" s="1">
        <f t="shared" si="83"/>
        <v>1</v>
      </c>
      <c r="Z1421" s="1">
        <f>IF(COUNTIF($Y$6:Y1421,Y1421)=1,Y1421,Y1421+COUNTIF($Y$5:Y1420,Y1421))</f>
        <v>416</v>
      </c>
      <c r="AD1421" s="1" t="str">
        <f t="shared" si="84"/>
        <v/>
      </c>
      <c r="BA1421" s="1">
        <f>IF(W1421&lt;=Leltar_iv!$Y$1,I1421,0)</f>
        <v>0</v>
      </c>
    </row>
    <row r="1422" spans="1:53" s="1" customFormat="1" x14ac:dyDescent="0.25">
      <c r="A1422" s="18">
        <f>IF(COUNTIF($Y$6:Y1422,Y1422)=1,Y1422,Y1422+COUNTIF($Y$5:Y1421,Y1422))</f>
        <v>417</v>
      </c>
      <c r="B1422" s="1">
        <f>IF(AND(Kisero_iv!$N$2=C1422,Kisero_iv!$K$5=$B$3,SUM(I1422:L1426)&lt;&gt;0,$B$4=YEAR(W1422)),B1421+1,0)</f>
        <v>0</v>
      </c>
      <c r="C1422" s="1">
        <f t="shared" si="78"/>
        <v>417</v>
      </c>
      <c r="D1422" s="102" t="str">
        <f t="shared" si="79"/>
        <v/>
      </c>
      <c r="E1422" s="44"/>
      <c r="F1422" s="45"/>
      <c r="G1422" s="45"/>
      <c r="H1422" s="45"/>
      <c r="I1422" s="46"/>
      <c r="J1422" s="111" t="str">
        <f>IF(AND(G1422&lt;&gt;"",ISERROR(VLOOKUP(G1422,Keszlet!$C$5:$H$200,6,FALSE))=FALSE),VLOOKUP(G1422,Keszlet!$C$5:$H$200,6,FALSE),"")</f>
        <v/>
      </c>
      <c r="K1422" s="106" t="str">
        <f>IF(AND(G1422&lt;&gt;"",ISERROR(VLOOKUP(G1422,Keszlet!$C$5:$G$200,5,FALSE))=FALSE),VLOOKUP(G1422,Keszlet!$C$5:$G$200,5,FALSE),"")</f>
        <v/>
      </c>
      <c r="L1422" s="106" t="str">
        <f t="shared" si="80"/>
        <v/>
      </c>
      <c r="M1422" s="115" t="str">
        <f>IF(ISERROR(VLOOKUP(G1422,Keszlet!$C$5:$I$200,7,FALSE))=TRUE,"",IF(AND(J1421&lt;&gt;"",J1423=""),VLOOKUP(G1422,Keszlet!$C$5:$I$200,7,FALSE),""))</f>
        <v/>
      </c>
      <c r="Q1422" s="1">
        <f>VLOOKUP(G1422,Keszlet!$C$5:$E$205,3,FALSE)</f>
        <v>0</v>
      </c>
      <c r="T1422" s="1" t="str">
        <f t="shared" si="81"/>
        <v/>
      </c>
      <c r="U1422" s="1">
        <f t="shared" si="82"/>
        <v>0</v>
      </c>
      <c r="W1422" s="6">
        <f t="shared" si="85"/>
        <v>0</v>
      </c>
      <c r="X1422" s="6">
        <f t="shared" si="77"/>
        <v>0</v>
      </c>
      <c r="Y1422" s="1">
        <f t="shared" si="83"/>
        <v>1</v>
      </c>
      <c r="Z1422" s="1">
        <f>IF(COUNTIF($Y$6:Y1422,Y1422)=1,Y1422,Y1422+COUNTIF($Y$5:Y1421,Y1422))</f>
        <v>417</v>
      </c>
      <c r="AD1422" s="1" t="str">
        <f t="shared" si="84"/>
        <v/>
      </c>
      <c r="BA1422" s="1">
        <f>IF(W1422&lt;=Leltar_iv!$Y$1,I1422,0)</f>
        <v>0</v>
      </c>
    </row>
    <row r="1423" spans="1:53" s="1" customFormat="1" x14ac:dyDescent="0.25">
      <c r="A1423" s="18">
        <f>IF(COUNTIF($Y$6:Y1423,Y1423)=1,Y1423,Y1423+COUNTIF($Y$5:Y1422,Y1423))</f>
        <v>418</v>
      </c>
      <c r="B1423" s="1">
        <f>IF(AND(Kisero_iv!$N$2=C1423,Kisero_iv!$K$5=$B$3,SUM(I1423:L1427)&lt;&gt;0,$B$4=YEAR(W1423)),B1422+1,0)</f>
        <v>0</v>
      </c>
      <c r="C1423" s="1">
        <f t="shared" si="78"/>
        <v>418</v>
      </c>
      <c r="D1423" s="102" t="str">
        <f t="shared" si="79"/>
        <v/>
      </c>
      <c r="E1423" s="44"/>
      <c r="F1423" s="45"/>
      <c r="G1423" s="45"/>
      <c r="H1423" s="45"/>
      <c r="I1423" s="46"/>
      <c r="J1423" s="111" t="str">
        <f>IF(AND(G1423&lt;&gt;"",ISERROR(VLOOKUP(G1423,Keszlet!$C$5:$H$200,6,FALSE))=FALSE),VLOOKUP(G1423,Keszlet!$C$5:$H$200,6,FALSE),"")</f>
        <v/>
      </c>
      <c r="K1423" s="106" t="str">
        <f>IF(AND(G1423&lt;&gt;"",ISERROR(VLOOKUP(G1423,Keszlet!$C$5:$G$200,5,FALSE))=FALSE),VLOOKUP(G1423,Keszlet!$C$5:$G$200,5,FALSE),"")</f>
        <v/>
      </c>
      <c r="L1423" s="106" t="str">
        <f t="shared" si="80"/>
        <v/>
      </c>
      <c r="M1423" s="115" t="str">
        <f>IF(ISERROR(VLOOKUP(G1423,Keszlet!$C$5:$I$200,7,FALSE))=TRUE,"",IF(AND(J1422&lt;&gt;"",J1424=""),VLOOKUP(G1423,Keszlet!$C$5:$I$200,7,FALSE),""))</f>
        <v/>
      </c>
      <c r="Q1423" s="1">
        <f>VLOOKUP(G1423,Keszlet!$C$5:$E$205,3,FALSE)</f>
        <v>0</v>
      </c>
      <c r="T1423" s="1" t="str">
        <f t="shared" si="81"/>
        <v/>
      </c>
      <c r="U1423" s="1">
        <f t="shared" si="82"/>
        <v>0</v>
      </c>
      <c r="W1423" s="6">
        <f t="shared" si="85"/>
        <v>0</v>
      </c>
      <c r="X1423" s="6">
        <f t="shared" si="77"/>
        <v>0</v>
      </c>
      <c r="Y1423" s="1">
        <f t="shared" si="83"/>
        <v>1</v>
      </c>
      <c r="Z1423" s="1">
        <f>IF(COUNTIF($Y$6:Y1423,Y1423)=1,Y1423,Y1423+COUNTIF($Y$5:Y1422,Y1423))</f>
        <v>418</v>
      </c>
      <c r="AD1423" s="1" t="str">
        <f t="shared" si="84"/>
        <v/>
      </c>
      <c r="BA1423" s="1">
        <f>IF(W1423&lt;=Leltar_iv!$Y$1,I1423,0)</f>
        <v>0</v>
      </c>
    </row>
    <row r="1424" spans="1:53" s="1" customFormat="1" x14ac:dyDescent="0.25">
      <c r="A1424" s="18">
        <f>IF(COUNTIF($Y$6:Y1424,Y1424)=1,Y1424,Y1424+COUNTIF($Y$5:Y1423,Y1424))</f>
        <v>419</v>
      </c>
      <c r="B1424" s="1">
        <f>IF(AND(Kisero_iv!$N$2=C1424,Kisero_iv!$K$5=$B$3,SUM(I1424:L1428)&lt;&gt;0,$B$4=YEAR(W1424)),B1423+1,0)</f>
        <v>0</v>
      </c>
      <c r="C1424" s="1">
        <f t="shared" si="78"/>
        <v>419</v>
      </c>
      <c r="D1424" s="102" t="str">
        <f t="shared" si="79"/>
        <v/>
      </c>
      <c r="E1424" s="44"/>
      <c r="F1424" s="45"/>
      <c r="G1424" s="45"/>
      <c r="H1424" s="45"/>
      <c r="I1424" s="46"/>
      <c r="J1424" s="111" t="str">
        <f>IF(AND(G1424&lt;&gt;"",ISERROR(VLOOKUP(G1424,Keszlet!$C$5:$H$200,6,FALSE))=FALSE),VLOOKUP(G1424,Keszlet!$C$5:$H$200,6,FALSE),"")</f>
        <v/>
      </c>
      <c r="K1424" s="106" t="str">
        <f>IF(AND(G1424&lt;&gt;"",ISERROR(VLOOKUP(G1424,Keszlet!$C$5:$G$200,5,FALSE))=FALSE),VLOOKUP(G1424,Keszlet!$C$5:$G$200,5,FALSE),"")</f>
        <v/>
      </c>
      <c r="L1424" s="106" t="str">
        <f t="shared" si="80"/>
        <v/>
      </c>
      <c r="M1424" s="115" t="str">
        <f>IF(ISERROR(VLOOKUP(G1424,Keszlet!$C$5:$I$200,7,FALSE))=TRUE,"",IF(AND(J1423&lt;&gt;"",J1425=""),VLOOKUP(G1424,Keszlet!$C$5:$I$200,7,FALSE),""))</f>
        <v/>
      </c>
      <c r="Q1424" s="1">
        <f>VLOOKUP(G1424,Keszlet!$C$5:$E$205,3,FALSE)</f>
        <v>0</v>
      </c>
      <c r="T1424" s="1" t="str">
        <f t="shared" si="81"/>
        <v/>
      </c>
      <c r="U1424" s="1">
        <f t="shared" si="82"/>
        <v>0</v>
      </c>
      <c r="W1424" s="6">
        <f t="shared" si="85"/>
        <v>0</v>
      </c>
      <c r="X1424" s="6">
        <f t="shared" si="77"/>
        <v>0</v>
      </c>
      <c r="Y1424" s="1">
        <f t="shared" si="83"/>
        <v>1</v>
      </c>
      <c r="Z1424" s="1">
        <f>IF(COUNTIF($Y$6:Y1424,Y1424)=1,Y1424,Y1424+COUNTIF($Y$5:Y1423,Y1424))</f>
        <v>419</v>
      </c>
      <c r="AD1424" s="1" t="str">
        <f t="shared" si="84"/>
        <v/>
      </c>
      <c r="BA1424" s="1">
        <f>IF(W1424&lt;=Leltar_iv!$Y$1,I1424,0)</f>
        <v>0</v>
      </c>
    </row>
    <row r="1425" spans="1:53" s="1" customFormat="1" x14ac:dyDescent="0.25">
      <c r="A1425" s="18">
        <f>IF(COUNTIF($Y$6:Y1425,Y1425)=1,Y1425,Y1425+COUNTIF($Y$5:Y1424,Y1425))</f>
        <v>420</v>
      </c>
      <c r="B1425" s="1">
        <f>IF(AND(Kisero_iv!$N$2=C1425,Kisero_iv!$K$5=$B$3,SUM(I1425:L1429)&lt;&gt;0,$B$4=YEAR(W1425)),B1424+1,0)</f>
        <v>0</v>
      </c>
      <c r="C1425" s="1">
        <f t="shared" si="78"/>
        <v>420</v>
      </c>
      <c r="D1425" s="102" t="str">
        <f t="shared" si="79"/>
        <v/>
      </c>
      <c r="E1425" s="44"/>
      <c r="F1425" s="45"/>
      <c r="G1425" s="45"/>
      <c r="H1425" s="45"/>
      <c r="I1425" s="46"/>
      <c r="J1425" s="111" t="str">
        <f>IF(AND(G1425&lt;&gt;"",ISERROR(VLOOKUP(G1425,Keszlet!$C$5:$H$200,6,FALSE))=FALSE),VLOOKUP(G1425,Keszlet!$C$5:$H$200,6,FALSE),"")</f>
        <v/>
      </c>
      <c r="K1425" s="106" t="str">
        <f>IF(AND(G1425&lt;&gt;"",ISERROR(VLOOKUP(G1425,Keszlet!$C$5:$G$200,5,FALSE))=FALSE),VLOOKUP(G1425,Keszlet!$C$5:$G$200,5,FALSE),"")</f>
        <v/>
      </c>
      <c r="L1425" s="106" t="str">
        <f t="shared" si="80"/>
        <v/>
      </c>
      <c r="M1425" s="115" t="str">
        <f>IF(ISERROR(VLOOKUP(G1425,Keszlet!$C$5:$I$200,7,FALSE))=TRUE,"",IF(AND(J1424&lt;&gt;"",J1426=""),VLOOKUP(G1425,Keszlet!$C$5:$I$200,7,FALSE),""))</f>
        <v/>
      </c>
      <c r="Q1425" s="1">
        <f>VLOOKUP(G1425,Keszlet!$C$5:$E$205,3,FALSE)</f>
        <v>0</v>
      </c>
      <c r="T1425" s="1" t="str">
        <f t="shared" si="81"/>
        <v/>
      </c>
      <c r="U1425" s="1">
        <f t="shared" si="82"/>
        <v>0</v>
      </c>
      <c r="W1425" s="6">
        <f t="shared" si="85"/>
        <v>0</v>
      </c>
      <c r="X1425" s="6">
        <f t="shared" si="77"/>
        <v>0</v>
      </c>
      <c r="Y1425" s="1">
        <f t="shared" si="83"/>
        <v>1</v>
      </c>
      <c r="Z1425" s="1">
        <f>IF(COUNTIF($Y$6:Y1425,Y1425)=1,Y1425,Y1425+COUNTIF($Y$5:Y1424,Y1425))</f>
        <v>420</v>
      </c>
      <c r="AD1425" s="1" t="str">
        <f t="shared" si="84"/>
        <v/>
      </c>
      <c r="BA1425" s="1">
        <f>IF(W1425&lt;=Leltar_iv!$Y$1,I1425,0)</f>
        <v>0</v>
      </c>
    </row>
    <row r="1426" spans="1:53" s="1" customFormat="1" x14ac:dyDescent="0.25">
      <c r="A1426" s="18">
        <f>IF(COUNTIF($Y$6:Y1426,Y1426)=1,Y1426,Y1426+COUNTIF($Y$5:Y1425,Y1426))</f>
        <v>421</v>
      </c>
      <c r="B1426" s="1">
        <f>IF(AND(Kisero_iv!$N$2=C1426,Kisero_iv!$K$5=$B$3,SUM(I1426:L1430)&lt;&gt;0,$B$4=YEAR(W1426)),B1425+1,0)</f>
        <v>0</v>
      </c>
      <c r="C1426" s="1">
        <f t="shared" si="78"/>
        <v>421</v>
      </c>
      <c r="D1426" s="102" t="str">
        <f t="shared" si="79"/>
        <v/>
      </c>
      <c r="E1426" s="44"/>
      <c r="F1426" s="45"/>
      <c r="G1426" s="45"/>
      <c r="H1426" s="45"/>
      <c r="I1426" s="46"/>
      <c r="J1426" s="111" t="str">
        <f>IF(AND(G1426&lt;&gt;"",ISERROR(VLOOKUP(G1426,Keszlet!$C$5:$H$200,6,FALSE))=FALSE),VLOOKUP(G1426,Keszlet!$C$5:$H$200,6,FALSE),"")</f>
        <v/>
      </c>
      <c r="K1426" s="106" t="str">
        <f>IF(AND(G1426&lt;&gt;"",ISERROR(VLOOKUP(G1426,Keszlet!$C$5:$G$200,5,FALSE))=FALSE),VLOOKUP(G1426,Keszlet!$C$5:$G$200,5,FALSE),"")</f>
        <v/>
      </c>
      <c r="L1426" s="106" t="str">
        <f t="shared" si="80"/>
        <v/>
      </c>
      <c r="M1426" s="115" t="str">
        <f>IF(ISERROR(VLOOKUP(G1426,Keszlet!$C$5:$I$200,7,FALSE))=TRUE,"",IF(AND(J1425&lt;&gt;"",J1427=""),VLOOKUP(G1426,Keszlet!$C$5:$I$200,7,FALSE),""))</f>
        <v/>
      </c>
      <c r="Q1426" s="1">
        <f>VLOOKUP(G1426,Keszlet!$C$5:$E$205,3,FALSE)</f>
        <v>0</v>
      </c>
      <c r="T1426" s="1" t="str">
        <f t="shared" si="81"/>
        <v/>
      </c>
      <c r="U1426" s="1">
        <f t="shared" si="82"/>
        <v>0</v>
      </c>
      <c r="W1426" s="6">
        <f t="shared" si="85"/>
        <v>0</v>
      </c>
      <c r="X1426" s="6">
        <f t="shared" si="77"/>
        <v>0</v>
      </c>
      <c r="Y1426" s="1">
        <f t="shared" si="83"/>
        <v>1</v>
      </c>
      <c r="Z1426" s="1">
        <f>IF(COUNTIF($Y$6:Y1426,Y1426)=1,Y1426,Y1426+COUNTIF($Y$5:Y1425,Y1426))</f>
        <v>421</v>
      </c>
      <c r="AD1426" s="1" t="str">
        <f t="shared" si="84"/>
        <v/>
      </c>
      <c r="BA1426" s="1">
        <f>IF(W1426&lt;=Leltar_iv!$Y$1,I1426,0)</f>
        <v>0</v>
      </c>
    </row>
    <row r="1427" spans="1:53" s="1" customFormat="1" x14ac:dyDescent="0.25">
      <c r="A1427" s="18">
        <f>IF(COUNTIF($Y$6:Y1427,Y1427)=1,Y1427,Y1427+COUNTIF($Y$5:Y1426,Y1427))</f>
        <v>422</v>
      </c>
      <c r="B1427" s="1">
        <f>IF(AND(Kisero_iv!$N$2=C1427,Kisero_iv!$K$5=$B$3,SUM(I1427:L1431)&lt;&gt;0,$B$4=YEAR(W1427)),B1426+1,0)</f>
        <v>0</v>
      </c>
      <c r="C1427" s="1">
        <f t="shared" si="78"/>
        <v>422</v>
      </c>
      <c r="D1427" s="102" t="str">
        <f t="shared" si="79"/>
        <v/>
      </c>
      <c r="E1427" s="44"/>
      <c r="F1427" s="45"/>
      <c r="G1427" s="45"/>
      <c r="H1427" s="45"/>
      <c r="I1427" s="46"/>
      <c r="J1427" s="111" t="str">
        <f>IF(AND(G1427&lt;&gt;"",ISERROR(VLOOKUP(G1427,Keszlet!$C$5:$H$200,6,FALSE))=FALSE),VLOOKUP(G1427,Keszlet!$C$5:$H$200,6,FALSE),"")</f>
        <v/>
      </c>
      <c r="K1427" s="106" t="str">
        <f>IF(AND(G1427&lt;&gt;"",ISERROR(VLOOKUP(G1427,Keszlet!$C$5:$G$200,5,FALSE))=FALSE),VLOOKUP(G1427,Keszlet!$C$5:$G$200,5,FALSE),"")</f>
        <v/>
      </c>
      <c r="L1427" s="106" t="str">
        <f t="shared" si="80"/>
        <v/>
      </c>
      <c r="M1427" s="115" t="str">
        <f>IF(ISERROR(VLOOKUP(G1427,Keszlet!$C$5:$I$200,7,FALSE))=TRUE,"",IF(AND(J1426&lt;&gt;"",J1428=""),VLOOKUP(G1427,Keszlet!$C$5:$I$200,7,FALSE),""))</f>
        <v/>
      </c>
      <c r="Q1427" s="1">
        <f>VLOOKUP(G1427,Keszlet!$C$5:$E$205,3,FALSE)</f>
        <v>0</v>
      </c>
      <c r="T1427" s="1" t="str">
        <f t="shared" si="81"/>
        <v/>
      </c>
      <c r="U1427" s="1">
        <f t="shared" si="82"/>
        <v>0</v>
      </c>
      <c r="W1427" s="6">
        <f t="shared" si="85"/>
        <v>0</v>
      </c>
      <c r="X1427" s="6">
        <f t="shared" si="77"/>
        <v>0</v>
      </c>
      <c r="Y1427" s="1">
        <f t="shared" si="83"/>
        <v>1</v>
      </c>
      <c r="Z1427" s="1">
        <f>IF(COUNTIF($Y$6:Y1427,Y1427)=1,Y1427,Y1427+COUNTIF($Y$5:Y1426,Y1427))</f>
        <v>422</v>
      </c>
      <c r="AD1427" s="1" t="str">
        <f t="shared" si="84"/>
        <v/>
      </c>
      <c r="BA1427" s="1">
        <f>IF(W1427&lt;=Leltar_iv!$Y$1,I1427,0)</f>
        <v>0</v>
      </c>
    </row>
    <row r="1428" spans="1:53" s="1" customFormat="1" x14ac:dyDescent="0.25">
      <c r="A1428" s="18">
        <f>IF(COUNTIF($Y$6:Y1428,Y1428)=1,Y1428,Y1428+COUNTIF($Y$5:Y1427,Y1428))</f>
        <v>423</v>
      </c>
      <c r="B1428" s="1">
        <f>IF(AND(Kisero_iv!$N$2=C1428,Kisero_iv!$K$5=$B$3,SUM(I1428:L1432)&lt;&gt;0,$B$4=YEAR(W1428)),B1427+1,0)</f>
        <v>0</v>
      </c>
      <c r="C1428" s="1">
        <f t="shared" si="78"/>
        <v>423</v>
      </c>
      <c r="D1428" s="102" t="str">
        <f t="shared" si="79"/>
        <v/>
      </c>
      <c r="E1428" s="44"/>
      <c r="F1428" s="45"/>
      <c r="G1428" s="45"/>
      <c r="H1428" s="45"/>
      <c r="I1428" s="46"/>
      <c r="J1428" s="111" t="str">
        <f>IF(AND(G1428&lt;&gt;"",ISERROR(VLOOKUP(G1428,Keszlet!$C$5:$H$200,6,FALSE))=FALSE),VLOOKUP(G1428,Keszlet!$C$5:$H$200,6,FALSE),"")</f>
        <v/>
      </c>
      <c r="K1428" s="106" t="str">
        <f>IF(AND(G1428&lt;&gt;"",ISERROR(VLOOKUP(G1428,Keszlet!$C$5:$G$200,5,FALSE))=FALSE),VLOOKUP(G1428,Keszlet!$C$5:$G$200,5,FALSE),"")</f>
        <v/>
      </c>
      <c r="L1428" s="106" t="str">
        <f t="shared" si="80"/>
        <v/>
      </c>
      <c r="M1428" s="115" t="str">
        <f>IF(ISERROR(VLOOKUP(G1428,Keszlet!$C$5:$I$200,7,FALSE))=TRUE,"",IF(AND(J1427&lt;&gt;"",J1429=""),VLOOKUP(G1428,Keszlet!$C$5:$I$200,7,FALSE),""))</f>
        <v/>
      </c>
      <c r="Q1428" s="1">
        <f>VLOOKUP(G1428,Keszlet!$C$5:$E$205,3,FALSE)</f>
        <v>0</v>
      </c>
      <c r="T1428" s="1" t="str">
        <f t="shared" si="81"/>
        <v/>
      </c>
      <c r="U1428" s="1">
        <f t="shared" si="82"/>
        <v>0</v>
      </c>
      <c r="W1428" s="6">
        <f t="shared" si="85"/>
        <v>0</v>
      </c>
      <c r="X1428" s="6">
        <f t="shared" si="77"/>
        <v>0</v>
      </c>
      <c r="Y1428" s="1">
        <f t="shared" si="83"/>
        <v>1</v>
      </c>
      <c r="Z1428" s="1">
        <f>IF(COUNTIF($Y$6:Y1428,Y1428)=1,Y1428,Y1428+COUNTIF($Y$5:Y1427,Y1428))</f>
        <v>423</v>
      </c>
      <c r="AD1428" s="1" t="str">
        <f t="shared" si="84"/>
        <v/>
      </c>
      <c r="BA1428" s="1">
        <f>IF(W1428&lt;=Leltar_iv!$Y$1,I1428,0)</f>
        <v>0</v>
      </c>
    </row>
    <row r="1429" spans="1:53" s="1" customFormat="1" x14ac:dyDescent="0.25">
      <c r="A1429" s="18">
        <f>IF(COUNTIF($Y$6:Y1429,Y1429)=1,Y1429,Y1429+COUNTIF($Y$5:Y1428,Y1429))</f>
        <v>424</v>
      </c>
      <c r="B1429" s="1">
        <f>IF(AND(Kisero_iv!$N$2=C1429,Kisero_iv!$K$5=$B$3,SUM(I1429:L1433)&lt;&gt;0,$B$4=YEAR(W1429)),B1428+1,0)</f>
        <v>0</v>
      </c>
      <c r="C1429" s="1">
        <f t="shared" si="78"/>
        <v>424</v>
      </c>
      <c r="D1429" s="102" t="str">
        <f t="shared" si="79"/>
        <v/>
      </c>
      <c r="E1429" s="44"/>
      <c r="F1429" s="45"/>
      <c r="G1429" s="45"/>
      <c r="H1429" s="45"/>
      <c r="I1429" s="46"/>
      <c r="J1429" s="111" t="str">
        <f>IF(AND(G1429&lt;&gt;"",ISERROR(VLOOKUP(G1429,Keszlet!$C$5:$H$200,6,FALSE))=FALSE),VLOOKUP(G1429,Keszlet!$C$5:$H$200,6,FALSE),"")</f>
        <v/>
      </c>
      <c r="K1429" s="106" t="str">
        <f>IF(AND(G1429&lt;&gt;"",ISERROR(VLOOKUP(G1429,Keszlet!$C$5:$G$200,5,FALSE))=FALSE),VLOOKUP(G1429,Keszlet!$C$5:$G$200,5,FALSE),"")</f>
        <v/>
      </c>
      <c r="L1429" s="106" t="str">
        <f t="shared" si="80"/>
        <v/>
      </c>
      <c r="M1429" s="115" t="str">
        <f>IF(ISERROR(VLOOKUP(G1429,Keszlet!$C$5:$I$200,7,FALSE))=TRUE,"",IF(AND(J1428&lt;&gt;"",J1430=""),VLOOKUP(G1429,Keszlet!$C$5:$I$200,7,FALSE),""))</f>
        <v/>
      </c>
      <c r="Q1429" s="1">
        <f>VLOOKUP(G1429,Keszlet!$C$5:$E$205,3,FALSE)</f>
        <v>0</v>
      </c>
      <c r="T1429" s="1" t="str">
        <f t="shared" si="81"/>
        <v/>
      </c>
      <c r="U1429" s="1">
        <f t="shared" si="82"/>
        <v>0</v>
      </c>
      <c r="W1429" s="6">
        <f t="shared" si="85"/>
        <v>0</v>
      </c>
      <c r="X1429" s="6">
        <f t="shared" si="77"/>
        <v>0</v>
      </c>
      <c r="Y1429" s="1">
        <f t="shared" si="83"/>
        <v>1</v>
      </c>
      <c r="Z1429" s="1">
        <f>IF(COUNTIF($Y$6:Y1429,Y1429)=1,Y1429,Y1429+COUNTIF($Y$5:Y1428,Y1429))</f>
        <v>424</v>
      </c>
      <c r="AD1429" s="1" t="str">
        <f t="shared" si="84"/>
        <v/>
      </c>
      <c r="BA1429" s="1">
        <f>IF(W1429&lt;=Leltar_iv!$Y$1,I1429,0)</f>
        <v>0</v>
      </c>
    </row>
    <row r="1430" spans="1:53" s="1" customFormat="1" x14ac:dyDescent="0.25">
      <c r="A1430" s="18">
        <f>IF(COUNTIF($Y$6:Y1430,Y1430)=1,Y1430,Y1430+COUNTIF($Y$5:Y1429,Y1430))</f>
        <v>425</v>
      </c>
      <c r="B1430" s="1">
        <f>IF(AND(Kisero_iv!$N$2=C1430,Kisero_iv!$K$5=$B$3,SUM(I1430:L1434)&lt;&gt;0,$B$4=YEAR(W1430)),B1429+1,0)</f>
        <v>0</v>
      </c>
      <c r="C1430" s="1">
        <f t="shared" si="78"/>
        <v>425</v>
      </c>
      <c r="D1430" s="102" t="str">
        <f t="shared" si="79"/>
        <v/>
      </c>
      <c r="E1430" s="44"/>
      <c r="F1430" s="45"/>
      <c r="G1430" s="45"/>
      <c r="H1430" s="45"/>
      <c r="I1430" s="46"/>
      <c r="J1430" s="111" t="str">
        <f>IF(AND(G1430&lt;&gt;"",ISERROR(VLOOKUP(G1430,Keszlet!$C$5:$H$200,6,FALSE))=FALSE),VLOOKUP(G1430,Keszlet!$C$5:$H$200,6,FALSE),"")</f>
        <v/>
      </c>
      <c r="K1430" s="106" t="str">
        <f>IF(AND(G1430&lt;&gt;"",ISERROR(VLOOKUP(G1430,Keszlet!$C$5:$G$200,5,FALSE))=FALSE),VLOOKUP(G1430,Keszlet!$C$5:$G$200,5,FALSE),"")</f>
        <v/>
      </c>
      <c r="L1430" s="106" t="str">
        <f t="shared" si="80"/>
        <v/>
      </c>
      <c r="M1430" s="115" t="str">
        <f>IF(ISERROR(VLOOKUP(G1430,Keszlet!$C$5:$I$200,7,FALSE))=TRUE,"",IF(AND(J1429&lt;&gt;"",J1431=""),VLOOKUP(G1430,Keszlet!$C$5:$I$200,7,FALSE),""))</f>
        <v/>
      </c>
      <c r="Q1430" s="1">
        <f>VLOOKUP(G1430,Keszlet!$C$5:$E$205,3,FALSE)</f>
        <v>0</v>
      </c>
      <c r="T1430" s="1" t="str">
        <f t="shared" si="81"/>
        <v/>
      </c>
      <c r="U1430" s="1">
        <f t="shared" si="82"/>
        <v>0</v>
      </c>
      <c r="W1430" s="6">
        <f t="shared" si="85"/>
        <v>0</v>
      </c>
      <c r="X1430" s="6">
        <f t="shared" si="77"/>
        <v>0</v>
      </c>
      <c r="Y1430" s="1">
        <f t="shared" si="83"/>
        <v>1</v>
      </c>
      <c r="Z1430" s="1">
        <f>IF(COUNTIF($Y$6:Y1430,Y1430)=1,Y1430,Y1430+COUNTIF($Y$5:Y1429,Y1430))</f>
        <v>425</v>
      </c>
      <c r="AD1430" s="1" t="str">
        <f t="shared" si="84"/>
        <v/>
      </c>
      <c r="BA1430" s="1">
        <f>IF(W1430&lt;=Leltar_iv!$Y$1,I1430,0)</f>
        <v>0</v>
      </c>
    </row>
    <row r="1431" spans="1:53" s="1" customFormat="1" x14ac:dyDescent="0.25">
      <c r="A1431" s="18">
        <f>IF(COUNTIF($Y$6:Y1431,Y1431)=1,Y1431,Y1431+COUNTIF($Y$5:Y1430,Y1431))</f>
        <v>426</v>
      </c>
      <c r="B1431" s="1">
        <f>IF(AND(Kisero_iv!$N$2=C1431,Kisero_iv!$K$5=$B$3,SUM(I1431:L1435)&lt;&gt;0,$B$4=YEAR(W1431)),B1430+1,0)</f>
        <v>0</v>
      </c>
      <c r="C1431" s="1">
        <f t="shared" si="78"/>
        <v>426</v>
      </c>
      <c r="D1431" s="102" t="str">
        <f t="shared" si="79"/>
        <v/>
      </c>
      <c r="E1431" s="44"/>
      <c r="F1431" s="45"/>
      <c r="G1431" s="45"/>
      <c r="H1431" s="45"/>
      <c r="I1431" s="46"/>
      <c r="J1431" s="111" t="str">
        <f>IF(AND(G1431&lt;&gt;"",ISERROR(VLOOKUP(G1431,Keszlet!$C$5:$H$200,6,FALSE))=FALSE),VLOOKUP(G1431,Keszlet!$C$5:$H$200,6,FALSE),"")</f>
        <v/>
      </c>
      <c r="K1431" s="106" t="str">
        <f>IF(AND(G1431&lt;&gt;"",ISERROR(VLOOKUP(G1431,Keszlet!$C$5:$G$200,5,FALSE))=FALSE),VLOOKUP(G1431,Keszlet!$C$5:$G$200,5,FALSE),"")</f>
        <v/>
      </c>
      <c r="L1431" s="106" t="str">
        <f t="shared" si="80"/>
        <v/>
      </c>
      <c r="M1431" s="115" t="str">
        <f>IF(ISERROR(VLOOKUP(G1431,Keszlet!$C$5:$I$200,7,FALSE))=TRUE,"",IF(AND(J1430&lt;&gt;"",J1432=""),VLOOKUP(G1431,Keszlet!$C$5:$I$200,7,FALSE),""))</f>
        <v/>
      </c>
      <c r="Q1431" s="1">
        <f>VLOOKUP(G1431,Keszlet!$C$5:$E$205,3,FALSE)</f>
        <v>0</v>
      </c>
      <c r="T1431" s="1" t="str">
        <f t="shared" si="81"/>
        <v/>
      </c>
      <c r="U1431" s="1">
        <f t="shared" si="82"/>
        <v>0</v>
      </c>
      <c r="W1431" s="6">
        <f t="shared" si="85"/>
        <v>0</v>
      </c>
      <c r="X1431" s="6">
        <f t="shared" si="77"/>
        <v>0</v>
      </c>
      <c r="Y1431" s="1">
        <f t="shared" si="83"/>
        <v>1</v>
      </c>
      <c r="Z1431" s="1">
        <f>IF(COUNTIF($Y$6:Y1431,Y1431)=1,Y1431,Y1431+COUNTIF($Y$5:Y1430,Y1431))</f>
        <v>426</v>
      </c>
      <c r="AD1431" s="1" t="str">
        <f t="shared" si="84"/>
        <v/>
      </c>
      <c r="BA1431" s="1">
        <f>IF(W1431&lt;=Leltar_iv!$Y$1,I1431,0)</f>
        <v>0</v>
      </c>
    </row>
    <row r="1432" spans="1:53" s="1" customFormat="1" x14ac:dyDescent="0.25">
      <c r="A1432" s="18">
        <f>IF(COUNTIF($Y$6:Y1432,Y1432)=1,Y1432,Y1432+COUNTIF($Y$5:Y1431,Y1432))</f>
        <v>427</v>
      </c>
      <c r="B1432" s="1">
        <f>IF(AND(Kisero_iv!$N$2=C1432,Kisero_iv!$K$5=$B$3,SUM(I1432:L1436)&lt;&gt;0,$B$4=YEAR(W1432)),B1431+1,0)</f>
        <v>0</v>
      </c>
      <c r="C1432" s="1">
        <f t="shared" si="78"/>
        <v>427</v>
      </c>
      <c r="D1432" s="102" t="str">
        <f t="shared" si="79"/>
        <v/>
      </c>
      <c r="E1432" s="44"/>
      <c r="F1432" s="45"/>
      <c r="G1432" s="45"/>
      <c r="H1432" s="45"/>
      <c r="I1432" s="46"/>
      <c r="J1432" s="111" t="str">
        <f>IF(AND(G1432&lt;&gt;"",ISERROR(VLOOKUP(G1432,Keszlet!$C$5:$H$200,6,FALSE))=FALSE),VLOOKUP(G1432,Keszlet!$C$5:$H$200,6,FALSE),"")</f>
        <v/>
      </c>
      <c r="K1432" s="106" t="str">
        <f>IF(AND(G1432&lt;&gt;"",ISERROR(VLOOKUP(G1432,Keszlet!$C$5:$G$200,5,FALSE))=FALSE),VLOOKUP(G1432,Keszlet!$C$5:$G$200,5,FALSE),"")</f>
        <v/>
      </c>
      <c r="L1432" s="106" t="str">
        <f t="shared" si="80"/>
        <v/>
      </c>
      <c r="M1432" s="115" t="str">
        <f>IF(ISERROR(VLOOKUP(G1432,Keszlet!$C$5:$I$200,7,FALSE))=TRUE,"",IF(AND(J1431&lt;&gt;"",J1433=""),VLOOKUP(G1432,Keszlet!$C$5:$I$200,7,FALSE),""))</f>
        <v/>
      </c>
      <c r="Q1432" s="1">
        <f>VLOOKUP(G1432,Keszlet!$C$5:$E$205,3,FALSE)</f>
        <v>0</v>
      </c>
      <c r="T1432" s="1" t="str">
        <f t="shared" si="81"/>
        <v/>
      </c>
      <c r="U1432" s="1">
        <f t="shared" si="82"/>
        <v>0</v>
      </c>
      <c r="W1432" s="6">
        <f t="shared" si="85"/>
        <v>0</v>
      </c>
      <c r="X1432" s="6">
        <f t="shared" si="77"/>
        <v>0</v>
      </c>
      <c r="Y1432" s="1">
        <f t="shared" si="83"/>
        <v>1</v>
      </c>
      <c r="Z1432" s="1">
        <f>IF(COUNTIF($Y$6:Y1432,Y1432)=1,Y1432,Y1432+COUNTIF($Y$5:Y1431,Y1432))</f>
        <v>427</v>
      </c>
      <c r="AD1432" s="1" t="str">
        <f t="shared" si="84"/>
        <v/>
      </c>
      <c r="BA1432" s="1">
        <f>IF(W1432&lt;=Leltar_iv!$Y$1,I1432,0)</f>
        <v>0</v>
      </c>
    </row>
    <row r="1433" spans="1:53" s="1" customFormat="1" x14ac:dyDescent="0.25">
      <c r="A1433" s="18">
        <f>IF(COUNTIF($Y$6:Y1433,Y1433)=1,Y1433,Y1433+COUNTIF($Y$5:Y1432,Y1433))</f>
        <v>428</v>
      </c>
      <c r="B1433" s="1">
        <f>IF(AND(Kisero_iv!$N$2=C1433,Kisero_iv!$K$5=$B$3,SUM(I1433:L1437)&lt;&gt;0,$B$4=YEAR(W1433)),B1432+1,0)</f>
        <v>0</v>
      </c>
      <c r="C1433" s="1">
        <f t="shared" si="78"/>
        <v>428</v>
      </c>
      <c r="D1433" s="102" t="str">
        <f t="shared" si="79"/>
        <v/>
      </c>
      <c r="E1433" s="44"/>
      <c r="F1433" s="45"/>
      <c r="G1433" s="45"/>
      <c r="H1433" s="45"/>
      <c r="I1433" s="46"/>
      <c r="J1433" s="111" t="str">
        <f>IF(AND(G1433&lt;&gt;"",ISERROR(VLOOKUP(G1433,Keszlet!$C$5:$H$200,6,FALSE))=FALSE),VLOOKUP(G1433,Keszlet!$C$5:$H$200,6,FALSE),"")</f>
        <v/>
      </c>
      <c r="K1433" s="106" t="str">
        <f>IF(AND(G1433&lt;&gt;"",ISERROR(VLOOKUP(G1433,Keszlet!$C$5:$G$200,5,FALSE))=FALSE),VLOOKUP(G1433,Keszlet!$C$5:$G$200,5,FALSE),"")</f>
        <v/>
      </c>
      <c r="L1433" s="106" t="str">
        <f t="shared" si="80"/>
        <v/>
      </c>
      <c r="M1433" s="115" t="str">
        <f>IF(ISERROR(VLOOKUP(G1433,Keszlet!$C$5:$I$200,7,FALSE))=TRUE,"",IF(AND(J1432&lt;&gt;"",J1434=""),VLOOKUP(G1433,Keszlet!$C$5:$I$200,7,FALSE),""))</f>
        <v/>
      </c>
      <c r="Q1433" s="1">
        <f>VLOOKUP(G1433,Keszlet!$C$5:$E$205,3,FALSE)</f>
        <v>0</v>
      </c>
      <c r="T1433" s="1" t="str">
        <f t="shared" si="81"/>
        <v/>
      </c>
      <c r="U1433" s="1">
        <f t="shared" si="82"/>
        <v>0</v>
      </c>
      <c r="W1433" s="6">
        <f t="shared" si="85"/>
        <v>0</v>
      </c>
      <c r="X1433" s="6">
        <f t="shared" si="77"/>
        <v>0</v>
      </c>
      <c r="Y1433" s="1">
        <f t="shared" si="83"/>
        <v>1</v>
      </c>
      <c r="Z1433" s="1">
        <f>IF(COUNTIF($Y$6:Y1433,Y1433)=1,Y1433,Y1433+COUNTIF($Y$5:Y1432,Y1433))</f>
        <v>428</v>
      </c>
      <c r="AD1433" s="1" t="str">
        <f t="shared" si="84"/>
        <v/>
      </c>
      <c r="BA1433" s="1">
        <f>IF(W1433&lt;=Leltar_iv!$Y$1,I1433,0)</f>
        <v>0</v>
      </c>
    </row>
    <row r="1434" spans="1:53" s="1" customFormat="1" x14ac:dyDescent="0.25">
      <c r="A1434" s="18">
        <f>IF(COUNTIF($Y$6:Y1434,Y1434)=1,Y1434,Y1434+COUNTIF($Y$5:Y1433,Y1434))</f>
        <v>429</v>
      </c>
      <c r="B1434" s="1">
        <f>IF(AND(Kisero_iv!$N$2=C1434,Kisero_iv!$K$5=$B$3,SUM(I1434:L1438)&lt;&gt;0,$B$4=YEAR(W1434)),B1433+1,0)</f>
        <v>0</v>
      </c>
      <c r="C1434" s="1">
        <f t="shared" si="78"/>
        <v>429</v>
      </c>
      <c r="D1434" s="102" t="str">
        <f t="shared" si="79"/>
        <v/>
      </c>
      <c r="E1434" s="44"/>
      <c r="F1434" s="45"/>
      <c r="G1434" s="45"/>
      <c r="H1434" s="45"/>
      <c r="I1434" s="46"/>
      <c r="J1434" s="111" t="str">
        <f>IF(AND(G1434&lt;&gt;"",ISERROR(VLOOKUP(G1434,Keszlet!$C$5:$H$200,6,FALSE))=FALSE),VLOOKUP(G1434,Keszlet!$C$5:$H$200,6,FALSE),"")</f>
        <v/>
      </c>
      <c r="K1434" s="106" t="str">
        <f>IF(AND(G1434&lt;&gt;"",ISERROR(VLOOKUP(G1434,Keszlet!$C$5:$G$200,5,FALSE))=FALSE),VLOOKUP(G1434,Keszlet!$C$5:$G$200,5,FALSE),"")</f>
        <v/>
      </c>
      <c r="L1434" s="106" t="str">
        <f t="shared" si="80"/>
        <v/>
      </c>
      <c r="M1434" s="115" t="str">
        <f>IF(ISERROR(VLOOKUP(G1434,Keszlet!$C$5:$I$200,7,FALSE))=TRUE,"",IF(AND(J1433&lt;&gt;"",J1435=""),VLOOKUP(G1434,Keszlet!$C$5:$I$200,7,FALSE),""))</f>
        <v/>
      </c>
      <c r="Q1434" s="1">
        <f>VLOOKUP(G1434,Keszlet!$C$5:$E$205,3,FALSE)</f>
        <v>0</v>
      </c>
      <c r="T1434" s="1" t="str">
        <f t="shared" si="81"/>
        <v/>
      </c>
      <c r="U1434" s="1">
        <f t="shared" si="82"/>
        <v>0</v>
      </c>
      <c r="W1434" s="6">
        <f t="shared" si="85"/>
        <v>0</v>
      </c>
      <c r="X1434" s="6">
        <f t="shared" si="77"/>
        <v>0</v>
      </c>
      <c r="Y1434" s="1">
        <f t="shared" si="83"/>
        <v>1</v>
      </c>
      <c r="Z1434" s="1">
        <f>IF(COUNTIF($Y$6:Y1434,Y1434)=1,Y1434,Y1434+COUNTIF($Y$5:Y1433,Y1434))</f>
        <v>429</v>
      </c>
      <c r="AD1434" s="1" t="str">
        <f t="shared" si="84"/>
        <v/>
      </c>
      <c r="BA1434" s="1">
        <f>IF(W1434&lt;=Leltar_iv!$Y$1,I1434,0)</f>
        <v>0</v>
      </c>
    </row>
    <row r="1435" spans="1:53" s="1" customFormat="1" x14ac:dyDescent="0.25">
      <c r="A1435" s="18">
        <f>IF(COUNTIF($Y$6:Y1435,Y1435)=1,Y1435,Y1435+COUNTIF($Y$5:Y1434,Y1435))</f>
        <v>430</v>
      </c>
      <c r="B1435" s="1">
        <f>IF(AND(Kisero_iv!$N$2=C1435,Kisero_iv!$K$5=$B$3,SUM(I1435:L1439)&lt;&gt;0,$B$4=YEAR(W1435)),B1434+1,0)</f>
        <v>0</v>
      </c>
      <c r="C1435" s="1">
        <f t="shared" si="78"/>
        <v>430</v>
      </c>
      <c r="D1435" s="102" t="str">
        <f t="shared" si="79"/>
        <v/>
      </c>
      <c r="E1435" s="44"/>
      <c r="F1435" s="45"/>
      <c r="G1435" s="45"/>
      <c r="H1435" s="45"/>
      <c r="I1435" s="46"/>
      <c r="J1435" s="111" t="str">
        <f>IF(AND(G1435&lt;&gt;"",ISERROR(VLOOKUP(G1435,Keszlet!$C$5:$H$200,6,FALSE))=FALSE),VLOOKUP(G1435,Keszlet!$C$5:$H$200,6,FALSE),"")</f>
        <v/>
      </c>
      <c r="K1435" s="106" t="str">
        <f>IF(AND(G1435&lt;&gt;"",ISERROR(VLOOKUP(G1435,Keszlet!$C$5:$G$200,5,FALSE))=FALSE),VLOOKUP(G1435,Keszlet!$C$5:$G$200,5,FALSE),"")</f>
        <v/>
      </c>
      <c r="L1435" s="106" t="str">
        <f t="shared" si="80"/>
        <v/>
      </c>
      <c r="M1435" s="115" t="str">
        <f>IF(ISERROR(VLOOKUP(G1435,Keszlet!$C$5:$I$200,7,FALSE))=TRUE,"",IF(AND(J1434&lt;&gt;"",J1436=""),VLOOKUP(G1435,Keszlet!$C$5:$I$200,7,FALSE),""))</f>
        <v/>
      </c>
      <c r="Q1435" s="1">
        <f>VLOOKUP(G1435,Keszlet!$C$5:$E$205,3,FALSE)</f>
        <v>0</v>
      </c>
      <c r="T1435" s="1" t="str">
        <f t="shared" si="81"/>
        <v/>
      </c>
      <c r="U1435" s="1">
        <f t="shared" si="82"/>
        <v>0</v>
      </c>
      <c r="W1435" s="6">
        <f t="shared" si="85"/>
        <v>0</v>
      </c>
      <c r="X1435" s="6">
        <f t="shared" si="77"/>
        <v>0</v>
      </c>
      <c r="Y1435" s="1">
        <f t="shared" si="83"/>
        <v>1</v>
      </c>
      <c r="Z1435" s="1">
        <f>IF(COUNTIF($Y$6:Y1435,Y1435)=1,Y1435,Y1435+COUNTIF($Y$5:Y1434,Y1435))</f>
        <v>430</v>
      </c>
      <c r="AD1435" s="1" t="str">
        <f t="shared" si="84"/>
        <v/>
      </c>
      <c r="BA1435" s="1">
        <f>IF(W1435&lt;=Leltar_iv!$Y$1,I1435,0)</f>
        <v>0</v>
      </c>
    </row>
    <row r="1436" spans="1:53" s="1" customFormat="1" x14ac:dyDescent="0.25">
      <c r="A1436" s="18">
        <f>IF(COUNTIF($Y$6:Y1436,Y1436)=1,Y1436,Y1436+COUNTIF($Y$5:Y1435,Y1436))</f>
        <v>431</v>
      </c>
      <c r="B1436" s="1">
        <f>IF(AND(Kisero_iv!$N$2=C1436,Kisero_iv!$K$5=$B$3,SUM(I1436:L1440)&lt;&gt;0,$B$4=YEAR(W1436)),B1435+1,0)</f>
        <v>0</v>
      </c>
      <c r="C1436" s="1">
        <f t="shared" si="78"/>
        <v>431</v>
      </c>
      <c r="D1436" s="102" t="str">
        <f t="shared" si="79"/>
        <v/>
      </c>
      <c r="E1436" s="44"/>
      <c r="F1436" s="45"/>
      <c r="G1436" s="45"/>
      <c r="H1436" s="45"/>
      <c r="I1436" s="46"/>
      <c r="J1436" s="111" t="str">
        <f>IF(AND(G1436&lt;&gt;"",ISERROR(VLOOKUP(G1436,Keszlet!$C$5:$H$200,6,FALSE))=FALSE),VLOOKUP(G1436,Keszlet!$C$5:$H$200,6,FALSE),"")</f>
        <v/>
      </c>
      <c r="K1436" s="106" t="str">
        <f>IF(AND(G1436&lt;&gt;"",ISERROR(VLOOKUP(G1436,Keszlet!$C$5:$G$200,5,FALSE))=FALSE),VLOOKUP(G1436,Keszlet!$C$5:$G$200,5,FALSE),"")</f>
        <v/>
      </c>
      <c r="L1436" s="106" t="str">
        <f t="shared" si="80"/>
        <v/>
      </c>
      <c r="M1436" s="115" t="str">
        <f>IF(ISERROR(VLOOKUP(G1436,Keszlet!$C$5:$I$200,7,FALSE))=TRUE,"",IF(AND(J1435&lt;&gt;"",J1437=""),VLOOKUP(G1436,Keszlet!$C$5:$I$200,7,FALSE),""))</f>
        <v/>
      </c>
      <c r="Q1436" s="1">
        <f>VLOOKUP(G1436,Keszlet!$C$5:$E$205,3,FALSE)</f>
        <v>0</v>
      </c>
      <c r="T1436" s="1" t="str">
        <f t="shared" si="81"/>
        <v/>
      </c>
      <c r="U1436" s="1">
        <f t="shared" si="82"/>
        <v>0</v>
      </c>
      <c r="W1436" s="6">
        <f t="shared" si="85"/>
        <v>0</v>
      </c>
      <c r="X1436" s="6">
        <f t="shared" si="77"/>
        <v>0</v>
      </c>
      <c r="Y1436" s="1">
        <f t="shared" si="83"/>
        <v>1</v>
      </c>
      <c r="Z1436" s="1">
        <f>IF(COUNTIF($Y$6:Y1436,Y1436)=1,Y1436,Y1436+COUNTIF($Y$5:Y1435,Y1436))</f>
        <v>431</v>
      </c>
      <c r="AD1436" s="1" t="str">
        <f t="shared" si="84"/>
        <v/>
      </c>
      <c r="BA1436" s="1">
        <f>IF(W1436&lt;=Leltar_iv!$Y$1,I1436,0)</f>
        <v>0</v>
      </c>
    </row>
    <row r="1437" spans="1:53" s="1" customFormat="1" x14ac:dyDescent="0.25">
      <c r="A1437" s="18">
        <f>IF(COUNTIF($Y$6:Y1437,Y1437)=1,Y1437,Y1437+COUNTIF($Y$5:Y1436,Y1437))</f>
        <v>432</v>
      </c>
      <c r="B1437" s="1">
        <f>IF(AND(Kisero_iv!$N$2=C1437,Kisero_iv!$K$5=$B$3,SUM(I1437:L1441)&lt;&gt;0,$B$4=YEAR(W1437)),B1436+1,0)</f>
        <v>0</v>
      </c>
      <c r="C1437" s="1">
        <f t="shared" si="78"/>
        <v>432</v>
      </c>
      <c r="D1437" s="102" t="str">
        <f t="shared" si="79"/>
        <v/>
      </c>
      <c r="E1437" s="44"/>
      <c r="F1437" s="45"/>
      <c r="G1437" s="45"/>
      <c r="H1437" s="45"/>
      <c r="I1437" s="46"/>
      <c r="J1437" s="111" t="str">
        <f>IF(AND(G1437&lt;&gt;"",ISERROR(VLOOKUP(G1437,Keszlet!$C$5:$H$200,6,FALSE))=FALSE),VLOOKUP(G1437,Keszlet!$C$5:$H$200,6,FALSE),"")</f>
        <v/>
      </c>
      <c r="K1437" s="106" t="str">
        <f>IF(AND(G1437&lt;&gt;"",ISERROR(VLOOKUP(G1437,Keszlet!$C$5:$G$200,5,FALSE))=FALSE),VLOOKUP(G1437,Keszlet!$C$5:$G$200,5,FALSE),"")</f>
        <v/>
      </c>
      <c r="L1437" s="106" t="str">
        <f t="shared" si="80"/>
        <v/>
      </c>
      <c r="M1437" s="115" t="str">
        <f>IF(ISERROR(VLOOKUP(G1437,Keszlet!$C$5:$I$200,7,FALSE))=TRUE,"",IF(AND(J1436&lt;&gt;"",J1438=""),VLOOKUP(G1437,Keszlet!$C$5:$I$200,7,FALSE),""))</f>
        <v/>
      </c>
      <c r="Q1437" s="1">
        <f>VLOOKUP(G1437,Keszlet!$C$5:$E$205,3,FALSE)</f>
        <v>0</v>
      </c>
      <c r="T1437" s="1" t="str">
        <f t="shared" si="81"/>
        <v/>
      </c>
      <c r="U1437" s="1">
        <f t="shared" si="82"/>
        <v>0</v>
      </c>
      <c r="W1437" s="6">
        <f t="shared" si="85"/>
        <v>0</v>
      </c>
      <c r="X1437" s="6">
        <f t="shared" si="77"/>
        <v>0</v>
      </c>
      <c r="Y1437" s="1">
        <f t="shared" si="83"/>
        <v>1</v>
      </c>
      <c r="Z1437" s="1">
        <f>IF(COUNTIF($Y$6:Y1437,Y1437)=1,Y1437,Y1437+COUNTIF($Y$5:Y1436,Y1437))</f>
        <v>432</v>
      </c>
      <c r="AD1437" s="1" t="str">
        <f t="shared" si="84"/>
        <v/>
      </c>
      <c r="BA1437" s="1">
        <f>IF(W1437&lt;=Leltar_iv!$Y$1,I1437,0)</f>
        <v>0</v>
      </c>
    </row>
    <row r="1438" spans="1:53" s="1" customFormat="1" x14ac:dyDescent="0.25">
      <c r="A1438" s="18">
        <f>IF(COUNTIF($Y$6:Y1438,Y1438)=1,Y1438,Y1438+COUNTIF($Y$5:Y1437,Y1438))</f>
        <v>433</v>
      </c>
      <c r="B1438" s="1">
        <f>IF(AND(Kisero_iv!$N$2=C1438,Kisero_iv!$K$5=$B$3,SUM(I1438:L1442)&lt;&gt;0,$B$4=YEAR(W1438)),B1437+1,0)</f>
        <v>0</v>
      </c>
      <c r="C1438" s="1">
        <f t="shared" si="78"/>
        <v>433</v>
      </c>
      <c r="D1438" s="102" t="str">
        <f t="shared" si="79"/>
        <v/>
      </c>
      <c r="E1438" s="44"/>
      <c r="F1438" s="45"/>
      <c r="G1438" s="45"/>
      <c r="H1438" s="45"/>
      <c r="I1438" s="46"/>
      <c r="J1438" s="111" t="str">
        <f>IF(AND(G1438&lt;&gt;"",ISERROR(VLOOKUP(G1438,Keszlet!$C$5:$H$200,6,FALSE))=FALSE),VLOOKUP(G1438,Keszlet!$C$5:$H$200,6,FALSE),"")</f>
        <v/>
      </c>
      <c r="K1438" s="106" t="str">
        <f>IF(AND(G1438&lt;&gt;"",ISERROR(VLOOKUP(G1438,Keszlet!$C$5:$G$200,5,FALSE))=FALSE),VLOOKUP(G1438,Keszlet!$C$5:$G$200,5,FALSE),"")</f>
        <v/>
      </c>
      <c r="L1438" s="106" t="str">
        <f t="shared" si="80"/>
        <v/>
      </c>
      <c r="M1438" s="115" t="str">
        <f>IF(ISERROR(VLOOKUP(G1438,Keszlet!$C$5:$I$200,7,FALSE))=TRUE,"",IF(AND(J1437&lt;&gt;"",J1439=""),VLOOKUP(G1438,Keszlet!$C$5:$I$200,7,FALSE),""))</f>
        <v/>
      </c>
      <c r="Q1438" s="1">
        <f>VLOOKUP(G1438,Keszlet!$C$5:$E$205,3,FALSE)</f>
        <v>0</v>
      </c>
      <c r="T1438" s="1" t="str">
        <f t="shared" si="81"/>
        <v/>
      </c>
      <c r="U1438" s="1">
        <f t="shared" si="82"/>
        <v>0</v>
      </c>
      <c r="W1438" s="6">
        <f t="shared" si="85"/>
        <v>0</v>
      </c>
      <c r="X1438" s="6">
        <f t="shared" si="77"/>
        <v>0</v>
      </c>
      <c r="Y1438" s="1">
        <f t="shared" si="83"/>
        <v>1</v>
      </c>
      <c r="Z1438" s="1">
        <f>IF(COUNTIF($Y$6:Y1438,Y1438)=1,Y1438,Y1438+COUNTIF($Y$5:Y1437,Y1438))</f>
        <v>433</v>
      </c>
      <c r="AD1438" s="1" t="str">
        <f t="shared" si="84"/>
        <v/>
      </c>
      <c r="BA1438" s="1">
        <f>IF(W1438&lt;=Leltar_iv!$Y$1,I1438,0)</f>
        <v>0</v>
      </c>
    </row>
    <row r="1439" spans="1:53" s="1" customFormat="1" x14ac:dyDescent="0.25">
      <c r="A1439" s="18">
        <f>IF(COUNTIF($Y$6:Y1439,Y1439)=1,Y1439,Y1439+COUNTIF($Y$5:Y1438,Y1439))</f>
        <v>434</v>
      </c>
      <c r="B1439" s="1">
        <f>IF(AND(Kisero_iv!$N$2=C1439,Kisero_iv!$K$5=$B$3,SUM(I1439:L1443)&lt;&gt;0,$B$4=YEAR(W1439)),B1438+1,0)</f>
        <v>0</v>
      </c>
      <c r="C1439" s="1">
        <f t="shared" si="78"/>
        <v>434</v>
      </c>
      <c r="D1439" s="102" t="str">
        <f t="shared" si="79"/>
        <v/>
      </c>
      <c r="E1439" s="44"/>
      <c r="F1439" s="45"/>
      <c r="G1439" s="45"/>
      <c r="H1439" s="45"/>
      <c r="I1439" s="46"/>
      <c r="J1439" s="111" t="str">
        <f>IF(AND(G1439&lt;&gt;"",ISERROR(VLOOKUP(G1439,Keszlet!$C$5:$H$200,6,FALSE))=FALSE),VLOOKUP(G1439,Keszlet!$C$5:$H$200,6,FALSE),"")</f>
        <v/>
      </c>
      <c r="K1439" s="106" t="str">
        <f>IF(AND(G1439&lt;&gt;"",ISERROR(VLOOKUP(G1439,Keszlet!$C$5:$G$200,5,FALSE))=FALSE),VLOOKUP(G1439,Keszlet!$C$5:$G$200,5,FALSE),"")</f>
        <v/>
      </c>
      <c r="L1439" s="106" t="str">
        <f t="shared" si="80"/>
        <v/>
      </c>
      <c r="M1439" s="115" t="str">
        <f>IF(ISERROR(VLOOKUP(G1439,Keszlet!$C$5:$I$200,7,FALSE))=TRUE,"",IF(AND(J1438&lt;&gt;"",J1440=""),VLOOKUP(G1439,Keszlet!$C$5:$I$200,7,FALSE),""))</f>
        <v/>
      </c>
      <c r="Q1439" s="1">
        <f>VLOOKUP(G1439,Keszlet!$C$5:$E$205,3,FALSE)</f>
        <v>0</v>
      </c>
      <c r="T1439" s="1" t="str">
        <f t="shared" si="81"/>
        <v/>
      </c>
      <c r="U1439" s="1">
        <f t="shared" si="82"/>
        <v>0</v>
      </c>
      <c r="W1439" s="6">
        <f t="shared" si="85"/>
        <v>0</v>
      </c>
      <c r="X1439" s="6">
        <f t="shared" si="77"/>
        <v>0</v>
      </c>
      <c r="Y1439" s="1">
        <f t="shared" si="83"/>
        <v>1</v>
      </c>
      <c r="Z1439" s="1">
        <f>IF(COUNTIF($Y$6:Y1439,Y1439)=1,Y1439,Y1439+COUNTIF($Y$5:Y1438,Y1439))</f>
        <v>434</v>
      </c>
      <c r="AD1439" s="1" t="str">
        <f t="shared" si="84"/>
        <v/>
      </c>
      <c r="BA1439" s="1">
        <f>IF(W1439&lt;=Leltar_iv!$Y$1,I1439,0)</f>
        <v>0</v>
      </c>
    </row>
    <row r="1440" spans="1:53" s="1" customFormat="1" x14ac:dyDescent="0.25">
      <c r="A1440" s="18">
        <f>IF(COUNTIF($Y$6:Y1440,Y1440)=1,Y1440,Y1440+COUNTIF($Y$5:Y1439,Y1440))</f>
        <v>435</v>
      </c>
      <c r="B1440" s="1">
        <f>IF(AND(Kisero_iv!$N$2=C1440,Kisero_iv!$K$5=$B$3,SUM(I1440:L1444)&lt;&gt;0,$B$4=YEAR(W1440)),B1439+1,0)</f>
        <v>0</v>
      </c>
      <c r="C1440" s="1">
        <f t="shared" si="78"/>
        <v>435</v>
      </c>
      <c r="D1440" s="102" t="str">
        <f t="shared" si="79"/>
        <v/>
      </c>
      <c r="E1440" s="44"/>
      <c r="F1440" s="45"/>
      <c r="G1440" s="45"/>
      <c r="H1440" s="45"/>
      <c r="I1440" s="46"/>
      <c r="J1440" s="111" t="str">
        <f>IF(AND(G1440&lt;&gt;"",ISERROR(VLOOKUP(G1440,Keszlet!$C$5:$H$200,6,FALSE))=FALSE),VLOOKUP(G1440,Keszlet!$C$5:$H$200,6,FALSE),"")</f>
        <v/>
      </c>
      <c r="K1440" s="106" t="str">
        <f>IF(AND(G1440&lt;&gt;"",ISERROR(VLOOKUP(G1440,Keszlet!$C$5:$G$200,5,FALSE))=FALSE),VLOOKUP(G1440,Keszlet!$C$5:$G$200,5,FALSE),"")</f>
        <v/>
      </c>
      <c r="L1440" s="106" t="str">
        <f t="shared" si="80"/>
        <v/>
      </c>
      <c r="M1440" s="115" t="str">
        <f>IF(ISERROR(VLOOKUP(G1440,Keszlet!$C$5:$I$200,7,FALSE))=TRUE,"",IF(AND(J1439&lt;&gt;"",J1441=""),VLOOKUP(G1440,Keszlet!$C$5:$I$200,7,FALSE),""))</f>
        <v/>
      </c>
      <c r="Q1440" s="1">
        <f>VLOOKUP(G1440,Keszlet!$C$5:$E$205,3,FALSE)</f>
        <v>0</v>
      </c>
      <c r="T1440" s="1" t="str">
        <f t="shared" si="81"/>
        <v/>
      </c>
      <c r="U1440" s="1">
        <f t="shared" si="82"/>
        <v>0</v>
      </c>
      <c r="W1440" s="6">
        <f t="shared" si="85"/>
        <v>0</v>
      </c>
      <c r="X1440" s="6">
        <f t="shared" si="77"/>
        <v>0</v>
      </c>
      <c r="Y1440" s="1">
        <f t="shared" si="83"/>
        <v>1</v>
      </c>
      <c r="Z1440" s="1">
        <f>IF(COUNTIF($Y$6:Y1440,Y1440)=1,Y1440,Y1440+COUNTIF($Y$5:Y1439,Y1440))</f>
        <v>435</v>
      </c>
      <c r="AD1440" s="1" t="str">
        <f t="shared" si="84"/>
        <v/>
      </c>
      <c r="BA1440" s="1">
        <f>IF(W1440&lt;=Leltar_iv!$Y$1,I1440,0)</f>
        <v>0</v>
      </c>
    </row>
    <row r="1441" spans="1:53" s="1" customFormat="1" x14ac:dyDescent="0.25">
      <c r="A1441" s="18">
        <f>IF(COUNTIF($Y$6:Y1441,Y1441)=1,Y1441,Y1441+COUNTIF($Y$5:Y1440,Y1441))</f>
        <v>436</v>
      </c>
      <c r="B1441" s="1">
        <f>IF(AND(Kisero_iv!$N$2=C1441,Kisero_iv!$K$5=$B$3,SUM(I1441:L1445)&lt;&gt;0,$B$4=YEAR(W1441)),B1440+1,0)</f>
        <v>0</v>
      </c>
      <c r="C1441" s="1">
        <f t="shared" si="78"/>
        <v>436</v>
      </c>
      <c r="D1441" s="102" t="str">
        <f t="shared" si="79"/>
        <v/>
      </c>
      <c r="E1441" s="44"/>
      <c r="F1441" s="45"/>
      <c r="G1441" s="45"/>
      <c r="H1441" s="45"/>
      <c r="I1441" s="46"/>
      <c r="J1441" s="111" t="str">
        <f>IF(AND(G1441&lt;&gt;"",ISERROR(VLOOKUP(G1441,Keszlet!$C$5:$H$200,6,FALSE))=FALSE),VLOOKUP(G1441,Keszlet!$C$5:$H$200,6,FALSE),"")</f>
        <v/>
      </c>
      <c r="K1441" s="106" t="str">
        <f>IF(AND(G1441&lt;&gt;"",ISERROR(VLOOKUP(G1441,Keszlet!$C$5:$G$200,5,FALSE))=FALSE),VLOOKUP(G1441,Keszlet!$C$5:$G$200,5,FALSE),"")</f>
        <v/>
      </c>
      <c r="L1441" s="106" t="str">
        <f t="shared" si="80"/>
        <v/>
      </c>
      <c r="M1441" s="115" t="str">
        <f>IF(ISERROR(VLOOKUP(G1441,Keszlet!$C$5:$I$200,7,FALSE))=TRUE,"",IF(AND(J1440&lt;&gt;"",J1442=""),VLOOKUP(G1441,Keszlet!$C$5:$I$200,7,FALSE),""))</f>
        <v/>
      </c>
      <c r="Q1441" s="1">
        <f>VLOOKUP(G1441,Keszlet!$C$5:$E$205,3,FALSE)</f>
        <v>0</v>
      </c>
      <c r="T1441" s="1" t="str">
        <f t="shared" si="81"/>
        <v/>
      </c>
      <c r="U1441" s="1">
        <f t="shared" si="82"/>
        <v>0</v>
      </c>
      <c r="W1441" s="6">
        <f t="shared" si="85"/>
        <v>0</v>
      </c>
      <c r="X1441" s="6">
        <f t="shared" si="77"/>
        <v>0</v>
      </c>
      <c r="Y1441" s="1">
        <f t="shared" si="83"/>
        <v>1</v>
      </c>
      <c r="Z1441" s="1">
        <f>IF(COUNTIF($Y$6:Y1441,Y1441)=1,Y1441,Y1441+COUNTIF($Y$5:Y1440,Y1441))</f>
        <v>436</v>
      </c>
      <c r="AD1441" s="1" t="str">
        <f t="shared" si="84"/>
        <v/>
      </c>
      <c r="BA1441" s="1">
        <f>IF(W1441&lt;=Leltar_iv!$Y$1,I1441,0)</f>
        <v>0</v>
      </c>
    </row>
    <row r="1442" spans="1:53" s="1" customFormat="1" x14ac:dyDescent="0.25">
      <c r="A1442" s="18">
        <f>IF(COUNTIF($Y$6:Y1442,Y1442)=1,Y1442,Y1442+COUNTIF($Y$5:Y1441,Y1442))</f>
        <v>437</v>
      </c>
      <c r="B1442" s="1">
        <f>IF(AND(Kisero_iv!$N$2=C1442,Kisero_iv!$K$5=$B$3,SUM(I1442:L1446)&lt;&gt;0,$B$4=YEAR(W1442)),B1441+1,0)</f>
        <v>0</v>
      </c>
      <c r="C1442" s="1">
        <f t="shared" si="78"/>
        <v>437</v>
      </c>
      <c r="D1442" s="102" t="str">
        <f t="shared" si="79"/>
        <v/>
      </c>
      <c r="E1442" s="44"/>
      <c r="F1442" s="45"/>
      <c r="G1442" s="45"/>
      <c r="H1442" s="45"/>
      <c r="I1442" s="46"/>
      <c r="J1442" s="111" t="str">
        <f>IF(AND(G1442&lt;&gt;"",ISERROR(VLOOKUP(G1442,Keszlet!$C$5:$H$200,6,FALSE))=FALSE),VLOOKUP(G1442,Keszlet!$C$5:$H$200,6,FALSE),"")</f>
        <v/>
      </c>
      <c r="K1442" s="106" t="str">
        <f>IF(AND(G1442&lt;&gt;"",ISERROR(VLOOKUP(G1442,Keszlet!$C$5:$G$200,5,FALSE))=FALSE),VLOOKUP(G1442,Keszlet!$C$5:$G$200,5,FALSE),"")</f>
        <v/>
      </c>
      <c r="L1442" s="106" t="str">
        <f t="shared" si="80"/>
        <v/>
      </c>
      <c r="M1442" s="115" t="str">
        <f>IF(ISERROR(VLOOKUP(G1442,Keszlet!$C$5:$I$200,7,FALSE))=TRUE,"",IF(AND(J1441&lt;&gt;"",J1443=""),VLOOKUP(G1442,Keszlet!$C$5:$I$200,7,FALSE),""))</f>
        <v/>
      </c>
      <c r="Q1442" s="1">
        <f>VLOOKUP(G1442,Keszlet!$C$5:$E$205,3,FALSE)</f>
        <v>0</v>
      </c>
      <c r="T1442" s="1" t="str">
        <f t="shared" si="81"/>
        <v/>
      </c>
      <c r="U1442" s="1">
        <f t="shared" si="82"/>
        <v>0</v>
      </c>
      <c r="W1442" s="6">
        <f t="shared" si="85"/>
        <v>0</v>
      </c>
      <c r="X1442" s="6">
        <f t="shared" si="77"/>
        <v>0</v>
      </c>
      <c r="Y1442" s="1">
        <f t="shared" si="83"/>
        <v>1</v>
      </c>
      <c r="Z1442" s="1">
        <f>IF(COUNTIF($Y$6:Y1442,Y1442)=1,Y1442,Y1442+COUNTIF($Y$5:Y1441,Y1442))</f>
        <v>437</v>
      </c>
      <c r="AD1442" s="1" t="str">
        <f t="shared" si="84"/>
        <v/>
      </c>
      <c r="BA1442" s="1">
        <f>IF(W1442&lt;=Leltar_iv!$Y$1,I1442,0)</f>
        <v>0</v>
      </c>
    </row>
    <row r="1443" spans="1:53" s="1" customFormat="1" x14ac:dyDescent="0.25">
      <c r="A1443" s="18">
        <f>IF(COUNTIF($Y$6:Y1443,Y1443)=1,Y1443,Y1443+COUNTIF($Y$5:Y1442,Y1443))</f>
        <v>438</v>
      </c>
      <c r="B1443" s="1">
        <f>IF(AND(Kisero_iv!$N$2=C1443,Kisero_iv!$K$5=$B$3,SUM(I1443:L1447)&lt;&gt;0,$B$4=YEAR(W1443)),B1442+1,0)</f>
        <v>0</v>
      </c>
      <c r="C1443" s="1">
        <f t="shared" si="78"/>
        <v>438</v>
      </c>
      <c r="D1443" s="102" t="str">
        <f t="shared" si="79"/>
        <v/>
      </c>
      <c r="E1443" s="44"/>
      <c r="F1443" s="45"/>
      <c r="G1443" s="45"/>
      <c r="H1443" s="45"/>
      <c r="I1443" s="46"/>
      <c r="J1443" s="111" t="str">
        <f>IF(AND(G1443&lt;&gt;"",ISERROR(VLOOKUP(G1443,Keszlet!$C$5:$H$200,6,FALSE))=FALSE),VLOOKUP(G1443,Keszlet!$C$5:$H$200,6,FALSE),"")</f>
        <v/>
      </c>
      <c r="K1443" s="106" t="str">
        <f>IF(AND(G1443&lt;&gt;"",ISERROR(VLOOKUP(G1443,Keszlet!$C$5:$G$200,5,FALSE))=FALSE),VLOOKUP(G1443,Keszlet!$C$5:$G$200,5,FALSE),"")</f>
        <v/>
      </c>
      <c r="L1443" s="106" t="str">
        <f t="shared" si="80"/>
        <v/>
      </c>
      <c r="M1443" s="115" t="str">
        <f>IF(ISERROR(VLOOKUP(G1443,Keszlet!$C$5:$I$200,7,FALSE))=TRUE,"",IF(AND(J1442&lt;&gt;"",J1444=""),VLOOKUP(G1443,Keszlet!$C$5:$I$200,7,FALSE),""))</f>
        <v/>
      </c>
      <c r="Q1443" s="1">
        <f>VLOOKUP(G1443,Keszlet!$C$5:$E$205,3,FALSE)</f>
        <v>0</v>
      </c>
      <c r="T1443" s="1" t="str">
        <f t="shared" si="81"/>
        <v/>
      </c>
      <c r="U1443" s="1">
        <f t="shared" si="82"/>
        <v>0</v>
      </c>
      <c r="W1443" s="6">
        <f t="shared" si="85"/>
        <v>0</v>
      </c>
      <c r="X1443" s="6">
        <f t="shared" si="77"/>
        <v>0</v>
      </c>
      <c r="Y1443" s="1">
        <f t="shared" si="83"/>
        <v>1</v>
      </c>
      <c r="Z1443" s="1">
        <f>IF(COUNTIF($Y$6:Y1443,Y1443)=1,Y1443,Y1443+COUNTIF($Y$5:Y1442,Y1443))</f>
        <v>438</v>
      </c>
      <c r="AD1443" s="1" t="str">
        <f t="shared" si="84"/>
        <v/>
      </c>
      <c r="BA1443" s="1">
        <f>IF(W1443&lt;=Leltar_iv!$Y$1,I1443,0)</f>
        <v>0</v>
      </c>
    </row>
    <row r="1444" spans="1:53" s="1" customFormat="1" x14ac:dyDescent="0.25">
      <c r="A1444" s="18">
        <f>IF(COUNTIF($Y$6:Y1444,Y1444)=1,Y1444,Y1444+COUNTIF($Y$5:Y1443,Y1444))</f>
        <v>439</v>
      </c>
      <c r="B1444" s="1">
        <f>IF(AND(Kisero_iv!$N$2=C1444,Kisero_iv!$K$5=$B$3,SUM(I1444:L1448)&lt;&gt;0,$B$4=YEAR(W1444)),B1443+1,0)</f>
        <v>0</v>
      </c>
      <c r="C1444" s="1">
        <f t="shared" si="78"/>
        <v>439</v>
      </c>
      <c r="D1444" s="102" t="str">
        <f t="shared" si="79"/>
        <v/>
      </c>
      <c r="E1444" s="44"/>
      <c r="F1444" s="45"/>
      <c r="G1444" s="45"/>
      <c r="H1444" s="45"/>
      <c r="I1444" s="46"/>
      <c r="J1444" s="111" t="str">
        <f>IF(AND(G1444&lt;&gt;"",ISERROR(VLOOKUP(G1444,Keszlet!$C$5:$H$200,6,FALSE))=FALSE),VLOOKUP(G1444,Keszlet!$C$5:$H$200,6,FALSE),"")</f>
        <v/>
      </c>
      <c r="K1444" s="106" t="str">
        <f>IF(AND(G1444&lt;&gt;"",ISERROR(VLOOKUP(G1444,Keszlet!$C$5:$G$200,5,FALSE))=FALSE),VLOOKUP(G1444,Keszlet!$C$5:$G$200,5,FALSE),"")</f>
        <v/>
      </c>
      <c r="L1444" s="106" t="str">
        <f t="shared" si="80"/>
        <v/>
      </c>
      <c r="M1444" s="115" t="str">
        <f>IF(ISERROR(VLOOKUP(G1444,Keszlet!$C$5:$I$200,7,FALSE))=TRUE,"",IF(AND(J1443&lt;&gt;"",J1445=""),VLOOKUP(G1444,Keszlet!$C$5:$I$200,7,FALSE),""))</f>
        <v/>
      </c>
      <c r="Q1444" s="1">
        <f>VLOOKUP(G1444,Keszlet!$C$5:$E$205,3,FALSE)</f>
        <v>0</v>
      </c>
      <c r="T1444" s="1" t="str">
        <f t="shared" si="81"/>
        <v/>
      </c>
      <c r="U1444" s="1">
        <f t="shared" si="82"/>
        <v>0</v>
      </c>
      <c r="W1444" s="6">
        <f t="shared" si="85"/>
        <v>0</v>
      </c>
      <c r="X1444" s="6">
        <f t="shared" si="77"/>
        <v>0</v>
      </c>
      <c r="Y1444" s="1">
        <f t="shared" si="83"/>
        <v>1</v>
      </c>
      <c r="Z1444" s="1">
        <f>IF(COUNTIF($Y$6:Y1444,Y1444)=1,Y1444,Y1444+COUNTIF($Y$5:Y1443,Y1444))</f>
        <v>439</v>
      </c>
      <c r="AD1444" s="1" t="str">
        <f t="shared" si="84"/>
        <v/>
      </c>
      <c r="BA1444" s="1">
        <f>IF(W1444&lt;=Leltar_iv!$Y$1,I1444,0)</f>
        <v>0</v>
      </c>
    </row>
    <row r="1445" spans="1:53" s="1" customFormat="1" x14ac:dyDescent="0.25">
      <c r="A1445" s="18">
        <f>IF(COUNTIF($Y$6:Y1445,Y1445)=1,Y1445,Y1445+COUNTIF($Y$5:Y1444,Y1445))</f>
        <v>440</v>
      </c>
      <c r="B1445" s="1">
        <f>IF(AND(Kisero_iv!$N$2=C1445,Kisero_iv!$K$5=$B$3,SUM(I1445:L1449)&lt;&gt;0,$B$4=YEAR(W1445)),B1444+1,0)</f>
        <v>0</v>
      </c>
      <c r="C1445" s="1">
        <f t="shared" si="78"/>
        <v>440</v>
      </c>
      <c r="D1445" s="102" t="str">
        <f t="shared" si="79"/>
        <v/>
      </c>
      <c r="E1445" s="44"/>
      <c r="F1445" s="45"/>
      <c r="G1445" s="45"/>
      <c r="H1445" s="45"/>
      <c r="I1445" s="46"/>
      <c r="J1445" s="111" t="str">
        <f>IF(AND(G1445&lt;&gt;"",ISERROR(VLOOKUP(G1445,Keszlet!$C$5:$H$200,6,FALSE))=FALSE),VLOOKUP(G1445,Keszlet!$C$5:$H$200,6,FALSE),"")</f>
        <v/>
      </c>
      <c r="K1445" s="106" t="str">
        <f>IF(AND(G1445&lt;&gt;"",ISERROR(VLOOKUP(G1445,Keszlet!$C$5:$G$200,5,FALSE))=FALSE),VLOOKUP(G1445,Keszlet!$C$5:$G$200,5,FALSE),"")</f>
        <v/>
      </c>
      <c r="L1445" s="106" t="str">
        <f t="shared" si="80"/>
        <v/>
      </c>
      <c r="M1445" s="115" t="str">
        <f>IF(ISERROR(VLOOKUP(G1445,Keszlet!$C$5:$I$200,7,FALSE))=TRUE,"",IF(AND(J1444&lt;&gt;"",J1446=""),VLOOKUP(G1445,Keszlet!$C$5:$I$200,7,FALSE),""))</f>
        <v/>
      </c>
      <c r="Q1445" s="1">
        <f>VLOOKUP(G1445,Keszlet!$C$5:$E$205,3,FALSE)</f>
        <v>0</v>
      </c>
      <c r="T1445" s="1" t="str">
        <f t="shared" si="81"/>
        <v/>
      </c>
      <c r="U1445" s="1">
        <f t="shared" si="82"/>
        <v>0</v>
      </c>
      <c r="W1445" s="6">
        <f t="shared" si="85"/>
        <v>0</v>
      </c>
      <c r="X1445" s="6">
        <f t="shared" si="77"/>
        <v>0</v>
      </c>
      <c r="Y1445" s="1">
        <f t="shared" si="83"/>
        <v>1</v>
      </c>
      <c r="Z1445" s="1">
        <f>IF(COUNTIF($Y$6:Y1445,Y1445)=1,Y1445,Y1445+COUNTIF($Y$5:Y1444,Y1445))</f>
        <v>440</v>
      </c>
      <c r="AD1445" s="1" t="str">
        <f t="shared" si="84"/>
        <v/>
      </c>
      <c r="BA1445" s="1">
        <f>IF(W1445&lt;=Leltar_iv!$Y$1,I1445,0)</f>
        <v>0</v>
      </c>
    </row>
    <row r="1446" spans="1:53" s="1" customFormat="1" x14ac:dyDescent="0.25">
      <c r="A1446" s="18">
        <f>IF(COUNTIF($Y$6:Y1446,Y1446)=1,Y1446,Y1446+COUNTIF($Y$5:Y1445,Y1446))</f>
        <v>441</v>
      </c>
      <c r="B1446" s="1">
        <f>IF(AND(Kisero_iv!$N$2=C1446,Kisero_iv!$K$5=$B$3,SUM(I1446:L1450)&lt;&gt;0,$B$4=YEAR(W1446)),B1445+1,0)</f>
        <v>0</v>
      </c>
      <c r="C1446" s="1">
        <f t="shared" si="78"/>
        <v>441</v>
      </c>
      <c r="D1446" s="102" t="str">
        <f t="shared" si="79"/>
        <v/>
      </c>
      <c r="E1446" s="44"/>
      <c r="F1446" s="45"/>
      <c r="G1446" s="45"/>
      <c r="H1446" s="45"/>
      <c r="I1446" s="46"/>
      <c r="J1446" s="111" t="str">
        <f>IF(AND(G1446&lt;&gt;"",ISERROR(VLOOKUP(G1446,Keszlet!$C$5:$H$200,6,FALSE))=FALSE),VLOOKUP(G1446,Keszlet!$C$5:$H$200,6,FALSE),"")</f>
        <v/>
      </c>
      <c r="K1446" s="106" t="str">
        <f>IF(AND(G1446&lt;&gt;"",ISERROR(VLOOKUP(G1446,Keszlet!$C$5:$G$200,5,FALSE))=FALSE),VLOOKUP(G1446,Keszlet!$C$5:$G$200,5,FALSE),"")</f>
        <v/>
      </c>
      <c r="L1446" s="106" t="str">
        <f t="shared" si="80"/>
        <v/>
      </c>
      <c r="M1446" s="115" t="str">
        <f>IF(ISERROR(VLOOKUP(G1446,Keszlet!$C$5:$I$200,7,FALSE))=TRUE,"",IF(AND(J1445&lt;&gt;"",J1447=""),VLOOKUP(G1446,Keszlet!$C$5:$I$200,7,FALSE),""))</f>
        <v/>
      </c>
      <c r="Q1446" s="1">
        <f>VLOOKUP(G1446,Keszlet!$C$5:$E$205,3,FALSE)</f>
        <v>0</v>
      </c>
      <c r="T1446" s="1" t="str">
        <f t="shared" si="81"/>
        <v/>
      </c>
      <c r="U1446" s="1">
        <f t="shared" si="82"/>
        <v>0</v>
      </c>
      <c r="W1446" s="6">
        <f t="shared" si="85"/>
        <v>0</v>
      </c>
      <c r="X1446" s="6">
        <f t="shared" si="77"/>
        <v>0</v>
      </c>
      <c r="Y1446" s="1">
        <f t="shared" si="83"/>
        <v>1</v>
      </c>
      <c r="Z1446" s="1">
        <f>IF(COUNTIF($Y$6:Y1446,Y1446)=1,Y1446,Y1446+COUNTIF($Y$5:Y1445,Y1446))</f>
        <v>441</v>
      </c>
      <c r="AD1446" s="1" t="str">
        <f t="shared" si="84"/>
        <v/>
      </c>
      <c r="BA1446" s="1">
        <f>IF(W1446&lt;=Leltar_iv!$Y$1,I1446,0)</f>
        <v>0</v>
      </c>
    </row>
    <row r="1447" spans="1:53" s="1" customFormat="1" x14ac:dyDescent="0.25">
      <c r="A1447" s="18">
        <f>IF(COUNTIF($Y$6:Y1447,Y1447)=1,Y1447,Y1447+COUNTIF($Y$5:Y1446,Y1447))</f>
        <v>442</v>
      </c>
      <c r="B1447" s="1">
        <f>IF(AND(Kisero_iv!$N$2=C1447,Kisero_iv!$K$5=$B$3,SUM(I1447:L1451)&lt;&gt;0,$B$4=YEAR(W1447)),B1446+1,0)</f>
        <v>0</v>
      </c>
      <c r="C1447" s="1">
        <f t="shared" si="78"/>
        <v>442</v>
      </c>
      <c r="D1447" s="102" t="str">
        <f t="shared" si="79"/>
        <v/>
      </c>
      <c r="E1447" s="44"/>
      <c r="F1447" s="45"/>
      <c r="G1447" s="45"/>
      <c r="H1447" s="45"/>
      <c r="I1447" s="46"/>
      <c r="J1447" s="111" t="str">
        <f>IF(AND(G1447&lt;&gt;"",ISERROR(VLOOKUP(G1447,Keszlet!$C$5:$H$200,6,FALSE))=FALSE),VLOOKUP(G1447,Keszlet!$C$5:$H$200,6,FALSE),"")</f>
        <v/>
      </c>
      <c r="K1447" s="106" t="str">
        <f>IF(AND(G1447&lt;&gt;"",ISERROR(VLOOKUP(G1447,Keszlet!$C$5:$G$200,5,FALSE))=FALSE),VLOOKUP(G1447,Keszlet!$C$5:$G$200,5,FALSE),"")</f>
        <v/>
      </c>
      <c r="L1447" s="106" t="str">
        <f t="shared" si="80"/>
        <v/>
      </c>
      <c r="M1447" s="115" t="str">
        <f>IF(ISERROR(VLOOKUP(G1447,Keszlet!$C$5:$I$200,7,FALSE))=TRUE,"",IF(AND(J1446&lt;&gt;"",J1448=""),VLOOKUP(G1447,Keszlet!$C$5:$I$200,7,FALSE),""))</f>
        <v/>
      </c>
      <c r="Q1447" s="1">
        <f>VLOOKUP(G1447,Keszlet!$C$5:$E$205,3,FALSE)</f>
        <v>0</v>
      </c>
      <c r="T1447" s="1" t="str">
        <f t="shared" si="81"/>
        <v/>
      </c>
      <c r="U1447" s="1">
        <f t="shared" si="82"/>
        <v>0</v>
      </c>
      <c r="W1447" s="6">
        <f t="shared" si="85"/>
        <v>0</v>
      </c>
      <c r="X1447" s="6">
        <f t="shared" si="77"/>
        <v>0</v>
      </c>
      <c r="Y1447" s="1">
        <f t="shared" si="83"/>
        <v>1</v>
      </c>
      <c r="Z1447" s="1">
        <f>IF(COUNTIF($Y$6:Y1447,Y1447)=1,Y1447,Y1447+COUNTIF($Y$5:Y1446,Y1447))</f>
        <v>442</v>
      </c>
      <c r="AD1447" s="1" t="str">
        <f t="shared" si="84"/>
        <v/>
      </c>
      <c r="BA1447" s="1">
        <f>IF(W1447&lt;=Leltar_iv!$Y$1,I1447,0)</f>
        <v>0</v>
      </c>
    </row>
    <row r="1448" spans="1:53" s="1" customFormat="1" x14ac:dyDescent="0.25">
      <c r="A1448" s="18">
        <f>IF(COUNTIF($Y$6:Y1448,Y1448)=1,Y1448,Y1448+COUNTIF($Y$5:Y1447,Y1448))</f>
        <v>443</v>
      </c>
      <c r="B1448" s="1">
        <f>IF(AND(Kisero_iv!$N$2=C1448,Kisero_iv!$K$5=$B$3,SUM(I1448:L1452)&lt;&gt;0,$B$4=YEAR(W1448)),B1447+1,0)</f>
        <v>0</v>
      </c>
      <c r="C1448" s="1">
        <f t="shared" si="78"/>
        <v>443</v>
      </c>
      <c r="D1448" s="102" t="str">
        <f t="shared" si="79"/>
        <v/>
      </c>
      <c r="E1448" s="44"/>
      <c r="F1448" s="45"/>
      <c r="G1448" s="45"/>
      <c r="H1448" s="45"/>
      <c r="I1448" s="46"/>
      <c r="J1448" s="111" t="str">
        <f>IF(AND(G1448&lt;&gt;"",ISERROR(VLOOKUP(G1448,Keszlet!$C$5:$H$200,6,FALSE))=FALSE),VLOOKUP(G1448,Keszlet!$C$5:$H$200,6,FALSE),"")</f>
        <v/>
      </c>
      <c r="K1448" s="106" t="str">
        <f>IF(AND(G1448&lt;&gt;"",ISERROR(VLOOKUP(G1448,Keszlet!$C$5:$G$200,5,FALSE))=FALSE),VLOOKUP(G1448,Keszlet!$C$5:$G$200,5,FALSE),"")</f>
        <v/>
      </c>
      <c r="L1448" s="106" t="str">
        <f t="shared" si="80"/>
        <v/>
      </c>
      <c r="M1448" s="115" t="str">
        <f>IF(ISERROR(VLOOKUP(G1448,Keszlet!$C$5:$I$200,7,FALSE))=TRUE,"",IF(AND(J1447&lt;&gt;"",J1449=""),VLOOKUP(G1448,Keszlet!$C$5:$I$200,7,FALSE),""))</f>
        <v/>
      </c>
      <c r="Q1448" s="1">
        <f>VLOOKUP(G1448,Keszlet!$C$5:$E$205,3,FALSE)</f>
        <v>0</v>
      </c>
      <c r="T1448" s="1" t="str">
        <f t="shared" si="81"/>
        <v/>
      </c>
      <c r="U1448" s="1">
        <f t="shared" si="82"/>
        <v>0</v>
      </c>
      <c r="W1448" s="6">
        <f t="shared" si="85"/>
        <v>0</v>
      </c>
      <c r="X1448" s="6">
        <f t="shared" si="77"/>
        <v>0</v>
      </c>
      <c r="Y1448" s="1">
        <f t="shared" si="83"/>
        <v>1</v>
      </c>
      <c r="Z1448" s="1">
        <f>IF(COUNTIF($Y$6:Y1448,Y1448)=1,Y1448,Y1448+COUNTIF($Y$5:Y1447,Y1448))</f>
        <v>443</v>
      </c>
      <c r="AD1448" s="1" t="str">
        <f t="shared" si="84"/>
        <v/>
      </c>
      <c r="BA1448" s="1">
        <f>IF(W1448&lt;=Leltar_iv!$Y$1,I1448,0)</f>
        <v>0</v>
      </c>
    </row>
    <row r="1449" spans="1:53" s="1" customFormat="1" x14ac:dyDescent="0.25">
      <c r="A1449" s="18">
        <f>IF(COUNTIF($Y$6:Y1449,Y1449)=1,Y1449,Y1449+COUNTIF($Y$5:Y1448,Y1449))</f>
        <v>444</v>
      </c>
      <c r="B1449" s="1">
        <f>IF(AND(Kisero_iv!$N$2=C1449,Kisero_iv!$K$5=$B$3,SUM(I1449:L1453)&lt;&gt;0,$B$4=YEAR(W1449)),B1448+1,0)</f>
        <v>0</v>
      </c>
      <c r="C1449" s="1">
        <f t="shared" si="78"/>
        <v>444</v>
      </c>
      <c r="D1449" s="102" t="str">
        <f t="shared" si="79"/>
        <v/>
      </c>
      <c r="E1449" s="44"/>
      <c r="F1449" s="45"/>
      <c r="G1449" s="45"/>
      <c r="H1449" s="45"/>
      <c r="I1449" s="46"/>
      <c r="J1449" s="111" t="str">
        <f>IF(AND(G1449&lt;&gt;"",ISERROR(VLOOKUP(G1449,Keszlet!$C$5:$H$200,6,FALSE))=FALSE),VLOOKUP(G1449,Keszlet!$C$5:$H$200,6,FALSE),"")</f>
        <v/>
      </c>
      <c r="K1449" s="106" t="str">
        <f>IF(AND(G1449&lt;&gt;"",ISERROR(VLOOKUP(G1449,Keszlet!$C$5:$G$200,5,FALSE))=FALSE),VLOOKUP(G1449,Keszlet!$C$5:$G$200,5,FALSE),"")</f>
        <v/>
      </c>
      <c r="L1449" s="106" t="str">
        <f t="shared" si="80"/>
        <v/>
      </c>
      <c r="M1449" s="115" t="str">
        <f>IF(ISERROR(VLOOKUP(G1449,Keszlet!$C$5:$I$200,7,FALSE))=TRUE,"",IF(AND(J1448&lt;&gt;"",J1450=""),VLOOKUP(G1449,Keszlet!$C$5:$I$200,7,FALSE),""))</f>
        <v/>
      </c>
      <c r="Q1449" s="1">
        <f>VLOOKUP(G1449,Keszlet!$C$5:$E$205,3,FALSE)</f>
        <v>0</v>
      </c>
      <c r="T1449" s="1" t="str">
        <f t="shared" si="81"/>
        <v/>
      </c>
      <c r="U1449" s="1">
        <f t="shared" si="82"/>
        <v>0</v>
      </c>
      <c r="W1449" s="6">
        <f t="shared" si="85"/>
        <v>0</v>
      </c>
      <c r="X1449" s="6">
        <f t="shared" si="77"/>
        <v>0</v>
      </c>
      <c r="Y1449" s="1">
        <f t="shared" si="83"/>
        <v>1</v>
      </c>
      <c r="Z1449" s="1">
        <f>IF(COUNTIF($Y$6:Y1449,Y1449)=1,Y1449,Y1449+COUNTIF($Y$5:Y1448,Y1449))</f>
        <v>444</v>
      </c>
      <c r="AD1449" s="1" t="str">
        <f t="shared" si="84"/>
        <v/>
      </c>
      <c r="BA1449" s="1">
        <f>IF(W1449&lt;=Leltar_iv!$Y$1,I1449,0)</f>
        <v>0</v>
      </c>
    </row>
    <row r="1450" spans="1:53" s="1" customFormat="1" x14ac:dyDescent="0.25">
      <c r="A1450" s="18">
        <f>IF(COUNTIF($Y$6:Y1450,Y1450)=1,Y1450,Y1450+COUNTIF($Y$5:Y1449,Y1450))</f>
        <v>445</v>
      </c>
      <c r="B1450" s="1">
        <f>IF(AND(Kisero_iv!$N$2=C1450,Kisero_iv!$K$5=$B$3,SUM(I1450:L1454)&lt;&gt;0,$B$4=YEAR(W1450)),B1449+1,0)</f>
        <v>0</v>
      </c>
      <c r="C1450" s="1">
        <f t="shared" si="78"/>
        <v>445</v>
      </c>
      <c r="D1450" s="102" t="str">
        <f t="shared" si="79"/>
        <v/>
      </c>
      <c r="E1450" s="44"/>
      <c r="F1450" s="45"/>
      <c r="G1450" s="45"/>
      <c r="H1450" s="45"/>
      <c r="I1450" s="46"/>
      <c r="J1450" s="111" t="str">
        <f>IF(AND(G1450&lt;&gt;"",ISERROR(VLOOKUP(G1450,Keszlet!$C$5:$H$200,6,FALSE))=FALSE),VLOOKUP(G1450,Keszlet!$C$5:$H$200,6,FALSE),"")</f>
        <v/>
      </c>
      <c r="K1450" s="106" t="str">
        <f>IF(AND(G1450&lt;&gt;"",ISERROR(VLOOKUP(G1450,Keszlet!$C$5:$G$200,5,FALSE))=FALSE),VLOOKUP(G1450,Keszlet!$C$5:$G$200,5,FALSE),"")</f>
        <v/>
      </c>
      <c r="L1450" s="106" t="str">
        <f t="shared" si="80"/>
        <v/>
      </c>
      <c r="M1450" s="115" t="str">
        <f>IF(ISERROR(VLOOKUP(G1450,Keszlet!$C$5:$I$200,7,FALSE))=TRUE,"",IF(AND(J1449&lt;&gt;"",J1451=""),VLOOKUP(G1450,Keszlet!$C$5:$I$200,7,FALSE),""))</f>
        <v/>
      </c>
      <c r="Q1450" s="1">
        <f>VLOOKUP(G1450,Keszlet!$C$5:$E$205,3,FALSE)</f>
        <v>0</v>
      </c>
      <c r="T1450" s="1" t="str">
        <f t="shared" si="81"/>
        <v/>
      </c>
      <c r="U1450" s="1">
        <f t="shared" si="82"/>
        <v>0</v>
      </c>
      <c r="W1450" s="6">
        <f t="shared" si="85"/>
        <v>0</v>
      </c>
      <c r="X1450" s="6">
        <f t="shared" si="77"/>
        <v>0</v>
      </c>
      <c r="Y1450" s="1">
        <f t="shared" si="83"/>
        <v>1</v>
      </c>
      <c r="Z1450" s="1">
        <f>IF(COUNTIF($Y$6:Y1450,Y1450)=1,Y1450,Y1450+COUNTIF($Y$5:Y1449,Y1450))</f>
        <v>445</v>
      </c>
      <c r="AD1450" s="1" t="str">
        <f t="shared" si="84"/>
        <v/>
      </c>
      <c r="BA1450" s="1">
        <f>IF(W1450&lt;=Leltar_iv!$Y$1,I1450,0)</f>
        <v>0</v>
      </c>
    </row>
    <row r="1451" spans="1:53" s="1" customFormat="1" x14ac:dyDescent="0.25">
      <c r="A1451" s="18">
        <f>IF(COUNTIF($Y$6:Y1451,Y1451)=1,Y1451,Y1451+COUNTIF($Y$5:Y1450,Y1451))</f>
        <v>446</v>
      </c>
      <c r="B1451" s="1">
        <f>IF(AND(Kisero_iv!$N$2=C1451,Kisero_iv!$K$5=$B$3,SUM(I1451:L1455)&lt;&gt;0,$B$4=YEAR(W1451)),B1450+1,0)</f>
        <v>0</v>
      </c>
      <c r="C1451" s="1">
        <f t="shared" si="78"/>
        <v>446</v>
      </c>
      <c r="D1451" s="102" t="str">
        <f t="shared" si="79"/>
        <v/>
      </c>
      <c r="E1451" s="44"/>
      <c r="F1451" s="45"/>
      <c r="G1451" s="45"/>
      <c r="H1451" s="45"/>
      <c r="I1451" s="46"/>
      <c r="J1451" s="111" t="str">
        <f>IF(AND(G1451&lt;&gt;"",ISERROR(VLOOKUP(G1451,Keszlet!$C$5:$H$200,6,FALSE))=FALSE),VLOOKUP(G1451,Keszlet!$C$5:$H$200,6,FALSE),"")</f>
        <v/>
      </c>
      <c r="K1451" s="106" t="str">
        <f>IF(AND(G1451&lt;&gt;"",ISERROR(VLOOKUP(G1451,Keszlet!$C$5:$G$200,5,FALSE))=FALSE),VLOOKUP(G1451,Keszlet!$C$5:$G$200,5,FALSE),"")</f>
        <v/>
      </c>
      <c r="L1451" s="106" t="str">
        <f t="shared" si="80"/>
        <v/>
      </c>
      <c r="M1451" s="115" t="str">
        <f>IF(ISERROR(VLOOKUP(G1451,Keszlet!$C$5:$I$200,7,FALSE))=TRUE,"",IF(AND(J1450&lt;&gt;"",J1452=""),VLOOKUP(G1451,Keszlet!$C$5:$I$200,7,FALSE),""))</f>
        <v/>
      </c>
      <c r="Q1451" s="1">
        <f>VLOOKUP(G1451,Keszlet!$C$5:$E$205,3,FALSE)</f>
        <v>0</v>
      </c>
      <c r="T1451" s="1" t="str">
        <f t="shared" si="81"/>
        <v/>
      </c>
      <c r="U1451" s="1">
        <f t="shared" si="82"/>
        <v>0</v>
      </c>
      <c r="W1451" s="6">
        <f t="shared" si="85"/>
        <v>0</v>
      </c>
      <c r="X1451" s="6">
        <f t="shared" si="77"/>
        <v>0</v>
      </c>
      <c r="Y1451" s="1">
        <f t="shared" si="83"/>
        <v>1</v>
      </c>
      <c r="Z1451" s="1">
        <f>IF(COUNTIF($Y$6:Y1451,Y1451)=1,Y1451,Y1451+COUNTIF($Y$5:Y1450,Y1451))</f>
        <v>446</v>
      </c>
      <c r="AD1451" s="1" t="str">
        <f t="shared" si="84"/>
        <v/>
      </c>
      <c r="BA1451" s="1">
        <f>IF(W1451&lt;=Leltar_iv!$Y$1,I1451,0)</f>
        <v>0</v>
      </c>
    </row>
    <row r="1452" spans="1:53" s="1" customFormat="1" x14ac:dyDescent="0.25">
      <c r="A1452" s="18">
        <f>IF(COUNTIF($Y$6:Y1452,Y1452)=1,Y1452,Y1452+COUNTIF($Y$5:Y1451,Y1452))</f>
        <v>447</v>
      </c>
      <c r="B1452" s="1">
        <f>IF(AND(Kisero_iv!$N$2=C1452,Kisero_iv!$K$5=$B$3,SUM(I1452:L1456)&lt;&gt;0,$B$4=YEAR(W1452)),B1451+1,0)</f>
        <v>0</v>
      </c>
      <c r="C1452" s="1">
        <f t="shared" si="78"/>
        <v>447</v>
      </c>
      <c r="D1452" s="102" t="str">
        <f t="shared" si="79"/>
        <v/>
      </c>
      <c r="E1452" s="44"/>
      <c r="F1452" s="45"/>
      <c r="G1452" s="45"/>
      <c r="H1452" s="45"/>
      <c r="I1452" s="46"/>
      <c r="J1452" s="111" t="str">
        <f>IF(AND(G1452&lt;&gt;"",ISERROR(VLOOKUP(G1452,Keszlet!$C$5:$H$200,6,FALSE))=FALSE),VLOOKUP(G1452,Keszlet!$C$5:$H$200,6,FALSE),"")</f>
        <v/>
      </c>
      <c r="K1452" s="106" t="str">
        <f>IF(AND(G1452&lt;&gt;"",ISERROR(VLOOKUP(G1452,Keszlet!$C$5:$G$200,5,FALSE))=FALSE),VLOOKUP(G1452,Keszlet!$C$5:$G$200,5,FALSE),"")</f>
        <v/>
      </c>
      <c r="L1452" s="106" t="str">
        <f t="shared" si="80"/>
        <v/>
      </c>
      <c r="M1452" s="115" t="str">
        <f>IF(ISERROR(VLOOKUP(G1452,Keszlet!$C$5:$I$200,7,FALSE))=TRUE,"",IF(AND(J1451&lt;&gt;"",J1453=""),VLOOKUP(G1452,Keszlet!$C$5:$I$200,7,FALSE),""))</f>
        <v/>
      </c>
      <c r="Q1452" s="1">
        <f>VLOOKUP(G1452,Keszlet!$C$5:$E$205,3,FALSE)</f>
        <v>0</v>
      </c>
      <c r="T1452" s="1" t="str">
        <f t="shared" si="81"/>
        <v/>
      </c>
      <c r="U1452" s="1">
        <f t="shared" si="82"/>
        <v>0</v>
      </c>
      <c r="W1452" s="6">
        <f t="shared" si="85"/>
        <v>0</v>
      </c>
      <c r="X1452" s="6">
        <f t="shared" si="77"/>
        <v>0</v>
      </c>
      <c r="Y1452" s="1">
        <f t="shared" si="83"/>
        <v>1</v>
      </c>
      <c r="Z1452" s="1">
        <f>IF(COUNTIF($Y$6:Y1452,Y1452)=1,Y1452,Y1452+COUNTIF($Y$5:Y1451,Y1452))</f>
        <v>447</v>
      </c>
      <c r="AD1452" s="1" t="str">
        <f t="shared" si="84"/>
        <v/>
      </c>
      <c r="BA1452" s="1">
        <f>IF(W1452&lt;=Leltar_iv!$Y$1,I1452,0)</f>
        <v>0</v>
      </c>
    </row>
    <row r="1453" spans="1:53" s="1" customFormat="1" x14ac:dyDescent="0.25">
      <c r="A1453" s="18">
        <f>IF(COUNTIF($Y$6:Y1453,Y1453)=1,Y1453,Y1453+COUNTIF($Y$5:Y1452,Y1453))</f>
        <v>448</v>
      </c>
      <c r="B1453" s="1">
        <f>IF(AND(Kisero_iv!$N$2=C1453,Kisero_iv!$K$5=$B$3,SUM(I1453:L1457)&lt;&gt;0,$B$4=YEAR(W1453)),B1452+1,0)</f>
        <v>0</v>
      </c>
      <c r="C1453" s="1">
        <f t="shared" si="78"/>
        <v>448</v>
      </c>
      <c r="D1453" s="102" t="str">
        <f t="shared" si="79"/>
        <v/>
      </c>
      <c r="E1453" s="44"/>
      <c r="F1453" s="45"/>
      <c r="G1453" s="45"/>
      <c r="H1453" s="45"/>
      <c r="I1453" s="46"/>
      <c r="J1453" s="111" t="str">
        <f>IF(AND(G1453&lt;&gt;"",ISERROR(VLOOKUP(G1453,Keszlet!$C$5:$H$200,6,FALSE))=FALSE),VLOOKUP(G1453,Keszlet!$C$5:$H$200,6,FALSE),"")</f>
        <v/>
      </c>
      <c r="K1453" s="106" t="str">
        <f>IF(AND(G1453&lt;&gt;"",ISERROR(VLOOKUP(G1453,Keszlet!$C$5:$G$200,5,FALSE))=FALSE),VLOOKUP(G1453,Keszlet!$C$5:$G$200,5,FALSE),"")</f>
        <v/>
      </c>
      <c r="L1453" s="106" t="str">
        <f t="shared" si="80"/>
        <v/>
      </c>
      <c r="M1453" s="115" t="str">
        <f>IF(ISERROR(VLOOKUP(G1453,Keszlet!$C$5:$I$200,7,FALSE))=TRUE,"",IF(AND(J1452&lt;&gt;"",J1454=""),VLOOKUP(G1453,Keszlet!$C$5:$I$200,7,FALSE),""))</f>
        <v/>
      </c>
      <c r="Q1453" s="1">
        <f>VLOOKUP(G1453,Keszlet!$C$5:$E$205,3,FALSE)</f>
        <v>0</v>
      </c>
      <c r="T1453" s="1" t="str">
        <f t="shared" si="81"/>
        <v/>
      </c>
      <c r="U1453" s="1">
        <f t="shared" si="82"/>
        <v>0</v>
      </c>
      <c r="W1453" s="6">
        <f t="shared" si="85"/>
        <v>0</v>
      </c>
      <c r="X1453" s="6">
        <f t="shared" si="77"/>
        <v>0</v>
      </c>
      <c r="Y1453" s="1">
        <f t="shared" si="83"/>
        <v>1</v>
      </c>
      <c r="Z1453" s="1">
        <f>IF(COUNTIF($Y$6:Y1453,Y1453)=1,Y1453,Y1453+COUNTIF($Y$5:Y1452,Y1453))</f>
        <v>448</v>
      </c>
      <c r="AD1453" s="1" t="str">
        <f t="shared" si="84"/>
        <v/>
      </c>
      <c r="BA1453" s="1">
        <f>IF(W1453&lt;=Leltar_iv!$Y$1,I1453,0)</f>
        <v>0</v>
      </c>
    </row>
    <row r="1454" spans="1:53" s="1" customFormat="1" x14ac:dyDescent="0.25">
      <c r="A1454" s="18">
        <f>IF(COUNTIF($Y$6:Y1454,Y1454)=1,Y1454,Y1454+COUNTIF($Y$5:Y1453,Y1454))</f>
        <v>449</v>
      </c>
      <c r="B1454" s="1">
        <f>IF(AND(Kisero_iv!$N$2=C1454,Kisero_iv!$K$5=$B$3,SUM(I1454:L1458)&lt;&gt;0,$B$4=YEAR(W1454)),B1453+1,0)</f>
        <v>0</v>
      </c>
      <c r="C1454" s="1">
        <f t="shared" si="78"/>
        <v>449</v>
      </c>
      <c r="D1454" s="102" t="str">
        <f t="shared" si="79"/>
        <v/>
      </c>
      <c r="E1454" s="44"/>
      <c r="F1454" s="45"/>
      <c r="G1454" s="45"/>
      <c r="H1454" s="45"/>
      <c r="I1454" s="46"/>
      <c r="J1454" s="111" t="str">
        <f>IF(AND(G1454&lt;&gt;"",ISERROR(VLOOKUP(G1454,Keszlet!$C$5:$H$200,6,FALSE))=FALSE),VLOOKUP(G1454,Keszlet!$C$5:$H$200,6,FALSE),"")</f>
        <v/>
      </c>
      <c r="K1454" s="106" t="str">
        <f>IF(AND(G1454&lt;&gt;"",ISERROR(VLOOKUP(G1454,Keszlet!$C$5:$G$200,5,FALSE))=FALSE),VLOOKUP(G1454,Keszlet!$C$5:$G$200,5,FALSE),"")</f>
        <v/>
      </c>
      <c r="L1454" s="106" t="str">
        <f t="shared" si="80"/>
        <v/>
      </c>
      <c r="M1454" s="115" t="str">
        <f>IF(ISERROR(VLOOKUP(G1454,Keszlet!$C$5:$I$200,7,FALSE))=TRUE,"",IF(AND(J1453&lt;&gt;"",J1455=""),VLOOKUP(G1454,Keszlet!$C$5:$I$200,7,FALSE),""))</f>
        <v/>
      </c>
      <c r="Q1454" s="1">
        <f>VLOOKUP(G1454,Keszlet!$C$5:$E$205,3,FALSE)</f>
        <v>0</v>
      </c>
      <c r="T1454" s="1" t="str">
        <f t="shared" si="81"/>
        <v/>
      </c>
      <c r="U1454" s="1">
        <f t="shared" si="82"/>
        <v>0</v>
      </c>
      <c r="W1454" s="6">
        <f t="shared" si="85"/>
        <v>0</v>
      </c>
      <c r="X1454" s="6">
        <f t="shared" ref="X1454:X1517" si="86">IF(G1454=q,W1454,$X$1)</f>
        <v>0</v>
      </c>
      <c r="Y1454" s="1">
        <f t="shared" si="83"/>
        <v>1</v>
      </c>
      <c r="Z1454" s="1">
        <f>IF(COUNTIF($Y$6:Y1454,Y1454)=1,Y1454,Y1454+COUNTIF($Y$5:Y1453,Y1454))</f>
        <v>449</v>
      </c>
      <c r="AD1454" s="1" t="str">
        <f t="shared" si="84"/>
        <v/>
      </c>
      <c r="BA1454" s="1">
        <f>IF(W1454&lt;=Leltar_iv!$Y$1,I1454,0)</f>
        <v>0</v>
      </c>
    </row>
    <row r="1455" spans="1:53" s="1" customFormat="1" x14ac:dyDescent="0.25">
      <c r="A1455" s="18">
        <f>IF(COUNTIF($Y$6:Y1455,Y1455)=1,Y1455,Y1455+COUNTIF($Y$5:Y1454,Y1455))</f>
        <v>450</v>
      </c>
      <c r="B1455" s="1">
        <f>IF(AND(Kisero_iv!$N$2=C1455,Kisero_iv!$K$5=$B$3,SUM(I1455:L1459)&lt;&gt;0,$B$4=YEAR(W1455)),B1454+1,0)</f>
        <v>0</v>
      </c>
      <c r="C1455" s="1">
        <f t="shared" ref="C1455:C1518" si="87">IF(YEAR(W1454)&lt;&gt;YEAR(W1455),1,IF(T1455&lt;&gt;0,C1454+1,C1454))</f>
        <v>450</v>
      </c>
      <c r="D1455" s="102" t="str">
        <f t="shared" ref="D1455:D1518" si="88">IF(AND(OR(C1454&lt;&gt;C1455,C1455=1),SUM(L1455:L1475)&lt;&gt;0),YEAR(W1455)&amp;"/"&amp;C1455,"")</f>
        <v/>
      </c>
      <c r="E1455" s="44"/>
      <c r="F1455" s="45"/>
      <c r="G1455" s="45"/>
      <c r="H1455" s="45"/>
      <c r="I1455" s="46"/>
      <c r="J1455" s="111" t="str">
        <f>IF(AND(G1455&lt;&gt;"",ISERROR(VLOOKUP(G1455,Keszlet!$C$5:$H$200,6,FALSE))=FALSE),VLOOKUP(G1455,Keszlet!$C$5:$H$200,6,FALSE),"")</f>
        <v/>
      </c>
      <c r="K1455" s="106" t="str">
        <f>IF(AND(G1455&lt;&gt;"",ISERROR(VLOOKUP(G1455,Keszlet!$C$5:$G$200,5,FALSE))=FALSE),VLOOKUP(G1455,Keszlet!$C$5:$G$200,5,FALSE),"")</f>
        <v/>
      </c>
      <c r="L1455" s="106" t="str">
        <f t="shared" ref="L1455:L1518" si="89">IF(AND(G1455&lt;&gt;0,K1455&lt;&gt;""),I1455*K1455,"")</f>
        <v/>
      </c>
      <c r="M1455" s="115" t="str">
        <f>IF(ISERROR(VLOOKUP(G1455,Keszlet!$C$5:$I$200,7,FALSE))=TRUE,"",IF(AND(J1454&lt;&gt;"",J1456=""),VLOOKUP(G1455,Keszlet!$C$5:$I$200,7,FALSE),""))</f>
        <v/>
      </c>
      <c r="Q1455" s="1">
        <f>VLOOKUP(G1455,Keszlet!$C$5:$E$205,3,FALSE)</f>
        <v>0</v>
      </c>
      <c r="T1455" s="1" t="str">
        <f t="shared" ref="T1455:T1518" si="90">IF(OR(E1455&lt;&gt;0,COUNTIF(T1446:T1454,0)=9,F1455&lt;&gt;0,SUM(L1455:L1475)=0),E1455&amp;F1455,0)</f>
        <v/>
      </c>
      <c r="U1455" s="1">
        <f t="shared" ref="U1455:U1518" si="91">IF(F1455&lt;&gt;"",F1455,U1454)</f>
        <v>0</v>
      </c>
      <c r="W1455" s="6">
        <f t="shared" si="85"/>
        <v>0</v>
      </c>
      <c r="X1455" s="6">
        <f t="shared" si="86"/>
        <v>0</v>
      </c>
      <c r="Y1455" s="1">
        <f t="shared" ref="Y1455:Y1518" si="92">RANK(X1455,$X$6:$X$10000,1)</f>
        <v>1</v>
      </c>
      <c r="Z1455" s="1">
        <f>IF(COUNTIF($Y$6:Y1455,Y1455)=1,Y1455,Y1455+COUNTIF($Y$5:Y1454,Y1455))</f>
        <v>450</v>
      </c>
      <c r="AD1455" s="1" t="str">
        <f t="shared" ref="AD1455:AD1518" si="93">IF(AND(OR(C1454&lt;&gt;C1455,YEAR(W1455)&lt;&gt;YEAR(W1454)),SUM(L1455:L1475)&lt;&gt;0,$B$4=YEAR(W1455)),C1455,"")</f>
        <v/>
      </c>
      <c r="BA1455" s="1">
        <f>IF(W1455&lt;=Leltar_iv!$Y$1,I1455,0)</f>
        <v>0</v>
      </c>
    </row>
    <row r="1456" spans="1:53" s="1" customFormat="1" x14ac:dyDescent="0.25">
      <c r="A1456" s="18">
        <f>IF(COUNTIF($Y$6:Y1456,Y1456)=1,Y1456,Y1456+COUNTIF($Y$5:Y1455,Y1456))</f>
        <v>451</v>
      </c>
      <c r="B1456" s="1">
        <f>IF(AND(Kisero_iv!$N$2=C1456,Kisero_iv!$K$5=$B$3,SUM(I1456:L1460)&lt;&gt;0,$B$4=YEAR(W1456)),B1455+1,0)</f>
        <v>0</v>
      </c>
      <c r="C1456" s="1">
        <f t="shared" si="87"/>
        <v>451</v>
      </c>
      <c r="D1456" s="102" t="str">
        <f t="shared" si="88"/>
        <v/>
      </c>
      <c r="E1456" s="44"/>
      <c r="F1456" s="45"/>
      <c r="G1456" s="45"/>
      <c r="H1456" s="45"/>
      <c r="I1456" s="46"/>
      <c r="J1456" s="111" t="str">
        <f>IF(AND(G1456&lt;&gt;"",ISERROR(VLOOKUP(G1456,Keszlet!$C$5:$H$200,6,FALSE))=FALSE),VLOOKUP(G1456,Keszlet!$C$5:$H$200,6,FALSE),"")</f>
        <v/>
      </c>
      <c r="K1456" s="106" t="str">
        <f>IF(AND(G1456&lt;&gt;"",ISERROR(VLOOKUP(G1456,Keszlet!$C$5:$G$200,5,FALSE))=FALSE),VLOOKUP(G1456,Keszlet!$C$5:$G$200,5,FALSE),"")</f>
        <v/>
      </c>
      <c r="L1456" s="106" t="str">
        <f t="shared" si="89"/>
        <v/>
      </c>
      <c r="M1456" s="115" t="str">
        <f>IF(ISERROR(VLOOKUP(G1456,Keszlet!$C$5:$I$200,7,FALSE))=TRUE,"",IF(AND(J1455&lt;&gt;"",J1457=""),VLOOKUP(G1456,Keszlet!$C$5:$I$200,7,FALSE),""))</f>
        <v/>
      </c>
      <c r="Q1456" s="1">
        <f>VLOOKUP(G1456,Keszlet!$C$5:$E$205,3,FALSE)</f>
        <v>0</v>
      </c>
      <c r="T1456" s="1" t="str">
        <f t="shared" si="90"/>
        <v/>
      </c>
      <c r="U1456" s="1">
        <f t="shared" si="91"/>
        <v>0</v>
      </c>
      <c r="W1456" s="6">
        <f t="shared" si="85"/>
        <v>0</v>
      </c>
      <c r="X1456" s="6">
        <f t="shared" si="86"/>
        <v>0</v>
      </c>
      <c r="Y1456" s="1">
        <f t="shared" si="92"/>
        <v>1</v>
      </c>
      <c r="Z1456" s="1">
        <f>IF(COUNTIF($Y$6:Y1456,Y1456)=1,Y1456,Y1456+COUNTIF($Y$5:Y1455,Y1456))</f>
        <v>451</v>
      </c>
      <c r="AD1456" s="1" t="str">
        <f t="shared" si="93"/>
        <v/>
      </c>
      <c r="BA1456" s="1">
        <f>IF(W1456&lt;=Leltar_iv!$Y$1,I1456,0)</f>
        <v>0</v>
      </c>
    </row>
    <row r="1457" spans="1:53" s="1" customFormat="1" x14ac:dyDescent="0.25">
      <c r="A1457" s="18">
        <f>IF(COUNTIF($Y$6:Y1457,Y1457)=1,Y1457,Y1457+COUNTIF($Y$5:Y1456,Y1457))</f>
        <v>452</v>
      </c>
      <c r="B1457" s="1">
        <f>IF(AND(Kisero_iv!$N$2=C1457,Kisero_iv!$K$5=$B$3,SUM(I1457:L1461)&lt;&gt;0,$B$4=YEAR(W1457)),B1456+1,0)</f>
        <v>0</v>
      </c>
      <c r="C1457" s="1">
        <f t="shared" si="87"/>
        <v>452</v>
      </c>
      <c r="D1457" s="102" t="str">
        <f t="shared" si="88"/>
        <v/>
      </c>
      <c r="E1457" s="44"/>
      <c r="F1457" s="45"/>
      <c r="G1457" s="45"/>
      <c r="H1457" s="45"/>
      <c r="I1457" s="46"/>
      <c r="J1457" s="111" t="str">
        <f>IF(AND(G1457&lt;&gt;"",ISERROR(VLOOKUP(G1457,Keszlet!$C$5:$H$200,6,FALSE))=FALSE),VLOOKUP(G1457,Keszlet!$C$5:$H$200,6,FALSE),"")</f>
        <v/>
      </c>
      <c r="K1457" s="106" t="str">
        <f>IF(AND(G1457&lt;&gt;"",ISERROR(VLOOKUP(G1457,Keszlet!$C$5:$G$200,5,FALSE))=FALSE),VLOOKUP(G1457,Keszlet!$C$5:$G$200,5,FALSE),"")</f>
        <v/>
      </c>
      <c r="L1457" s="106" t="str">
        <f t="shared" si="89"/>
        <v/>
      </c>
      <c r="M1457" s="115" t="str">
        <f>IF(ISERROR(VLOOKUP(G1457,Keszlet!$C$5:$I$200,7,FALSE))=TRUE,"",IF(AND(J1456&lt;&gt;"",J1458=""),VLOOKUP(G1457,Keszlet!$C$5:$I$200,7,FALSE),""))</f>
        <v/>
      </c>
      <c r="Q1457" s="1">
        <f>VLOOKUP(G1457,Keszlet!$C$5:$E$205,3,FALSE)</f>
        <v>0</v>
      </c>
      <c r="T1457" s="1" t="str">
        <f t="shared" si="90"/>
        <v/>
      </c>
      <c r="U1457" s="1">
        <f t="shared" si="91"/>
        <v>0</v>
      </c>
      <c r="W1457" s="6">
        <f t="shared" ref="W1457:W1520" si="94">IF(E1457&lt;&gt;0,E1457,W1456)</f>
        <v>0</v>
      </c>
      <c r="X1457" s="6">
        <f t="shared" si="86"/>
        <v>0</v>
      </c>
      <c r="Y1457" s="1">
        <f t="shared" si="92"/>
        <v>1</v>
      </c>
      <c r="Z1457" s="1">
        <f>IF(COUNTIF($Y$6:Y1457,Y1457)=1,Y1457,Y1457+COUNTIF($Y$5:Y1456,Y1457))</f>
        <v>452</v>
      </c>
      <c r="AD1457" s="1" t="str">
        <f t="shared" si="93"/>
        <v/>
      </c>
      <c r="BA1457" s="1">
        <f>IF(W1457&lt;=Leltar_iv!$Y$1,I1457,0)</f>
        <v>0</v>
      </c>
    </row>
    <row r="1458" spans="1:53" s="1" customFormat="1" x14ac:dyDescent="0.25">
      <c r="A1458" s="18">
        <f>IF(COUNTIF($Y$6:Y1458,Y1458)=1,Y1458,Y1458+COUNTIF($Y$5:Y1457,Y1458))</f>
        <v>453</v>
      </c>
      <c r="B1458" s="1">
        <f>IF(AND(Kisero_iv!$N$2=C1458,Kisero_iv!$K$5=$B$3,SUM(I1458:L1462)&lt;&gt;0,$B$4=YEAR(W1458)),B1457+1,0)</f>
        <v>0</v>
      </c>
      <c r="C1458" s="1">
        <f t="shared" si="87"/>
        <v>453</v>
      </c>
      <c r="D1458" s="102" t="str">
        <f t="shared" si="88"/>
        <v/>
      </c>
      <c r="E1458" s="44"/>
      <c r="F1458" s="45"/>
      <c r="G1458" s="45"/>
      <c r="H1458" s="45"/>
      <c r="I1458" s="46"/>
      <c r="J1458" s="111" t="str">
        <f>IF(AND(G1458&lt;&gt;"",ISERROR(VLOOKUP(G1458,Keszlet!$C$5:$H$200,6,FALSE))=FALSE),VLOOKUP(G1458,Keszlet!$C$5:$H$200,6,FALSE),"")</f>
        <v/>
      </c>
      <c r="K1458" s="106" t="str">
        <f>IF(AND(G1458&lt;&gt;"",ISERROR(VLOOKUP(G1458,Keszlet!$C$5:$G$200,5,FALSE))=FALSE),VLOOKUP(G1458,Keszlet!$C$5:$G$200,5,FALSE),"")</f>
        <v/>
      </c>
      <c r="L1458" s="106" t="str">
        <f t="shared" si="89"/>
        <v/>
      </c>
      <c r="M1458" s="115" t="str">
        <f>IF(ISERROR(VLOOKUP(G1458,Keszlet!$C$5:$I$200,7,FALSE))=TRUE,"",IF(AND(J1457&lt;&gt;"",J1459=""),VLOOKUP(G1458,Keszlet!$C$5:$I$200,7,FALSE),""))</f>
        <v/>
      </c>
      <c r="Q1458" s="1">
        <f>VLOOKUP(G1458,Keszlet!$C$5:$E$205,3,FALSE)</f>
        <v>0</v>
      </c>
      <c r="T1458" s="1" t="str">
        <f t="shared" si="90"/>
        <v/>
      </c>
      <c r="U1458" s="1">
        <f t="shared" si="91"/>
        <v>0</v>
      </c>
      <c r="W1458" s="6">
        <f t="shared" si="94"/>
        <v>0</v>
      </c>
      <c r="X1458" s="6">
        <f t="shared" si="86"/>
        <v>0</v>
      </c>
      <c r="Y1458" s="1">
        <f t="shared" si="92"/>
        <v>1</v>
      </c>
      <c r="Z1458" s="1">
        <f>IF(COUNTIF($Y$6:Y1458,Y1458)=1,Y1458,Y1458+COUNTIF($Y$5:Y1457,Y1458))</f>
        <v>453</v>
      </c>
      <c r="AD1458" s="1" t="str">
        <f t="shared" si="93"/>
        <v/>
      </c>
      <c r="BA1458" s="1">
        <f>IF(W1458&lt;=Leltar_iv!$Y$1,I1458,0)</f>
        <v>0</v>
      </c>
    </row>
    <row r="1459" spans="1:53" s="1" customFormat="1" x14ac:dyDescent="0.25">
      <c r="A1459" s="18">
        <f>IF(COUNTIF($Y$6:Y1459,Y1459)=1,Y1459,Y1459+COUNTIF($Y$5:Y1458,Y1459))</f>
        <v>454</v>
      </c>
      <c r="B1459" s="1">
        <f>IF(AND(Kisero_iv!$N$2=C1459,Kisero_iv!$K$5=$B$3,SUM(I1459:L1463)&lt;&gt;0,$B$4=YEAR(W1459)),B1458+1,0)</f>
        <v>0</v>
      </c>
      <c r="C1459" s="1">
        <f t="shared" si="87"/>
        <v>454</v>
      </c>
      <c r="D1459" s="102" t="str">
        <f t="shared" si="88"/>
        <v/>
      </c>
      <c r="E1459" s="44"/>
      <c r="F1459" s="45"/>
      <c r="G1459" s="45"/>
      <c r="H1459" s="45"/>
      <c r="I1459" s="46"/>
      <c r="J1459" s="111" t="str">
        <f>IF(AND(G1459&lt;&gt;"",ISERROR(VLOOKUP(G1459,Keszlet!$C$5:$H$200,6,FALSE))=FALSE),VLOOKUP(G1459,Keszlet!$C$5:$H$200,6,FALSE),"")</f>
        <v/>
      </c>
      <c r="K1459" s="106" t="str">
        <f>IF(AND(G1459&lt;&gt;"",ISERROR(VLOOKUP(G1459,Keszlet!$C$5:$G$200,5,FALSE))=FALSE),VLOOKUP(G1459,Keszlet!$C$5:$G$200,5,FALSE),"")</f>
        <v/>
      </c>
      <c r="L1459" s="106" t="str">
        <f t="shared" si="89"/>
        <v/>
      </c>
      <c r="M1459" s="115" t="str">
        <f>IF(ISERROR(VLOOKUP(G1459,Keszlet!$C$5:$I$200,7,FALSE))=TRUE,"",IF(AND(J1458&lt;&gt;"",J1460=""),VLOOKUP(G1459,Keszlet!$C$5:$I$200,7,FALSE),""))</f>
        <v/>
      </c>
      <c r="Q1459" s="1">
        <f>VLOOKUP(G1459,Keszlet!$C$5:$E$205,3,FALSE)</f>
        <v>0</v>
      </c>
      <c r="T1459" s="1" t="str">
        <f t="shared" si="90"/>
        <v/>
      </c>
      <c r="U1459" s="1">
        <f t="shared" si="91"/>
        <v>0</v>
      </c>
      <c r="W1459" s="6">
        <f t="shared" si="94"/>
        <v>0</v>
      </c>
      <c r="X1459" s="6">
        <f t="shared" si="86"/>
        <v>0</v>
      </c>
      <c r="Y1459" s="1">
        <f t="shared" si="92"/>
        <v>1</v>
      </c>
      <c r="Z1459" s="1">
        <f>IF(COUNTIF($Y$6:Y1459,Y1459)=1,Y1459,Y1459+COUNTIF($Y$5:Y1458,Y1459))</f>
        <v>454</v>
      </c>
      <c r="AD1459" s="1" t="str">
        <f t="shared" si="93"/>
        <v/>
      </c>
      <c r="BA1459" s="1">
        <f>IF(W1459&lt;=Leltar_iv!$Y$1,I1459,0)</f>
        <v>0</v>
      </c>
    </row>
    <row r="1460" spans="1:53" s="1" customFormat="1" x14ac:dyDescent="0.25">
      <c r="A1460" s="18">
        <f>IF(COUNTIF($Y$6:Y1460,Y1460)=1,Y1460,Y1460+COUNTIF($Y$5:Y1459,Y1460))</f>
        <v>455</v>
      </c>
      <c r="B1460" s="1">
        <f>IF(AND(Kisero_iv!$N$2=C1460,Kisero_iv!$K$5=$B$3,SUM(I1460:L1464)&lt;&gt;0,$B$4=YEAR(W1460)),B1459+1,0)</f>
        <v>0</v>
      </c>
      <c r="C1460" s="1">
        <f t="shared" si="87"/>
        <v>455</v>
      </c>
      <c r="D1460" s="102" t="str">
        <f t="shared" si="88"/>
        <v/>
      </c>
      <c r="E1460" s="44"/>
      <c r="F1460" s="45"/>
      <c r="G1460" s="45"/>
      <c r="H1460" s="45"/>
      <c r="I1460" s="46"/>
      <c r="J1460" s="111" t="str">
        <f>IF(AND(G1460&lt;&gt;"",ISERROR(VLOOKUP(G1460,Keszlet!$C$5:$H$200,6,FALSE))=FALSE),VLOOKUP(G1460,Keszlet!$C$5:$H$200,6,FALSE),"")</f>
        <v/>
      </c>
      <c r="K1460" s="106" t="str">
        <f>IF(AND(G1460&lt;&gt;"",ISERROR(VLOOKUP(G1460,Keszlet!$C$5:$G$200,5,FALSE))=FALSE),VLOOKUP(G1460,Keszlet!$C$5:$G$200,5,FALSE),"")</f>
        <v/>
      </c>
      <c r="L1460" s="106" t="str">
        <f t="shared" si="89"/>
        <v/>
      </c>
      <c r="M1460" s="115" t="str">
        <f>IF(ISERROR(VLOOKUP(G1460,Keszlet!$C$5:$I$200,7,FALSE))=TRUE,"",IF(AND(J1459&lt;&gt;"",J1461=""),VLOOKUP(G1460,Keszlet!$C$5:$I$200,7,FALSE),""))</f>
        <v/>
      </c>
      <c r="Q1460" s="1">
        <f>VLOOKUP(G1460,Keszlet!$C$5:$E$205,3,FALSE)</f>
        <v>0</v>
      </c>
      <c r="T1460" s="1" t="str">
        <f t="shared" si="90"/>
        <v/>
      </c>
      <c r="U1460" s="1">
        <f t="shared" si="91"/>
        <v>0</v>
      </c>
      <c r="W1460" s="6">
        <f t="shared" si="94"/>
        <v>0</v>
      </c>
      <c r="X1460" s="6">
        <f t="shared" si="86"/>
        <v>0</v>
      </c>
      <c r="Y1460" s="1">
        <f t="shared" si="92"/>
        <v>1</v>
      </c>
      <c r="Z1460" s="1">
        <f>IF(COUNTIF($Y$6:Y1460,Y1460)=1,Y1460,Y1460+COUNTIF($Y$5:Y1459,Y1460))</f>
        <v>455</v>
      </c>
      <c r="AD1460" s="1" t="str">
        <f t="shared" si="93"/>
        <v/>
      </c>
      <c r="BA1460" s="1">
        <f>IF(W1460&lt;=Leltar_iv!$Y$1,I1460,0)</f>
        <v>0</v>
      </c>
    </row>
    <row r="1461" spans="1:53" s="1" customFormat="1" x14ac:dyDescent="0.25">
      <c r="A1461" s="18">
        <f>IF(COUNTIF($Y$6:Y1461,Y1461)=1,Y1461,Y1461+COUNTIF($Y$5:Y1460,Y1461))</f>
        <v>456</v>
      </c>
      <c r="B1461" s="1">
        <f>IF(AND(Kisero_iv!$N$2=C1461,Kisero_iv!$K$5=$B$3,SUM(I1461:L1465)&lt;&gt;0,$B$4=YEAR(W1461)),B1460+1,0)</f>
        <v>0</v>
      </c>
      <c r="C1461" s="1">
        <f t="shared" si="87"/>
        <v>456</v>
      </c>
      <c r="D1461" s="102" t="str">
        <f t="shared" si="88"/>
        <v/>
      </c>
      <c r="E1461" s="44"/>
      <c r="F1461" s="45"/>
      <c r="G1461" s="45"/>
      <c r="H1461" s="45"/>
      <c r="I1461" s="46"/>
      <c r="J1461" s="111" t="str">
        <f>IF(AND(G1461&lt;&gt;"",ISERROR(VLOOKUP(G1461,Keszlet!$C$5:$H$200,6,FALSE))=FALSE),VLOOKUP(G1461,Keszlet!$C$5:$H$200,6,FALSE),"")</f>
        <v/>
      </c>
      <c r="K1461" s="106" t="str">
        <f>IF(AND(G1461&lt;&gt;"",ISERROR(VLOOKUP(G1461,Keszlet!$C$5:$G$200,5,FALSE))=FALSE),VLOOKUP(G1461,Keszlet!$C$5:$G$200,5,FALSE),"")</f>
        <v/>
      </c>
      <c r="L1461" s="106" t="str">
        <f t="shared" si="89"/>
        <v/>
      </c>
      <c r="M1461" s="115" t="str">
        <f>IF(ISERROR(VLOOKUP(G1461,Keszlet!$C$5:$I$200,7,FALSE))=TRUE,"",IF(AND(J1460&lt;&gt;"",J1462=""),VLOOKUP(G1461,Keszlet!$C$5:$I$200,7,FALSE),""))</f>
        <v/>
      </c>
      <c r="Q1461" s="1">
        <f>VLOOKUP(G1461,Keszlet!$C$5:$E$205,3,FALSE)</f>
        <v>0</v>
      </c>
      <c r="T1461" s="1" t="str">
        <f t="shared" si="90"/>
        <v/>
      </c>
      <c r="U1461" s="1">
        <f t="shared" si="91"/>
        <v>0</v>
      </c>
      <c r="W1461" s="6">
        <f t="shared" si="94"/>
        <v>0</v>
      </c>
      <c r="X1461" s="6">
        <f t="shared" si="86"/>
        <v>0</v>
      </c>
      <c r="Y1461" s="1">
        <f t="shared" si="92"/>
        <v>1</v>
      </c>
      <c r="Z1461" s="1">
        <f>IF(COUNTIF($Y$6:Y1461,Y1461)=1,Y1461,Y1461+COUNTIF($Y$5:Y1460,Y1461))</f>
        <v>456</v>
      </c>
      <c r="AD1461" s="1" t="str">
        <f t="shared" si="93"/>
        <v/>
      </c>
      <c r="BA1461" s="1">
        <f>IF(W1461&lt;=Leltar_iv!$Y$1,I1461,0)</f>
        <v>0</v>
      </c>
    </row>
    <row r="1462" spans="1:53" s="1" customFormat="1" x14ac:dyDescent="0.25">
      <c r="A1462" s="18">
        <f>IF(COUNTIF($Y$6:Y1462,Y1462)=1,Y1462,Y1462+COUNTIF($Y$5:Y1461,Y1462))</f>
        <v>457</v>
      </c>
      <c r="B1462" s="1">
        <f>IF(AND(Kisero_iv!$N$2=C1462,Kisero_iv!$K$5=$B$3,SUM(I1462:L1466)&lt;&gt;0,$B$4=YEAR(W1462)),B1461+1,0)</f>
        <v>0</v>
      </c>
      <c r="C1462" s="1">
        <f t="shared" si="87"/>
        <v>457</v>
      </c>
      <c r="D1462" s="102" t="str">
        <f t="shared" si="88"/>
        <v/>
      </c>
      <c r="E1462" s="44"/>
      <c r="F1462" s="45"/>
      <c r="G1462" s="45"/>
      <c r="H1462" s="45"/>
      <c r="I1462" s="46"/>
      <c r="J1462" s="111" t="str">
        <f>IF(AND(G1462&lt;&gt;"",ISERROR(VLOOKUP(G1462,Keszlet!$C$5:$H$200,6,FALSE))=FALSE),VLOOKUP(G1462,Keszlet!$C$5:$H$200,6,FALSE),"")</f>
        <v/>
      </c>
      <c r="K1462" s="106" t="str">
        <f>IF(AND(G1462&lt;&gt;"",ISERROR(VLOOKUP(G1462,Keszlet!$C$5:$G$200,5,FALSE))=FALSE),VLOOKUP(G1462,Keszlet!$C$5:$G$200,5,FALSE),"")</f>
        <v/>
      </c>
      <c r="L1462" s="106" t="str">
        <f t="shared" si="89"/>
        <v/>
      </c>
      <c r="M1462" s="115" t="str">
        <f>IF(ISERROR(VLOOKUP(G1462,Keszlet!$C$5:$I$200,7,FALSE))=TRUE,"",IF(AND(J1461&lt;&gt;"",J1463=""),VLOOKUP(G1462,Keszlet!$C$5:$I$200,7,FALSE),""))</f>
        <v/>
      </c>
      <c r="Q1462" s="1">
        <f>VLOOKUP(G1462,Keszlet!$C$5:$E$205,3,FALSE)</f>
        <v>0</v>
      </c>
      <c r="T1462" s="1" t="str">
        <f t="shared" si="90"/>
        <v/>
      </c>
      <c r="U1462" s="1">
        <f t="shared" si="91"/>
        <v>0</v>
      </c>
      <c r="W1462" s="6">
        <f t="shared" si="94"/>
        <v>0</v>
      </c>
      <c r="X1462" s="6">
        <f t="shared" si="86"/>
        <v>0</v>
      </c>
      <c r="Y1462" s="1">
        <f t="shared" si="92"/>
        <v>1</v>
      </c>
      <c r="Z1462" s="1">
        <f>IF(COUNTIF($Y$6:Y1462,Y1462)=1,Y1462,Y1462+COUNTIF($Y$5:Y1461,Y1462))</f>
        <v>457</v>
      </c>
      <c r="AD1462" s="1" t="str">
        <f t="shared" si="93"/>
        <v/>
      </c>
      <c r="BA1462" s="1">
        <f>IF(W1462&lt;=Leltar_iv!$Y$1,I1462,0)</f>
        <v>0</v>
      </c>
    </row>
    <row r="1463" spans="1:53" s="1" customFormat="1" x14ac:dyDescent="0.25">
      <c r="A1463" s="18">
        <f>IF(COUNTIF($Y$6:Y1463,Y1463)=1,Y1463,Y1463+COUNTIF($Y$5:Y1462,Y1463))</f>
        <v>458</v>
      </c>
      <c r="B1463" s="1">
        <f>IF(AND(Kisero_iv!$N$2=C1463,Kisero_iv!$K$5=$B$3,SUM(I1463:L1467)&lt;&gt;0,$B$4=YEAR(W1463)),B1462+1,0)</f>
        <v>0</v>
      </c>
      <c r="C1463" s="1">
        <f t="shared" si="87"/>
        <v>458</v>
      </c>
      <c r="D1463" s="102" t="str">
        <f t="shared" si="88"/>
        <v/>
      </c>
      <c r="E1463" s="44"/>
      <c r="F1463" s="45"/>
      <c r="G1463" s="45"/>
      <c r="H1463" s="45"/>
      <c r="I1463" s="46"/>
      <c r="J1463" s="111" t="str">
        <f>IF(AND(G1463&lt;&gt;"",ISERROR(VLOOKUP(G1463,Keszlet!$C$5:$H$200,6,FALSE))=FALSE),VLOOKUP(G1463,Keszlet!$C$5:$H$200,6,FALSE),"")</f>
        <v/>
      </c>
      <c r="K1463" s="106" t="str">
        <f>IF(AND(G1463&lt;&gt;"",ISERROR(VLOOKUP(G1463,Keszlet!$C$5:$G$200,5,FALSE))=FALSE),VLOOKUP(G1463,Keszlet!$C$5:$G$200,5,FALSE),"")</f>
        <v/>
      </c>
      <c r="L1463" s="106" t="str">
        <f t="shared" si="89"/>
        <v/>
      </c>
      <c r="M1463" s="115" t="str">
        <f>IF(ISERROR(VLOOKUP(G1463,Keszlet!$C$5:$I$200,7,FALSE))=TRUE,"",IF(AND(J1462&lt;&gt;"",J1464=""),VLOOKUP(G1463,Keszlet!$C$5:$I$200,7,FALSE),""))</f>
        <v/>
      </c>
      <c r="Q1463" s="1">
        <f>VLOOKUP(G1463,Keszlet!$C$5:$E$205,3,FALSE)</f>
        <v>0</v>
      </c>
      <c r="T1463" s="1" t="str">
        <f t="shared" si="90"/>
        <v/>
      </c>
      <c r="U1463" s="1">
        <f t="shared" si="91"/>
        <v>0</v>
      </c>
      <c r="W1463" s="6">
        <f t="shared" si="94"/>
        <v>0</v>
      </c>
      <c r="X1463" s="6">
        <f t="shared" si="86"/>
        <v>0</v>
      </c>
      <c r="Y1463" s="1">
        <f t="shared" si="92"/>
        <v>1</v>
      </c>
      <c r="Z1463" s="1">
        <f>IF(COUNTIF($Y$6:Y1463,Y1463)=1,Y1463,Y1463+COUNTIF($Y$5:Y1462,Y1463))</f>
        <v>458</v>
      </c>
      <c r="AD1463" s="1" t="str">
        <f t="shared" si="93"/>
        <v/>
      </c>
      <c r="BA1463" s="1">
        <f>IF(W1463&lt;=Leltar_iv!$Y$1,I1463,0)</f>
        <v>0</v>
      </c>
    </row>
    <row r="1464" spans="1:53" s="1" customFormat="1" x14ac:dyDescent="0.25">
      <c r="A1464" s="18">
        <f>IF(COUNTIF($Y$6:Y1464,Y1464)=1,Y1464,Y1464+COUNTIF($Y$5:Y1463,Y1464))</f>
        <v>459</v>
      </c>
      <c r="B1464" s="1">
        <f>IF(AND(Kisero_iv!$N$2=C1464,Kisero_iv!$K$5=$B$3,SUM(I1464:L1468)&lt;&gt;0,$B$4=YEAR(W1464)),B1463+1,0)</f>
        <v>0</v>
      </c>
      <c r="C1464" s="1">
        <f t="shared" si="87"/>
        <v>459</v>
      </c>
      <c r="D1464" s="102" t="str">
        <f t="shared" si="88"/>
        <v/>
      </c>
      <c r="E1464" s="44"/>
      <c r="F1464" s="45"/>
      <c r="G1464" s="45"/>
      <c r="H1464" s="45"/>
      <c r="I1464" s="46"/>
      <c r="J1464" s="111" t="str">
        <f>IF(AND(G1464&lt;&gt;"",ISERROR(VLOOKUP(G1464,Keszlet!$C$5:$H$200,6,FALSE))=FALSE),VLOOKUP(G1464,Keszlet!$C$5:$H$200,6,FALSE),"")</f>
        <v/>
      </c>
      <c r="K1464" s="106" t="str">
        <f>IF(AND(G1464&lt;&gt;"",ISERROR(VLOOKUP(G1464,Keszlet!$C$5:$G$200,5,FALSE))=FALSE),VLOOKUP(G1464,Keszlet!$C$5:$G$200,5,FALSE),"")</f>
        <v/>
      </c>
      <c r="L1464" s="106" t="str">
        <f t="shared" si="89"/>
        <v/>
      </c>
      <c r="M1464" s="115" t="str">
        <f>IF(ISERROR(VLOOKUP(G1464,Keszlet!$C$5:$I$200,7,FALSE))=TRUE,"",IF(AND(J1463&lt;&gt;"",J1465=""),VLOOKUP(G1464,Keszlet!$C$5:$I$200,7,FALSE),""))</f>
        <v/>
      </c>
      <c r="Q1464" s="1">
        <f>VLOOKUP(G1464,Keszlet!$C$5:$E$205,3,FALSE)</f>
        <v>0</v>
      </c>
      <c r="T1464" s="1" t="str">
        <f t="shared" si="90"/>
        <v/>
      </c>
      <c r="U1464" s="1">
        <f t="shared" si="91"/>
        <v>0</v>
      </c>
      <c r="W1464" s="6">
        <f t="shared" si="94"/>
        <v>0</v>
      </c>
      <c r="X1464" s="6">
        <f t="shared" si="86"/>
        <v>0</v>
      </c>
      <c r="Y1464" s="1">
        <f t="shared" si="92"/>
        <v>1</v>
      </c>
      <c r="Z1464" s="1">
        <f>IF(COUNTIF($Y$6:Y1464,Y1464)=1,Y1464,Y1464+COUNTIF($Y$5:Y1463,Y1464))</f>
        <v>459</v>
      </c>
      <c r="AD1464" s="1" t="str">
        <f t="shared" si="93"/>
        <v/>
      </c>
      <c r="BA1464" s="1">
        <f>IF(W1464&lt;=Leltar_iv!$Y$1,I1464,0)</f>
        <v>0</v>
      </c>
    </row>
    <row r="1465" spans="1:53" s="1" customFormat="1" x14ac:dyDescent="0.25">
      <c r="A1465" s="18">
        <f>IF(COUNTIF($Y$6:Y1465,Y1465)=1,Y1465,Y1465+COUNTIF($Y$5:Y1464,Y1465))</f>
        <v>460</v>
      </c>
      <c r="B1465" s="1">
        <f>IF(AND(Kisero_iv!$N$2=C1465,Kisero_iv!$K$5=$B$3,SUM(I1465:L1469)&lt;&gt;0,$B$4=YEAR(W1465)),B1464+1,0)</f>
        <v>0</v>
      </c>
      <c r="C1465" s="1">
        <f t="shared" si="87"/>
        <v>460</v>
      </c>
      <c r="D1465" s="102" t="str">
        <f t="shared" si="88"/>
        <v/>
      </c>
      <c r="E1465" s="44"/>
      <c r="F1465" s="45"/>
      <c r="G1465" s="45"/>
      <c r="H1465" s="45"/>
      <c r="I1465" s="46"/>
      <c r="J1465" s="111" t="str">
        <f>IF(AND(G1465&lt;&gt;"",ISERROR(VLOOKUP(G1465,Keszlet!$C$5:$H$200,6,FALSE))=FALSE),VLOOKUP(G1465,Keszlet!$C$5:$H$200,6,FALSE),"")</f>
        <v/>
      </c>
      <c r="K1465" s="106" t="str">
        <f>IF(AND(G1465&lt;&gt;"",ISERROR(VLOOKUP(G1465,Keszlet!$C$5:$G$200,5,FALSE))=FALSE),VLOOKUP(G1465,Keszlet!$C$5:$G$200,5,FALSE),"")</f>
        <v/>
      </c>
      <c r="L1465" s="106" t="str">
        <f t="shared" si="89"/>
        <v/>
      </c>
      <c r="M1465" s="115" t="str">
        <f>IF(ISERROR(VLOOKUP(G1465,Keszlet!$C$5:$I$200,7,FALSE))=TRUE,"",IF(AND(J1464&lt;&gt;"",J1466=""),VLOOKUP(G1465,Keszlet!$C$5:$I$200,7,FALSE),""))</f>
        <v/>
      </c>
      <c r="Q1465" s="1">
        <f>VLOOKUP(G1465,Keszlet!$C$5:$E$205,3,FALSE)</f>
        <v>0</v>
      </c>
      <c r="T1465" s="1" t="str">
        <f t="shared" si="90"/>
        <v/>
      </c>
      <c r="U1465" s="1">
        <f t="shared" si="91"/>
        <v>0</v>
      </c>
      <c r="W1465" s="6">
        <f t="shared" si="94"/>
        <v>0</v>
      </c>
      <c r="X1465" s="6">
        <f t="shared" si="86"/>
        <v>0</v>
      </c>
      <c r="Y1465" s="1">
        <f t="shared" si="92"/>
        <v>1</v>
      </c>
      <c r="Z1465" s="1">
        <f>IF(COUNTIF($Y$6:Y1465,Y1465)=1,Y1465,Y1465+COUNTIF($Y$5:Y1464,Y1465))</f>
        <v>460</v>
      </c>
      <c r="AD1465" s="1" t="str">
        <f t="shared" si="93"/>
        <v/>
      </c>
      <c r="BA1465" s="1">
        <f>IF(W1465&lt;=Leltar_iv!$Y$1,I1465,0)</f>
        <v>0</v>
      </c>
    </row>
    <row r="1466" spans="1:53" s="1" customFormat="1" x14ac:dyDescent="0.25">
      <c r="A1466" s="18">
        <f>IF(COUNTIF($Y$6:Y1466,Y1466)=1,Y1466,Y1466+COUNTIF($Y$5:Y1465,Y1466))</f>
        <v>461</v>
      </c>
      <c r="B1466" s="1">
        <f>IF(AND(Kisero_iv!$N$2=C1466,Kisero_iv!$K$5=$B$3,SUM(I1466:L1470)&lt;&gt;0,$B$4=YEAR(W1466)),B1465+1,0)</f>
        <v>0</v>
      </c>
      <c r="C1466" s="1">
        <f t="shared" si="87"/>
        <v>461</v>
      </c>
      <c r="D1466" s="102" t="str">
        <f t="shared" si="88"/>
        <v/>
      </c>
      <c r="E1466" s="44"/>
      <c r="F1466" s="45"/>
      <c r="G1466" s="45"/>
      <c r="H1466" s="45"/>
      <c r="I1466" s="46"/>
      <c r="J1466" s="111" t="str">
        <f>IF(AND(G1466&lt;&gt;"",ISERROR(VLOOKUP(G1466,Keszlet!$C$5:$H$200,6,FALSE))=FALSE),VLOOKUP(G1466,Keszlet!$C$5:$H$200,6,FALSE),"")</f>
        <v/>
      </c>
      <c r="K1466" s="106" t="str">
        <f>IF(AND(G1466&lt;&gt;"",ISERROR(VLOOKUP(G1466,Keszlet!$C$5:$G$200,5,FALSE))=FALSE),VLOOKUP(G1466,Keszlet!$C$5:$G$200,5,FALSE),"")</f>
        <v/>
      </c>
      <c r="L1466" s="106" t="str">
        <f t="shared" si="89"/>
        <v/>
      </c>
      <c r="M1466" s="115" t="str">
        <f>IF(ISERROR(VLOOKUP(G1466,Keszlet!$C$5:$I$200,7,FALSE))=TRUE,"",IF(AND(J1465&lt;&gt;"",J1467=""),VLOOKUP(G1466,Keszlet!$C$5:$I$200,7,FALSE),""))</f>
        <v/>
      </c>
      <c r="Q1466" s="1">
        <f>VLOOKUP(G1466,Keszlet!$C$5:$E$205,3,FALSE)</f>
        <v>0</v>
      </c>
      <c r="T1466" s="1" t="str">
        <f t="shared" si="90"/>
        <v/>
      </c>
      <c r="U1466" s="1">
        <f t="shared" si="91"/>
        <v>0</v>
      </c>
      <c r="W1466" s="6">
        <f t="shared" si="94"/>
        <v>0</v>
      </c>
      <c r="X1466" s="6">
        <f t="shared" si="86"/>
        <v>0</v>
      </c>
      <c r="Y1466" s="1">
        <f t="shared" si="92"/>
        <v>1</v>
      </c>
      <c r="Z1466" s="1">
        <f>IF(COUNTIF($Y$6:Y1466,Y1466)=1,Y1466,Y1466+COUNTIF($Y$5:Y1465,Y1466))</f>
        <v>461</v>
      </c>
      <c r="AD1466" s="1" t="str">
        <f t="shared" si="93"/>
        <v/>
      </c>
      <c r="BA1466" s="1">
        <f>IF(W1466&lt;=Leltar_iv!$Y$1,I1466,0)</f>
        <v>0</v>
      </c>
    </row>
    <row r="1467" spans="1:53" s="1" customFormat="1" x14ac:dyDescent="0.25">
      <c r="A1467" s="18">
        <f>IF(COUNTIF($Y$6:Y1467,Y1467)=1,Y1467,Y1467+COUNTIF($Y$5:Y1466,Y1467))</f>
        <v>462</v>
      </c>
      <c r="B1467" s="1">
        <f>IF(AND(Kisero_iv!$N$2=C1467,Kisero_iv!$K$5=$B$3,SUM(I1467:L1471)&lt;&gt;0,$B$4=YEAR(W1467)),B1466+1,0)</f>
        <v>0</v>
      </c>
      <c r="C1467" s="1">
        <f t="shared" si="87"/>
        <v>462</v>
      </c>
      <c r="D1467" s="102" t="str">
        <f t="shared" si="88"/>
        <v/>
      </c>
      <c r="E1467" s="44"/>
      <c r="F1467" s="45"/>
      <c r="G1467" s="45"/>
      <c r="H1467" s="45"/>
      <c r="I1467" s="46"/>
      <c r="J1467" s="111" t="str">
        <f>IF(AND(G1467&lt;&gt;"",ISERROR(VLOOKUP(G1467,Keszlet!$C$5:$H$200,6,FALSE))=FALSE),VLOOKUP(G1467,Keszlet!$C$5:$H$200,6,FALSE),"")</f>
        <v/>
      </c>
      <c r="K1467" s="106" t="str">
        <f>IF(AND(G1467&lt;&gt;"",ISERROR(VLOOKUP(G1467,Keszlet!$C$5:$G$200,5,FALSE))=FALSE),VLOOKUP(G1467,Keszlet!$C$5:$G$200,5,FALSE),"")</f>
        <v/>
      </c>
      <c r="L1467" s="106" t="str">
        <f t="shared" si="89"/>
        <v/>
      </c>
      <c r="M1467" s="115" t="str">
        <f>IF(ISERROR(VLOOKUP(G1467,Keszlet!$C$5:$I$200,7,FALSE))=TRUE,"",IF(AND(J1466&lt;&gt;"",J1468=""),VLOOKUP(G1467,Keszlet!$C$5:$I$200,7,FALSE),""))</f>
        <v/>
      </c>
      <c r="Q1467" s="1">
        <f>VLOOKUP(G1467,Keszlet!$C$5:$E$205,3,FALSE)</f>
        <v>0</v>
      </c>
      <c r="T1467" s="1" t="str">
        <f t="shared" si="90"/>
        <v/>
      </c>
      <c r="U1467" s="1">
        <f t="shared" si="91"/>
        <v>0</v>
      </c>
      <c r="W1467" s="6">
        <f t="shared" si="94"/>
        <v>0</v>
      </c>
      <c r="X1467" s="6">
        <f t="shared" si="86"/>
        <v>0</v>
      </c>
      <c r="Y1467" s="1">
        <f t="shared" si="92"/>
        <v>1</v>
      </c>
      <c r="Z1467" s="1">
        <f>IF(COUNTIF($Y$6:Y1467,Y1467)=1,Y1467,Y1467+COUNTIF($Y$5:Y1466,Y1467))</f>
        <v>462</v>
      </c>
      <c r="AD1467" s="1" t="str">
        <f t="shared" si="93"/>
        <v/>
      </c>
      <c r="BA1467" s="1">
        <f>IF(W1467&lt;=Leltar_iv!$Y$1,I1467,0)</f>
        <v>0</v>
      </c>
    </row>
    <row r="1468" spans="1:53" s="1" customFormat="1" x14ac:dyDescent="0.25">
      <c r="A1468" s="18">
        <f>IF(COUNTIF($Y$6:Y1468,Y1468)=1,Y1468,Y1468+COUNTIF($Y$5:Y1467,Y1468))</f>
        <v>463</v>
      </c>
      <c r="B1468" s="1">
        <f>IF(AND(Kisero_iv!$N$2=C1468,Kisero_iv!$K$5=$B$3,SUM(I1468:L1472)&lt;&gt;0,$B$4=YEAR(W1468)),B1467+1,0)</f>
        <v>0</v>
      </c>
      <c r="C1468" s="1">
        <f t="shared" si="87"/>
        <v>463</v>
      </c>
      <c r="D1468" s="102" t="str">
        <f t="shared" si="88"/>
        <v/>
      </c>
      <c r="E1468" s="44"/>
      <c r="F1468" s="45"/>
      <c r="G1468" s="45"/>
      <c r="H1468" s="45"/>
      <c r="I1468" s="46"/>
      <c r="J1468" s="111" t="str">
        <f>IF(AND(G1468&lt;&gt;"",ISERROR(VLOOKUP(G1468,Keszlet!$C$5:$H$200,6,FALSE))=FALSE),VLOOKUP(G1468,Keszlet!$C$5:$H$200,6,FALSE),"")</f>
        <v/>
      </c>
      <c r="K1468" s="106" t="str">
        <f>IF(AND(G1468&lt;&gt;"",ISERROR(VLOOKUP(G1468,Keszlet!$C$5:$G$200,5,FALSE))=FALSE),VLOOKUP(G1468,Keszlet!$C$5:$G$200,5,FALSE),"")</f>
        <v/>
      </c>
      <c r="L1468" s="106" t="str">
        <f t="shared" si="89"/>
        <v/>
      </c>
      <c r="M1468" s="115" t="str">
        <f>IF(ISERROR(VLOOKUP(G1468,Keszlet!$C$5:$I$200,7,FALSE))=TRUE,"",IF(AND(J1467&lt;&gt;"",J1469=""),VLOOKUP(G1468,Keszlet!$C$5:$I$200,7,FALSE),""))</f>
        <v/>
      </c>
      <c r="Q1468" s="1">
        <f>VLOOKUP(G1468,Keszlet!$C$5:$E$205,3,FALSE)</f>
        <v>0</v>
      </c>
      <c r="T1468" s="1" t="str">
        <f t="shared" si="90"/>
        <v/>
      </c>
      <c r="U1468" s="1">
        <f t="shared" si="91"/>
        <v>0</v>
      </c>
      <c r="W1468" s="6">
        <f t="shared" si="94"/>
        <v>0</v>
      </c>
      <c r="X1468" s="6">
        <f t="shared" si="86"/>
        <v>0</v>
      </c>
      <c r="Y1468" s="1">
        <f t="shared" si="92"/>
        <v>1</v>
      </c>
      <c r="Z1468" s="1">
        <f>IF(COUNTIF($Y$6:Y1468,Y1468)=1,Y1468,Y1468+COUNTIF($Y$5:Y1467,Y1468))</f>
        <v>463</v>
      </c>
      <c r="AD1468" s="1" t="str">
        <f t="shared" si="93"/>
        <v/>
      </c>
      <c r="BA1468" s="1">
        <f>IF(W1468&lt;=Leltar_iv!$Y$1,I1468,0)</f>
        <v>0</v>
      </c>
    </row>
    <row r="1469" spans="1:53" s="1" customFormat="1" x14ac:dyDescent="0.25">
      <c r="A1469" s="18">
        <f>IF(COUNTIF($Y$6:Y1469,Y1469)=1,Y1469,Y1469+COUNTIF($Y$5:Y1468,Y1469))</f>
        <v>464</v>
      </c>
      <c r="B1469" s="1">
        <f>IF(AND(Kisero_iv!$N$2=C1469,Kisero_iv!$K$5=$B$3,SUM(I1469:L1473)&lt;&gt;0,$B$4=YEAR(W1469)),B1468+1,0)</f>
        <v>0</v>
      </c>
      <c r="C1469" s="1">
        <f t="shared" si="87"/>
        <v>464</v>
      </c>
      <c r="D1469" s="102" t="str">
        <f t="shared" si="88"/>
        <v/>
      </c>
      <c r="E1469" s="44"/>
      <c r="F1469" s="45"/>
      <c r="G1469" s="45"/>
      <c r="H1469" s="45"/>
      <c r="I1469" s="46"/>
      <c r="J1469" s="111" t="str">
        <f>IF(AND(G1469&lt;&gt;"",ISERROR(VLOOKUP(G1469,Keszlet!$C$5:$H$200,6,FALSE))=FALSE),VLOOKUP(G1469,Keszlet!$C$5:$H$200,6,FALSE),"")</f>
        <v/>
      </c>
      <c r="K1469" s="106" t="str">
        <f>IF(AND(G1469&lt;&gt;"",ISERROR(VLOOKUP(G1469,Keszlet!$C$5:$G$200,5,FALSE))=FALSE),VLOOKUP(G1469,Keszlet!$C$5:$G$200,5,FALSE),"")</f>
        <v/>
      </c>
      <c r="L1469" s="106" t="str">
        <f t="shared" si="89"/>
        <v/>
      </c>
      <c r="M1469" s="115" t="str">
        <f>IF(ISERROR(VLOOKUP(G1469,Keszlet!$C$5:$I$200,7,FALSE))=TRUE,"",IF(AND(J1468&lt;&gt;"",J1470=""),VLOOKUP(G1469,Keszlet!$C$5:$I$200,7,FALSE),""))</f>
        <v/>
      </c>
      <c r="Q1469" s="1">
        <f>VLOOKUP(G1469,Keszlet!$C$5:$E$205,3,FALSE)</f>
        <v>0</v>
      </c>
      <c r="T1469" s="1" t="str">
        <f t="shared" si="90"/>
        <v/>
      </c>
      <c r="U1469" s="1">
        <f t="shared" si="91"/>
        <v>0</v>
      </c>
      <c r="W1469" s="6">
        <f t="shared" si="94"/>
        <v>0</v>
      </c>
      <c r="X1469" s="6">
        <f t="shared" si="86"/>
        <v>0</v>
      </c>
      <c r="Y1469" s="1">
        <f t="shared" si="92"/>
        <v>1</v>
      </c>
      <c r="Z1469" s="1">
        <f>IF(COUNTIF($Y$6:Y1469,Y1469)=1,Y1469,Y1469+COUNTIF($Y$5:Y1468,Y1469))</f>
        <v>464</v>
      </c>
      <c r="AD1469" s="1" t="str">
        <f t="shared" si="93"/>
        <v/>
      </c>
      <c r="BA1469" s="1">
        <f>IF(W1469&lt;=Leltar_iv!$Y$1,I1469,0)</f>
        <v>0</v>
      </c>
    </row>
    <row r="1470" spans="1:53" s="1" customFormat="1" x14ac:dyDescent="0.25">
      <c r="A1470" s="18">
        <f>IF(COUNTIF($Y$6:Y1470,Y1470)=1,Y1470,Y1470+COUNTIF($Y$5:Y1469,Y1470))</f>
        <v>465</v>
      </c>
      <c r="B1470" s="1">
        <f>IF(AND(Kisero_iv!$N$2=C1470,Kisero_iv!$K$5=$B$3,SUM(I1470:L1474)&lt;&gt;0,$B$4=YEAR(W1470)),B1469+1,0)</f>
        <v>0</v>
      </c>
      <c r="C1470" s="1">
        <f t="shared" si="87"/>
        <v>465</v>
      </c>
      <c r="D1470" s="102" t="str">
        <f t="shared" si="88"/>
        <v/>
      </c>
      <c r="E1470" s="44"/>
      <c r="F1470" s="45"/>
      <c r="G1470" s="45"/>
      <c r="H1470" s="45"/>
      <c r="I1470" s="46"/>
      <c r="J1470" s="111" t="str">
        <f>IF(AND(G1470&lt;&gt;"",ISERROR(VLOOKUP(G1470,Keszlet!$C$5:$H$200,6,FALSE))=FALSE),VLOOKUP(G1470,Keszlet!$C$5:$H$200,6,FALSE),"")</f>
        <v/>
      </c>
      <c r="K1470" s="106" t="str">
        <f>IF(AND(G1470&lt;&gt;"",ISERROR(VLOOKUP(G1470,Keszlet!$C$5:$G$200,5,FALSE))=FALSE),VLOOKUP(G1470,Keszlet!$C$5:$G$200,5,FALSE),"")</f>
        <v/>
      </c>
      <c r="L1470" s="106" t="str">
        <f t="shared" si="89"/>
        <v/>
      </c>
      <c r="M1470" s="115" t="str">
        <f>IF(ISERROR(VLOOKUP(G1470,Keszlet!$C$5:$I$200,7,FALSE))=TRUE,"",IF(AND(J1469&lt;&gt;"",J1471=""),VLOOKUP(G1470,Keszlet!$C$5:$I$200,7,FALSE),""))</f>
        <v/>
      </c>
      <c r="Q1470" s="1">
        <f>VLOOKUP(G1470,Keszlet!$C$5:$E$205,3,FALSE)</f>
        <v>0</v>
      </c>
      <c r="T1470" s="1" t="str">
        <f t="shared" si="90"/>
        <v/>
      </c>
      <c r="U1470" s="1">
        <f t="shared" si="91"/>
        <v>0</v>
      </c>
      <c r="W1470" s="6">
        <f t="shared" si="94"/>
        <v>0</v>
      </c>
      <c r="X1470" s="6">
        <f t="shared" si="86"/>
        <v>0</v>
      </c>
      <c r="Y1470" s="1">
        <f t="shared" si="92"/>
        <v>1</v>
      </c>
      <c r="Z1470" s="1">
        <f>IF(COUNTIF($Y$6:Y1470,Y1470)=1,Y1470,Y1470+COUNTIF($Y$5:Y1469,Y1470))</f>
        <v>465</v>
      </c>
      <c r="AD1470" s="1" t="str">
        <f t="shared" si="93"/>
        <v/>
      </c>
      <c r="BA1470" s="1">
        <f>IF(W1470&lt;=Leltar_iv!$Y$1,I1470,0)</f>
        <v>0</v>
      </c>
    </row>
    <row r="1471" spans="1:53" s="1" customFormat="1" x14ac:dyDescent="0.25">
      <c r="A1471" s="18">
        <f>IF(COUNTIF($Y$6:Y1471,Y1471)=1,Y1471,Y1471+COUNTIF($Y$5:Y1470,Y1471))</f>
        <v>466</v>
      </c>
      <c r="B1471" s="1">
        <f>IF(AND(Kisero_iv!$N$2=C1471,Kisero_iv!$K$5=$B$3,SUM(I1471:L1475)&lt;&gt;0,$B$4=YEAR(W1471)),B1470+1,0)</f>
        <v>0</v>
      </c>
      <c r="C1471" s="1">
        <f t="shared" si="87"/>
        <v>466</v>
      </c>
      <c r="D1471" s="102" t="str">
        <f t="shared" si="88"/>
        <v/>
      </c>
      <c r="E1471" s="44"/>
      <c r="F1471" s="45"/>
      <c r="G1471" s="45"/>
      <c r="H1471" s="45"/>
      <c r="I1471" s="46"/>
      <c r="J1471" s="111" t="str">
        <f>IF(AND(G1471&lt;&gt;"",ISERROR(VLOOKUP(G1471,Keszlet!$C$5:$H$200,6,FALSE))=FALSE),VLOOKUP(G1471,Keszlet!$C$5:$H$200,6,FALSE),"")</f>
        <v/>
      </c>
      <c r="K1471" s="106" t="str">
        <f>IF(AND(G1471&lt;&gt;"",ISERROR(VLOOKUP(G1471,Keszlet!$C$5:$G$200,5,FALSE))=FALSE),VLOOKUP(G1471,Keszlet!$C$5:$G$200,5,FALSE),"")</f>
        <v/>
      </c>
      <c r="L1471" s="106" t="str">
        <f t="shared" si="89"/>
        <v/>
      </c>
      <c r="M1471" s="115" t="str">
        <f>IF(ISERROR(VLOOKUP(G1471,Keszlet!$C$5:$I$200,7,FALSE))=TRUE,"",IF(AND(J1470&lt;&gt;"",J1472=""),VLOOKUP(G1471,Keszlet!$C$5:$I$200,7,FALSE),""))</f>
        <v/>
      </c>
      <c r="Q1471" s="1">
        <f>VLOOKUP(G1471,Keszlet!$C$5:$E$205,3,FALSE)</f>
        <v>0</v>
      </c>
      <c r="T1471" s="1" t="str">
        <f t="shared" si="90"/>
        <v/>
      </c>
      <c r="U1471" s="1">
        <f t="shared" si="91"/>
        <v>0</v>
      </c>
      <c r="W1471" s="6">
        <f t="shared" si="94"/>
        <v>0</v>
      </c>
      <c r="X1471" s="6">
        <f t="shared" si="86"/>
        <v>0</v>
      </c>
      <c r="Y1471" s="1">
        <f t="shared" si="92"/>
        <v>1</v>
      </c>
      <c r="Z1471" s="1">
        <f>IF(COUNTIF($Y$6:Y1471,Y1471)=1,Y1471,Y1471+COUNTIF($Y$5:Y1470,Y1471))</f>
        <v>466</v>
      </c>
      <c r="AD1471" s="1" t="str">
        <f t="shared" si="93"/>
        <v/>
      </c>
      <c r="BA1471" s="1">
        <f>IF(W1471&lt;=Leltar_iv!$Y$1,I1471,0)</f>
        <v>0</v>
      </c>
    </row>
    <row r="1472" spans="1:53" s="1" customFormat="1" x14ac:dyDescent="0.25">
      <c r="A1472" s="18">
        <f>IF(COUNTIF($Y$6:Y1472,Y1472)=1,Y1472,Y1472+COUNTIF($Y$5:Y1471,Y1472))</f>
        <v>467</v>
      </c>
      <c r="B1472" s="1">
        <f>IF(AND(Kisero_iv!$N$2=C1472,Kisero_iv!$K$5=$B$3,SUM(I1472:L1476)&lt;&gt;0,$B$4=YEAR(W1472)),B1471+1,0)</f>
        <v>0</v>
      </c>
      <c r="C1472" s="1">
        <f t="shared" si="87"/>
        <v>467</v>
      </c>
      <c r="D1472" s="102" t="str">
        <f t="shared" si="88"/>
        <v/>
      </c>
      <c r="E1472" s="44"/>
      <c r="F1472" s="45"/>
      <c r="G1472" s="45"/>
      <c r="H1472" s="45"/>
      <c r="I1472" s="46"/>
      <c r="J1472" s="111" t="str">
        <f>IF(AND(G1472&lt;&gt;"",ISERROR(VLOOKUP(G1472,Keszlet!$C$5:$H$200,6,FALSE))=FALSE),VLOOKUP(G1472,Keszlet!$C$5:$H$200,6,FALSE),"")</f>
        <v/>
      </c>
      <c r="K1472" s="106" t="str">
        <f>IF(AND(G1472&lt;&gt;"",ISERROR(VLOOKUP(G1472,Keszlet!$C$5:$G$200,5,FALSE))=FALSE),VLOOKUP(G1472,Keszlet!$C$5:$G$200,5,FALSE),"")</f>
        <v/>
      </c>
      <c r="L1472" s="106" t="str">
        <f t="shared" si="89"/>
        <v/>
      </c>
      <c r="M1472" s="115" t="str">
        <f>IF(ISERROR(VLOOKUP(G1472,Keszlet!$C$5:$I$200,7,FALSE))=TRUE,"",IF(AND(J1471&lt;&gt;"",J1473=""),VLOOKUP(G1472,Keszlet!$C$5:$I$200,7,FALSE),""))</f>
        <v/>
      </c>
      <c r="Q1472" s="1">
        <f>VLOOKUP(G1472,Keszlet!$C$5:$E$205,3,FALSE)</f>
        <v>0</v>
      </c>
      <c r="T1472" s="1" t="str">
        <f t="shared" si="90"/>
        <v/>
      </c>
      <c r="U1472" s="1">
        <f t="shared" si="91"/>
        <v>0</v>
      </c>
      <c r="W1472" s="6">
        <f t="shared" si="94"/>
        <v>0</v>
      </c>
      <c r="X1472" s="6">
        <f t="shared" si="86"/>
        <v>0</v>
      </c>
      <c r="Y1472" s="1">
        <f t="shared" si="92"/>
        <v>1</v>
      </c>
      <c r="Z1472" s="1">
        <f>IF(COUNTIF($Y$6:Y1472,Y1472)=1,Y1472,Y1472+COUNTIF($Y$5:Y1471,Y1472))</f>
        <v>467</v>
      </c>
      <c r="AD1472" s="1" t="str">
        <f t="shared" si="93"/>
        <v/>
      </c>
      <c r="BA1472" s="1">
        <f>IF(W1472&lt;=Leltar_iv!$Y$1,I1472,0)</f>
        <v>0</v>
      </c>
    </row>
    <row r="1473" spans="1:53" s="1" customFormat="1" x14ac:dyDescent="0.25">
      <c r="A1473" s="18">
        <f>IF(COUNTIF($Y$6:Y1473,Y1473)=1,Y1473,Y1473+COUNTIF($Y$5:Y1472,Y1473))</f>
        <v>468</v>
      </c>
      <c r="B1473" s="1">
        <f>IF(AND(Kisero_iv!$N$2=C1473,Kisero_iv!$K$5=$B$3,SUM(I1473:L1477)&lt;&gt;0,$B$4=YEAR(W1473)),B1472+1,0)</f>
        <v>0</v>
      </c>
      <c r="C1473" s="1">
        <f t="shared" si="87"/>
        <v>468</v>
      </c>
      <c r="D1473" s="102" t="str">
        <f t="shared" si="88"/>
        <v/>
      </c>
      <c r="E1473" s="44"/>
      <c r="F1473" s="45"/>
      <c r="G1473" s="45"/>
      <c r="H1473" s="45"/>
      <c r="I1473" s="46"/>
      <c r="J1473" s="111" t="str">
        <f>IF(AND(G1473&lt;&gt;"",ISERROR(VLOOKUP(G1473,Keszlet!$C$5:$H$200,6,FALSE))=FALSE),VLOOKUP(G1473,Keszlet!$C$5:$H$200,6,FALSE),"")</f>
        <v/>
      </c>
      <c r="K1473" s="106" t="str">
        <f>IF(AND(G1473&lt;&gt;"",ISERROR(VLOOKUP(G1473,Keszlet!$C$5:$G$200,5,FALSE))=FALSE),VLOOKUP(G1473,Keszlet!$C$5:$G$200,5,FALSE),"")</f>
        <v/>
      </c>
      <c r="L1473" s="106" t="str">
        <f t="shared" si="89"/>
        <v/>
      </c>
      <c r="M1473" s="115" t="str">
        <f>IF(ISERROR(VLOOKUP(G1473,Keszlet!$C$5:$I$200,7,FALSE))=TRUE,"",IF(AND(J1472&lt;&gt;"",J1474=""),VLOOKUP(G1473,Keszlet!$C$5:$I$200,7,FALSE),""))</f>
        <v/>
      </c>
      <c r="Q1473" s="1">
        <f>VLOOKUP(G1473,Keszlet!$C$5:$E$205,3,FALSE)</f>
        <v>0</v>
      </c>
      <c r="T1473" s="1" t="str">
        <f t="shared" si="90"/>
        <v/>
      </c>
      <c r="U1473" s="1">
        <f t="shared" si="91"/>
        <v>0</v>
      </c>
      <c r="W1473" s="6">
        <f t="shared" si="94"/>
        <v>0</v>
      </c>
      <c r="X1473" s="6">
        <f t="shared" si="86"/>
        <v>0</v>
      </c>
      <c r="Y1473" s="1">
        <f t="shared" si="92"/>
        <v>1</v>
      </c>
      <c r="Z1473" s="1">
        <f>IF(COUNTIF($Y$6:Y1473,Y1473)=1,Y1473,Y1473+COUNTIF($Y$5:Y1472,Y1473))</f>
        <v>468</v>
      </c>
      <c r="AD1473" s="1" t="str">
        <f t="shared" si="93"/>
        <v/>
      </c>
      <c r="BA1473" s="1">
        <f>IF(W1473&lt;=Leltar_iv!$Y$1,I1473,0)</f>
        <v>0</v>
      </c>
    </row>
    <row r="1474" spans="1:53" s="1" customFormat="1" x14ac:dyDescent="0.25">
      <c r="A1474" s="18">
        <f>IF(COUNTIF($Y$6:Y1474,Y1474)=1,Y1474,Y1474+COUNTIF($Y$5:Y1473,Y1474))</f>
        <v>469</v>
      </c>
      <c r="B1474" s="1">
        <f>IF(AND(Kisero_iv!$N$2=C1474,Kisero_iv!$K$5=$B$3,SUM(I1474:L1478)&lt;&gt;0,$B$4=YEAR(W1474)),B1473+1,0)</f>
        <v>0</v>
      </c>
      <c r="C1474" s="1">
        <f t="shared" si="87"/>
        <v>469</v>
      </c>
      <c r="D1474" s="102" t="str">
        <f t="shared" si="88"/>
        <v/>
      </c>
      <c r="E1474" s="44"/>
      <c r="F1474" s="45"/>
      <c r="G1474" s="45"/>
      <c r="H1474" s="45"/>
      <c r="I1474" s="46"/>
      <c r="J1474" s="111" t="str">
        <f>IF(AND(G1474&lt;&gt;"",ISERROR(VLOOKUP(G1474,Keszlet!$C$5:$H$200,6,FALSE))=FALSE),VLOOKUP(G1474,Keszlet!$C$5:$H$200,6,FALSE),"")</f>
        <v/>
      </c>
      <c r="K1474" s="106" t="str">
        <f>IF(AND(G1474&lt;&gt;"",ISERROR(VLOOKUP(G1474,Keszlet!$C$5:$G$200,5,FALSE))=FALSE),VLOOKUP(G1474,Keszlet!$C$5:$G$200,5,FALSE),"")</f>
        <v/>
      </c>
      <c r="L1474" s="106" t="str">
        <f t="shared" si="89"/>
        <v/>
      </c>
      <c r="M1474" s="115" t="str">
        <f>IF(ISERROR(VLOOKUP(G1474,Keszlet!$C$5:$I$200,7,FALSE))=TRUE,"",IF(AND(J1473&lt;&gt;"",J1475=""),VLOOKUP(G1474,Keszlet!$C$5:$I$200,7,FALSE),""))</f>
        <v/>
      </c>
      <c r="Q1474" s="1">
        <f>VLOOKUP(G1474,Keszlet!$C$5:$E$205,3,FALSE)</f>
        <v>0</v>
      </c>
      <c r="T1474" s="1" t="str">
        <f t="shared" si="90"/>
        <v/>
      </c>
      <c r="U1474" s="1">
        <f t="shared" si="91"/>
        <v>0</v>
      </c>
      <c r="W1474" s="6">
        <f t="shared" si="94"/>
        <v>0</v>
      </c>
      <c r="X1474" s="6">
        <f t="shared" si="86"/>
        <v>0</v>
      </c>
      <c r="Y1474" s="1">
        <f t="shared" si="92"/>
        <v>1</v>
      </c>
      <c r="Z1474" s="1">
        <f>IF(COUNTIF($Y$6:Y1474,Y1474)=1,Y1474,Y1474+COUNTIF($Y$5:Y1473,Y1474))</f>
        <v>469</v>
      </c>
      <c r="AD1474" s="1" t="str">
        <f t="shared" si="93"/>
        <v/>
      </c>
      <c r="BA1474" s="1">
        <f>IF(W1474&lt;=Leltar_iv!$Y$1,I1474,0)</f>
        <v>0</v>
      </c>
    </row>
    <row r="1475" spans="1:53" s="1" customFormat="1" x14ac:dyDescent="0.25">
      <c r="A1475" s="18">
        <f>IF(COUNTIF($Y$6:Y1475,Y1475)=1,Y1475,Y1475+COUNTIF($Y$5:Y1474,Y1475))</f>
        <v>470</v>
      </c>
      <c r="B1475" s="1">
        <f>IF(AND(Kisero_iv!$N$2=C1475,Kisero_iv!$K$5=$B$3,SUM(I1475:L1479)&lt;&gt;0,$B$4=YEAR(W1475)),B1474+1,0)</f>
        <v>0</v>
      </c>
      <c r="C1475" s="1">
        <f t="shared" si="87"/>
        <v>470</v>
      </c>
      <c r="D1475" s="102" t="str">
        <f t="shared" si="88"/>
        <v/>
      </c>
      <c r="E1475" s="44"/>
      <c r="F1475" s="45"/>
      <c r="G1475" s="45"/>
      <c r="H1475" s="45"/>
      <c r="I1475" s="46"/>
      <c r="J1475" s="111" t="str">
        <f>IF(AND(G1475&lt;&gt;"",ISERROR(VLOOKUP(G1475,Keszlet!$C$5:$H$200,6,FALSE))=FALSE),VLOOKUP(G1475,Keszlet!$C$5:$H$200,6,FALSE),"")</f>
        <v/>
      </c>
      <c r="K1475" s="106" t="str">
        <f>IF(AND(G1475&lt;&gt;"",ISERROR(VLOOKUP(G1475,Keszlet!$C$5:$G$200,5,FALSE))=FALSE),VLOOKUP(G1475,Keszlet!$C$5:$G$200,5,FALSE),"")</f>
        <v/>
      </c>
      <c r="L1475" s="106" t="str">
        <f t="shared" si="89"/>
        <v/>
      </c>
      <c r="M1475" s="115" t="str">
        <f>IF(ISERROR(VLOOKUP(G1475,Keszlet!$C$5:$I$200,7,FALSE))=TRUE,"",IF(AND(J1474&lt;&gt;"",J1476=""),VLOOKUP(G1475,Keszlet!$C$5:$I$200,7,FALSE),""))</f>
        <v/>
      </c>
      <c r="Q1475" s="1">
        <f>VLOOKUP(G1475,Keszlet!$C$5:$E$205,3,FALSE)</f>
        <v>0</v>
      </c>
      <c r="T1475" s="1" t="str">
        <f t="shared" si="90"/>
        <v/>
      </c>
      <c r="U1475" s="1">
        <f t="shared" si="91"/>
        <v>0</v>
      </c>
      <c r="W1475" s="6">
        <f t="shared" si="94"/>
        <v>0</v>
      </c>
      <c r="X1475" s="6">
        <f t="shared" si="86"/>
        <v>0</v>
      </c>
      <c r="Y1475" s="1">
        <f t="shared" si="92"/>
        <v>1</v>
      </c>
      <c r="Z1475" s="1">
        <f>IF(COUNTIF($Y$6:Y1475,Y1475)=1,Y1475,Y1475+COUNTIF($Y$5:Y1474,Y1475))</f>
        <v>470</v>
      </c>
      <c r="AD1475" s="1" t="str">
        <f t="shared" si="93"/>
        <v/>
      </c>
      <c r="BA1475" s="1">
        <f>IF(W1475&lt;=Leltar_iv!$Y$1,I1475,0)</f>
        <v>0</v>
      </c>
    </row>
    <row r="1476" spans="1:53" s="1" customFormat="1" x14ac:dyDescent="0.25">
      <c r="A1476" s="18">
        <f>IF(COUNTIF($Y$6:Y1476,Y1476)=1,Y1476,Y1476+COUNTIF($Y$5:Y1475,Y1476))</f>
        <v>471</v>
      </c>
      <c r="B1476" s="1">
        <f>IF(AND(Kisero_iv!$N$2=C1476,Kisero_iv!$K$5=$B$3,SUM(I1476:L1480)&lt;&gt;0,$B$4=YEAR(W1476)),B1475+1,0)</f>
        <v>0</v>
      </c>
      <c r="C1476" s="1">
        <f t="shared" si="87"/>
        <v>471</v>
      </c>
      <c r="D1476" s="102" t="str">
        <f t="shared" si="88"/>
        <v/>
      </c>
      <c r="E1476" s="44"/>
      <c r="F1476" s="45"/>
      <c r="G1476" s="45"/>
      <c r="H1476" s="45"/>
      <c r="I1476" s="46"/>
      <c r="J1476" s="111" t="str">
        <f>IF(AND(G1476&lt;&gt;"",ISERROR(VLOOKUP(G1476,Keszlet!$C$5:$H$200,6,FALSE))=FALSE),VLOOKUP(G1476,Keszlet!$C$5:$H$200,6,FALSE),"")</f>
        <v/>
      </c>
      <c r="K1476" s="106" t="str">
        <f>IF(AND(G1476&lt;&gt;"",ISERROR(VLOOKUP(G1476,Keszlet!$C$5:$G$200,5,FALSE))=FALSE),VLOOKUP(G1476,Keszlet!$C$5:$G$200,5,FALSE),"")</f>
        <v/>
      </c>
      <c r="L1476" s="106" t="str">
        <f t="shared" si="89"/>
        <v/>
      </c>
      <c r="M1476" s="115" t="str">
        <f>IF(ISERROR(VLOOKUP(G1476,Keszlet!$C$5:$I$200,7,FALSE))=TRUE,"",IF(AND(J1475&lt;&gt;"",J1477=""),VLOOKUP(G1476,Keszlet!$C$5:$I$200,7,FALSE),""))</f>
        <v/>
      </c>
      <c r="Q1476" s="1">
        <f>VLOOKUP(G1476,Keszlet!$C$5:$E$205,3,FALSE)</f>
        <v>0</v>
      </c>
      <c r="T1476" s="1" t="str">
        <f t="shared" si="90"/>
        <v/>
      </c>
      <c r="U1476" s="1">
        <f t="shared" si="91"/>
        <v>0</v>
      </c>
      <c r="W1476" s="6">
        <f t="shared" si="94"/>
        <v>0</v>
      </c>
      <c r="X1476" s="6">
        <f t="shared" si="86"/>
        <v>0</v>
      </c>
      <c r="Y1476" s="1">
        <f t="shared" si="92"/>
        <v>1</v>
      </c>
      <c r="Z1476" s="1">
        <f>IF(COUNTIF($Y$6:Y1476,Y1476)=1,Y1476,Y1476+COUNTIF($Y$5:Y1475,Y1476))</f>
        <v>471</v>
      </c>
      <c r="AD1476" s="1" t="str">
        <f t="shared" si="93"/>
        <v/>
      </c>
      <c r="BA1476" s="1">
        <f>IF(W1476&lt;=Leltar_iv!$Y$1,I1476,0)</f>
        <v>0</v>
      </c>
    </row>
    <row r="1477" spans="1:53" s="1" customFormat="1" x14ac:dyDescent="0.25">
      <c r="A1477" s="18">
        <f>IF(COUNTIF($Y$6:Y1477,Y1477)=1,Y1477,Y1477+COUNTIF($Y$5:Y1476,Y1477))</f>
        <v>472</v>
      </c>
      <c r="B1477" s="1">
        <f>IF(AND(Kisero_iv!$N$2=C1477,Kisero_iv!$K$5=$B$3,SUM(I1477:L1481)&lt;&gt;0,$B$4=YEAR(W1477)),B1476+1,0)</f>
        <v>0</v>
      </c>
      <c r="C1477" s="1">
        <f t="shared" si="87"/>
        <v>472</v>
      </c>
      <c r="D1477" s="102" t="str">
        <f t="shared" si="88"/>
        <v/>
      </c>
      <c r="E1477" s="44"/>
      <c r="F1477" s="45"/>
      <c r="G1477" s="45"/>
      <c r="H1477" s="45"/>
      <c r="I1477" s="46"/>
      <c r="J1477" s="111" t="str">
        <f>IF(AND(G1477&lt;&gt;"",ISERROR(VLOOKUP(G1477,Keszlet!$C$5:$H$200,6,FALSE))=FALSE),VLOOKUP(G1477,Keszlet!$C$5:$H$200,6,FALSE),"")</f>
        <v/>
      </c>
      <c r="K1477" s="106" t="str">
        <f>IF(AND(G1477&lt;&gt;"",ISERROR(VLOOKUP(G1477,Keszlet!$C$5:$G$200,5,FALSE))=FALSE),VLOOKUP(G1477,Keszlet!$C$5:$G$200,5,FALSE),"")</f>
        <v/>
      </c>
      <c r="L1477" s="106" t="str">
        <f t="shared" si="89"/>
        <v/>
      </c>
      <c r="M1477" s="115" t="str">
        <f>IF(ISERROR(VLOOKUP(G1477,Keszlet!$C$5:$I$200,7,FALSE))=TRUE,"",IF(AND(J1476&lt;&gt;"",J1478=""),VLOOKUP(G1477,Keszlet!$C$5:$I$200,7,FALSE),""))</f>
        <v/>
      </c>
      <c r="Q1477" s="1">
        <f>VLOOKUP(G1477,Keszlet!$C$5:$E$205,3,FALSE)</f>
        <v>0</v>
      </c>
      <c r="T1477" s="1" t="str">
        <f t="shared" si="90"/>
        <v/>
      </c>
      <c r="U1477" s="1">
        <f t="shared" si="91"/>
        <v>0</v>
      </c>
      <c r="W1477" s="6">
        <f t="shared" si="94"/>
        <v>0</v>
      </c>
      <c r="X1477" s="6">
        <f t="shared" si="86"/>
        <v>0</v>
      </c>
      <c r="Y1477" s="1">
        <f t="shared" si="92"/>
        <v>1</v>
      </c>
      <c r="Z1477" s="1">
        <f>IF(COUNTIF($Y$6:Y1477,Y1477)=1,Y1477,Y1477+COUNTIF($Y$5:Y1476,Y1477))</f>
        <v>472</v>
      </c>
      <c r="AD1477" s="1" t="str">
        <f t="shared" si="93"/>
        <v/>
      </c>
      <c r="BA1477" s="1">
        <f>IF(W1477&lt;=Leltar_iv!$Y$1,I1477,0)</f>
        <v>0</v>
      </c>
    </row>
    <row r="1478" spans="1:53" s="1" customFormat="1" x14ac:dyDescent="0.25">
      <c r="A1478" s="18">
        <f>IF(COUNTIF($Y$6:Y1478,Y1478)=1,Y1478,Y1478+COUNTIF($Y$5:Y1477,Y1478))</f>
        <v>473</v>
      </c>
      <c r="B1478" s="1">
        <f>IF(AND(Kisero_iv!$N$2=C1478,Kisero_iv!$K$5=$B$3,SUM(I1478:L1482)&lt;&gt;0,$B$4=YEAR(W1478)),B1477+1,0)</f>
        <v>0</v>
      </c>
      <c r="C1478" s="1">
        <f t="shared" si="87"/>
        <v>473</v>
      </c>
      <c r="D1478" s="102" t="str">
        <f t="shared" si="88"/>
        <v/>
      </c>
      <c r="E1478" s="44"/>
      <c r="F1478" s="45"/>
      <c r="G1478" s="45"/>
      <c r="H1478" s="45"/>
      <c r="I1478" s="46"/>
      <c r="J1478" s="111" t="str">
        <f>IF(AND(G1478&lt;&gt;"",ISERROR(VLOOKUP(G1478,Keszlet!$C$5:$H$200,6,FALSE))=FALSE),VLOOKUP(G1478,Keszlet!$C$5:$H$200,6,FALSE),"")</f>
        <v/>
      </c>
      <c r="K1478" s="106" t="str">
        <f>IF(AND(G1478&lt;&gt;"",ISERROR(VLOOKUP(G1478,Keszlet!$C$5:$G$200,5,FALSE))=FALSE),VLOOKUP(G1478,Keszlet!$C$5:$G$200,5,FALSE),"")</f>
        <v/>
      </c>
      <c r="L1478" s="106" t="str">
        <f t="shared" si="89"/>
        <v/>
      </c>
      <c r="M1478" s="115" t="str">
        <f>IF(ISERROR(VLOOKUP(G1478,Keszlet!$C$5:$I$200,7,FALSE))=TRUE,"",IF(AND(J1477&lt;&gt;"",J1479=""),VLOOKUP(G1478,Keszlet!$C$5:$I$200,7,FALSE),""))</f>
        <v/>
      </c>
      <c r="Q1478" s="1">
        <f>VLOOKUP(G1478,Keszlet!$C$5:$E$205,3,FALSE)</f>
        <v>0</v>
      </c>
      <c r="T1478" s="1" t="str">
        <f t="shared" si="90"/>
        <v/>
      </c>
      <c r="U1478" s="1">
        <f t="shared" si="91"/>
        <v>0</v>
      </c>
      <c r="W1478" s="6">
        <f t="shared" si="94"/>
        <v>0</v>
      </c>
      <c r="X1478" s="6">
        <f t="shared" si="86"/>
        <v>0</v>
      </c>
      <c r="Y1478" s="1">
        <f t="shared" si="92"/>
        <v>1</v>
      </c>
      <c r="Z1478" s="1">
        <f>IF(COUNTIF($Y$6:Y1478,Y1478)=1,Y1478,Y1478+COUNTIF($Y$5:Y1477,Y1478))</f>
        <v>473</v>
      </c>
      <c r="AD1478" s="1" t="str">
        <f t="shared" si="93"/>
        <v/>
      </c>
      <c r="BA1478" s="1">
        <f>IF(W1478&lt;=Leltar_iv!$Y$1,I1478,0)</f>
        <v>0</v>
      </c>
    </row>
    <row r="1479" spans="1:53" s="1" customFormat="1" x14ac:dyDescent="0.25">
      <c r="A1479" s="18">
        <f>IF(COUNTIF($Y$6:Y1479,Y1479)=1,Y1479,Y1479+COUNTIF($Y$5:Y1478,Y1479))</f>
        <v>474</v>
      </c>
      <c r="B1479" s="1">
        <f>IF(AND(Kisero_iv!$N$2=C1479,Kisero_iv!$K$5=$B$3,SUM(I1479:L1483)&lt;&gt;0,$B$4=YEAR(W1479)),B1478+1,0)</f>
        <v>0</v>
      </c>
      <c r="C1479" s="1">
        <f t="shared" si="87"/>
        <v>474</v>
      </c>
      <c r="D1479" s="102" t="str">
        <f t="shared" si="88"/>
        <v/>
      </c>
      <c r="E1479" s="44"/>
      <c r="F1479" s="45"/>
      <c r="G1479" s="45"/>
      <c r="H1479" s="45"/>
      <c r="I1479" s="46"/>
      <c r="J1479" s="111" t="str">
        <f>IF(AND(G1479&lt;&gt;"",ISERROR(VLOOKUP(G1479,Keszlet!$C$5:$H$200,6,FALSE))=FALSE),VLOOKUP(G1479,Keszlet!$C$5:$H$200,6,FALSE),"")</f>
        <v/>
      </c>
      <c r="K1479" s="106" t="str">
        <f>IF(AND(G1479&lt;&gt;"",ISERROR(VLOOKUP(G1479,Keszlet!$C$5:$G$200,5,FALSE))=FALSE),VLOOKUP(G1479,Keszlet!$C$5:$G$200,5,FALSE),"")</f>
        <v/>
      </c>
      <c r="L1479" s="106" t="str">
        <f t="shared" si="89"/>
        <v/>
      </c>
      <c r="M1479" s="115" t="str">
        <f>IF(ISERROR(VLOOKUP(G1479,Keszlet!$C$5:$I$200,7,FALSE))=TRUE,"",IF(AND(J1478&lt;&gt;"",J1480=""),VLOOKUP(G1479,Keszlet!$C$5:$I$200,7,FALSE),""))</f>
        <v/>
      </c>
      <c r="Q1479" s="1">
        <f>VLOOKUP(G1479,Keszlet!$C$5:$E$205,3,FALSE)</f>
        <v>0</v>
      </c>
      <c r="T1479" s="1" t="str">
        <f t="shared" si="90"/>
        <v/>
      </c>
      <c r="U1479" s="1">
        <f t="shared" si="91"/>
        <v>0</v>
      </c>
      <c r="W1479" s="6">
        <f t="shared" si="94"/>
        <v>0</v>
      </c>
      <c r="X1479" s="6">
        <f t="shared" si="86"/>
        <v>0</v>
      </c>
      <c r="Y1479" s="1">
        <f t="shared" si="92"/>
        <v>1</v>
      </c>
      <c r="Z1479" s="1">
        <f>IF(COUNTIF($Y$6:Y1479,Y1479)=1,Y1479,Y1479+COUNTIF($Y$5:Y1478,Y1479))</f>
        <v>474</v>
      </c>
      <c r="AD1479" s="1" t="str">
        <f t="shared" si="93"/>
        <v/>
      </c>
      <c r="BA1479" s="1">
        <f>IF(W1479&lt;=Leltar_iv!$Y$1,I1479,0)</f>
        <v>0</v>
      </c>
    </row>
    <row r="1480" spans="1:53" s="1" customFormat="1" x14ac:dyDescent="0.25">
      <c r="A1480" s="18">
        <f>IF(COUNTIF($Y$6:Y1480,Y1480)=1,Y1480,Y1480+COUNTIF($Y$5:Y1479,Y1480))</f>
        <v>475</v>
      </c>
      <c r="B1480" s="1">
        <f>IF(AND(Kisero_iv!$N$2=C1480,Kisero_iv!$K$5=$B$3,SUM(I1480:L1484)&lt;&gt;0,$B$4=YEAR(W1480)),B1479+1,0)</f>
        <v>0</v>
      </c>
      <c r="C1480" s="1">
        <f t="shared" si="87"/>
        <v>475</v>
      </c>
      <c r="D1480" s="102" t="str">
        <f t="shared" si="88"/>
        <v/>
      </c>
      <c r="E1480" s="44"/>
      <c r="F1480" s="45"/>
      <c r="G1480" s="45"/>
      <c r="H1480" s="45"/>
      <c r="I1480" s="46"/>
      <c r="J1480" s="111" t="str">
        <f>IF(AND(G1480&lt;&gt;"",ISERROR(VLOOKUP(G1480,Keszlet!$C$5:$H$200,6,FALSE))=FALSE),VLOOKUP(G1480,Keszlet!$C$5:$H$200,6,FALSE),"")</f>
        <v/>
      </c>
      <c r="K1480" s="106" t="str">
        <f>IF(AND(G1480&lt;&gt;"",ISERROR(VLOOKUP(G1480,Keszlet!$C$5:$G$200,5,FALSE))=FALSE),VLOOKUP(G1480,Keszlet!$C$5:$G$200,5,FALSE),"")</f>
        <v/>
      </c>
      <c r="L1480" s="106" t="str">
        <f t="shared" si="89"/>
        <v/>
      </c>
      <c r="M1480" s="115" t="str">
        <f>IF(ISERROR(VLOOKUP(G1480,Keszlet!$C$5:$I$200,7,FALSE))=TRUE,"",IF(AND(J1479&lt;&gt;"",J1481=""),VLOOKUP(G1480,Keszlet!$C$5:$I$200,7,FALSE),""))</f>
        <v/>
      </c>
      <c r="Q1480" s="1">
        <f>VLOOKUP(G1480,Keszlet!$C$5:$E$205,3,FALSE)</f>
        <v>0</v>
      </c>
      <c r="T1480" s="1" t="str">
        <f t="shared" si="90"/>
        <v/>
      </c>
      <c r="U1480" s="1">
        <f t="shared" si="91"/>
        <v>0</v>
      </c>
      <c r="W1480" s="6">
        <f t="shared" si="94"/>
        <v>0</v>
      </c>
      <c r="X1480" s="6">
        <f t="shared" si="86"/>
        <v>0</v>
      </c>
      <c r="Y1480" s="1">
        <f t="shared" si="92"/>
        <v>1</v>
      </c>
      <c r="Z1480" s="1">
        <f>IF(COUNTIF($Y$6:Y1480,Y1480)=1,Y1480,Y1480+COUNTIF($Y$5:Y1479,Y1480))</f>
        <v>475</v>
      </c>
      <c r="AD1480" s="1" t="str">
        <f t="shared" si="93"/>
        <v/>
      </c>
      <c r="BA1480" s="1">
        <f>IF(W1480&lt;=Leltar_iv!$Y$1,I1480,0)</f>
        <v>0</v>
      </c>
    </row>
    <row r="1481" spans="1:53" s="1" customFormat="1" x14ac:dyDescent="0.25">
      <c r="A1481" s="18">
        <f>IF(COUNTIF($Y$6:Y1481,Y1481)=1,Y1481,Y1481+COUNTIF($Y$5:Y1480,Y1481))</f>
        <v>476</v>
      </c>
      <c r="B1481" s="1">
        <f>IF(AND(Kisero_iv!$N$2=C1481,Kisero_iv!$K$5=$B$3,SUM(I1481:L1485)&lt;&gt;0,$B$4=YEAR(W1481)),B1480+1,0)</f>
        <v>0</v>
      </c>
      <c r="C1481" s="1">
        <f t="shared" si="87"/>
        <v>476</v>
      </c>
      <c r="D1481" s="102" t="str">
        <f t="shared" si="88"/>
        <v/>
      </c>
      <c r="E1481" s="44"/>
      <c r="F1481" s="45"/>
      <c r="G1481" s="45"/>
      <c r="H1481" s="45"/>
      <c r="I1481" s="46"/>
      <c r="J1481" s="111" t="str">
        <f>IF(AND(G1481&lt;&gt;"",ISERROR(VLOOKUP(G1481,Keszlet!$C$5:$H$200,6,FALSE))=FALSE),VLOOKUP(G1481,Keszlet!$C$5:$H$200,6,FALSE),"")</f>
        <v/>
      </c>
      <c r="K1481" s="106" t="str">
        <f>IF(AND(G1481&lt;&gt;"",ISERROR(VLOOKUP(G1481,Keszlet!$C$5:$G$200,5,FALSE))=FALSE),VLOOKUP(G1481,Keszlet!$C$5:$G$200,5,FALSE),"")</f>
        <v/>
      </c>
      <c r="L1481" s="106" t="str">
        <f t="shared" si="89"/>
        <v/>
      </c>
      <c r="M1481" s="115" t="str">
        <f>IF(ISERROR(VLOOKUP(G1481,Keszlet!$C$5:$I$200,7,FALSE))=TRUE,"",IF(AND(J1480&lt;&gt;"",J1482=""),VLOOKUP(G1481,Keszlet!$C$5:$I$200,7,FALSE),""))</f>
        <v/>
      </c>
      <c r="Q1481" s="1">
        <f>VLOOKUP(G1481,Keszlet!$C$5:$E$205,3,FALSE)</f>
        <v>0</v>
      </c>
      <c r="T1481" s="1" t="str">
        <f t="shared" si="90"/>
        <v/>
      </c>
      <c r="U1481" s="1">
        <f t="shared" si="91"/>
        <v>0</v>
      </c>
      <c r="W1481" s="6">
        <f t="shared" si="94"/>
        <v>0</v>
      </c>
      <c r="X1481" s="6">
        <f t="shared" si="86"/>
        <v>0</v>
      </c>
      <c r="Y1481" s="1">
        <f t="shared" si="92"/>
        <v>1</v>
      </c>
      <c r="Z1481" s="1">
        <f>IF(COUNTIF($Y$6:Y1481,Y1481)=1,Y1481,Y1481+COUNTIF($Y$5:Y1480,Y1481))</f>
        <v>476</v>
      </c>
      <c r="AD1481" s="1" t="str">
        <f t="shared" si="93"/>
        <v/>
      </c>
      <c r="BA1481" s="1">
        <f>IF(W1481&lt;=Leltar_iv!$Y$1,I1481,0)</f>
        <v>0</v>
      </c>
    </row>
    <row r="1482" spans="1:53" s="1" customFormat="1" x14ac:dyDescent="0.25">
      <c r="A1482" s="18">
        <f>IF(COUNTIF($Y$6:Y1482,Y1482)=1,Y1482,Y1482+COUNTIF($Y$5:Y1481,Y1482))</f>
        <v>477</v>
      </c>
      <c r="B1482" s="1">
        <f>IF(AND(Kisero_iv!$N$2=C1482,Kisero_iv!$K$5=$B$3,SUM(I1482:L1486)&lt;&gt;0,$B$4=YEAR(W1482)),B1481+1,0)</f>
        <v>0</v>
      </c>
      <c r="C1482" s="1">
        <f t="shared" si="87"/>
        <v>477</v>
      </c>
      <c r="D1482" s="102" t="str">
        <f t="shared" si="88"/>
        <v/>
      </c>
      <c r="E1482" s="44"/>
      <c r="F1482" s="45"/>
      <c r="G1482" s="45"/>
      <c r="H1482" s="45"/>
      <c r="I1482" s="46"/>
      <c r="J1482" s="111" t="str">
        <f>IF(AND(G1482&lt;&gt;"",ISERROR(VLOOKUP(G1482,Keszlet!$C$5:$H$200,6,FALSE))=FALSE),VLOOKUP(G1482,Keszlet!$C$5:$H$200,6,FALSE),"")</f>
        <v/>
      </c>
      <c r="K1482" s="106" t="str">
        <f>IF(AND(G1482&lt;&gt;"",ISERROR(VLOOKUP(G1482,Keszlet!$C$5:$G$200,5,FALSE))=FALSE),VLOOKUP(G1482,Keszlet!$C$5:$G$200,5,FALSE),"")</f>
        <v/>
      </c>
      <c r="L1482" s="106" t="str">
        <f t="shared" si="89"/>
        <v/>
      </c>
      <c r="M1482" s="115" t="str">
        <f>IF(ISERROR(VLOOKUP(G1482,Keszlet!$C$5:$I$200,7,FALSE))=TRUE,"",IF(AND(J1481&lt;&gt;"",J1483=""),VLOOKUP(G1482,Keszlet!$C$5:$I$200,7,FALSE),""))</f>
        <v/>
      </c>
      <c r="Q1482" s="1">
        <f>VLOOKUP(G1482,Keszlet!$C$5:$E$205,3,FALSE)</f>
        <v>0</v>
      </c>
      <c r="T1482" s="1" t="str">
        <f t="shared" si="90"/>
        <v/>
      </c>
      <c r="U1482" s="1">
        <f t="shared" si="91"/>
        <v>0</v>
      </c>
      <c r="W1482" s="6">
        <f t="shared" si="94"/>
        <v>0</v>
      </c>
      <c r="X1482" s="6">
        <f t="shared" si="86"/>
        <v>0</v>
      </c>
      <c r="Y1482" s="1">
        <f t="shared" si="92"/>
        <v>1</v>
      </c>
      <c r="Z1482" s="1">
        <f>IF(COUNTIF($Y$6:Y1482,Y1482)=1,Y1482,Y1482+COUNTIF($Y$5:Y1481,Y1482))</f>
        <v>477</v>
      </c>
      <c r="AD1482" s="1" t="str">
        <f t="shared" si="93"/>
        <v/>
      </c>
      <c r="BA1482" s="1">
        <f>IF(W1482&lt;=Leltar_iv!$Y$1,I1482,0)</f>
        <v>0</v>
      </c>
    </row>
    <row r="1483" spans="1:53" s="1" customFormat="1" x14ac:dyDescent="0.25">
      <c r="A1483" s="18">
        <f>IF(COUNTIF($Y$6:Y1483,Y1483)=1,Y1483,Y1483+COUNTIF($Y$5:Y1482,Y1483))</f>
        <v>478</v>
      </c>
      <c r="B1483" s="1">
        <f>IF(AND(Kisero_iv!$N$2=C1483,Kisero_iv!$K$5=$B$3,SUM(I1483:L1487)&lt;&gt;0,$B$4=YEAR(W1483)),B1482+1,0)</f>
        <v>0</v>
      </c>
      <c r="C1483" s="1">
        <f t="shared" si="87"/>
        <v>478</v>
      </c>
      <c r="D1483" s="102" t="str">
        <f t="shared" si="88"/>
        <v/>
      </c>
      <c r="E1483" s="44"/>
      <c r="F1483" s="45"/>
      <c r="G1483" s="45"/>
      <c r="H1483" s="45"/>
      <c r="I1483" s="46"/>
      <c r="J1483" s="111" t="str">
        <f>IF(AND(G1483&lt;&gt;"",ISERROR(VLOOKUP(G1483,Keszlet!$C$5:$H$200,6,FALSE))=FALSE),VLOOKUP(G1483,Keszlet!$C$5:$H$200,6,FALSE),"")</f>
        <v/>
      </c>
      <c r="K1483" s="106" t="str">
        <f>IF(AND(G1483&lt;&gt;"",ISERROR(VLOOKUP(G1483,Keszlet!$C$5:$G$200,5,FALSE))=FALSE),VLOOKUP(G1483,Keszlet!$C$5:$G$200,5,FALSE),"")</f>
        <v/>
      </c>
      <c r="L1483" s="106" t="str">
        <f t="shared" si="89"/>
        <v/>
      </c>
      <c r="M1483" s="115" t="str">
        <f>IF(ISERROR(VLOOKUP(G1483,Keszlet!$C$5:$I$200,7,FALSE))=TRUE,"",IF(AND(J1482&lt;&gt;"",J1484=""),VLOOKUP(G1483,Keszlet!$C$5:$I$200,7,FALSE),""))</f>
        <v/>
      </c>
      <c r="Q1483" s="1">
        <f>VLOOKUP(G1483,Keszlet!$C$5:$E$205,3,FALSE)</f>
        <v>0</v>
      </c>
      <c r="T1483" s="1" t="str">
        <f t="shared" si="90"/>
        <v/>
      </c>
      <c r="U1483" s="1">
        <f t="shared" si="91"/>
        <v>0</v>
      </c>
      <c r="W1483" s="6">
        <f t="shared" si="94"/>
        <v>0</v>
      </c>
      <c r="X1483" s="6">
        <f t="shared" si="86"/>
        <v>0</v>
      </c>
      <c r="Y1483" s="1">
        <f t="shared" si="92"/>
        <v>1</v>
      </c>
      <c r="Z1483" s="1">
        <f>IF(COUNTIF($Y$6:Y1483,Y1483)=1,Y1483,Y1483+COUNTIF($Y$5:Y1482,Y1483))</f>
        <v>478</v>
      </c>
      <c r="AD1483" s="1" t="str">
        <f t="shared" si="93"/>
        <v/>
      </c>
      <c r="BA1483" s="1">
        <f>IF(W1483&lt;=Leltar_iv!$Y$1,I1483,0)</f>
        <v>0</v>
      </c>
    </row>
    <row r="1484" spans="1:53" s="1" customFormat="1" x14ac:dyDescent="0.25">
      <c r="A1484" s="18">
        <f>IF(COUNTIF($Y$6:Y1484,Y1484)=1,Y1484,Y1484+COUNTIF($Y$5:Y1483,Y1484))</f>
        <v>479</v>
      </c>
      <c r="B1484" s="1">
        <f>IF(AND(Kisero_iv!$N$2=C1484,Kisero_iv!$K$5=$B$3,SUM(I1484:L1488)&lt;&gt;0,$B$4=YEAR(W1484)),B1483+1,0)</f>
        <v>0</v>
      </c>
      <c r="C1484" s="1">
        <f t="shared" si="87"/>
        <v>479</v>
      </c>
      <c r="D1484" s="102" t="str">
        <f t="shared" si="88"/>
        <v/>
      </c>
      <c r="E1484" s="44"/>
      <c r="F1484" s="45"/>
      <c r="G1484" s="45"/>
      <c r="H1484" s="45"/>
      <c r="I1484" s="46"/>
      <c r="J1484" s="111" t="str">
        <f>IF(AND(G1484&lt;&gt;"",ISERROR(VLOOKUP(G1484,Keszlet!$C$5:$H$200,6,FALSE))=FALSE),VLOOKUP(G1484,Keszlet!$C$5:$H$200,6,FALSE),"")</f>
        <v/>
      </c>
      <c r="K1484" s="106" t="str">
        <f>IF(AND(G1484&lt;&gt;"",ISERROR(VLOOKUP(G1484,Keszlet!$C$5:$G$200,5,FALSE))=FALSE),VLOOKUP(G1484,Keszlet!$C$5:$G$200,5,FALSE),"")</f>
        <v/>
      </c>
      <c r="L1484" s="106" t="str">
        <f t="shared" si="89"/>
        <v/>
      </c>
      <c r="M1484" s="115" t="str">
        <f>IF(ISERROR(VLOOKUP(G1484,Keszlet!$C$5:$I$200,7,FALSE))=TRUE,"",IF(AND(J1483&lt;&gt;"",J1485=""),VLOOKUP(G1484,Keszlet!$C$5:$I$200,7,FALSE),""))</f>
        <v/>
      </c>
      <c r="Q1484" s="1">
        <f>VLOOKUP(G1484,Keszlet!$C$5:$E$205,3,FALSE)</f>
        <v>0</v>
      </c>
      <c r="T1484" s="1" t="str">
        <f t="shared" si="90"/>
        <v/>
      </c>
      <c r="U1484" s="1">
        <f t="shared" si="91"/>
        <v>0</v>
      </c>
      <c r="W1484" s="6">
        <f t="shared" si="94"/>
        <v>0</v>
      </c>
      <c r="X1484" s="6">
        <f t="shared" si="86"/>
        <v>0</v>
      </c>
      <c r="Y1484" s="1">
        <f t="shared" si="92"/>
        <v>1</v>
      </c>
      <c r="Z1484" s="1">
        <f>IF(COUNTIF($Y$6:Y1484,Y1484)=1,Y1484,Y1484+COUNTIF($Y$5:Y1483,Y1484))</f>
        <v>479</v>
      </c>
      <c r="AD1484" s="1" t="str">
        <f t="shared" si="93"/>
        <v/>
      </c>
      <c r="BA1484" s="1">
        <f>IF(W1484&lt;=Leltar_iv!$Y$1,I1484,0)</f>
        <v>0</v>
      </c>
    </row>
    <row r="1485" spans="1:53" s="1" customFormat="1" x14ac:dyDescent="0.25">
      <c r="A1485" s="18">
        <f>IF(COUNTIF($Y$6:Y1485,Y1485)=1,Y1485,Y1485+COUNTIF($Y$5:Y1484,Y1485))</f>
        <v>480</v>
      </c>
      <c r="B1485" s="1">
        <f>IF(AND(Kisero_iv!$N$2=C1485,Kisero_iv!$K$5=$B$3,SUM(I1485:L1489)&lt;&gt;0,$B$4=YEAR(W1485)),B1484+1,0)</f>
        <v>0</v>
      </c>
      <c r="C1485" s="1">
        <f t="shared" si="87"/>
        <v>480</v>
      </c>
      <c r="D1485" s="102" t="str">
        <f t="shared" si="88"/>
        <v/>
      </c>
      <c r="E1485" s="44"/>
      <c r="F1485" s="45"/>
      <c r="G1485" s="45"/>
      <c r="H1485" s="45"/>
      <c r="I1485" s="46"/>
      <c r="J1485" s="111" t="str">
        <f>IF(AND(G1485&lt;&gt;"",ISERROR(VLOOKUP(G1485,Keszlet!$C$5:$H$200,6,FALSE))=FALSE),VLOOKUP(G1485,Keszlet!$C$5:$H$200,6,FALSE),"")</f>
        <v/>
      </c>
      <c r="K1485" s="106" t="str">
        <f>IF(AND(G1485&lt;&gt;"",ISERROR(VLOOKUP(G1485,Keszlet!$C$5:$G$200,5,FALSE))=FALSE),VLOOKUP(G1485,Keszlet!$C$5:$G$200,5,FALSE),"")</f>
        <v/>
      </c>
      <c r="L1485" s="106" t="str">
        <f t="shared" si="89"/>
        <v/>
      </c>
      <c r="M1485" s="115" t="str">
        <f>IF(ISERROR(VLOOKUP(G1485,Keszlet!$C$5:$I$200,7,FALSE))=TRUE,"",IF(AND(J1484&lt;&gt;"",J1486=""),VLOOKUP(G1485,Keszlet!$C$5:$I$200,7,FALSE),""))</f>
        <v/>
      </c>
      <c r="Q1485" s="1">
        <f>VLOOKUP(G1485,Keszlet!$C$5:$E$205,3,FALSE)</f>
        <v>0</v>
      </c>
      <c r="T1485" s="1" t="str">
        <f t="shared" si="90"/>
        <v/>
      </c>
      <c r="U1485" s="1">
        <f t="shared" si="91"/>
        <v>0</v>
      </c>
      <c r="W1485" s="6">
        <f t="shared" si="94"/>
        <v>0</v>
      </c>
      <c r="X1485" s="6">
        <f t="shared" si="86"/>
        <v>0</v>
      </c>
      <c r="Y1485" s="1">
        <f t="shared" si="92"/>
        <v>1</v>
      </c>
      <c r="Z1485" s="1">
        <f>IF(COUNTIF($Y$6:Y1485,Y1485)=1,Y1485,Y1485+COUNTIF($Y$5:Y1484,Y1485))</f>
        <v>480</v>
      </c>
      <c r="AD1485" s="1" t="str">
        <f t="shared" si="93"/>
        <v/>
      </c>
      <c r="BA1485" s="1">
        <f>IF(W1485&lt;=Leltar_iv!$Y$1,I1485,0)</f>
        <v>0</v>
      </c>
    </row>
    <row r="1486" spans="1:53" s="1" customFormat="1" x14ac:dyDescent="0.25">
      <c r="A1486" s="18">
        <f>IF(COUNTIF($Y$6:Y1486,Y1486)=1,Y1486,Y1486+COUNTIF($Y$5:Y1485,Y1486))</f>
        <v>481</v>
      </c>
      <c r="B1486" s="1">
        <f>IF(AND(Kisero_iv!$N$2=C1486,Kisero_iv!$K$5=$B$3,SUM(I1486:L1490)&lt;&gt;0,$B$4=YEAR(W1486)),B1485+1,0)</f>
        <v>0</v>
      </c>
      <c r="C1486" s="1">
        <f t="shared" si="87"/>
        <v>481</v>
      </c>
      <c r="D1486" s="102" t="str">
        <f t="shared" si="88"/>
        <v/>
      </c>
      <c r="E1486" s="44"/>
      <c r="F1486" s="45"/>
      <c r="G1486" s="45"/>
      <c r="H1486" s="45"/>
      <c r="I1486" s="46"/>
      <c r="J1486" s="111" t="str">
        <f>IF(AND(G1486&lt;&gt;"",ISERROR(VLOOKUP(G1486,Keszlet!$C$5:$H$200,6,FALSE))=FALSE),VLOOKUP(G1486,Keszlet!$C$5:$H$200,6,FALSE),"")</f>
        <v/>
      </c>
      <c r="K1486" s="106" t="str">
        <f>IF(AND(G1486&lt;&gt;"",ISERROR(VLOOKUP(G1486,Keszlet!$C$5:$G$200,5,FALSE))=FALSE),VLOOKUP(G1486,Keszlet!$C$5:$G$200,5,FALSE),"")</f>
        <v/>
      </c>
      <c r="L1486" s="106" t="str">
        <f t="shared" si="89"/>
        <v/>
      </c>
      <c r="M1486" s="115" t="str">
        <f>IF(ISERROR(VLOOKUP(G1486,Keszlet!$C$5:$I$200,7,FALSE))=TRUE,"",IF(AND(J1485&lt;&gt;"",J1487=""),VLOOKUP(G1486,Keszlet!$C$5:$I$200,7,FALSE),""))</f>
        <v/>
      </c>
      <c r="Q1486" s="1">
        <f>VLOOKUP(G1486,Keszlet!$C$5:$E$205,3,FALSE)</f>
        <v>0</v>
      </c>
      <c r="T1486" s="1" t="str">
        <f t="shared" si="90"/>
        <v/>
      </c>
      <c r="U1486" s="1">
        <f t="shared" si="91"/>
        <v>0</v>
      </c>
      <c r="W1486" s="6">
        <f t="shared" si="94"/>
        <v>0</v>
      </c>
      <c r="X1486" s="6">
        <f t="shared" si="86"/>
        <v>0</v>
      </c>
      <c r="Y1486" s="1">
        <f t="shared" si="92"/>
        <v>1</v>
      </c>
      <c r="Z1486" s="1">
        <f>IF(COUNTIF($Y$6:Y1486,Y1486)=1,Y1486,Y1486+COUNTIF($Y$5:Y1485,Y1486))</f>
        <v>481</v>
      </c>
      <c r="AD1486" s="1" t="str">
        <f t="shared" si="93"/>
        <v/>
      </c>
      <c r="BA1486" s="1">
        <f>IF(W1486&lt;=Leltar_iv!$Y$1,I1486,0)</f>
        <v>0</v>
      </c>
    </row>
    <row r="1487" spans="1:53" s="1" customFormat="1" x14ac:dyDescent="0.25">
      <c r="A1487" s="18">
        <f>IF(COUNTIF($Y$6:Y1487,Y1487)=1,Y1487,Y1487+COUNTIF($Y$5:Y1486,Y1487))</f>
        <v>482</v>
      </c>
      <c r="B1487" s="1">
        <f>IF(AND(Kisero_iv!$N$2=C1487,Kisero_iv!$K$5=$B$3,SUM(I1487:L1491)&lt;&gt;0,$B$4=YEAR(W1487)),B1486+1,0)</f>
        <v>0</v>
      </c>
      <c r="C1487" s="1">
        <f t="shared" si="87"/>
        <v>482</v>
      </c>
      <c r="D1487" s="102" t="str">
        <f t="shared" si="88"/>
        <v/>
      </c>
      <c r="E1487" s="44"/>
      <c r="F1487" s="45"/>
      <c r="G1487" s="45"/>
      <c r="H1487" s="45"/>
      <c r="I1487" s="46"/>
      <c r="J1487" s="111" t="str">
        <f>IF(AND(G1487&lt;&gt;"",ISERROR(VLOOKUP(G1487,Keszlet!$C$5:$H$200,6,FALSE))=FALSE),VLOOKUP(G1487,Keszlet!$C$5:$H$200,6,FALSE),"")</f>
        <v/>
      </c>
      <c r="K1487" s="106" t="str">
        <f>IF(AND(G1487&lt;&gt;"",ISERROR(VLOOKUP(G1487,Keszlet!$C$5:$G$200,5,FALSE))=FALSE),VLOOKUP(G1487,Keszlet!$C$5:$G$200,5,FALSE),"")</f>
        <v/>
      </c>
      <c r="L1487" s="106" t="str">
        <f t="shared" si="89"/>
        <v/>
      </c>
      <c r="M1487" s="115" t="str">
        <f>IF(ISERROR(VLOOKUP(G1487,Keszlet!$C$5:$I$200,7,FALSE))=TRUE,"",IF(AND(J1486&lt;&gt;"",J1488=""),VLOOKUP(G1487,Keszlet!$C$5:$I$200,7,FALSE),""))</f>
        <v/>
      </c>
      <c r="Q1487" s="1">
        <f>VLOOKUP(G1487,Keszlet!$C$5:$E$205,3,FALSE)</f>
        <v>0</v>
      </c>
      <c r="T1487" s="1" t="str">
        <f t="shared" si="90"/>
        <v/>
      </c>
      <c r="U1487" s="1">
        <f t="shared" si="91"/>
        <v>0</v>
      </c>
      <c r="W1487" s="6">
        <f t="shared" si="94"/>
        <v>0</v>
      </c>
      <c r="X1487" s="6">
        <f t="shared" si="86"/>
        <v>0</v>
      </c>
      <c r="Y1487" s="1">
        <f t="shared" si="92"/>
        <v>1</v>
      </c>
      <c r="Z1487" s="1">
        <f>IF(COUNTIF($Y$6:Y1487,Y1487)=1,Y1487,Y1487+COUNTIF($Y$5:Y1486,Y1487))</f>
        <v>482</v>
      </c>
      <c r="AD1487" s="1" t="str">
        <f t="shared" si="93"/>
        <v/>
      </c>
      <c r="BA1487" s="1">
        <f>IF(W1487&lt;=Leltar_iv!$Y$1,I1487,0)</f>
        <v>0</v>
      </c>
    </row>
    <row r="1488" spans="1:53" s="1" customFormat="1" x14ac:dyDescent="0.25">
      <c r="A1488" s="18">
        <f>IF(COUNTIF($Y$6:Y1488,Y1488)=1,Y1488,Y1488+COUNTIF($Y$5:Y1487,Y1488))</f>
        <v>483</v>
      </c>
      <c r="B1488" s="1">
        <f>IF(AND(Kisero_iv!$N$2=C1488,Kisero_iv!$K$5=$B$3,SUM(I1488:L1492)&lt;&gt;0,$B$4=YEAR(W1488)),B1487+1,0)</f>
        <v>0</v>
      </c>
      <c r="C1488" s="1">
        <f t="shared" si="87"/>
        <v>483</v>
      </c>
      <c r="D1488" s="102" t="str">
        <f t="shared" si="88"/>
        <v/>
      </c>
      <c r="E1488" s="44"/>
      <c r="F1488" s="45"/>
      <c r="G1488" s="45"/>
      <c r="H1488" s="45"/>
      <c r="I1488" s="46"/>
      <c r="J1488" s="111" t="str">
        <f>IF(AND(G1488&lt;&gt;"",ISERROR(VLOOKUP(G1488,Keszlet!$C$5:$H$200,6,FALSE))=FALSE),VLOOKUP(G1488,Keszlet!$C$5:$H$200,6,FALSE),"")</f>
        <v/>
      </c>
      <c r="K1488" s="106" t="str">
        <f>IF(AND(G1488&lt;&gt;"",ISERROR(VLOOKUP(G1488,Keszlet!$C$5:$G$200,5,FALSE))=FALSE),VLOOKUP(G1488,Keszlet!$C$5:$G$200,5,FALSE),"")</f>
        <v/>
      </c>
      <c r="L1488" s="106" t="str">
        <f t="shared" si="89"/>
        <v/>
      </c>
      <c r="M1488" s="115" t="str">
        <f>IF(ISERROR(VLOOKUP(G1488,Keszlet!$C$5:$I$200,7,FALSE))=TRUE,"",IF(AND(J1487&lt;&gt;"",J1489=""),VLOOKUP(G1488,Keszlet!$C$5:$I$200,7,FALSE),""))</f>
        <v/>
      </c>
      <c r="Q1488" s="1">
        <f>VLOOKUP(G1488,Keszlet!$C$5:$E$205,3,FALSE)</f>
        <v>0</v>
      </c>
      <c r="T1488" s="1" t="str">
        <f t="shared" si="90"/>
        <v/>
      </c>
      <c r="U1488" s="1">
        <f t="shared" si="91"/>
        <v>0</v>
      </c>
      <c r="W1488" s="6">
        <f t="shared" si="94"/>
        <v>0</v>
      </c>
      <c r="X1488" s="6">
        <f t="shared" si="86"/>
        <v>0</v>
      </c>
      <c r="Y1488" s="1">
        <f t="shared" si="92"/>
        <v>1</v>
      </c>
      <c r="Z1488" s="1">
        <f>IF(COUNTIF($Y$6:Y1488,Y1488)=1,Y1488,Y1488+COUNTIF($Y$5:Y1487,Y1488))</f>
        <v>483</v>
      </c>
      <c r="AD1488" s="1" t="str">
        <f t="shared" si="93"/>
        <v/>
      </c>
      <c r="BA1488" s="1">
        <f>IF(W1488&lt;=Leltar_iv!$Y$1,I1488,0)</f>
        <v>0</v>
      </c>
    </row>
    <row r="1489" spans="1:53" s="1" customFormat="1" x14ac:dyDescent="0.25">
      <c r="A1489" s="18">
        <f>IF(COUNTIF($Y$6:Y1489,Y1489)=1,Y1489,Y1489+COUNTIF($Y$5:Y1488,Y1489))</f>
        <v>484</v>
      </c>
      <c r="B1489" s="1">
        <f>IF(AND(Kisero_iv!$N$2=C1489,Kisero_iv!$K$5=$B$3,SUM(I1489:L1493)&lt;&gt;0,$B$4=YEAR(W1489)),B1488+1,0)</f>
        <v>0</v>
      </c>
      <c r="C1489" s="1">
        <f t="shared" si="87"/>
        <v>484</v>
      </c>
      <c r="D1489" s="102" t="str">
        <f t="shared" si="88"/>
        <v/>
      </c>
      <c r="E1489" s="44"/>
      <c r="F1489" s="45"/>
      <c r="G1489" s="45"/>
      <c r="H1489" s="45"/>
      <c r="I1489" s="46"/>
      <c r="J1489" s="111" t="str">
        <f>IF(AND(G1489&lt;&gt;"",ISERROR(VLOOKUP(G1489,Keszlet!$C$5:$H$200,6,FALSE))=FALSE),VLOOKUP(G1489,Keszlet!$C$5:$H$200,6,FALSE),"")</f>
        <v/>
      </c>
      <c r="K1489" s="106" t="str">
        <f>IF(AND(G1489&lt;&gt;"",ISERROR(VLOOKUP(G1489,Keszlet!$C$5:$G$200,5,FALSE))=FALSE),VLOOKUP(G1489,Keszlet!$C$5:$G$200,5,FALSE),"")</f>
        <v/>
      </c>
      <c r="L1489" s="106" t="str">
        <f t="shared" si="89"/>
        <v/>
      </c>
      <c r="M1489" s="115" t="str">
        <f>IF(ISERROR(VLOOKUP(G1489,Keszlet!$C$5:$I$200,7,FALSE))=TRUE,"",IF(AND(J1488&lt;&gt;"",J1490=""),VLOOKUP(G1489,Keszlet!$C$5:$I$200,7,FALSE),""))</f>
        <v/>
      </c>
      <c r="Q1489" s="1">
        <f>VLOOKUP(G1489,Keszlet!$C$5:$E$205,3,FALSE)</f>
        <v>0</v>
      </c>
      <c r="T1489" s="1" t="str">
        <f t="shared" si="90"/>
        <v/>
      </c>
      <c r="U1489" s="1">
        <f t="shared" si="91"/>
        <v>0</v>
      </c>
      <c r="W1489" s="6">
        <f t="shared" si="94"/>
        <v>0</v>
      </c>
      <c r="X1489" s="6">
        <f t="shared" si="86"/>
        <v>0</v>
      </c>
      <c r="Y1489" s="1">
        <f t="shared" si="92"/>
        <v>1</v>
      </c>
      <c r="Z1489" s="1">
        <f>IF(COUNTIF($Y$6:Y1489,Y1489)=1,Y1489,Y1489+COUNTIF($Y$5:Y1488,Y1489))</f>
        <v>484</v>
      </c>
      <c r="AD1489" s="1" t="str">
        <f t="shared" si="93"/>
        <v/>
      </c>
      <c r="BA1489" s="1">
        <f>IF(W1489&lt;=Leltar_iv!$Y$1,I1489,0)</f>
        <v>0</v>
      </c>
    </row>
    <row r="1490" spans="1:53" s="1" customFormat="1" x14ac:dyDescent="0.25">
      <c r="A1490" s="18">
        <f>IF(COUNTIF($Y$6:Y1490,Y1490)=1,Y1490,Y1490+COUNTIF($Y$5:Y1489,Y1490))</f>
        <v>485</v>
      </c>
      <c r="B1490" s="1">
        <f>IF(AND(Kisero_iv!$N$2=C1490,Kisero_iv!$K$5=$B$3,SUM(I1490:L1494)&lt;&gt;0,$B$4=YEAR(W1490)),B1489+1,0)</f>
        <v>0</v>
      </c>
      <c r="C1490" s="1">
        <f t="shared" si="87"/>
        <v>485</v>
      </c>
      <c r="D1490" s="102" t="str">
        <f t="shared" si="88"/>
        <v/>
      </c>
      <c r="E1490" s="44"/>
      <c r="F1490" s="45"/>
      <c r="G1490" s="45"/>
      <c r="H1490" s="45"/>
      <c r="I1490" s="46"/>
      <c r="J1490" s="111" t="str">
        <f>IF(AND(G1490&lt;&gt;"",ISERROR(VLOOKUP(G1490,Keszlet!$C$5:$H$200,6,FALSE))=FALSE),VLOOKUP(G1490,Keszlet!$C$5:$H$200,6,FALSE),"")</f>
        <v/>
      </c>
      <c r="K1490" s="106" t="str">
        <f>IF(AND(G1490&lt;&gt;"",ISERROR(VLOOKUP(G1490,Keszlet!$C$5:$G$200,5,FALSE))=FALSE),VLOOKUP(G1490,Keszlet!$C$5:$G$200,5,FALSE),"")</f>
        <v/>
      </c>
      <c r="L1490" s="106" t="str">
        <f t="shared" si="89"/>
        <v/>
      </c>
      <c r="M1490" s="115" t="str">
        <f>IF(ISERROR(VLOOKUP(G1490,Keszlet!$C$5:$I$200,7,FALSE))=TRUE,"",IF(AND(J1489&lt;&gt;"",J1491=""),VLOOKUP(G1490,Keszlet!$C$5:$I$200,7,FALSE),""))</f>
        <v/>
      </c>
      <c r="Q1490" s="1">
        <f>VLOOKUP(G1490,Keszlet!$C$5:$E$205,3,FALSE)</f>
        <v>0</v>
      </c>
      <c r="T1490" s="1" t="str">
        <f t="shared" si="90"/>
        <v/>
      </c>
      <c r="U1490" s="1">
        <f t="shared" si="91"/>
        <v>0</v>
      </c>
      <c r="W1490" s="6">
        <f t="shared" si="94"/>
        <v>0</v>
      </c>
      <c r="X1490" s="6">
        <f t="shared" si="86"/>
        <v>0</v>
      </c>
      <c r="Y1490" s="1">
        <f t="shared" si="92"/>
        <v>1</v>
      </c>
      <c r="Z1490" s="1">
        <f>IF(COUNTIF($Y$6:Y1490,Y1490)=1,Y1490,Y1490+COUNTIF($Y$5:Y1489,Y1490))</f>
        <v>485</v>
      </c>
      <c r="AD1490" s="1" t="str">
        <f t="shared" si="93"/>
        <v/>
      </c>
      <c r="BA1490" s="1">
        <f>IF(W1490&lt;=Leltar_iv!$Y$1,I1490,0)</f>
        <v>0</v>
      </c>
    </row>
    <row r="1491" spans="1:53" s="1" customFormat="1" x14ac:dyDescent="0.25">
      <c r="A1491" s="18">
        <f>IF(COUNTIF($Y$6:Y1491,Y1491)=1,Y1491,Y1491+COUNTIF($Y$5:Y1490,Y1491))</f>
        <v>486</v>
      </c>
      <c r="B1491" s="1">
        <f>IF(AND(Kisero_iv!$N$2=C1491,Kisero_iv!$K$5=$B$3,SUM(I1491:L1495)&lt;&gt;0,$B$4=YEAR(W1491)),B1490+1,0)</f>
        <v>0</v>
      </c>
      <c r="C1491" s="1">
        <f t="shared" si="87"/>
        <v>486</v>
      </c>
      <c r="D1491" s="102" t="str">
        <f t="shared" si="88"/>
        <v/>
      </c>
      <c r="E1491" s="44"/>
      <c r="F1491" s="45"/>
      <c r="G1491" s="45"/>
      <c r="H1491" s="45"/>
      <c r="I1491" s="46"/>
      <c r="J1491" s="111" t="str">
        <f>IF(AND(G1491&lt;&gt;"",ISERROR(VLOOKUP(G1491,Keszlet!$C$5:$H$200,6,FALSE))=FALSE),VLOOKUP(G1491,Keszlet!$C$5:$H$200,6,FALSE),"")</f>
        <v/>
      </c>
      <c r="K1491" s="106" t="str">
        <f>IF(AND(G1491&lt;&gt;"",ISERROR(VLOOKUP(G1491,Keszlet!$C$5:$G$200,5,FALSE))=FALSE),VLOOKUP(G1491,Keszlet!$C$5:$G$200,5,FALSE),"")</f>
        <v/>
      </c>
      <c r="L1491" s="106" t="str">
        <f t="shared" si="89"/>
        <v/>
      </c>
      <c r="M1491" s="115" t="str">
        <f>IF(ISERROR(VLOOKUP(G1491,Keszlet!$C$5:$I$200,7,FALSE))=TRUE,"",IF(AND(J1490&lt;&gt;"",J1492=""),VLOOKUP(G1491,Keszlet!$C$5:$I$200,7,FALSE),""))</f>
        <v/>
      </c>
      <c r="Q1491" s="1">
        <f>VLOOKUP(G1491,Keszlet!$C$5:$E$205,3,FALSE)</f>
        <v>0</v>
      </c>
      <c r="T1491" s="1" t="str">
        <f t="shared" si="90"/>
        <v/>
      </c>
      <c r="U1491" s="1">
        <f t="shared" si="91"/>
        <v>0</v>
      </c>
      <c r="W1491" s="6">
        <f t="shared" si="94"/>
        <v>0</v>
      </c>
      <c r="X1491" s="6">
        <f t="shared" si="86"/>
        <v>0</v>
      </c>
      <c r="Y1491" s="1">
        <f t="shared" si="92"/>
        <v>1</v>
      </c>
      <c r="Z1491" s="1">
        <f>IF(COUNTIF($Y$6:Y1491,Y1491)=1,Y1491,Y1491+COUNTIF($Y$5:Y1490,Y1491))</f>
        <v>486</v>
      </c>
      <c r="AD1491" s="1" t="str">
        <f t="shared" si="93"/>
        <v/>
      </c>
      <c r="BA1491" s="1">
        <f>IF(W1491&lt;=Leltar_iv!$Y$1,I1491,0)</f>
        <v>0</v>
      </c>
    </row>
    <row r="1492" spans="1:53" s="1" customFormat="1" x14ac:dyDescent="0.25">
      <c r="A1492" s="18">
        <f>IF(COUNTIF($Y$6:Y1492,Y1492)=1,Y1492,Y1492+COUNTIF($Y$5:Y1491,Y1492))</f>
        <v>487</v>
      </c>
      <c r="B1492" s="1">
        <f>IF(AND(Kisero_iv!$N$2=C1492,Kisero_iv!$K$5=$B$3,SUM(I1492:L1496)&lt;&gt;0,$B$4=YEAR(W1492)),B1491+1,0)</f>
        <v>0</v>
      </c>
      <c r="C1492" s="1">
        <f t="shared" si="87"/>
        <v>487</v>
      </c>
      <c r="D1492" s="102" t="str">
        <f t="shared" si="88"/>
        <v/>
      </c>
      <c r="E1492" s="44"/>
      <c r="F1492" s="45"/>
      <c r="G1492" s="45"/>
      <c r="H1492" s="45"/>
      <c r="I1492" s="46"/>
      <c r="J1492" s="111" t="str">
        <f>IF(AND(G1492&lt;&gt;"",ISERROR(VLOOKUP(G1492,Keszlet!$C$5:$H$200,6,FALSE))=FALSE),VLOOKUP(G1492,Keszlet!$C$5:$H$200,6,FALSE),"")</f>
        <v/>
      </c>
      <c r="K1492" s="106" t="str">
        <f>IF(AND(G1492&lt;&gt;"",ISERROR(VLOOKUP(G1492,Keszlet!$C$5:$G$200,5,FALSE))=FALSE),VLOOKUP(G1492,Keszlet!$C$5:$G$200,5,FALSE),"")</f>
        <v/>
      </c>
      <c r="L1492" s="106" t="str">
        <f t="shared" si="89"/>
        <v/>
      </c>
      <c r="M1492" s="115" t="str">
        <f>IF(ISERROR(VLOOKUP(G1492,Keszlet!$C$5:$I$200,7,FALSE))=TRUE,"",IF(AND(J1491&lt;&gt;"",J1493=""),VLOOKUP(G1492,Keszlet!$C$5:$I$200,7,FALSE),""))</f>
        <v/>
      </c>
      <c r="Q1492" s="1">
        <f>VLOOKUP(G1492,Keszlet!$C$5:$E$205,3,FALSE)</f>
        <v>0</v>
      </c>
      <c r="T1492" s="1" t="str">
        <f t="shared" si="90"/>
        <v/>
      </c>
      <c r="U1492" s="1">
        <f t="shared" si="91"/>
        <v>0</v>
      </c>
      <c r="W1492" s="6">
        <f t="shared" si="94"/>
        <v>0</v>
      </c>
      <c r="X1492" s="6">
        <f t="shared" si="86"/>
        <v>0</v>
      </c>
      <c r="Y1492" s="1">
        <f t="shared" si="92"/>
        <v>1</v>
      </c>
      <c r="Z1492" s="1">
        <f>IF(COUNTIF($Y$6:Y1492,Y1492)=1,Y1492,Y1492+COUNTIF($Y$5:Y1491,Y1492))</f>
        <v>487</v>
      </c>
      <c r="AD1492" s="1" t="str">
        <f t="shared" si="93"/>
        <v/>
      </c>
      <c r="BA1492" s="1">
        <f>IF(W1492&lt;=Leltar_iv!$Y$1,I1492,0)</f>
        <v>0</v>
      </c>
    </row>
    <row r="1493" spans="1:53" s="1" customFormat="1" x14ac:dyDescent="0.25">
      <c r="A1493" s="18">
        <f>IF(COUNTIF($Y$6:Y1493,Y1493)=1,Y1493,Y1493+COUNTIF($Y$5:Y1492,Y1493))</f>
        <v>488</v>
      </c>
      <c r="B1493" s="1">
        <f>IF(AND(Kisero_iv!$N$2=C1493,Kisero_iv!$K$5=$B$3,SUM(I1493:L1497)&lt;&gt;0,$B$4=YEAR(W1493)),B1492+1,0)</f>
        <v>0</v>
      </c>
      <c r="C1493" s="1">
        <f t="shared" si="87"/>
        <v>488</v>
      </c>
      <c r="D1493" s="102" t="str">
        <f t="shared" si="88"/>
        <v/>
      </c>
      <c r="E1493" s="44"/>
      <c r="F1493" s="45"/>
      <c r="G1493" s="45"/>
      <c r="H1493" s="45"/>
      <c r="I1493" s="46"/>
      <c r="J1493" s="111" t="str">
        <f>IF(AND(G1493&lt;&gt;"",ISERROR(VLOOKUP(G1493,Keszlet!$C$5:$H$200,6,FALSE))=FALSE),VLOOKUP(G1493,Keszlet!$C$5:$H$200,6,FALSE),"")</f>
        <v/>
      </c>
      <c r="K1493" s="106" t="str">
        <f>IF(AND(G1493&lt;&gt;"",ISERROR(VLOOKUP(G1493,Keszlet!$C$5:$G$200,5,FALSE))=FALSE),VLOOKUP(G1493,Keszlet!$C$5:$G$200,5,FALSE),"")</f>
        <v/>
      </c>
      <c r="L1493" s="106" t="str">
        <f t="shared" si="89"/>
        <v/>
      </c>
      <c r="M1493" s="115" t="str">
        <f>IF(ISERROR(VLOOKUP(G1493,Keszlet!$C$5:$I$200,7,FALSE))=TRUE,"",IF(AND(J1492&lt;&gt;"",J1494=""),VLOOKUP(G1493,Keszlet!$C$5:$I$200,7,FALSE),""))</f>
        <v/>
      </c>
      <c r="Q1493" s="1">
        <f>VLOOKUP(G1493,Keszlet!$C$5:$E$205,3,FALSE)</f>
        <v>0</v>
      </c>
      <c r="T1493" s="1" t="str">
        <f t="shared" si="90"/>
        <v/>
      </c>
      <c r="U1493" s="1">
        <f t="shared" si="91"/>
        <v>0</v>
      </c>
      <c r="W1493" s="6">
        <f t="shared" si="94"/>
        <v>0</v>
      </c>
      <c r="X1493" s="6">
        <f t="shared" si="86"/>
        <v>0</v>
      </c>
      <c r="Y1493" s="1">
        <f t="shared" si="92"/>
        <v>1</v>
      </c>
      <c r="Z1493" s="1">
        <f>IF(COUNTIF($Y$6:Y1493,Y1493)=1,Y1493,Y1493+COUNTIF($Y$5:Y1492,Y1493))</f>
        <v>488</v>
      </c>
      <c r="AD1493" s="1" t="str">
        <f t="shared" si="93"/>
        <v/>
      </c>
      <c r="BA1493" s="1">
        <f>IF(W1493&lt;=Leltar_iv!$Y$1,I1493,0)</f>
        <v>0</v>
      </c>
    </row>
    <row r="1494" spans="1:53" s="1" customFormat="1" x14ac:dyDescent="0.25">
      <c r="A1494" s="18">
        <f>IF(COUNTIF($Y$6:Y1494,Y1494)=1,Y1494,Y1494+COUNTIF($Y$5:Y1493,Y1494))</f>
        <v>489</v>
      </c>
      <c r="B1494" s="1">
        <f>IF(AND(Kisero_iv!$N$2=C1494,Kisero_iv!$K$5=$B$3,SUM(I1494:L1498)&lt;&gt;0,$B$4=YEAR(W1494)),B1493+1,0)</f>
        <v>0</v>
      </c>
      <c r="C1494" s="1">
        <f t="shared" si="87"/>
        <v>489</v>
      </c>
      <c r="D1494" s="102" t="str">
        <f t="shared" si="88"/>
        <v/>
      </c>
      <c r="E1494" s="44"/>
      <c r="F1494" s="45"/>
      <c r="G1494" s="45"/>
      <c r="H1494" s="45"/>
      <c r="I1494" s="46"/>
      <c r="J1494" s="111" t="str">
        <f>IF(AND(G1494&lt;&gt;"",ISERROR(VLOOKUP(G1494,Keszlet!$C$5:$H$200,6,FALSE))=FALSE),VLOOKUP(G1494,Keszlet!$C$5:$H$200,6,FALSE),"")</f>
        <v/>
      </c>
      <c r="K1494" s="106" t="str">
        <f>IF(AND(G1494&lt;&gt;"",ISERROR(VLOOKUP(G1494,Keszlet!$C$5:$G$200,5,FALSE))=FALSE),VLOOKUP(G1494,Keszlet!$C$5:$G$200,5,FALSE),"")</f>
        <v/>
      </c>
      <c r="L1494" s="106" t="str">
        <f t="shared" si="89"/>
        <v/>
      </c>
      <c r="M1494" s="115" t="str">
        <f>IF(ISERROR(VLOOKUP(G1494,Keszlet!$C$5:$I$200,7,FALSE))=TRUE,"",IF(AND(J1493&lt;&gt;"",J1495=""),VLOOKUP(G1494,Keszlet!$C$5:$I$200,7,FALSE),""))</f>
        <v/>
      </c>
      <c r="Q1494" s="1">
        <f>VLOOKUP(G1494,Keszlet!$C$5:$E$205,3,FALSE)</f>
        <v>0</v>
      </c>
      <c r="T1494" s="1" t="str">
        <f t="shared" si="90"/>
        <v/>
      </c>
      <c r="U1494" s="1">
        <f t="shared" si="91"/>
        <v>0</v>
      </c>
      <c r="W1494" s="6">
        <f t="shared" si="94"/>
        <v>0</v>
      </c>
      <c r="X1494" s="6">
        <f t="shared" si="86"/>
        <v>0</v>
      </c>
      <c r="Y1494" s="1">
        <f t="shared" si="92"/>
        <v>1</v>
      </c>
      <c r="Z1494" s="1">
        <f>IF(COUNTIF($Y$6:Y1494,Y1494)=1,Y1494,Y1494+COUNTIF($Y$5:Y1493,Y1494))</f>
        <v>489</v>
      </c>
      <c r="AD1494" s="1" t="str">
        <f t="shared" si="93"/>
        <v/>
      </c>
      <c r="BA1494" s="1">
        <f>IF(W1494&lt;=Leltar_iv!$Y$1,I1494,0)</f>
        <v>0</v>
      </c>
    </row>
    <row r="1495" spans="1:53" s="1" customFormat="1" x14ac:dyDescent="0.25">
      <c r="A1495" s="18">
        <f>IF(COUNTIF($Y$6:Y1495,Y1495)=1,Y1495,Y1495+COUNTIF($Y$5:Y1494,Y1495))</f>
        <v>490</v>
      </c>
      <c r="B1495" s="1">
        <f>IF(AND(Kisero_iv!$N$2=C1495,Kisero_iv!$K$5=$B$3,SUM(I1495:L1499)&lt;&gt;0,$B$4=YEAR(W1495)),B1494+1,0)</f>
        <v>0</v>
      </c>
      <c r="C1495" s="1">
        <f t="shared" si="87"/>
        <v>490</v>
      </c>
      <c r="D1495" s="102" t="str">
        <f t="shared" si="88"/>
        <v/>
      </c>
      <c r="E1495" s="44"/>
      <c r="F1495" s="45"/>
      <c r="G1495" s="45"/>
      <c r="H1495" s="45"/>
      <c r="I1495" s="46"/>
      <c r="J1495" s="111" t="str">
        <f>IF(AND(G1495&lt;&gt;"",ISERROR(VLOOKUP(G1495,Keszlet!$C$5:$H$200,6,FALSE))=FALSE),VLOOKUP(G1495,Keszlet!$C$5:$H$200,6,FALSE),"")</f>
        <v/>
      </c>
      <c r="K1495" s="106" t="str">
        <f>IF(AND(G1495&lt;&gt;"",ISERROR(VLOOKUP(G1495,Keszlet!$C$5:$G$200,5,FALSE))=FALSE),VLOOKUP(G1495,Keszlet!$C$5:$G$200,5,FALSE),"")</f>
        <v/>
      </c>
      <c r="L1495" s="106" t="str">
        <f t="shared" si="89"/>
        <v/>
      </c>
      <c r="M1495" s="115" t="str">
        <f>IF(ISERROR(VLOOKUP(G1495,Keszlet!$C$5:$I$200,7,FALSE))=TRUE,"",IF(AND(J1494&lt;&gt;"",J1496=""),VLOOKUP(G1495,Keszlet!$C$5:$I$200,7,FALSE),""))</f>
        <v/>
      </c>
      <c r="Q1495" s="1">
        <f>VLOOKUP(G1495,Keszlet!$C$5:$E$205,3,FALSE)</f>
        <v>0</v>
      </c>
      <c r="T1495" s="1" t="str">
        <f t="shared" si="90"/>
        <v/>
      </c>
      <c r="U1495" s="1">
        <f t="shared" si="91"/>
        <v>0</v>
      </c>
      <c r="W1495" s="6">
        <f t="shared" si="94"/>
        <v>0</v>
      </c>
      <c r="X1495" s="6">
        <f t="shared" si="86"/>
        <v>0</v>
      </c>
      <c r="Y1495" s="1">
        <f t="shared" si="92"/>
        <v>1</v>
      </c>
      <c r="Z1495" s="1">
        <f>IF(COUNTIF($Y$6:Y1495,Y1495)=1,Y1495,Y1495+COUNTIF($Y$5:Y1494,Y1495))</f>
        <v>490</v>
      </c>
      <c r="AD1495" s="1" t="str">
        <f t="shared" si="93"/>
        <v/>
      </c>
      <c r="BA1495" s="1">
        <f>IF(W1495&lt;=Leltar_iv!$Y$1,I1495,0)</f>
        <v>0</v>
      </c>
    </row>
    <row r="1496" spans="1:53" s="1" customFormat="1" x14ac:dyDescent="0.25">
      <c r="A1496" s="18">
        <f>IF(COUNTIF($Y$6:Y1496,Y1496)=1,Y1496,Y1496+COUNTIF($Y$5:Y1495,Y1496))</f>
        <v>491</v>
      </c>
      <c r="B1496" s="1">
        <f>IF(AND(Kisero_iv!$N$2=C1496,Kisero_iv!$K$5=$B$3,SUM(I1496:L1500)&lt;&gt;0,$B$4=YEAR(W1496)),B1495+1,0)</f>
        <v>0</v>
      </c>
      <c r="C1496" s="1">
        <f t="shared" si="87"/>
        <v>491</v>
      </c>
      <c r="D1496" s="102" t="str">
        <f t="shared" si="88"/>
        <v/>
      </c>
      <c r="E1496" s="44"/>
      <c r="F1496" s="45"/>
      <c r="G1496" s="45"/>
      <c r="H1496" s="45"/>
      <c r="I1496" s="46"/>
      <c r="J1496" s="111" t="str">
        <f>IF(AND(G1496&lt;&gt;"",ISERROR(VLOOKUP(G1496,Keszlet!$C$5:$H$200,6,FALSE))=FALSE),VLOOKUP(G1496,Keszlet!$C$5:$H$200,6,FALSE),"")</f>
        <v/>
      </c>
      <c r="K1496" s="106" t="str">
        <f>IF(AND(G1496&lt;&gt;"",ISERROR(VLOOKUP(G1496,Keszlet!$C$5:$G$200,5,FALSE))=FALSE),VLOOKUP(G1496,Keszlet!$C$5:$G$200,5,FALSE),"")</f>
        <v/>
      </c>
      <c r="L1496" s="106" t="str">
        <f t="shared" si="89"/>
        <v/>
      </c>
      <c r="M1496" s="115" t="str">
        <f>IF(ISERROR(VLOOKUP(G1496,Keszlet!$C$5:$I$200,7,FALSE))=TRUE,"",IF(AND(J1495&lt;&gt;"",J1497=""),VLOOKUP(G1496,Keszlet!$C$5:$I$200,7,FALSE),""))</f>
        <v/>
      </c>
      <c r="Q1496" s="1">
        <f>VLOOKUP(G1496,Keszlet!$C$5:$E$205,3,FALSE)</f>
        <v>0</v>
      </c>
      <c r="T1496" s="1" t="str">
        <f t="shared" si="90"/>
        <v/>
      </c>
      <c r="U1496" s="1">
        <f t="shared" si="91"/>
        <v>0</v>
      </c>
      <c r="W1496" s="6">
        <f t="shared" si="94"/>
        <v>0</v>
      </c>
      <c r="X1496" s="6">
        <f t="shared" si="86"/>
        <v>0</v>
      </c>
      <c r="Y1496" s="1">
        <f t="shared" si="92"/>
        <v>1</v>
      </c>
      <c r="Z1496" s="1">
        <f>IF(COUNTIF($Y$6:Y1496,Y1496)=1,Y1496,Y1496+COUNTIF($Y$5:Y1495,Y1496))</f>
        <v>491</v>
      </c>
      <c r="AD1496" s="1" t="str">
        <f t="shared" si="93"/>
        <v/>
      </c>
      <c r="BA1496" s="1">
        <f>IF(W1496&lt;=Leltar_iv!$Y$1,I1496,0)</f>
        <v>0</v>
      </c>
    </row>
    <row r="1497" spans="1:53" s="1" customFormat="1" x14ac:dyDescent="0.25">
      <c r="A1497" s="18">
        <f>IF(COUNTIF($Y$6:Y1497,Y1497)=1,Y1497,Y1497+COUNTIF($Y$5:Y1496,Y1497))</f>
        <v>492</v>
      </c>
      <c r="B1497" s="1">
        <f>IF(AND(Kisero_iv!$N$2=C1497,Kisero_iv!$K$5=$B$3,SUM(I1497:L1501)&lt;&gt;0,$B$4=YEAR(W1497)),B1496+1,0)</f>
        <v>0</v>
      </c>
      <c r="C1497" s="1">
        <f t="shared" si="87"/>
        <v>492</v>
      </c>
      <c r="D1497" s="102" t="str">
        <f t="shared" si="88"/>
        <v/>
      </c>
      <c r="E1497" s="44"/>
      <c r="F1497" s="45"/>
      <c r="G1497" s="45"/>
      <c r="H1497" s="45"/>
      <c r="I1497" s="46"/>
      <c r="J1497" s="111" t="str">
        <f>IF(AND(G1497&lt;&gt;"",ISERROR(VLOOKUP(G1497,Keszlet!$C$5:$H$200,6,FALSE))=FALSE),VLOOKUP(G1497,Keszlet!$C$5:$H$200,6,FALSE),"")</f>
        <v/>
      </c>
      <c r="K1497" s="106" t="str">
        <f>IF(AND(G1497&lt;&gt;"",ISERROR(VLOOKUP(G1497,Keszlet!$C$5:$G$200,5,FALSE))=FALSE),VLOOKUP(G1497,Keszlet!$C$5:$G$200,5,FALSE),"")</f>
        <v/>
      </c>
      <c r="L1497" s="106" t="str">
        <f t="shared" si="89"/>
        <v/>
      </c>
      <c r="M1497" s="115" t="str">
        <f>IF(ISERROR(VLOOKUP(G1497,Keszlet!$C$5:$I$200,7,FALSE))=TRUE,"",IF(AND(J1496&lt;&gt;"",J1498=""),VLOOKUP(G1497,Keszlet!$C$5:$I$200,7,FALSE),""))</f>
        <v/>
      </c>
      <c r="Q1497" s="1">
        <f>VLOOKUP(G1497,Keszlet!$C$5:$E$205,3,FALSE)</f>
        <v>0</v>
      </c>
      <c r="T1497" s="1" t="str">
        <f t="shared" si="90"/>
        <v/>
      </c>
      <c r="U1497" s="1">
        <f t="shared" si="91"/>
        <v>0</v>
      </c>
      <c r="W1497" s="6">
        <f t="shared" si="94"/>
        <v>0</v>
      </c>
      <c r="X1497" s="6">
        <f t="shared" si="86"/>
        <v>0</v>
      </c>
      <c r="Y1497" s="1">
        <f t="shared" si="92"/>
        <v>1</v>
      </c>
      <c r="Z1497" s="1">
        <f>IF(COUNTIF($Y$6:Y1497,Y1497)=1,Y1497,Y1497+COUNTIF($Y$5:Y1496,Y1497))</f>
        <v>492</v>
      </c>
      <c r="AD1497" s="1" t="str">
        <f t="shared" si="93"/>
        <v/>
      </c>
      <c r="BA1497" s="1">
        <f>IF(W1497&lt;=Leltar_iv!$Y$1,I1497,0)</f>
        <v>0</v>
      </c>
    </row>
    <row r="1498" spans="1:53" s="1" customFormat="1" x14ac:dyDescent="0.25">
      <c r="A1498" s="18">
        <f>IF(COUNTIF($Y$6:Y1498,Y1498)=1,Y1498,Y1498+COUNTIF($Y$5:Y1497,Y1498))</f>
        <v>493</v>
      </c>
      <c r="B1498" s="1">
        <f>IF(AND(Kisero_iv!$N$2=C1498,Kisero_iv!$K$5=$B$3,SUM(I1498:L1502)&lt;&gt;0,$B$4=YEAR(W1498)),B1497+1,0)</f>
        <v>0</v>
      </c>
      <c r="C1498" s="1">
        <f t="shared" si="87"/>
        <v>493</v>
      </c>
      <c r="D1498" s="102" t="str">
        <f t="shared" si="88"/>
        <v/>
      </c>
      <c r="E1498" s="44"/>
      <c r="F1498" s="45"/>
      <c r="G1498" s="45"/>
      <c r="H1498" s="45"/>
      <c r="I1498" s="46"/>
      <c r="J1498" s="111" t="str">
        <f>IF(AND(G1498&lt;&gt;"",ISERROR(VLOOKUP(G1498,Keszlet!$C$5:$H$200,6,FALSE))=FALSE),VLOOKUP(G1498,Keszlet!$C$5:$H$200,6,FALSE),"")</f>
        <v/>
      </c>
      <c r="K1498" s="106" t="str">
        <f>IF(AND(G1498&lt;&gt;"",ISERROR(VLOOKUP(G1498,Keszlet!$C$5:$G$200,5,FALSE))=FALSE),VLOOKUP(G1498,Keszlet!$C$5:$G$200,5,FALSE),"")</f>
        <v/>
      </c>
      <c r="L1498" s="106" t="str">
        <f t="shared" si="89"/>
        <v/>
      </c>
      <c r="M1498" s="115" t="str">
        <f>IF(ISERROR(VLOOKUP(G1498,Keszlet!$C$5:$I$200,7,FALSE))=TRUE,"",IF(AND(J1497&lt;&gt;"",J1499=""),VLOOKUP(G1498,Keszlet!$C$5:$I$200,7,FALSE),""))</f>
        <v/>
      </c>
      <c r="Q1498" s="1">
        <f>VLOOKUP(G1498,Keszlet!$C$5:$E$205,3,FALSE)</f>
        <v>0</v>
      </c>
      <c r="T1498" s="1" t="str">
        <f t="shared" si="90"/>
        <v/>
      </c>
      <c r="U1498" s="1">
        <f t="shared" si="91"/>
        <v>0</v>
      </c>
      <c r="W1498" s="6">
        <f t="shared" si="94"/>
        <v>0</v>
      </c>
      <c r="X1498" s="6">
        <f t="shared" si="86"/>
        <v>0</v>
      </c>
      <c r="Y1498" s="1">
        <f t="shared" si="92"/>
        <v>1</v>
      </c>
      <c r="Z1498" s="1">
        <f>IF(COUNTIF($Y$6:Y1498,Y1498)=1,Y1498,Y1498+COUNTIF($Y$5:Y1497,Y1498))</f>
        <v>493</v>
      </c>
      <c r="AD1498" s="1" t="str">
        <f t="shared" si="93"/>
        <v/>
      </c>
      <c r="BA1498" s="1">
        <f>IF(W1498&lt;=Leltar_iv!$Y$1,I1498,0)</f>
        <v>0</v>
      </c>
    </row>
    <row r="1499" spans="1:53" s="1" customFormat="1" x14ac:dyDescent="0.25">
      <c r="A1499" s="18">
        <f>IF(COUNTIF($Y$6:Y1499,Y1499)=1,Y1499,Y1499+COUNTIF($Y$5:Y1498,Y1499))</f>
        <v>494</v>
      </c>
      <c r="B1499" s="1">
        <f>IF(AND(Kisero_iv!$N$2=C1499,Kisero_iv!$K$5=$B$3,SUM(I1499:L1503)&lt;&gt;0,$B$4=YEAR(W1499)),B1498+1,0)</f>
        <v>0</v>
      </c>
      <c r="C1499" s="1">
        <f t="shared" si="87"/>
        <v>494</v>
      </c>
      <c r="D1499" s="102" t="str">
        <f t="shared" si="88"/>
        <v/>
      </c>
      <c r="E1499" s="44"/>
      <c r="F1499" s="45"/>
      <c r="G1499" s="45"/>
      <c r="H1499" s="45"/>
      <c r="I1499" s="46"/>
      <c r="J1499" s="111" t="str">
        <f>IF(AND(G1499&lt;&gt;"",ISERROR(VLOOKUP(G1499,Keszlet!$C$5:$H$200,6,FALSE))=FALSE),VLOOKUP(G1499,Keszlet!$C$5:$H$200,6,FALSE),"")</f>
        <v/>
      </c>
      <c r="K1499" s="106" t="str">
        <f>IF(AND(G1499&lt;&gt;"",ISERROR(VLOOKUP(G1499,Keszlet!$C$5:$G$200,5,FALSE))=FALSE),VLOOKUP(G1499,Keszlet!$C$5:$G$200,5,FALSE),"")</f>
        <v/>
      </c>
      <c r="L1499" s="106" t="str">
        <f t="shared" si="89"/>
        <v/>
      </c>
      <c r="M1499" s="115" t="str">
        <f>IF(ISERROR(VLOOKUP(G1499,Keszlet!$C$5:$I$200,7,FALSE))=TRUE,"",IF(AND(J1498&lt;&gt;"",J1500=""),VLOOKUP(G1499,Keszlet!$C$5:$I$200,7,FALSE),""))</f>
        <v/>
      </c>
      <c r="Q1499" s="1">
        <f>VLOOKUP(G1499,Keszlet!$C$5:$E$205,3,FALSE)</f>
        <v>0</v>
      </c>
      <c r="T1499" s="1" t="str">
        <f t="shared" si="90"/>
        <v/>
      </c>
      <c r="U1499" s="1">
        <f t="shared" si="91"/>
        <v>0</v>
      </c>
      <c r="W1499" s="6">
        <f t="shared" si="94"/>
        <v>0</v>
      </c>
      <c r="X1499" s="6">
        <f t="shared" si="86"/>
        <v>0</v>
      </c>
      <c r="Y1499" s="1">
        <f t="shared" si="92"/>
        <v>1</v>
      </c>
      <c r="Z1499" s="1">
        <f>IF(COUNTIF($Y$6:Y1499,Y1499)=1,Y1499,Y1499+COUNTIF($Y$5:Y1498,Y1499))</f>
        <v>494</v>
      </c>
      <c r="AD1499" s="1" t="str">
        <f t="shared" si="93"/>
        <v/>
      </c>
      <c r="BA1499" s="1">
        <f>IF(W1499&lt;=Leltar_iv!$Y$1,I1499,0)</f>
        <v>0</v>
      </c>
    </row>
    <row r="1500" spans="1:53" s="1" customFormat="1" x14ac:dyDescent="0.25">
      <c r="A1500" s="18">
        <f>IF(COUNTIF($Y$6:Y1500,Y1500)=1,Y1500,Y1500+COUNTIF($Y$5:Y1499,Y1500))</f>
        <v>495</v>
      </c>
      <c r="B1500" s="1">
        <f>IF(AND(Kisero_iv!$N$2=C1500,Kisero_iv!$K$5=$B$3,SUM(I1500:L1504)&lt;&gt;0,$B$4=YEAR(W1500)),B1499+1,0)</f>
        <v>0</v>
      </c>
      <c r="C1500" s="1">
        <f t="shared" si="87"/>
        <v>495</v>
      </c>
      <c r="D1500" s="102" t="str">
        <f t="shared" si="88"/>
        <v/>
      </c>
      <c r="E1500" s="44"/>
      <c r="F1500" s="45"/>
      <c r="G1500" s="45"/>
      <c r="H1500" s="45"/>
      <c r="I1500" s="46"/>
      <c r="J1500" s="111" t="str">
        <f>IF(AND(G1500&lt;&gt;"",ISERROR(VLOOKUP(G1500,Keszlet!$C$5:$H$200,6,FALSE))=FALSE),VLOOKUP(G1500,Keszlet!$C$5:$H$200,6,FALSE),"")</f>
        <v/>
      </c>
      <c r="K1500" s="106" t="str">
        <f>IF(AND(G1500&lt;&gt;"",ISERROR(VLOOKUP(G1500,Keszlet!$C$5:$G$200,5,FALSE))=FALSE),VLOOKUP(G1500,Keszlet!$C$5:$G$200,5,FALSE),"")</f>
        <v/>
      </c>
      <c r="L1500" s="106" t="str">
        <f t="shared" si="89"/>
        <v/>
      </c>
      <c r="M1500" s="115" t="str">
        <f>IF(ISERROR(VLOOKUP(G1500,Keszlet!$C$5:$I$200,7,FALSE))=TRUE,"",IF(AND(J1499&lt;&gt;"",J1501=""),VLOOKUP(G1500,Keszlet!$C$5:$I$200,7,FALSE),""))</f>
        <v/>
      </c>
      <c r="Q1500" s="1">
        <f>VLOOKUP(G1500,Keszlet!$C$5:$E$205,3,FALSE)</f>
        <v>0</v>
      </c>
      <c r="T1500" s="1" t="str">
        <f t="shared" si="90"/>
        <v/>
      </c>
      <c r="U1500" s="1">
        <f t="shared" si="91"/>
        <v>0</v>
      </c>
      <c r="W1500" s="6">
        <f t="shared" si="94"/>
        <v>0</v>
      </c>
      <c r="X1500" s="6">
        <f t="shared" si="86"/>
        <v>0</v>
      </c>
      <c r="Y1500" s="1">
        <f t="shared" si="92"/>
        <v>1</v>
      </c>
      <c r="Z1500" s="1">
        <f>IF(COUNTIF($Y$6:Y1500,Y1500)=1,Y1500,Y1500+COUNTIF($Y$5:Y1499,Y1500))</f>
        <v>495</v>
      </c>
      <c r="AD1500" s="1" t="str">
        <f t="shared" si="93"/>
        <v/>
      </c>
      <c r="BA1500" s="1">
        <f>IF(W1500&lt;=Leltar_iv!$Y$1,I1500,0)</f>
        <v>0</v>
      </c>
    </row>
    <row r="1501" spans="1:53" s="1" customFormat="1" x14ac:dyDescent="0.25">
      <c r="A1501" s="18">
        <f>IF(COUNTIF($Y$6:Y1501,Y1501)=1,Y1501,Y1501+COUNTIF($Y$5:Y1500,Y1501))</f>
        <v>496</v>
      </c>
      <c r="B1501" s="1">
        <f>IF(AND(Kisero_iv!$N$2=C1501,Kisero_iv!$K$5=$B$3,SUM(I1501:L1505)&lt;&gt;0,$B$4=YEAR(W1501)),B1500+1,0)</f>
        <v>0</v>
      </c>
      <c r="C1501" s="1">
        <f t="shared" si="87"/>
        <v>496</v>
      </c>
      <c r="D1501" s="102" t="str">
        <f t="shared" si="88"/>
        <v/>
      </c>
      <c r="E1501" s="44"/>
      <c r="F1501" s="45"/>
      <c r="G1501" s="45"/>
      <c r="H1501" s="45"/>
      <c r="I1501" s="46"/>
      <c r="J1501" s="111" t="str">
        <f>IF(AND(G1501&lt;&gt;"",ISERROR(VLOOKUP(G1501,Keszlet!$C$5:$H$200,6,FALSE))=FALSE),VLOOKUP(G1501,Keszlet!$C$5:$H$200,6,FALSE),"")</f>
        <v/>
      </c>
      <c r="K1501" s="106" t="str">
        <f>IF(AND(G1501&lt;&gt;"",ISERROR(VLOOKUP(G1501,Keszlet!$C$5:$G$200,5,FALSE))=FALSE),VLOOKUP(G1501,Keszlet!$C$5:$G$200,5,FALSE),"")</f>
        <v/>
      </c>
      <c r="L1501" s="106" t="str">
        <f t="shared" si="89"/>
        <v/>
      </c>
      <c r="M1501" s="115" t="str">
        <f>IF(ISERROR(VLOOKUP(G1501,Keszlet!$C$5:$I$200,7,FALSE))=TRUE,"",IF(AND(J1500&lt;&gt;"",J1502=""),VLOOKUP(G1501,Keszlet!$C$5:$I$200,7,FALSE),""))</f>
        <v/>
      </c>
      <c r="Q1501" s="1">
        <f>VLOOKUP(G1501,Keszlet!$C$5:$E$205,3,FALSE)</f>
        <v>0</v>
      </c>
      <c r="T1501" s="1" t="str">
        <f t="shared" si="90"/>
        <v/>
      </c>
      <c r="U1501" s="1">
        <f t="shared" si="91"/>
        <v>0</v>
      </c>
      <c r="W1501" s="6">
        <f t="shared" si="94"/>
        <v>0</v>
      </c>
      <c r="X1501" s="6">
        <f t="shared" si="86"/>
        <v>0</v>
      </c>
      <c r="Y1501" s="1">
        <f t="shared" si="92"/>
        <v>1</v>
      </c>
      <c r="Z1501" s="1">
        <f>IF(COUNTIF($Y$6:Y1501,Y1501)=1,Y1501,Y1501+COUNTIF($Y$5:Y1500,Y1501))</f>
        <v>496</v>
      </c>
      <c r="AD1501" s="1" t="str">
        <f t="shared" si="93"/>
        <v/>
      </c>
      <c r="BA1501" s="1">
        <f>IF(W1501&lt;=Leltar_iv!$Y$1,I1501,0)</f>
        <v>0</v>
      </c>
    </row>
    <row r="1502" spans="1:53" s="1" customFormat="1" x14ac:dyDescent="0.25">
      <c r="A1502" s="18">
        <f>IF(COUNTIF($Y$6:Y1502,Y1502)=1,Y1502,Y1502+COUNTIF($Y$5:Y1501,Y1502))</f>
        <v>497</v>
      </c>
      <c r="B1502" s="1">
        <f>IF(AND(Kisero_iv!$N$2=C1502,Kisero_iv!$K$5=$B$3,SUM(I1502:L1506)&lt;&gt;0,$B$4=YEAR(W1502)),B1501+1,0)</f>
        <v>0</v>
      </c>
      <c r="C1502" s="1">
        <f t="shared" si="87"/>
        <v>497</v>
      </c>
      <c r="D1502" s="102" t="str">
        <f t="shared" si="88"/>
        <v/>
      </c>
      <c r="E1502" s="44"/>
      <c r="F1502" s="45"/>
      <c r="G1502" s="45"/>
      <c r="H1502" s="45"/>
      <c r="I1502" s="46"/>
      <c r="J1502" s="111" t="str">
        <f>IF(AND(G1502&lt;&gt;"",ISERROR(VLOOKUP(G1502,Keszlet!$C$5:$H$200,6,FALSE))=FALSE),VLOOKUP(G1502,Keszlet!$C$5:$H$200,6,FALSE),"")</f>
        <v/>
      </c>
      <c r="K1502" s="106" t="str">
        <f>IF(AND(G1502&lt;&gt;"",ISERROR(VLOOKUP(G1502,Keszlet!$C$5:$G$200,5,FALSE))=FALSE),VLOOKUP(G1502,Keszlet!$C$5:$G$200,5,FALSE),"")</f>
        <v/>
      </c>
      <c r="L1502" s="106" t="str">
        <f t="shared" si="89"/>
        <v/>
      </c>
      <c r="M1502" s="115" t="str">
        <f>IF(ISERROR(VLOOKUP(G1502,Keszlet!$C$5:$I$200,7,FALSE))=TRUE,"",IF(AND(J1501&lt;&gt;"",J1503=""),VLOOKUP(G1502,Keszlet!$C$5:$I$200,7,FALSE),""))</f>
        <v/>
      </c>
      <c r="Q1502" s="1">
        <f>VLOOKUP(G1502,Keszlet!$C$5:$E$205,3,FALSE)</f>
        <v>0</v>
      </c>
      <c r="T1502" s="1" t="str">
        <f t="shared" si="90"/>
        <v/>
      </c>
      <c r="U1502" s="1">
        <f t="shared" si="91"/>
        <v>0</v>
      </c>
      <c r="W1502" s="6">
        <f t="shared" si="94"/>
        <v>0</v>
      </c>
      <c r="X1502" s="6">
        <f t="shared" si="86"/>
        <v>0</v>
      </c>
      <c r="Y1502" s="1">
        <f t="shared" si="92"/>
        <v>1</v>
      </c>
      <c r="Z1502" s="1">
        <f>IF(COUNTIF($Y$6:Y1502,Y1502)=1,Y1502,Y1502+COUNTIF($Y$5:Y1501,Y1502))</f>
        <v>497</v>
      </c>
      <c r="AD1502" s="1" t="str">
        <f t="shared" si="93"/>
        <v/>
      </c>
      <c r="BA1502" s="1">
        <f>IF(W1502&lt;=Leltar_iv!$Y$1,I1502,0)</f>
        <v>0</v>
      </c>
    </row>
    <row r="1503" spans="1:53" s="1" customFormat="1" x14ac:dyDescent="0.25">
      <c r="A1503" s="18">
        <f>IF(COUNTIF($Y$6:Y1503,Y1503)=1,Y1503,Y1503+COUNTIF($Y$5:Y1502,Y1503))</f>
        <v>498</v>
      </c>
      <c r="B1503" s="1">
        <f>IF(AND(Kisero_iv!$N$2=C1503,Kisero_iv!$K$5=$B$3,SUM(I1503:L1507)&lt;&gt;0,$B$4=YEAR(W1503)),B1502+1,0)</f>
        <v>0</v>
      </c>
      <c r="C1503" s="1">
        <f t="shared" si="87"/>
        <v>498</v>
      </c>
      <c r="D1503" s="102" t="str">
        <f t="shared" si="88"/>
        <v/>
      </c>
      <c r="E1503" s="44"/>
      <c r="F1503" s="45"/>
      <c r="G1503" s="45"/>
      <c r="H1503" s="45"/>
      <c r="I1503" s="46"/>
      <c r="J1503" s="111" t="str">
        <f>IF(AND(G1503&lt;&gt;"",ISERROR(VLOOKUP(G1503,Keszlet!$C$5:$H$200,6,FALSE))=FALSE),VLOOKUP(G1503,Keszlet!$C$5:$H$200,6,FALSE),"")</f>
        <v/>
      </c>
      <c r="K1503" s="106" t="str">
        <f>IF(AND(G1503&lt;&gt;"",ISERROR(VLOOKUP(G1503,Keszlet!$C$5:$G$200,5,FALSE))=FALSE),VLOOKUP(G1503,Keszlet!$C$5:$G$200,5,FALSE),"")</f>
        <v/>
      </c>
      <c r="L1503" s="106" t="str">
        <f t="shared" si="89"/>
        <v/>
      </c>
      <c r="M1503" s="115" t="str">
        <f>IF(ISERROR(VLOOKUP(G1503,Keszlet!$C$5:$I$200,7,FALSE))=TRUE,"",IF(AND(J1502&lt;&gt;"",J1504=""),VLOOKUP(G1503,Keszlet!$C$5:$I$200,7,FALSE),""))</f>
        <v/>
      </c>
      <c r="Q1503" s="1">
        <f>VLOOKUP(G1503,Keszlet!$C$5:$E$205,3,FALSE)</f>
        <v>0</v>
      </c>
      <c r="T1503" s="1" t="str">
        <f t="shared" si="90"/>
        <v/>
      </c>
      <c r="U1503" s="1">
        <f t="shared" si="91"/>
        <v>0</v>
      </c>
      <c r="W1503" s="6">
        <f t="shared" si="94"/>
        <v>0</v>
      </c>
      <c r="X1503" s="6">
        <f t="shared" si="86"/>
        <v>0</v>
      </c>
      <c r="Y1503" s="1">
        <f t="shared" si="92"/>
        <v>1</v>
      </c>
      <c r="Z1503" s="1">
        <f>IF(COUNTIF($Y$6:Y1503,Y1503)=1,Y1503,Y1503+COUNTIF($Y$5:Y1502,Y1503))</f>
        <v>498</v>
      </c>
      <c r="AD1503" s="1" t="str">
        <f t="shared" si="93"/>
        <v/>
      </c>
      <c r="BA1503" s="1">
        <f>IF(W1503&lt;=Leltar_iv!$Y$1,I1503,0)</f>
        <v>0</v>
      </c>
    </row>
    <row r="1504" spans="1:53" s="1" customFormat="1" x14ac:dyDescent="0.25">
      <c r="A1504" s="18">
        <f>IF(COUNTIF($Y$6:Y1504,Y1504)=1,Y1504,Y1504+COUNTIF($Y$5:Y1503,Y1504))</f>
        <v>499</v>
      </c>
      <c r="B1504" s="1">
        <f>IF(AND(Kisero_iv!$N$2=C1504,Kisero_iv!$K$5=$B$3,SUM(I1504:L1508)&lt;&gt;0,$B$4=YEAR(W1504)),B1503+1,0)</f>
        <v>0</v>
      </c>
      <c r="C1504" s="1">
        <f t="shared" si="87"/>
        <v>499</v>
      </c>
      <c r="D1504" s="102" t="str">
        <f t="shared" si="88"/>
        <v/>
      </c>
      <c r="E1504" s="44"/>
      <c r="F1504" s="45"/>
      <c r="G1504" s="45"/>
      <c r="H1504" s="45"/>
      <c r="I1504" s="46"/>
      <c r="J1504" s="111" t="str">
        <f>IF(AND(G1504&lt;&gt;"",ISERROR(VLOOKUP(G1504,Keszlet!$C$5:$H$200,6,FALSE))=FALSE),VLOOKUP(G1504,Keszlet!$C$5:$H$200,6,FALSE),"")</f>
        <v/>
      </c>
      <c r="K1504" s="106" t="str">
        <f>IF(AND(G1504&lt;&gt;"",ISERROR(VLOOKUP(G1504,Keszlet!$C$5:$G$200,5,FALSE))=FALSE),VLOOKUP(G1504,Keszlet!$C$5:$G$200,5,FALSE),"")</f>
        <v/>
      </c>
      <c r="L1504" s="106" t="str">
        <f t="shared" si="89"/>
        <v/>
      </c>
      <c r="M1504" s="115" t="str">
        <f>IF(ISERROR(VLOOKUP(G1504,Keszlet!$C$5:$I$200,7,FALSE))=TRUE,"",IF(AND(J1503&lt;&gt;"",J1505=""),VLOOKUP(G1504,Keszlet!$C$5:$I$200,7,FALSE),""))</f>
        <v/>
      </c>
      <c r="Q1504" s="1">
        <f>VLOOKUP(G1504,Keszlet!$C$5:$E$205,3,FALSE)</f>
        <v>0</v>
      </c>
      <c r="T1504" s="1" t="str">
        <f t="shared" si="90"/>
        <v/>
      </c>
      <c r="U1504" s="1">
        <f t="shared" si="91"/>
        <v>0</v>
      </c>
      <c r="W1504" s="6">
        <f t="shared" si="94"/>
        <v>0</v>
      </c>
      <c r="X1504" s="6">
        <f t="shared" si="86"/>
        <v>0</v>
      </c>
      <c r="Y1504" s="1">
        <f t="shared" si="92"/>
        <v>1</v>
      </c>
      <c r="Z1504" s="1">
        <f>IF(COUNTIF($Y$6:Y1504,Y1504)=1,Y1504,Y1504+COUNTIF($Y$5:Y1503,Y1504))</f>
        <v>499</v>
      </c>
      <c r="AD1504" s="1" t="str">
        <f t="shared" si="93"/>
        <v/>
      </c>
      <c r="BA1504" s="1">
        <f>IF(W1504&lt;=Leltar_iv!$Y$1,I1504,0)</f>
        <v>0</v>
      </c>
    </row>
    <row r="1505" spans="1:53" s="1" customFormat="1" x14ac:dyDescent="0.25">
      <c r="A1505" s="18">
        <f>IF(COUNTIF($Y$6:Y1505,Y1505)=1,Y1505,Y1505+COUNTIF($Y$5:Y1504,Y1505))</f>
        <v>500</v>
      </c>
      <c r="B1505" s="1">
        <f>IF(AND(Kisero_iv!$N$2=C1505,Kisero_iv!$K$5=$B$3,SUM(I1505:L1509)&lt;&gt;0,$B$4=YEAR(W1505)),B1504+1,0)</f>
        <v>0</v>
      </c>
      <c r="C1505" s="1">
        <f t="shared" si="87"/>
        <v>500</v>
      </c>
      <c r="D1505" s="102" t="str">
        <f t="shared" si="88"/>
        <v/>
      </c>
      <c r="E1505" s="44"/>
      <c r="F1505" s="45"/>
      <c r="G1505" s="45"/>
      <c r="H1505" s="45"/>
      <c r="I1505" s="46"/>
      <c r="J1505" s="111" t="str">
        <f>IF(AND(G1505&lt;&gt;"",ISERROR(VLOOKUP(G1505,Keszlet!$C$5:$H$200,6,FALSE))=FALSE),VLOOKUP(G1505,Keszlet!$C$5:$H$200,6,FALSE),"")</f>
        <v/>
      </c>
      <c r="K1505" s="106" t="str">
        <f>IF(AND(G1505&lt;&gt;"",ISERROR(VLOOKUP(G1505,Keszlet!$C$5:$G$200,5,FALSE))=FALSE),VLOOKUP(G1505,Keszlet!$C$5:$G$200,5,FALSE),"")</f>
        <v/>
      </c>
      <c r="L1505" s="106" t="str">
        <f t="shared" si="89"/>
        <v/>
      </c>
      <c r="M1505" s="115" t="str">
        <f>IF(ISERROR(VLOOKUP(G1505,Keszlet!$C$5:$I$200,7,FALSE))=TRUE,"",IF(AND(J1504&lt;&gt;"",J1506=""),VLOOKUP(G1505,Keszlet!$C$5:$I$200,7,FALSE),""))</f>
        <v/>
      </c>
      <c r="Q1505" s="1">
        <f>VLOOKUP(G1505,Keszlet!$C$5:$E$205,3,FALSE)</f>
        <v>0</v>
      </c>
      <c r="T1505" s="1" t="str">
        <f t="shared" si="90"/>
        <v/>
      </c>
      <c r="U1505" s="1">
        <f t="shared" si="91"/>
        <v>0</v>
      </c>
      <c r="W1505" s="6">
        <f t="shared" si="94"/>
        <v>0</v>
      </c>
      <c r="X1505" s="6">
        <f t="shared" si="86"/>
        <v>0</v>
      </c>
      <c r="Y1505" s="1">
        <f t="shared" si="92"/>
        <v>1</v>
      </c>
      <c r="Z1505" s="1">
        <f>IF(COUNTIF($Y$6:Y1505,Y1505)=1,Y1505,Y1505+COUNTIF($Y$5:Y1504,Y1505))</f>
        <v>500</v>
      </c>
      <c r="AD1505" s="1" t="str">
        <f t="shared" si="93"/>
        <v/>
      </c>
      <c r="BA1505" s="1">
        <f>IF(W1505&lt;=Leltar_iv!$Y$1,I1505,0)</f>
        <v>0</v>
      </c>
    </row>
    <row r="1506" spans="1:53" s="1" customFormat="1" x14ac:dyDescent="0.25">
      <c r="A1506" s="18">
        <f>IF(COUNTIF($Y$6:Y1506,Y1506)=1,Y1506,Y1506+COUNTIF($Y$5:Y1505,Y1506))</f>
        <v>501</v>
      </c>
      <c r="B1506" s="1">
        <f>IF(AND(Kisero_iv!$N$2=C1506,Kisero_iv!$K$5=$B$3,SUM(I1506:L1510)&lt;&gt;0,$B$4=YEAR(W1506)),B1505+1,0)</f>
        <v>0</v>
      </c>
      <c r="C1506" s="1">
        <f t="shared" si="87"/>
        <v>501</v>
      </c>
      <c r="D1506" s="102" t="str">
        <f t="shared" si="88"/>
        <v/>
      </c>
      <c r="E1506" s="44"/>
      <c r="F1506" s="45"/>
      <c r="G1506" s="45"/>
      <c r="H1506" s="45"/>
      <c r="I1506" s="46"/>
      <c r="J1506" s="111" t="str">
        <f>IF(AND(G1506&lt;&gt;"",ISERROR(VLOOKUP(G1506,Keszlet!$C$5:$H$200,6,FALSE))=FALSE),VLOOKUP(G1506,Keszlet!$C$5:$H$200,6,FALSE),"")</f>
        <v/>
      </c>
      <c r="K1506" s="106" t="str">
        <f>IF(AND(G1506&lt;&gt;"",ISERROR(VLOOKUP(G1506,Keszlet!$C$5:$G$200,5,FALSE))=FALSE),VLOOKUP(G1506,Keszlet!$C$5:$G$200,5,FALSE),"")</f>
        <v/>
      </c>
      <c r="L1506" s="106" t="str">
        <f t="shared" si="89"/>
        <v/>
      </c>
      <c r="M1506" s="115" t="str">
        <f>IF(ISERROR(VLOOKUP(G1506,Keszlet!$C$5:$I$200,7,FALSE))=TRUE,"",IF(AND(J1505&lt;&gt;"",J1507=""),VLOOKUP(G1506,Keszlet!$C$5:$I$200,7,FALSE),""))</f>
        <v/>
      </c>
      <c r="Q1506" s="1">
        <f>VLOOKUP(G1506,Keszlet!$C$5:$E$205,3,FALSE)</f>
        <v>0</v>
      </c>
      <c r="T1506" s="1" t="str">
        <f t="shared" si="90"/>
        <v/>
      </c>
      <c r="U1506" s="1">
        <f t="shared" si="91"/>
        <v>0</v>
      </c>
      <c r="W1506" s="6">
        <f t="shared" si="94"/>
        <v>0</v>
      </c>
      <c r="X1506" s="6">
        <f t="shared" si="86"/>
        <v>0</v>
      </c>
      <c r="Y1506" s="1">
        <f t="shared" si="92"/>
        <v>1</v>
      </c>
      <c r="Z1506" s="1">
        <f>IF(COUNTIF($Y$6:Y1506,Y1506)=1,Y1506,Y1506+COUNTIF($Y$5:Y1505,Y1506))</f>
        <v>501</v>
      </c>
      <c r="AD1506" s="1" t="str">
        <f t="shared" si="93"/>
        <v/>
      </c>
      <c r="BA1506" s="1">
        <f>IF(W1506&lt;=Leltar_iv!$Y$1,I1506,0)</f>
        <v>0</v>
      </c>
    </row>
    <row r="1507" spans="1:53" s="1" customFormat="1" x14ac:dyDescent="0.25">
      <c r="A1507" s="18">
        <f>IF(COUNTIF($Y$6:Y1507,Y1507)=1,Y1507,Y1507+COUNTIF($Y$5:Y1506,Y1507))</f>
        <v>502</v>
      </c>
      <c r="B1507" s="1">
        <f>IF(AND(Kisero_iv!$N$2=C1507,Kisero_iv!$K$5=$B$3,SUM(I1507:L1511)&lt;&gt;0,$B$4=YEAR(W1507)),B1506+1,0)</f>
        <v>0</v>
      </c>
      <c r="C1507" s="1">
        <f t="shared" si="87"/>
        <v>502</v>
      </c>
      <c r="D1507" s="102" t="str">
        <f t="shared" si="88"/>
        <v/>
      </c>
      <c r="E1507" s="44"/>
      <c r="F1507" s="45"/>
      <c r="G1507" s="45"/>
      <c r="H1507" s="45"/>
      <c r="I1507" s="46"/>
      <c r="J1507" s="111" t="str">
        <f>IF(AND(G1507&lt;&gt;"",ISERROR(VLOOKUP(G1507,Keszlet!$C$5:$H$200,6,FALSE))=FALSE),VLOOKUP(G1507,Keszlet!$C$5:$H$200,6,FALSE),"")</f>
        <v/>
      </c>
      <c r="K1507" s="106" t="str">
        <f>IF(AND(G1507&lt;&gt;"",ISERROR(VLOOKUP(G1507,Keszlet!$C$5:$G$200,5,FALSE))=FALSE),VLOOKUP(G1507,Keszlet!$C$5:$G$200,5,FALSE),"")</f>
        <v/>
      </c>
      <c r="L1507" s="106" t="str">
        <f t="shared" si="89"/>
        <v/>
      </c>
      <c r="M1507" s="115" t="str">
        <f>IF(ISERROR(VLOOKUP(G1507,Keszlet!$C$5:$I$200,7,FALSE))=TRUE,"",IF(AND(J1506&lt;&gt;"",J1508=""),VLOOKUP(G1507,Keszlet!$C$5:$I$200,7,FALSE),""))</f>
        <v/>
      </c>
      <c r="Q1507" s="1">
        <f>VLOOKUP(G1507,Keszlet!$C$5:$E$205,3,FALSE)</f>
        <v>0</v>
      </c>
      <c r="T1507" s="1" t="str">
        <f t="shared" si="90"/>
        <v/>
      </c>
      <c r="U1507" s="1">
        <f t="shared" si="91"/>
        <v>0</v>
      </c>
      <c r="W1507" s="6">
        <f t="shared" si="94"/>
        <v>0</v>
      </c>
      <c r="X1507" s="6">
        <f t="shared" si="86"/>
        <v>0</v>
      </c>
      <c r="Y1507" s="1">
        <f t="shared" si="92"/>
        <v>1</v>
      </c>
      <c r="Z1507" s="1">
        <f>IF(COUNTIF($Y$6:Y1507,Y1507)=1,Y1507,Y1507+COUNTIF($Y$5:Y1506,Y1507))</f>
        <v>502</v>
      </c>
      <c r="AD1507" s="1" t="str">
        <f t="shared" si="93"/>
        <v/>
      </c>
      <c r="BA1507" s="1">
        <f>IF(W1507&lt;=Leltar_iv!$Y$1,I1507,0)</f>
        <v>0</v>
      </c>
    </row>
    <row r="1508" spans="1:53" s="1" customFormat="1" x14ac:dyDescent="0.25">
      <c r="A1508" s="18">
        <f>IF(COUNTIF($Y$6:Y1508,Y1508)=1,Y1508,Y1508+COUNTIF($Y$5:Y1507,Y1508))</f>
        <v>503</v>
      </c>
      <c r="B1508" s="1">
        <f>IF(AND(Kisero_iv!$N$2=C1508,Kisero_iv!$K$5=$B$3,SUM(I1508:L1512)&lt;&gt;0,$B$4=YEAR(W1508)),B1507+1,0)</f>
        <v>0</v>
      </c>
      <c r="C1508" s="1">
        <f t="shared" si="87"/>
        <v>503</v>
      </c>
      <c r="D1508" s="102" t="str">
        <f t="shared" si="88"/>
        <v/>
      </c>
      <c r="E1508" s="44"/>
      <c r="F1508" s="45"/>
      <c r="G1508" s="45"/>
      <c r="H1508" s="45"/>
      <c r="I1508" s="46"/>
      <c r="J1508" s="111" t="str">
        <f>IF(AND(G1508&lt;&gt;"",ISERROR(VLOOKUP(G1508,Keszlet!$C$5:$H$200,6,FALSE))=FALSE),VLOOKUP(G1508,Keszlet!$C$5:$H$200,6,FALSE),"")</f>
        <v/>
      </c>
      <c r="K1508" s="106" t="str">
        <f>IF(AND(G1508&lt;&gt;"",ISERROR(VLOOKUP(G1508,Keszlet!$C$5:$G$200,5,FALSE))=FALSE),VLOOKUP(G1508,Keszlet!$C$5:$G$200,5,FALSE),"")</f>
        <v/>
      </c>
      <c r="L1508" s="106" t="str">
        <f t="shared" si="89"/>
        <v/>
      </c>
      <c r="M1508" s="115" t="str">
        <f>IF(ISERROR(VLOOKUP(G1508,Keszlet!$C$5:$I$200,7,FALSE))=TRUE,"",IF(AND(J1507&lt;&gt;"",J1509=""),VLOOKUP(G1508,Keszlet!$C$5:$I$200,7,FALSE),""))</f>
        <v/>
      </c>
      <c r="Q1508" s="1">
        <f>VLOOKUP(G1508,Keszlet!$C$5:$E$205,3,FALSE)</f>
        <v>0</v>
      </c>
      <c r="T1508" s="1" t="str">
        <f t="shared" si="90"/>
        <v/>
      </c>
      <c r="U1508" s="1">
        <f t="shared" si="91"/>
        <v>0</v>
      </c>
      <c r="W1508" s="6">
        <f t="shared" si="94"/>
        <v>0</v>
      </c>
      <c r="X1508" s="6">
        <f t="shared" si="86"/>
        <v>0</v>
      </c>
      <c r="Y1508" s="1">
        <f t="shared" si="92"/>
        <v>1</v>
      </c>
      <c r="Z1508" s="1">
        <f>IF(COUNTIF($Y$6:Y1508,Y1508)=1,Y1508,Y1508+COUNTIF($Y$5:Y1507,Y1508))</f>
        <v>503</v>
      </c>
      <c r="AD1508" s="1" t="str">
        <f t="shared" si="93"/>
        <v/>
      </c>
      <c r="BA1508" s="1">
        <f>IF(W1508&lt;=Leltar_iv!$Y$1,I1508,0)</f>
        <v>0</v>
      </c>
    </row>
    <row r="1509" spans="1:53" s="1" customFormat="1" x14ac:dyDescent="0.25">
      <c r="A1509" s="18">
        <f>IF(COUNTIF($Y$6:Y1509,Y1509)=1,Y1509,Y1509+COUNTIF($Y$5:Y1508,Y1509))</f>
        <v>504</v>
      </c>
      <c r="B1509" s="1">
        <f>IF(AND(Kisero_iv!$N$2=C1509,Kisero_iv!$K$5=$B$3,SUM(I1509:L1513)&lt;&gt;0,$B$4=YEAR(W1509)),B1508+1,0)</f>
        <v>0</v>
      </c>
      <c r="C1509" s="1">
        <f t="shared" si="87"/>
        <v>504</v>
      </c>
      <c r="D1509" s="102" t="str">
        <f t="shared" si="88"/>
        <v/>
      </c>
      <c r="E1509" s="44"/>
      <c r="F1509" s="45"/>
      <c r="G1509" s="45"/>
      <c r="H1509" s="45"/>
      <c r="I1509" s="46"/>
      <c r="J1509" s="111" t="str">
        <f>IF(AND(G1509&lt;&gt;"",ISERROR(VLOOKUP(G1509,Keszlet!$C$5:$H$200,6,FALSE))=FALSE),VLOOKUP(G1509,Keszlet!$C$5:$H$200,6,FALSE),"")</f>
        <v/>
      </c>
      <c r="K1509" s="106" t="str">
        <f>IF(AND(G1509&lt;&gt;"",ISERROR(VLOOKUP(G1509,Keszlet!$C$5:$G$200,5,FALSE))=FALSE),VLOOKUP(G1509,Keszlet!$C$5:$G$200,5,FALSE),"")</f>
        <v/>
      </c>
      <c r="L1509" s="106" t="str">
        <f t="shared" si="89"/>
        <v/>
      </c>
      <c r="M1509" s="115" t="str">
        <f>IF(ISERROR(VLOOKUP(G1509,Keszlet!$C$5:$I$200,7,FALSE))=TRUE,"",IF(AND(J1508&lt;&gt;"",J1510=""),VLOOKUP(G1509,Keszlet!$C$5:$I$200,7,FALSE),""))</f>
        <v/>
      </c>
      <c r="Q1509" s="1">
        <f>VLOOKUP(G1509,Keszlet!$C$5:$E$205,3,FALSE)</f>
        <v>0</v>
      </c>
      <c r="T1509" s="1" t="str">
        <f t="shared" si="90"/>
        <v/>
      </c>
      <c r="U1509" s="1">
        <f t="shared" si="91"/>
        <v>0</v>
      </c>
      <c r="W1509" s="6">
        <f t="shared" si="94"/>
        <v>0</v>
      </c>
      <c r="X1509" s="6">
        <f t="shared" si="86"/>
        <v>0</v>
      </c>
      <c r="Y1509" s="1">
        <f t="shared" si="92"/>
        <v>1</v>
      </c>
      <c r="Z1509" s="1">
        <f>IF(COUNTIF($Y$6:Y1509,Y1509)=1,Y1509,Y1509+COUNTIF($Y$5:Y1508,Y1509))</f>
        <v>504</v>
      </c>
      <c r="AD1509" s="1" t="str">
        <f t="shared" si="93"/>
        <v/>
      </c>
      <c r="BA1509" s="1">
        <f>IF(W1509&lt;=Leltar_iv!$Y$1,I1509,0)</f>
        <v>0</v>
      </c>
    </row>
    <row r="1510" spans="1:53" s="1" customFormat="1" x14ac:dyDescent="0.25">
      <c r="A1510" s="18">
        <f>IF(COUNTIF($Y$6:Y1510,Y1510)=1,Y1510,Y1510+COUNTIF($Y$5:Y1509,Y1510))</f>
        <v>505</v>
      </c>
      <c r="B1510" s="1">
        <f>IF(AND(Kisero_iv!$N$2=C1510,Kisero_iv!$K$5=$B$3,SUM(I1510:L1514)&lt;&gt;0,$B$4=YEAR(W1510)),B1509+1,0)</f>
        <v>0</v>
      </c>
      <c r="C1510" s="1">
        <f t="shared" si="87"/>
        <v>505</v>
      </c>
      <c r="D1510" s="102" t="str">
        <f t="shared" si="88"/>
        <v/>
      </c>
      <c r="E1510" s="44"/>
      <c r="F1510" s="45"/>
      <c r="G1510" s="45"/>
      <c r="H1510" s="45"/>
      <c r="I1510" s="46"/>
      <c r="J1510" s="111" t="str">
        <f>IF(AND(G1510&lt;&gt;"",ISERROR(VLOOKUP(G1510,Keszlet!$C$5:$H$200,6,FALSE))=FALSE),VLOOKUP(G1510,Keszlet!$C$5:$H$200,6,FALSE),"")</f>
        <v/>
      </c>
      <c r="K1510" s="106" t="str">
        <f>IF(AND(G1510&lt;&gt;"",ISERROR(VLOOKUP(G1510,Keszlet!$C$5:$G$200,5,FALSE))=FALSE),VLOOKUP(G1510,Keszlet!$C$5:$G$200,5,FALSE),"")</f>
        <v/>
      </c>
      <c r="L1510" s="106" t="str">
        <f t="shared" si="89"/>
        <v/>
      </c>
      <c r="M1510" s="115" t="str">
        <f>IF(ISERROR(VLOOKUP(G1510,Keszlet!$C$5:$I$200,7,FALSE))=TRUE,"",IF(AND(J1509&lt;&gt;"",J1511=""),VLOOKUP(G1510,Keszlet!$C$5:$I$200,7,FALSE),""))</f>
        <v/>
      </c>
      <c r="Q1510" s="1">
        <f>VLOOKUP(G1510,Keszlet!$C$5:$E$205,3,FALSE)</f>
        <v>0</v>
      </c>
      <c r="T1510" s="1" t="str">
        <f t="shared" si="90"/>
        <v/>
      </c>
      <c r="U1510" s="1">
        <f t="shared" si="91"/>
        <v>0</v>
      </c>
      <c r="W1510" s="6">
        <f t="shared" si="94"/>
        <v>0</v>
      </c>
      <c r="X1510" s="6">
        <f t="shared" si="86"/>
        <v>0</v>
      </c>
      <c r="Y1510" s="1">
        <f t="shared" si="92"/>
        <v>1</v>
      </c>
      <c r="Z1510" s="1">
        <f>IF(COUNTIF($Y$6:Y1510,Y1510)=1,Y1510,Y1510+COUNTIF($Y$5:Y1509,Y1510))</f>
        <v>505</v>
      </c>
      <c r="AD1510" s="1" t="str">
        <f t="shared" si="93"/>
        <v/>
      </c>
      <c r="BA1510" s="1">
        <f>IF(W1510&lt;=Leltar_iv!$Y$1,I1510,0)</f>
        <v>0</v>
      </c>
    </row>
    <row r="1511" spans="1:53" s="1" customFormat="1" x14ac:dyDescent="0.25">
      <c r="A1511" s="18">
        <f>IF(COUNTIF($Y$6:Y1511,Y1511)=1,Y1511,Y1511+COUNTIF($Y$5:Y1510,Y1511))</f>
        <v>506</v>
      </c>
      <c r="B1511" s="1">
        <f>IF(AND(Kisero_iv!$N$2=C1511,Kisero_iv!$K$5=$B$3,SUM(I1511:L1515)&lt;&gt;0,$B$4=YEAR(W1511)),B1510+1,0)</f>
        <v>0</v>
      </c>
      <c r="C1511" s="1">
        <f t="shared" si="87"/>
        <v>506</v>
      </c>
      <c r="D1511" s="102" t="str">
        <f t="shared" si="88"/>
        <v/>
      </c>
      <c r="E1511" s="44"/>
      <c r="F1511" s="45"/>
      <c r="G1511" s="45"/>
      <c r="H1511" s="45"/>
      <c r="I1511" s="46"/>
      <c r="J1511" s="111" t="str">
        <f>IF(AND(G1511&lt;&gt;"",ISERROR(VLOOKUP(G1511,Keszlet!$C$5:$H$200,6,FALSE))=FALSE),VLOOKUP(G1511,Keszlet!$C$5:$H$200,6,FALSE),"")</f>
        <v/>
      </c>
      <c r="K1511" s="106" t="str">
        <f>IF(AND(G1511&lt;&gt;"",ISERROR(VLOOKUP(G1511,Keszlet!$C$5:$G$200,5,FALSE))=FALSE),VLOOKUP(G1511,Keszlet!$C$5:$G$200,5,FALSE),"")</f>
        <v/>
      </c>
      <c r="L1511" s="106" t="str">
        <f t="shared" si="89"/>
        <v/>
      </c>
      <c r="M1511" s="115" t="str">
        <f>IF(ISERROR(VLOOKUP(G1511,Keszlet!$C$5:$I$200,7,FALSE))=TRUE,"",IF(AND(J1510&lt;&gt;"",J1512=""),VLOOKUP(G1511,Keszlet!$C$5:$I$200,7,FALSE),""))</f>
        <v/>
      </c>
      <c r="Q1511" s="1">
        <f>VLOOKUP(G1511,Keszlet!$C$5:$E$205,3,FALSE)</f>
        <v>0</v>
      </c>
      <c r="T1511" s="1" t="str">
        <f t="shared" si="90"/>
        <v/>
      </c>
      <c r="U1511" s="1">
        <f t="shared" si="91"/>
        <v>0</v>
      </c>
      <c r="W1511" s="6">
        <f t="shared" si="94"/>
        <v>0</v>
      </c>
      <c r="X1511" s="6">
        <f t="shared" si="86"/>
        <v>0</v>
      </c>
      <c r="Y1511" s="1">
        <f t="shared" si="92"/>
        <v>1</v>
      </c>
      <c r="Z1511" s="1">
        <f>IF(COUNTIF($Y$6:Y1511,Y1511)=1,Y1511,Y1511+COUNTIF($Y$5:Y1510,Y1511))</f>
        <v>506</v>
      </c>
      <c r="AD1511" s="1" t="str">
        <f t="shared" si="93"/>
        <v/>
      </c>
      <c r="BA1511" s="1">
        <f>IF(W1511&lt;=Leltar_iv!$Y$1,I1511,0)</f>
        <v>0</v>
      </c>
    </row>
    <row r="1512" spans="1:53" s="1" customFormat="1" x14ac:dyDescent="0.25">
      <c r="A1512" s="18">
        <f>IF(COUNTIF($Y$6:Y1512,Y1512)=1,Y1512,Y1512+COUNTIF($Y$5:Y1511,Y1512))</f>
        <v>507</v>
      </c>
      <c r="B1512" s="1">
        <f>IF(AND(Kisero_iv!$N$2=C1512,Kisero_iv!$K$5=$B$3,SUM(I1512:L1516)&lt;&gt;0,$B$4=YEAR(W1512)),B1511+1,0)</f>
        <v>0</v>
      </c>
      <c r="C1512" s="1">
        <f t="shared" si="87"/>
        <v>507</v>
      </c>
      <c r="D1512" s="102" t="str">
        <f t="shared" si="88"/>
        <v/>
      </c>
      <c r="E1512" s="44"/>
      <c r="F1512" s="45"/>
      <c r="G1512" s="45"/>
      <c r="H1512" s="45"/>
      <c r="I1512" s="46"/>
      <c r="J1512" s="111" t="str">
        <f>IF(AND(G1512&lt;&gt;"",ISERROR(VLOOKUP(G1512,Keszlet!$C$5:$H$200,6,FALSE))=FALSE),VLOOKUP(G1512,Keszlet!$C$5:$H$200,6,FALSE),"")</f>
        <v/>
      </c>
      <c r="K1512" s="106" t="str">
        <f>IF(AND(G1512&lt;&gt;"",ISERROR(VLOOKUP(G1512,Keszlet!$C$5:$G$200,5,FALSE))=FALSE),VLOOKUP(G1512,Keszlet!$C$5:$G$200,5,FALSE),"")</f>
        <v/>
      </c>
      <c r="L1512" s="106" t="str">
        <f t="shared" si="89"/>
        <v/>
      </c>
      <c r="M1512" s="115" t="str">
        <f>IF(ISERROR(VLOOKUP(G1512,Keszlet!$C$5:$I$200,7,FALSE))=TRUE,"",IF(AND(J1511&lt;&gt;"",J1513=""),VLOOKUP(G1512,Keszlet!$C$5:$I$200,7,FALSE),""))</f>
        <v/>
      </c>
      <c r="Q1512" s="1">
        <f>VLOOKUP(G1512,Keszlet!$C$5:$E$205,3,FALSE)</f>
        <v>0</v>
      </c>
      <c r="T1512" s="1" t="str">
        <f t="shared" si="90"/>
        <v/>
      </c>
      <c r="U1512" s="1">
        <f t="shared" si="91"/>
        <v>0</v>
      </c>
      <c r="W1512" s="6">
        <f t="shared" si="94"/>
        <v>0</v>
      </c>
      <c r="X1512" s="6">
        <f t="shared" si="86"/>
        <v>0</v>
      </c>
      <c r="Y1512" s="1">
        <f t="shared" si="92"/>
        <v>1</v>
      </c>
      <c r="Z1512" s="1">
        <f>IF(COUNTIF($Y$6:Y1512,Y1512)=1,Y1512,Y1512+COUNTIF($Y$5:Y1511,Y1512))</f>
        <v>507</v>
      </c>
      <c r="AD1512" s="1" t="str">
        <f t="shared" si="93"/>
        <v/>
      </c>
      <c r="BA1512" s="1">
        <f>IF(W1512&lt;=Leltar_iv!$Y$1,I1512,0)</f>
        <v>0</v>
      </c>
    </row>
    <row r="1513" spans="1:53" s="1" customFormat="1" x14ac:dyDescent="0.25">
      <c r="A1513" s="18">
        <f>IF(COUNTIF($Y$6:Y1513,Y1513)=1,Y1513,Y1513+COUNTIF($Y$5:Y1512,Y1513))</f>
        <v>508</v>
      </c>
      <c r="B1513" s="1">
        <f>IF(AND(Kisero_iv!$N$2=C1513,Kisero_iv!$K$5=$B$3,SUM(I1513:L1517)&lt;&gt;0,$B$4=YEAR(W1513)),B1512+1,0)</f>
        <v>0</v>
      </c>
      <c r="C1513" s="1">
        <f t="shared" si="87"/>
        <v>508</v>
      </c>
      <c r="D1513" s="102" t="str">
        <f t="shared" si="88"/>
        <v/>
      </c>
      <c r="E1513" s="44"/>
      <c r="F1513" s="45"/>
      <c r="G1513" s="45"/>
      <c r="H1513" s="45"/>
      <c r="I1513" s="46"/>
      <c r="J1513" s="111" t="str">
        <f>IF(AND(G1513&lt;&gt;"",ISERROR(VLOOKUP(G1513,Keszlet!$C$5:$H$200,6,FALSE))=FALSE),VLOOKUP(G1513,Keszlet!$C$5:$H$200,6,FALSE),"")</f>
        <v/>
      </c>
      <c r="K1513" s="106" t="str">
        <f>IF(AND(G1513&lt;&gt;"",ISERROR(VLOOKUP(G1513,Keszlet!$C$5:$G$200,5,FALSE))=FALSE),VLOOKUP(G1513,Keszlet!$C$5:$G$200,5,FALSE),"")</f>
        <v/>
      </c>
      <c r="L1513" s="106" t="str">
        <f t="shared" si="89"/>
        <v/>
      </c>
      <c r="M1513" s="115" t="str">
        <f>IF(ISERROR(VLOOKUP(G1513,Keszlet!$C$5:$I$200,7,FALSE))=TRUE,"",IF(AND(J1512&lt;&gt;"",J1514=""),VLOOKUP(G1513,Keszlet!$C$5:$I$200,7,FALSE),""))</f>
        <v/>
      </c>
      <c r="Q1513" s="1">
        <f>VLOOKUP(G1513,Keszlet!$C$5:$E$205,3,FALSE)</f>
        <v>0</v>
      </c>
      <c r="T1513" s="1" t="str">
        <f t="shared" si="90"/>
        <v/>
      </c>
      <c r="U1513" s="1">
        <f t="shared" si="91"/>
        <v>0</v>
      </c>
      <c r="W1513" s="6">
        <f t="shared" si="94"/>
        <v>0</v>
      </c>
      <c r="X1513" s="6">
        <f t="shared" si="86"/>
        <v>0</v>
      </c>
      <c r="Y1513" s="1">
        <f t="shared" si="92"/>
        <v>1</v>
      </c>
      <c r="Z1513" s="1">
        <f>IF(COUNTIF($Y$6:Y1513,Y1513)=1,Y1513,Y1513+COUNTIF($Y$5:Y1512,Y1513))</f>
        <v>508</v>
      </c>
      <c r="AD1513" s="1" t="str">
        <f t="shared" si="93"/>
        <v/>
      </c>
      <c r="BA1513" s="1">
        <f>IF(W1513&lt;=Leltar_iv!$Y$1,I1513,0)</f>
        <v>0</v>
      </c>
    </row>
    <row r="1514" spans="1:53" s="1" customFormat="1" x14ac:dyDescent="0.25">
      <c r="A1514" s="18">
        <f>IF(COUNTIF($Y$6:Y1514,Y1514)=1,Y1514,Y1514+COUNTIF($Y$5:Y1513,Y1514))</f>
        <v>509</v>
      </c>
      <c r="B1514" s="1">
        <f>IF(AND(Kisero_iv!$N$2=C1514,Kisero_iv!$K$5=$B$3,SUM(I1514:L1518)&lt;&gt;0,$B$4=YEAR(W1514)),B1513+1,0)</f>
        <v>0</v>
      </c>
      <c r="C1514" s="1">
        <f t="shared" si="87"/>
        <v>509</v>
      </c>
      <c r="D1514" s="102" t="str">
        <f t="shared" si="88"/>
        <v/>
      </c>
      <c r="E1514" s="44"/>
      <c r="F1514" s="45"/>
      <c r="G1514" s="45"/>
      <c r="H1514" s="45"/>
      <c r="I1514" s="46"/>
      <c r="J1514" s="111" t="str">
        <f>IF(AND(G1514&lt;&gt;"",ISERROR(VLOOKUP(G1514,Keszlet!$C$5:$H$200,6,FALSE))=FALSE),VLOOKUP(G1514,Keszlet!$C$5:$H$200,6,FALSE),"")</f>
        <v/>
      </c>
      <c r="K1514" s="106" t="str">
        <f>IF(AND(G1514&lt;&gt;"",ISERROR(VLOOKUP(G1514,Keszlet!$C$5:$G$200,5,FALSE))=FALSE),VLOOKUP(G1514,Keszlet!$C$5:$G$200,5,FALSE),"")</f>
        <v/>
      </c>
      <c r="L1514" s="106" t="str">
        <f t="shared" si="89"/>
        <v/>
      </c>
      <c r="M1514" s="115" t="str">
        <f>IF(ISERROR(VLOOKUP(G1514,Keszlet!$C$5:$I$200,7,FALSE))=TRUE,"",IF(AND(J1513&lt;&gt;"",J1515=""),VLOOKUP(G1514,Keszlet!$C$5:$I$200,7,FALSE),""))</f>
        <v/>
      </c>
      <c r="Q1514" s="1">
        <f>VLOOKUP(G1514,Keszlet!$C$5:$E$205,3,FALSE)</f>
        <v>0</v>
      </c>
      <c r="T1514" s="1" t="str">
        <f t="shared" si="90"/>
        <v/>
      </c>
      <c r="U1514" s="1">
        <f t="shared" si="91"/>
        <v>0</v>
      </c>
      <c r="W1514" s="6">
        <f t="shared" si="94"/>
        <v>0</v>
      </c>
      <c r="X1514" s="6">
        <f t="shared" si="86"/>
        <v>0</v>
      </c>
      <c r="Y1514" s="1">
        <f t="shared" si="92"/>
        <v>1</v>
      </c>
      <c r="Z1514" s="1">
        <f>IF(COUNTIF($Y$6:Y1514,Y1514)=1,Y1514,Y1514+COUNTIF($Y$5:Y1513,Y1514))</f>
        <v>509</v>
      </c>
      <c r="AD1514" s="1" t="str">
        <f t="shared" si="93"/>
        <v/>
      </c>
      <c r="BA1514" s="1">
        <f>IF(W1514&lt;=Leltar_iv!$Y$1,I1514,0)</f>
        <v>0</v>
      </c>
    </row>
    <row r="1515" spans="1:53" s="1" customFormat="1" x14ac:dyDescent="0.25">
      <c r="A1515" s="18">
        <f>IF(COUNTIF($Y$6:Y1515,Y1515)=1,Y1515,Y1515+COUNTIF($Y$5:Y1514,Y1515))</f>
        <v>510</v>
      </c>
      <c r="B1515" s="1">
        <f>IF(AND(Kisero_iv!$N$2=C1515,Kisero_iv!$K$5=$B$3,SUM(I1515:L1519)&lt;&gt;0,$B$4=YEAR(W1515)),B1514+1,0)</f>
        <v>0</v>
      </c>
      <c r="C1515" s="1">
        <f t="shared" si="87"/>
        <v>510</v>
      </c>
      <c r="D1515" s="102" t="str">
        <f t="shared" si="88"/>
        <v/>
      </c>
      <c r="E1515" s="44"/>
      <c r="F1515" s="45"/>
      <c r="G1515" s="45"/>
      <c r="H1515" s="45"/>
      <c r="I1515" s="46"/>
      <c r="J1515" s="111" t="str">
        <f>IF(AND(G1515&lt;&gt;"",ISERROR(VLOOKUP(G1515,Keszlet!$C$5:$H$200,6,FALSE))=FALSE),VLOOKUP(G1515,Keszlet!$C$5:$H$200,6,FALSE),"")</f>
        <v/>
      </c>
      <c r="K1515" s="106" t="str">
        <f>IF(AND(G1515&lt;&gt;"",ISERROR(VLOOKUP(G1515,Keszlet!$C$5:$G$200,5,FALSE))=FALSE),VLOOKUP(G1515,Keszlet!$C$5:$G$200,5,FALSE),"")</f>
        <v/>
      </c>
      <c r="L1515" s="106" t="str">
        <f t="shared" si="89"/>
        <v/>
      </c>
      <c r="M1515" s="115" t="str">
        <f>IF(ISERROR(VLOOKUP(G1515,Keszlet!$C$5:$I$200,7,FALSE))=TRUE,"",IF(AND(J1514&lt;&gt;"",J1516=""),VLOOKUP(G1515,Keszlet!$C$5:$I$200,7,FALSE),""))</f>
        <v/>
      </c>
      <c r="Q1515" s="1">
        <f>VLOOKUP(G1515,Keszlet!$C$5:$E$205,3,FALSE)</f>
        <v>0</v>
      </c>
      <c r="T1515" s="1" t="str">
        <f t="shared" si="90"/>
        <v/>
      </c>
      <c r="U1515" s="1">
        <f t="shared" si="91"/>
        <v>0</v>
      </c>
      <c r="W1515" s="6">
        <f t="shared" si="94"/>
        <v>0</v>
      </c>
      <c r="X1515" s="6">
        <f t="shared" si="86"/>
        <v>0</v>
      </c>
      <c r="Y1515" s="1">
        <f t="shared" si="92"/>
        <v>1</v>
      </c>
      <c r="Z1515" s="1">
        <f>IF(COUNTIF($Y$6:Y1515,Y1515)=1,Y1515,Y1515+COUNTIF($Y$5:Y1514,Y1515))</f>
        <v>510</v>
      </c>
      <c r="AD1515" s="1" t="str">
        <f t="shared" si="93"/>
        <v/>
      </c>
      <c r="BA1515" s="1">
        <f>IF(W1515&lt;=Leltar_iv!$Y$1,I1515,0)</f>
        <v>0</v>
      </c>
    </row>
    <row r="1516" spans="1:53" s="1" customFormat="1" x14ac:dyDescent="0.25">
      <c r="A1516" s="18">
        <f>IF(COUNTIF($Y$6:Y1516,Y1516)=1,Y1516,Y1516+COUNTIF($Y$5:Y1515,Y1516))</f>
        <v>511</v>
      </c>
      <c r="B1516" s="1">
        <f>IF(AND(Kisero_iv!$N$2=C1516,Kisero_iv!$K$5=$B$3,SUM(I1516:L1520)&lt;&gt;0,$B$4=YEAR(W1516)),B1515+1,0)</f>
        <v>0</v>
      </c>
      <c r="C1516" s="1">
        <f t="shared" si="87"/>
        <v>511</v>
      </c>
      <c r="D1516" s="102" t="str">
        <f t="shared" si="88"/>
        <v/>
      </c>
      <c r="E1516" s="44"/>
      <c r="F1516" s="45"/>
      <c r="G1516" s="45"/>
      <c r="H1516" s="45"/>
      <c r="I1516" s="46"/>
      <c r="J1516" s="111" t="str">
        <f>IF(AND(G1516&lt;&gt;"",ISERROR(VLOOKUP(G1516,Keszlet!$C$5:$H$200,6,FALSE))=FALSE),VLOOKUP(G1516,Keszlet!$C$5:$H$200,6,FALSE),"")</f>
        <v/>
      </c>
      <c r="K1516" s="106" t="str">
        <f>IF(AND(G1516&lt;&gt;"",ISERROR(VLOOKUP(G1516,Keszlet!$C$5:$G$200,5,FALSE))=FALSE),VLOOKUP(G1516,Keszlet!$C$5:$G$200,5,FALSE),"")</f>
        <v/>
      </c>
      <c r="L1516" s="106" t="str">
        <f t="shared" si="89"/>
        <v/>
      </c>
      <c r="M1516" s="115" t="str">
        <f>IF(ISERROR(VLOOKUP(G1516,Keszlet!$C$5:$I$200,7,FALSE))=TRUE,"",IF(AND(J1515&lt;&gt;"",J1517=""),VLOOKUP(G1516,Keszlet!$C$5:$I$200,7,FALSE),""))</f>
        <v/>
      </c>
      <c r="Q1516" s="1">
        <f>VLOOKUP(G1516,Keszlet!$C$5:$E$205,3,FALSE)</f>
        <v>0</v>
      </c>
      <c r="T1516" s="1" t="str">
        <f t="shared" si="90"/>
        <v/>
      </c>
      <c r="U1516" s="1">
        <f t="shared" si="91"/>
        <v>0</v>
      </c>
      <c r="W1516" s="6">
        <f t="shared" si="94"/>
        <v>0</v>
      </c>
      <c r="X1516" s="6">
        <f t="shared" si="86"/>
        <v>0</v>
      </c>
      <c r="Y1516" s="1">
        <f t="shared" si="92"/>
        <v>1</v>
      </c>
      <c r="Z1516" s="1">
        <f>IF(COUNTIF($Y$6:Y1516,Y1516)=1,Y1516,Y1516+COUNTIF($Y$5:Y1515,Y1516))</f>
        <v>511</v>
      </c>
      <c r="AD1516" s="1" t="str">
        <f t="shared" si="93"/>
        <v/>
      </c>
      <c r="BA1516" s="1">
        <f>IF(W1516&lt;=Leltar_iv!$Y$1,I1516,0)</f>
        <v>0</v>
      </c>
    </row>
    <row r="1517" spans="1:53" s="1" customFormat="1" x14ac:dyDescent="0.25">
      <c r="A1517" s="18">
        <f>IF(COUNTIF($Y$6:Y1517,Y1517)=1,Y1517,Y1517+COUNTIF($Y$5:Y1516,Y1517))</f>
        <v>512</v>
      </c>
      <c r="B1517" s="1">
        <f>IF(AND(Kisero_iv!$N$2=C1517,Kisero_iv!$K$5=$B$3,SUM(I1517:L1521)&lt;&gt;0,$B$4=YEAR(W1517)),B1516+1,0)</f>
        <v>0</v>
      </c>
      <c r="C1517" s="1">
        <f t="shared" si="87"/>
        <v>512</v>
      </c>
      <c r="D1517" s="102" t="str">
        <f t="shared" si="88"/>
        <v/>
      </c>
      <c r="E1517" s="44"/>
      <c r="F1517" s="45"/>
      <c r="G1517" s="45"/>
      <c r="H1517" s="45"/>
      <c r="I1517" s="46"/>
      <c r="J1517" s="111" t="str">
        <f>IF(AND(G1517&lt;&gt;"",ISERROR(VLOOKUP(G1517,Keszlet!$C$5:$H$200,6,FALSE))=FALSE),VLOOKUP(G1517,Keszlet!$C$5:$H$200,6,FALSE),"")</f>
        <v/>
      </c>
      <c r="K1517" s="106" t="str">
        <f>IF(AND(G1517&lt;&gt;"",ISERROR(VLOOKUP(G1517,Keszlet!$C$5:$G$200,5,FALSE))=FALSE),VLOOKUP(G1517,Keszlet!$C$5:$G$200,5,FALSE),"")</f>
        <v/>
      </c>
      <c r="L1517" s="106" t="str">
        <f t="shared" si="89"/>
        <v/>
      </c>
      <c r="M1517" s="115" t="str">
        <f>IF(ISERROR(VLOOKUP(G1517,Keszlet!$C$5:$I$200,7,FALSE))=TRUE,"",IF(AND(J1516&lt;&gt;"",J1518=""),VLOOKUP(G1517,Keszlet!$C$5:$I$200,7,FALSE),""))</f>
        <v/>
      </c>
      <c r="Q1517" s="1">
        <f>VLOOKUP(G1517,Keszlet!$C$5:$E$205,3,FALSE)</f>
        <v>0</v>
      </c>
      <c r="T1517" s="1" t="str">
        <f t="shared" si="90"/>
        <v/>
      </c>
      <c r="U1517" s="1">
        <f t="shared" si="91"/>
        <v>0</v>
      </c>
      <c r="W1517" s="6">
        <f t="shared" si="94"/>
        <v>0</v>
      </c>
      <c r="X1517" s="6">
        <f t="shared" si="86"/>
        <v>0</v>
      </c>
      <c r="Y1517" s="1">
        <f t="shared" si="92"/>
        <v>1</v>
      </c>
      <c r="Z1517" s="1">
        <f>IF(COUNTIF($Y$6:Y1517,Y1517)=1,Y1517,Y1517+COUNTIF($Y$5:Y1516,Y1517))</f>
        <v>512</v>
      </c>
      <c r="AD1517" s="1" t="str">
        <f t="shared" si="93"/>
        <v/>
      </c>
      <c r="BA1517" s="1">
        <f>IF(W1517&lt;=Leltar_iv!$Y$1,I1517,0)</f>
        <v>0</v>
      </c>
    </row>
    <row r="1518" spans="1:53" s="1" customFormat="1" x14ac:dyDescent="0.25">
      <c r="A1518" s="18">
        <f>IF(COUNTIF($Y$6:Y1518,Y1518)=1,Y1518,Y1518+COUNTIF($Y$5:Y1517,Y1518))</f>
        <v>513</v>
      </c>
      <c r="B1518" s="1">
        <f>IF(AND(Kisero_iv!$N$2=C1518,Kisero_iv!$K$5=$B$3,SUM(I1518:L1522)&lt;&gt;0,$B$4=YEAR(W1518)),B1517+1,0)</f>
        <v>0</v>
      </c>
      <c r="C1518" s="1">
        <f t="shared" si="87"/>
        <v>513</v>
      </c>
      <c r="D1518" s="102" t="str">
        <f t="shared" si="88"/>
        <v/>
      </c>
      <c r="E1518" s="44"/>
      <c r="F1518" s="45"/>
      <c r="G1518" s="45"/>
      <c r="H1518" s="45"/>
      <c r="I1518" s="46"/>
      <c r="J1518" s="111" t="str">
        <f>IF(AND(G1518&lt;&gt;"",ISERROR(VLOOKUP(G1518,Keszlet!$C$5:$H$200,6,FALSE))=FALSE),VLOOKUP(G1518,Keszlet!$C$5:$H$200,6,FALSE),"")</f>
        <v/>
      </c>
      <c r="K1518" s="106" t="str">
        <f>IF(AND(G1518&lt;&gt;"",ISERROR(VLOOKUP(G1518,Keszlet!$C$5:$G$200,5,FALSE))=FALSE),VLOOKUP(G1518,Keszlet!$C$5:$G$200,5,FALSE),"")</f>
        <v/>
      </c>
      <c r="L1518" s="106" t="str">
        <f t="shared" si="89"/>
        <v/>
      </c>
      <c r="M1518" s="115" t="str">
        <f>IF(ISERROR(VLOOKUP(G1518,Keszlet!$C$5:$I$200,7,FALSE))=TRUE,"",IF(AND(J1517&lt;&gt;"",J1519=""),VLOOKUP(G1518,Keszlet!$C$5:$I$200,7,FALSE),""))</f>
        <v/>
      </c>
      <c r="Q1518" s="1">
        <f>VLOOKUP(G1518,Keszlet!$C$5:$E$205,3,FALSE)</f>
        <v>0</v>
      </c>
      <c r="T1518" s="1" t="str">
        <f t="shared" si="90"/>
        <v/>
      </c>
      <c r="U1518" s="1">
        <f t="shared" si="91"/>
        <v>0</v>
      </c>
      <c r="W1518" s="6">
        <f t="shared" si="94"/>
        <v>0</v>
      </c>
      <c r="X1518" s="6">
        <f t="shared" ref="X1518:X1581" si="95">IF(G1518=q,W1518,$X$1)</f>
        <v>0</v>
      </c>
      <c r="Y1518" s="1">
        <f t="shared" si="92"/>
        <v>1</v>
      </c>
      <c r="Z1518" s="1">
        <f>IF(COUNTIF($Y$6:Y1518,Y1518)=1,Y1518,Y1518+COUNTIF($Y$5:Y1517,Y1518))</f>
        <v>513</v>
      </c>
      <c r="AD1518" s="1" t="str">
        <f t="shared" si="93"/>
        <v/>
      </c>
      <c r="BA1518" s="1">
        <f>IF(W1518&lt;=Leltar_iv!$Y$1,I1518,0)</f>
        <v>0</v>
      </c>
    </row>
    <row r="1519" spans="1:53" s="1" customFormat="1" x14ac:dyDescent="0.25">
      <c r="A1519" s="18">
        <f>IF(COUNTIF($Y$6:Y1519,Y1519)=1,Y1519,Y1519+COUNTIF($Y$5:Y1518,Y1519))</f>
        <v>514</v>
      </c>
      <c r="B1519" s="1">
        <f>IF(AND(Kisero_iv!$N$2=C1519,Kisero_iv!$K$5=$B$3,SUM(I1519:L1523)&lt;&gt;0,$B$4=YEAR(W1519)),B1518+1,0)</f>
        <v>0</v>
      </c>
      <c r="C1519" s="1">
        <f t="shared" ref="C1519:C1582" si="96">IF(YEAR(W1518)&lt;&gt;YEAR(W1519),1,IF(T1519&lt;&gt;0,C1518+1,C1518))</f>
        <v>514</v>
      </c>
      <c r="D1519" s="102" t="str">
        <f t="shared" ref="D1519:D1582" si="97">IF(AND(OR(C1518&lt;&gt;C1519,C1519=1),SUM(L1519:L1539)&lt;&gt;0),YEAR(W1519)&amp;"/"&amp;C1519,"")</f>
        <v/>
      </c>
      <c r="E1519" s="44"/>
      <c r="F1519" s="45"/>
      <c r="G1519" s="45"/>
      <c r="H1519" s="45"/>
      <c r="I1519" s="46"/>
      <c r="J1519" s="111" t="str">
        <f>IF(AND(G1519&lt;&gt;"",ISERROR(VLOOKUP(G1519,Keszlet!$C$5:$H$200,6,FALSE))=FALSE),VLOOKUP(G1519,Keszlet!$C$5:$H$200,6,FALSE),"")</f>
        <v/>
      </c>
      <c r="K1519" s="106" t="str">
        <f>IF(AND(G1519&lt;&gt;"",ISERROR(VLOOKUP(G1519,Keszlet!$C$5:$G$200,5,FALSE))=FALSE),VLOOKUP(G1519,Keszlet!$C$5:$G$200,5,FALSE),"")</f>
        <v/>
      </c>
      <c r="L1519" s="106" t="str">
        <f t="shared" ref="L1519:L1582" si="98">IF(AND(G1519&lt;&gt;0,K1519&lt;&gt;""),I1519*K1519,"")</f>
        <v/>
      </c>
      <c r="M1519" s="115" t="str">
        <f>IF(ISERROR(VLOOKUP(G1519,Keszlet!$C$5:$I$200,7,FALSE))=TRUE,"",IF(AND(J1518&lt;&gt;"",J1520=""),VLOOKUP(G1519,Keszlet!$C$5:$I$200,7,FALSE),""))</f>
        <v/>
      </c>
      <c r="Q1519" s="1">
        <f>VLOOKUP(G1519,Keszlet!$C$5:$E$205,3,FALSE)</f>
        <v>0</v>
      </c>
      <c r="T1519" s="1" t="str">
        <f t="shared" ref="T1519:T1582" si="99">IF(OR(E1519&lt;&gt;0,COUNTIF(T1510:T1518,0)=9,F1519&lt;&gt;0,SUM(L1519:L1539)=0),E1519&amp;F1519,0)</f>
        <v/>
      </c>
      <c r="U1519" s="1">
        <f t="shared" ref="U1519:U1582" si="100">IF(F1519&lt;&gt;"",F1519,U1518)</f>
        <v>0</v>
      </c>
      <c r="W1519" s="6">
        <f t="shared" si="94"/>
        <v>0</v>
      </c>
      <c r="X1519" s="6">
        <f t="shared" si="95"/>
        <v>0</v>
      </c>
      <c r="Y1519" s="1">
        <f t="shared" ref="Y1519:Y1582" si="101">RANK(X1519,$X$6:$X$10000,1)</f>
        <v>1</v>
      </c>
      <c r="Z1519" s="1">
        <f>IF(COUNTIF($Y$6:Y1519,Y1519)=1,Y1519,Y1519+COUNTIF($Y$5:Y1518,Y1519))</f>
        <v>514</v>
      </c>
      <c r="AD1519" s="1" t="str">
        <f t="shared" ref="AD1519:AD1582" si="102">IF(AND(OR(C1518&lt;&gt;C1519,YEAR(W1519)&lt;&gt;YEAR(W1518)),SUM(L1519:L1539)&lt;&gt;0,$B$4=YEAR(W1519)),C1519,"")</f>
        <v/>
      </c>
      <c r="BA1519" s="1">
        <f>IF(W1519&lt;=Leltar_iv!$Y$1,I1519,0)</f>
        <v>0</v>
      </c>
    </row>
    <row r="1520" spans="1:53" s="1" customFormat="1" x14ac:dyDescent="0.25">
      <c r="A1520" s="18">
        <f>IF(COUNTIF($Y$6:Y1520,Y1520)=1,Y1520,Y1520+COUNTIF($Y$5:Y1519,Y1520))</f>
        <v>515</v>
      </c>
      <c r="B1520" s="1">
        <f>IF(AND(Kisero_iv!$N$2=C1520,Kisero_iv!$K$5=$B$3,SUM(I1520:L1524)&lt;&gt;0,$B$4=YEAR(W1520)),B1519+1,0)</f>
        <v>0</v>
      </c>
      <c r="C1520" s="1">
        <f t="shared" si="96"/>
        <v>515</v>
      </c>
      <c r="D1520" s="102" t="str">
        <f t="shared" si="97"/>
        <v/>
      </c>
      <c r="E1520" s="44"/>
      <c r="F1520" s="45"/>
      <c r="G1520" s="45"/>
      <c r="H1520" s="45"/>
      <c r="I1520" s="46"/>
      <c r="J1520" s="111" t="str">
        <f>IF(AND(G1520&lt;&gt;"",ISERROR(VLOOKUP(G1520,Keszlet!$C$5:$H$200,6,FALSE))=FALSE),VLOOKUP(G1520,Keszlet!$C$5:$H$200,6,FALSE),"")</f>
        <v/>
      </c>
      <c r="K1520" s="106" t="str">
        <f>IF(AND(G1520&lt;&gt;"",ISERROR(VLOOKUP(G1520,Keszlet!$C$5:$G$200,5,FALSE))=FALSE),VLOOKUP(G1520,Keszlet!$C$5:$G$200,5,FALSE),"")</f>
        <v/>
      </c>
      <c r="L1520" s="106" t="str">
        <f t="shared" si="98"/>
        <v/>
      </c>
      <c r="M1520" s="115" t="str">
        <f>IF(ISERROR(VLOOKUP(G1520,Keszlet!$C$5:$I$200,7,FALSE))=TRUE,"",IF(AND(J1519&lt;&gt;"",J1521=""),VLOOKUP(G1520,Keszlet!$C$5:$I$200,7,FALSE),""))</f>
        <v/>
      </c>
      <c r="Q1520" s="1">
        <f>VLOOKUP(G1520,Keszlet!$C$5:$E$205,3,FALSE)</f>
        <v>0</v>
      </c>
      <c r="T1520" s="1" t="str">
        <f t="shared" si="99"/>
        <v/>
      </c>
      <c r="U1520" s="1">
        <f t="shared" si="100"/>
        <v>0</v>
      </c>
      <c r="W1520" s="6">
        <f t="shared" si="94"/>
        <v>0</v>
      </c>
      <c r="X1520" s="6">
        <f t="shared" si="95"/>
        <v>0</v>
      </c>
      <c r="Y1520" s="1">
        <f t="shared" si="101"/>
        <v>1</v>
      </c>
      <c r="Z1520" s="1">
        <f>IF(COUNTIF($Y$6:Y1520,Y1520)=1,Y1520,Y1520+COUNTIF($Y$5:Y1519,Y1520))</f>
        <v>515</v>
      </c>
      <c r="AD1520" s="1" t="str">
        <f t="shared" si="102"/>
        <v/>
      </c>
      <c r="BA1520" s="1">
        <f>IF(W1520&lt;=Leltar_iv!$Y$1,I1520,0)</f>
        <v>0</v>
      </c>
    </row>
    <row r="1521" spans="1:53" s="1" customFormat="1" x14ac:dyDescent="0.25">
      <c r="A1521" s="18">
        <f>IF(COUNTIF($Y$6:Y1521,Y1521)=1,Y1521,Y1521+COUNTIF($Y$5:Y1520,Y1521))</f>
        <v>516</v>
      </c>
      <c r="B1521" s="1">
        <f>IF(AND(Kisero_iv!$N$2=C1521,Kisero_iv!$K$5=$B$3,SUM(I1521:L1525)&lt;&gt;0,$B$4=YEAR(W1521)),B1520+1,0)</f>
        <v>0</v>
      </c>
      <c r="C1521" s="1">
        <f t="shared" si="96"/>
        <v>516</v>
      </c>
      <c r="D1521" s="102" t="str">
        <f t="shared" si="97"/>
        <v/>
      </c>
      <c r="E1521" s="44"/>
      <c r="F1521" s="45"/>
      <c r="G1521" s="45"/>
      <c r="H1521" s="45"/>
      <c r="I1521" s="46"/>
      <c r="J1521" s="111" t="str">
        <f>IF(AND(G1521&lt;&gt;"",ISERROR(VLOOKUP(G1521,Keszlet!$C$5:$H$200,6,FALSE))=FALSE),VLOOKUP(G1521,Keszlet!$C$5:$H$200,6,FALSE),"")</f>
        <v/>
      </c>
      <c r="K1521" s="106" t="str">
        <f>IF(AND(G1521&lt;&gt;"",ISERROR(VLOOKUP(G1521,Keszlet!$C$5:$G$200,5,FALSE))=FALSE),VLOOKUP(G1521,Keszlet!$C$5:$G$200,5,FALSE),"")</f>
        <v/>
      </c>
      <c r="L1521" s="106" t="str">
        <f t="shared" si="98"/>
        <v/>
      </c>
      <c r="M1521" s="115" t="str">
        <f>IF(ISERROR(VLOOKUP(G1521,Keszlet!$C$5:$I$200,7,FALSE))=TRUE,"",IF(AND(J1520&lt;&gt;"",J1522=""),VLOOKUP(G1521,Keszlet!$C$5:$I$200,7,FALSE),""))</f>
        <v/>
      </c>
      <c r="Q1521" s="1">
        <f>VLOOKUP(G1521,Keszlet!$C$5:$E$205,3,FALSE)</f>
        <v>0</v>
      </c>
      <c r="T1521" s="1" t="str">
        <f t="shared" si="99"/>
        <v/>
      </c>
      <c r="U1521" s="1">
        <f t="shared" si="100"/>
        <v>0</v>
      </c>
      <c r="W1521" s="6">
        <f t="shared" ref="W1521:W1584" si="103">IF(E1521&lt;&gt;0,E1521,W1520)</f>
        <v>0</v>
      </c>
      <c r="X1521" s="6">
        <f t="shared" si="95"/>
        <v>0</v>
      </c>
      <c r="Y1521" s="1">
        <f t="shared" si="101"/>
        <v>1</v>
      </c>
      <c r="Z1521" s="1">
        <f>IF(COUNTIF($Y$6:Y1521,Y1521)=1,Y1521,Y1521+COUNTIF($Y$5:Y1520,Y1521))</f>
        <v>516</v>
      </c>
      <c r="AD1521" s="1" t="str">
        <f t="shared" si="102"/>
        <v/>
      </c>
      <c r="BA1521" s="1">
        <f>IF(W1521&lt;=Leltar_iv!$Y$1,I1521,0)</f>
        <v>0</v>
      </c>
    </row>
    <row r="1522" spans="1:53" s="1" customFormat="1" x14ac:dyDescent="0.25">
      <c r="A1522" s="18">
        <f>IF(COUNTIF($Y$6:Y1522,Y1522)=1,Y1522,Y1522+COUNTIF($Y$5:Y1521,Y1522))</f>
        <v>517</v>
      </c>
      <c r="B1522" s="1">
        <f>IF(AND(Kisero_iv!$N$2=C1522,Kisero_iv!$K$5=$B$3,SUM(I1522:L1526)&lt;&gt;0,$B$4=YEAR(W1522)),B1521+1,0)</f>
        <v>0</v>
      </c>
      <c r="C1522" s="1">
        <f t="shared" si="96"/>
        <v>517</v>
      </c>
      <c r="D1522" s="102" t="str">
        <f t="shared" si="97"/>
        <v/>
      </c>
      <c r="E1522" s="44"/>
      <c r="F1522" s="45"/>
      <c r="G1522" s="45"/>
      <c r="H1522" s="45"/>
      <c r="I1522" s="46"/>
      <c r="J1522" s="111" t="str">
        <f>IF(AND(G1522&lt;&gt;"",ISERROR(VLOOKUP(G1522,Keszlet!$C$5:$H$200,6,FALSE))=FALSE),VLOOKUP(G1522,Keszlet!$C$5:$H$200,6,FALSE),"")</f>
        <v/>
      </c>
      <c r="K1522" s="106" t="str">
        <f>IF(AND(G1522&lt;&gt;"",ISERROR(VLOOKUP(G1522,Keszlet!$C$5:$G$200,5,FALSE))=FALSE),VLOOKUP(G1522,Keszlet!$C$5:$G$200,5,FALSE),"")</f>
        <v/>
      </c>
      <c r="L1522" s="106" t="str">
        <f t="shared" si="98"/>
        <v/>
      </c>
      <c r="M1522" s="115" t="str">
        <f>IF(ISERROR(VLOOKUP(G1522,Keszlet!$C$5:$I$200,7,FALSE))=TRUE,"",IF(AND(J1521&lt;&gt;"",J1523=""),VLOOKUP(G1522,Keszlet!$C$5:$I$200,7,FALSE),""))</f>
        <v/>
      </c>
      <c r="Q1522" s="1">
        <f>VLOOKUP(G1522,Keszlet!$C$5:$E$205,3,FALSE)</f>
        <v>0</v>
      </c>
      <c r="T1522" s="1" t="str">
        <f t="shared" si="99"/>
        <v/>
      </c>
      <c r="U1522" s="1">
        <f t="shared" si="100"/>
        <v>0</v>
      </c>
      <c r="W1522" s="6">
        <f t="shared" si="103"/>
        <v>0</v>
      </c>
      <c r="X1522" s="6">
        <f t="shared" si="95"/>
        <v>0</v>
      </c>
      <c r="Y1522" s="1">
        <f t="shared" si="101"/>
        <v>1</v>
      </c>
      <c r="Z1522" s="1">
        <f>IF(COUNTIF($Y$6:Y1522,Y1522)=1,Y1522,Y1522+COUNTIF($Y$5:Y1521,Y1522))</f>
        <v>517</v>
      </c>
      <c r="AD1522" s="1" t="str">
        <f t="shared" si="102"/>
        <v/>
      </c>
      <c r="BA1522" s="1">
        <f>IF(W1522&lt;=Leltar_iv!$Y$1,I1522,0)</f>
        <v>0</v>
      </c>
    </row>
    <row r="1523" spans="1:53" s="1" customFormat="1" x14ac:dyDescent="0.25">
      <c r="A1523" s="18">
        <f>IF(COUNTIF($Y$6:Y1523,Y1523)=1,Y1523,Y1523+COUNTIF($Y$5:Y1522,Y1523))</f>
        <v>518</v>
      </c>
      <c r="B1523" s="1">
        <f>IF(AND(Kisero_iv!$N$2=C1523,Kisero_iv!$K$5=$B$3,SUM(I1523:L1527)&lt;&gt;0,$B$4=YEAR(W1523)),B1522+1,0)</f>
        <v>0</v>
      </c>
      <c r="C1523" s="1">
        <f t="shared" si="96"/>
        <v>518</v>
      </c>
      <c r="D1523" s="102" t="str">
        <f t="shared" si="97"/>
        <v/>
      </c>
      <c r="E1523" s="44"/>
      <c r="F1523" s="45"/>
      <c r="G1523" s="45"/>
      <c r="H1523" s="45"/>
      <c r="I1523" s="46"/>
      <c r="J1523" s="111" t="str">
        <f>IF(AND(G1523&lt;&gt;"",ISERROR(VLOOKUP(G1523,Keszlet!$C$5:$H$200,6,FALSE))=FALSE),VLOOKUP(G1523,Keszlet!$C$5:$H$200,6,FALSE),"")</f>
        <v/>
      </c>
      <c r="K1523" s="106" t="str">
        <f>IF(AND(G1523&lt;&gt;"",ISERROR(VLOOKUP(G1523,Keszlet!$C$5:$G$200,5,FALSE))=FALSE),VLOOKUP(G1523,Keszlet!$C$5:$G$200,5,FALSE),"")</f>
        <v/>
      </c>
      <c r="L1523" s="106" t="str">
        <f t="shared" si="98"/>
        <v/>
      </c>
      <c r="M1523" s="115" t="str">
        <f>IF(ISERROR(VLOOKUP(G1523,Keszlet!$C$5:$I$200,7,FALSE))=TRUE,"",IF(AND(J1522&lt;&gt;"",J1524=""),VLOOKUP(G1523,Keszlet!$C$5:$I$200,7,FALSE),""))</f>
        <v/>
      </c>
      <c r="Q1523" s="1">
        <f>VLOOKUP(G1523,Keszlet!$C$5:$E$205,3,FALSE)</f>
        <v>0</v>
      </c>
      <c r="T1523" s="1" t="str">
        <f t="shared" si="99"/>
        <v/>
      </c>
      <c r="U1523" s="1">
        <f t="shared" si="100"/>
        <v>0</v>
      </c>
      <c r="W1523" s="6">
        <f t="shared" si="103"/>
        <v>0</v>
      </c>
      <c r="X1523" s="6">
        <f t="shared" si="95"/>
        <v>0</v>
      </c>
      <c r="Y1523" s="1">
        <f t="shared" si="101"/>
        <v>1</v>
      </c>
      <c r="Z1523" s="1">
        <f>IF(COUNTIF($Y$6:Y1523,Y1523)=1,Y1523,Y1523+COUNTIF($Y$5:Y1522,Y1523))</f>
        <v>518</v>
      </c>
      <c r="AD1523" s="1" t="str">
        <f t="shared" si="102"/>
        <v/>
      </c>
      <c r="BA1523" s="1">
        <f>IF(W1523&lt;=Leltar_iv!$Y$1,I1523,0)</f>
        <v>0</v>
      </c>
    </row>
    <row r="1524" spans="1:53" s="1" customFormat="1" x14ac:dyDescent="0.25">
      <c r="A1524" s="18">
        <f>IF(COUNTIF($Y$6:Y1524,Y1524)=1,Y1524,Y1524+COUNTIF($Y$5:Y1523,Y1524))</f>
        <v>519</v>
      </c>
      <c r="B1524" s="1">
        <f>IF(AND(Kisero_iv!$N$2=C1524,Kisero_iv!$K$5=$B$3,SUM(I1524:L1528)&lt;&gt;0,$B$4=YEAR(W1524)),B1523+1,0)</f>
        <v>0</v>
      </c>
      <c r="C1524" s="1">
        <f t="shared" si="96"/>
        <v>519</v>
      </c>
      <c r="D1524" s="102" t="str">
        <f t="shared" si="97"/>
        <v/>
      </c>
      <c r="E1524" s="44"/>
      <c r="F1524" s="45"/>
      <c r="G1524" s="45"/>
      <c r="H1524" s="45"/>
      <c r="I1524" s="46"/>
      <c r="J1524" s="111" t="str">
        <f>IF(AND(G1524&lt;&gt;"",ISERROR(VLOOKUP(G1524,Keszlet!$C$5:$H$200,6,FALSE))=FALSE),VLOOKUP(G1524,Keszlet!$C$5:$H$200,6,FALSE),"")</f>
        <v/>
      </c>
      <c r="K1524" s="106" t="str">
        <f>IF(AND(G1524&lt;&gt;"",ISERROR(VLOOKUP(G1524,Keszlet!$C$5:$G$200,5,FALSE))=FALSE),VLOOKUP(G1524,Keszlet!$C$5:$G$200,5,FALSE),"")</f>
        <v/>
      </c>
      <c r="L1524" s="106" t="str">
        <f t="shared" si="98"/>
        <v/>
      </c>
      <c r="M1524" s="115" t="str">
        <f>IF(ISERROR(VLOOKUP(G1524,Keszlet!$C$5:$I$200,7,FALSE))=TRUE,"",IF(AND(J1523&lt;&gt;"",J1525=""),VLOOKUP(G1524,Keszlet!$C$5:$I$200,7,FALSE),""))</f>
        <v/>
      </c>
      <c r="Q1524" s="1">
        <f>VLOOKUP(G1524,Keszlet!$C$5:$E$205,3,FALSE)</f>
        <v>0</v>
      </c>
      <c r="T1524" s="1" t="str">
        <f t="shared" si="99"/>
        <v/>
      </c>
      <c r="U1524" s="1">
        <f t="shared" si="100"/>
        <v>0</v>
      </c>
      <c r="W1524" s="6">
        <f t="shared" si="103"/>
        <v>0</v>
      </c>
      <c r="X1524" s="6">
        <f t="shared" si="95"/>
        <v>0</v>
      </c>
      <c r="Y1524" s="1">
        <f t="shared" si="101"/>
        <v>1</v>
      </c>
      <c r="Z1524" s="1">
        <f>IF(COUNTIF($Y$6:Y1524,Y1524)=1,Y1524,Y1524+COUNTIF($Y$5:Y1523,Y1524))</f>
        <v>519</v>
      </c>
      <c r="AD1524" s="1" t="str">
        <f t="shared" si="102"/>
        <v/>
      </c>
      <c r="BA1524" s="1">
        <f>IF(W1524&lt;=Leltar_iv!$Y$1,I1524,0)</f>
        <v>0</v>
      </c>
    </row>
    <row r="1525" spans="1:53" s="1" customFormat="1" x14ac:dyDescent="0.25">
      <c r="A1525" s="18">
        <f>IF(COUNTIF($Y$6:Y1525,Y1525)=1,Y1525,Y1525+COUNTIF($Y$5:Y1524,Y1525))</f>
        <v>520</v>
      </c>
      <c r="B1525" s="1">
        <f>IF(AND(Kisero_iv!$N$2=C1525,Kisero_iv!$K$5=$B$3,SUM(I1525:L1529)&lt;&gt;0,$B$4=YEAR(W1525)),B1524+1,0)</f>
        <v>0</v>
      </c>
      <c r="C1525" s="1">
        <f t="shared" si="96"/>
        <v>520</v>
      </c>
      <c r="D1525" s="102" t="str">
        <f t="shared" si="97"/>
        <v/>
      </c>
      <c r="E1525" s="44"/>
      <c r="F1525" s="45"/>
      <c r="G1525" s="45"/>
      <c r="H1525" s="45"/>
      <c r="I1525" s="46"/>
      <c r="J1525" s="111" t="str">
        <f>IF(AND(G1525&lt;&gt;"",ISERROR(VLOOKUP(G1525,Keszlet!$C$5:$H$200,6,FALSE))=FALSE),VLOOKUP(G1525,Keszlet!$C$5:$H$200,6,FALSE),"")</f>
        <v/>
      </c>
      <c r="K1525" s="106" t="str">
        <f>IF(AND(G1525&lt;&gt;"",ISERROR(VLOOKUP(G1525,Keszlet!$C$5:$G$200,5,FALSE))=FALSE),VLOOKUP(G1525,Keszlet!$C$5:$G$200,5,FALSE),"")</f>
        <v/>
      </c>
      <c r="L1525" s="106" t="str">
        <f t="shared" si="98"/>
        <v/>
      </c>
      <c r="M1525" s="115" t="str">
        <f>IF(ISERROR(VLOOKUP(G1525,Keszlet!$C$5:$I$200,7,FALSE))=TRUE,"",IF(AND(J1524&lt;&gt;"",J1526=""),VLOOKUP(G1525,Keszlet!$C$5:$I$200,7,FALSE),""))</f>
        <v/>
      </c>
      <c r="Q1525" s="1">
        <f>VLOOKUP(G1525,Keszlet!$C$5:$E$205,3,FALSE)</f>
        <v>0</v>
      </c>
      <c r="T1525" s="1" t="str">
        <f t="shared" si="99"/>
        <v/>
      </c>
      <c r="U1525" s="1">
        <f t="shared" si="100"/>
        <v>0</v>
      </c>
      <c r="W1525" s="6">
        <f t="shared" si="103"/>
        <v>0</v>
      </c>
      <c r="X1525" s="6">
        <f t="shared" si="95"/>
        <v>0</v>
      </c>
      <c r="Y1525" s="1">
        <f t="shared" si="101"/>
        <v>1</v>
      </c>
      <c r="Z1525" s="1">
        <f>IF(COUNTIF($Y$6:Y1525,Y1525)=1,Y1525,Y1525+COUNTIF($Y$5:Y1524,Y1525))</f>
        <v>520</v>
      </c>
      <c r="AD1525" s="1" t="str">
        <f t="shared" si="102"/>
        <v/>
      </c>
      <c r="BA1525" s="1">
        <f>IF(W1525&lt;=Leltar_iv!$Y$1,I1525,0)</f>
        <v>0</v>
      </c>
    </row>
    <row r="1526" spans="1:53" s="1" customFormat="1" x14ac:dyDescent="0.25">
      <c r="A1526" s="18">
        <f>IF(COUNTIF($Y$6:Y1526,Y1526)=1,Y1526,Y1526+COUNTIF($Y$5:Y1525,Y1526))</f>
        <v>521</v>
      </c>
      <c r="B1526" s="1">
        <f>IF(AND(Kisero_iv!$N$2=C1526,Kisero_iv!$K$5=$B$3,SUM(I1526:L1530)&lt;&gt;0,$B$4=YEAR(W1526)),B1525+1,0)</f>
        <v>0</v>
      </c>
      <c r="C1526" s="1">
        <f t="shared" si="96"/>
        <v>521</v>
      </c>
      <c r="D1526" s="102" t="str">
        <f t="shared" si="97"/>
        <v/>
      </c>
      <c r="E1526" s="44"/>
      <c r="F1526" s="45"/>
      <c r="G1526" s="45"/>
      <c r="H1526" s="45"/>
      <c r="I1526" s="46"/>
      <c r="J1526" s="111" t="str">
        <f>IF(AND(G1526&lt;&gt;"",ISERROR(VLOOKUP(G1526,Keszlet!$C$5:$H$200,6,FALSE))=FALSE),VLOOKUP(G1526,Keszlet!$C$5:$H$200,6,FALSE),"")</f>
        <v/>
      </c>
      <c r="K1526" s="106" t="str">
        <f>IF(AND(G1526&lt;&gt;"",ISERROR(VLOOKUP(G1526,Keszlet!$C$5:$G$200,5,FALSE))=FALSE),VLOOKUP(G1526,Keszlet!$C$5:$G$200,5,FALSE),"")</f>
        <v/>
      </c>
      <c r="L1526" s="106" t="str">
        <f t="shared" si="98"/>
        <v/>
      </c>
      <c r="M1526" s="115" t="str">
        <f>IF(ISERROR(VLOOKUP(G1526,Keszlet!$C$5:$I$200,7,FALSE))=TRUE,"",IF(AND(J1525&lt;&gt;"",J1527=""),VLOOKUP(G1526,Keszlet!$C$5:$I$200,7,FALSE),""))</f>
        <v/>
      </c>
      <c r="Q1526" s="1">
        <f>VLOOKUP(G1526,Keszlet!$C$5:$E$205,3,FALSE)</f>
        <v>0</v>
      </c>
      <c r="T1526" s="1" t="str">
        <f t="shared" si="99"/>
        <v/>
      </c>
      <c r="U1526" s="1">
        <f t="shared" si="100"/>
        <v>0</v>
      </c>
      <c r="W1526" s="6">
        <f t="shared" si="103"/>
        <v>0</v>
      </c>
      <c r="X1526" s="6">
        <f t="shared" si="95"/>
        <v>0</v>
      </c>
      <c r="Y1526" s="1">
        <f t="shared" si="101"/>
        <v>1</v>
      </c>
      <c r="Z1526" s="1">
        <f>IF(COUNTIF($Y$6:Y1526,Y1526)=1,Y1526,Y1526+COUNTIF($Y$5:Y1525,Y1526))</f>
        <v>521</v>
      </c>
      <c r="AD1526" s="1" t="str">
        <f t="shared" si="102"/>
        <v/>
      </c>
      <c r="BA1526" s="1">
        <f>IF(W1526&lt;=Leltar_iv!$Y$1,I1526,0)</f>
        <v>0</v>
      </c>
    </row>
    <row r="1527" spans="1:53" s="1" customFormat="1" x14ac:dyDescent="0.25">
      <c r="A1527" s="18">
        <f>IF(COUNTIF($Y$6:Y1527,Y1527)=1,Y1527,Y1527+COUNTIF($Y$5:Y1526,Y1527))</f>
        <v>522</v>
      </c>
      <c r="B1527" s="1">
        <f>IF(AND(Kisero_iv!$N$2=C1527,Kisero_iv!$K$5=$B$3,SUM(I1527:L1531)&lt;&gt;0,$B$4=YEAR(W1527)),B1526+1,0)</f>
        <v>0</v>
      </c>
      <c r="C1527" s="1">
        <f t="shared" si="96"/>
        <v>522</v>
      </c>
      <c r="D1527" s="102" t="str">
        <f t="shared" si="97"/>
        <v/>
      </c>
      <c r="E1527" s="44"/>
      <c r="F1527" s="45"/>
      <c r="G1527" s="45"/>
      <c r="H1527" s="45"/>
      <c r="I1527" s="46"/>
      <c r="J1527" s="111" t="str">
        <f>IF(AND(G1527&lt;&gt;"",ISERROR(VLOOKUP(G1527,Keszlet!$C$5:$H$200,6,FALSE))=FALSE),VLOOKUP(G1527,Keszlet!$C$5:$H$200,6,FALSE),"")</f>
        <v/>
      </c>
      <c r="K1527" s="106" t="str">
        <f>IF(AND(G1527&lt;&gt;"",ISERROR(VLOOKUP(G1527,Keszlet!$C$5:$G$200,5,FALSE))=FALSE),VLOOKUP(G1527,Keszlet!$C$5:$G$200,5,FALSE),"")</f>
        <v/>
      </c>
      <c r="L1527" s="106" t="str">
        <f t="shared" si="98"/>
        <v/>
      </c>
      <c r="M1527" s="115" t="str">
        <f>IF(ISERROR(VLOOKUP(G1527,Keszlet!$C$5:$I$200,7,FALSE))=TRUE,"",IF(AND(J1526&lt;&gt;"",J1528=""),VLOOKUP(G1527,Keszlet!$C$5:$I$200,7,FALSE),""))</f>
        <v/>
      </c>
      <c r="Q1527" s="1">
        <f>VLOOKUP(G1527,Keszlet!$C$5:$E$205,3,FALSE)</f>
        <v>0</v>
      </c>
      <c r="T1527" s="1" t="str">
        <f t="shared" si="99"/>
        <v/>
      </c>
      <c r="U1527" s="1">
        <f t="shared" si="100"/>
        <v>0</v>
      </c>
      <c r="W1527" s="6">
        <f t="shared" si="103"/>
        <v>0</v>
      </c>
      <c r="X1527" s="6">
        <f t="shared" si="95"/>
        <v>0</v>
      </c>
      <c r="Y1527" s="1">
        <f t="shared" si="101"/>
        <v>1</v>
      </c>
      <c r="Z1527" s="1">
        <f>IF(COUNTIF($Y$6:Y1527,Y1527)=1,Y1527,Y1527+COUNTIF($Y$5:Y1526,Y1527))</f>
        <v>522</v>
      </c>
      <c r="AD1527" s="1" t="str">
        <f t="shared" si="102"/>
        <v/>
      </c>
      <c r="BA1527" s="1">
        <f>IF(W1527&lt;=Leltar_iv!$Y$1,I1527,0)</f>
        <v>0</v>
      </c>
    </row>
    <row r="1528" spans="1:53" s="1" customFormat="1" x14ac:dyDescent="0.25">
      <c r="A1528" s="18">
        <f>IF(COUNTIF($Y$6:Y1528,Y1528)=1,Y1528,Y1528+COUNTIF($Y$5:Y1527,Y1528))</f>
        <v>523</v>
      </c>
      <c r="B1528" s="1">
        <f>IF(AND(Kisero_iv!$N$2=C1528,Kisero_iv!$K$5=$B$3,SUM(I1528:L1532)&lt;&gt;0,$B$4=YEAR(W1528)),B1527+1,0)</f>
        <v>0</v>
      </c>
      <c r="C1528" s="1">
        <f t="shared" si="96"/>
        <v>523</v>
      </c>
      <c r="D1528" s="102" t="str">
        <f t="shared" si="97"/>
        <v/>
      </c>
      <c r="E1528" s="44"/>
      <c r="F1528" s="45"/>
      <c r="G1528" s="45"/>
      <c r="H1528" s="45"/>
      <c r="I1528" s="46"/>
      <c r="J1528" s="111" t="str">
        <f>IF(AND(G1528&lt;&gt;"",ISERROR(VLOOKUP(G1528,Keszlet!$C$5:$H$200,6,FALSE))=FALSE),VLOOKUP(G1528,Keszlet!$C$5:$H$200,6,FALSE),"")</f>
        <v/>
      </c>
      <c r="K1528" s="106" t="str">
        <f>IF(AND(G1528&lt;&gt;"",ISERROR(VLOOKUP(G1528,Keszlet!$C$5:$G$200,5,FALSE))=FALSE),VLOOKUP(G1528,Keszlet!$C$5:$G$200,5,FALSE),"")</f>
        <v/>
      </c>
      <c r="L1528" s="106" t="str">
        <f t="shared" si="98"/>
        <v/>
      </c>
      <c r="M1528" s="115" t="str">
        <f>IF(ISERROR(VLOOKUP(G1528,Keszlet!$C$5:$I$200,7,FALSE))=TRUE,"",IF(AND(J1527&lt;&gt;"",J1529=""),VLOOKUP(G1528,Keszlet!$C$5:$I$200,7,FALSE),""))</f>
        <v/>
      </c>
      <c r="Q1528" s="1">
        <f>VLOOKUP(G1528,Keszlet!$C$5:$E$205,3,FALSE)</f>
        <v>0</v>
      </c>
      <c r="T1528" s="1" t="str">
        <f t="shared" si="99"/>
        <v/>
      </c>
      <c r="U1528" s="1">
        <f t="shared" si="100"/>
        <v>0</v>
      </c>
      <c r="W1528" s="6">
        <f t="shared" si="103"/>
        <v>0</v>
      </c>
      <c r="X1528" s="6">
        <f t="shared" si="95"/>
        <v>0</v>
      </c>
      <c r="Y1528" s="1">
        <f t="shared" si="101"/>
        <v>1</v>
      </c>
      <c r="Z1528" s="1">
        <f>IF(COUNTIF($Y$6:Y1528,Y1528)=1,Y1528,Y1528+COUNTIF($Y$5:Y1527,Y1528))</f>
        <v>523</v>
      </c>
      <c r="AD1528" s="1" t="str">
        <f t="shared" si="102"/>
        <v/>
      </c>
      <c r="BA1528" s="1">
        <f>IF(W1528&lt;=Leltar_iv!$Y$1,I1528,0)</f>
        <v>0</v>
      </c>
    </row>
    <row r="1529" spans="1:53" s="1" customFormat="1" x14ac:dyDescent="0.25">
      <c r="A1529" s="18">
        <f>IF(COUNTIF($Y$6:Y1529,Y1529)=1,Y1529,Y1529+COUNTIF($Y$5:Y1528,Y1529))</f>
        <v>524</v>
      </c>
      <c r="B1529" s="1">
        <f>IF(AND(Kisero_iv!$N$2=C1529,Kisero_iv!$K$5=$B$3,SUM(I1529:L1533)&lt;&gt;0,$B$4=YEAR(W1529)),B1528+1,0)</f>
        <v>0</v>
      </c>
      <c r="C1529" s="1">
        <f t="shared" si="96"/>
        <v>524</v>
      </c>
      <c r="D1529" s="102" t="str">
        <f t="shared" si="97"/>
        <v/>
      </c>
      <c r="E1529" s="44"/>
      <c r="F1529" s="45"/>
      <c r="G1529" s="45"/>
      <c r="H1529" s="45"/>
      <c r="I1529" s="46"/>
      <c r="J1529" s="111" t="str">
        <f>IF(AND(G1529&lt;&gt;"",ISERROR(VLOOKUP(G1529,Keszlet!$C$5:$H$200,6,FALSE))=FALSE),VLOOKUP(G1529,Keszlet!$C$5:$H$200,6,FALSE),"")</f>
        <v/>
      </c>
      <c r="K1529" s="106" t="str">
        <f>IF(AND(G1529&lt;&gt;"",ISERROR(VLOOKUP(G1529,Keszlet!$C$5:$G$200,5,FALSE))=FALSE),VLOOKUP(G1529,Keszlet!$C$5:$G$200,5,FALSE),"")</f>
        <v/>
      </c>
      <c r="L1529" s="106" t="str">
        <f t="shared" si="98"/>
        <v/>
      </c>
      <c r="M1529" s="115" t="str">
        <f>IF(ISERROR(VLOOKUP(G1529,Keszlet!$C$5:$I$200,7,FALSE))=TRUE,"",IF(AND(J1528&lt;&gt;"",J1530=""),VLOOKUP(G1529,Keszlet!$C$5:$I$200,7,FALSE),""))</f>
        <v/>
      </c>
      <c r="Q1529" s="1">
        <f>VLOOKUP(G1529,Keszlet!$C$5:$E$205,3,FALSE)</f>
        <v>0</v>
      </c>
      <c r="T1529" s="1" t="str">
        <f t="shared" si="99"/>
        <v/>
      </c>
      <c r="U1529" s="1">
        <f t="shared" si="100"/>
        <v>0</v>
      </c>
      <c r="W1529" s="6">
        <f t="shared" si="103"/>
        <v>0</v>
      </c>
      <c r="X1529" s="6">
        <f t="shared" si="95"/>
        <v>0</v>
      </c>
      <c r="Y1529" s="1">
        <f t="shared" si="101"/>
        <v>1</v>
      </c>
      <c r="Z1529" s="1">
        <f>IF(COUNTIF($Y$6:Y1529,Y1529)=1,Y1529,Y1529+COUNTIF($Y$5:Y1528,Y1529))</f>
        <v>524</v>
      </c>
      <c r="AD1529" s="1" t="str">
        <f t="shared" si="102"/>
        <v/>
      </c>
      <c r="BA1529" s="1">
        <f>IF(W1529&lt;=Leltar_iv!$Y$1,I1529,0)</f>
        <v>0</v>
      </c>
    </row>
    <row r="1530" spans="1:53" s="1" customFormat="1" x14ac:dyDescent="0.25">
      <c r="A1530" s="18">
        <f>IF(COUNTIF($Y$6:Y1530,Y1530)=1,Y1530,Y1530+COUNTIF($Y$5:Y1529,Y1530))</f>
        <v>525</v>
      </c>
      <c r="B1530" s="1">
        <f>IF(AND(Kisero_iv!$N$2=C1530,Kisero_iv!$K$5=$B$3,SUM(I1530:L1534)&lt;&gt;0,$B$4=YEAR(W1530)),B1529+1,0)</f>
        <v>0</v>
      </c>
      <c r="C1530" s="1">
        <f t="shared" si="96"/>
        <v>525</v>
      </c>
      <c r="D1530" s="102" t="str">
        <f t="shared" si="97"/>
        <v/>
      </c>
      <c r="E1530" s="44"/>
      <c r="F1530" s="45"/>
      <c r="G1530" s="45"/>
      <c r="H1530" s="45"/>
      <c r="I1530" s="46"/>
      <c r="J1530" s="111" t="str">
        <f>IF(AND(G1530&lt;&gt;"",ISERROR(VLOOKUP(G1530,Keszlet!$C$5:$H$200,6,FALSE))=FALSE),VLOOKUP(G1530,Keszlet!$C$5:$H$200,6,FALSE),"")</f>
        <v/>
      </c>
      <c r="K1530" s="106" t="str">
        <f>IF(AND(G1530&lt;&gt;"",ISERROR(VLOOKUP(G1530,Keszlet!$C$5:$G$200,5,FALSE))=FALSE),VLOOKUP(G1530,Keszlet!$C$5:$G$200,5,FALSE),"")</f>
        <v/>
      </c>
      <c r="L1530" s="106" t="str">
        <f t="shared" si="98"/>
        <v/>
      </c>
      <c r="M1530" s="115" t="str">
        <f>IF(ISERROR(VLOOKUP(G1530,Keszlet!$C$5:$I$200,7,FALSE))=TRUE,"",IF(AND(J1529&lt;&gt;"",J1531=""),VLOOKUP(G1530,Keszlet!$C$5:$I$200,7,FALSE),""))</f>
        <v/>
      </c>
      <c r="Q1530" s="1">
        <f>VLOOKUP(G1530,Keszlet!$C$5:$E$205,3,FALSE)</f>
        <v>0</v>
      </c>
      <c r="T1530" s="1" t="str">
        <f t="shared" si="99"/>
        <v/>
      </c>
      <c r="U1530" s="1">
        <f t="shared" si="100"/>
        <v>0</v>
      </c>
      <c r="W1530" s="6">
        <f t="shared" si="103"/>
        <v>0</v>
      </c>
      <c r="X1530" s="6">
        <f t="shared" si="95"/>
        <v>0</v>
      </c>
      <c r="Y1530" s="1">
        <f t="shared" si="101"/>
        <v>1</v>
      </c>
      <c r="Z1530" s="1">
        <f>IF(COUNTIF($Y$6:Y1530,Y1530)=1,Y1530,Y1530+COUNTIF($Y$5:Y1529,Y1530))</f>
        <v>525</v>
      </c>
      <c r="AD1530" s="1" t="str">
        <f t="shared" si="102"/>
        <v/>
      </c>
      <c r="BA1530" s="1">
        <f>IF(W1530&lt;=Leltar_iv!$Y$1,I1530,0)</f>
        <v>0</v>
      </c>
    </row>
    <row r="1531" spans="1:53" s="1" customFormat="1" x14ac:dyDescent="0.25">
      <c r="A1531" s="18">
        <f>IF(COUNTIF($Y$6:Y1531,Y1531)=1,Y1531,Y1531+COUNTIF($Y$5:Y1530,Y1531))</f>
        <v>526</v>
      </c>
      <c r="B1531" s="1">
        <f>IF(AND(Kisero_iv!$N$2=C1531,Kisero_iv!$K$5=$B$3,SUM(I1531:L1535)&lt;&gt;0,$B$4=YEAR(W1531)),B1530+1,0)</f>
        <v>0</v>
      </c>
      <c r="C1531" s="1">
        <f t="shared" si="96"/>
        <v>526</v>
      </c>
      <c r="D1531" s="102" t="str">
        <f t="shared" si="97"/>
        <v/>
      </c>
      <c r="E1531" s="44"/>
      <c r="F1531" s="45"/>
      <c r="G1531" s="45"/>
      <c r="H1531" s="45"/>
      <c r="I1531" s="46"/>
      <c r="J1531" s="111" t="str">
        <f>IF(AND(G1531&lt;&gt;"",ISERROR(VLOOKUP(G1531,Keszlet!$C$5:$H$200,6,FALSE))=FALSE),VLOOKUP(G1531,Keszlet!$C$5:$H$200,6,FALSE),"")</f>
        <v/>
      </c>
      <c r="K1531" s="106" t="str">
        <f>IF(AND(G1531&lt;&gt;"",ISERROR(VLOOKUP(G1531,Keszlet!$C$5:$G$200,5,FALSE))=FALSE),VLOOKUP(G1531,Keszlet!$C$5:$G$200,5,FALSE),"")</f>
        <v/>
      </c>
      <c r="L1531" s="106" t="str">
        <f t="shared" si="98"/>
        <v/>
      </c>
      <c r="M1531" s="115" t="str">
        <f>IF(ISERROR(VLOOKUP(G1531,Keszlet!$C$5:$I$200,7,FALSE))=TRUE,"",IF(AND(J1530&lt;&gt;"",J1532=""),VLOOKUP(G1531,Keszlet!$C$5:$I$200,7,FALSE),""))</f>
        <v/>
      </c>
      <c r="Q1531" s="1">
        <f>VLOOKUP(G1531,Keszlet!$C$5:$E$205,3,FALSE)</f>
        <v>0</v>
      </c>
      <c r="T1531" s="1" t="str">
        <f t="shared" si="99"/>
        <v/>
      </c>
      <c r="U1531" s="1">
        <f t="shared" si="100"/>
        <v>0</v>
      </c>
      <c r="W1531" s="6">
        <f t="shared" si="103"/>
        <v>0</v>
      </c>
      <c r="X1531" s="6">
        <f t="shared" si="95"/>
        <v>0</v>
      </c>
      <c r="Y1531" s="1">
        <f t="shared" si="101"/>
        <v>1</v>
      </c>
      <c r="Z1531" s="1">
        <f>IF(COUNTIF($Y$6:Y1531,Y1531)=1,Y1531,Y1531+COUNTIF($Y$5:Y1530,Y1531))</f>
        <v>526</v>
      </c>
      <c r="AD1531" s="1" t="str">
        <f t="shared" si="102"/>
        <v/>
      </c>
      <c r="BA1531" s="1">
        <f>IF(W1531&lt;=Leltar_iv!$Y$1,I1531,0)</f>
        <v>0</v>
      </c>
    </row>
    <row r="1532" spans="1:53" s="1" customFormat="1" x14ac:dyDescent="0.25">
      <c r="A1532" s="18">
        <f>IF(COUNTIF($Y$6:Y1532,Y1532)=1,Y1532,Y1532+COUNTIF($Y$5:Y1531,Y1532))</f>
        <v>527</v>
      </c>
      <c r="B1532" s="1">
        <f>IF(AND(Kisero_iv!$N$2=C1532,Kisero_iv!$K$5=$B$3,SUM(I1532:L1536)&lt;&gt;0,$B$4=YEAR(W1532)),B1531+1,0)</f>
        <v>0</v>
      </c>
      <c r="C1532" s="1">
        <f t="shared" si="96"/>
        <v>527</v>
      </c>
      <c r="D1532" s="102" t="str">
        <f t="shared" si="97"/>
        <v/>
      </c>
      <c r="E1532" s="44"/>
      <c r="F1532" s="45"/>
      <c r="G1532" s="45"/>
      <c r="H1532" s="45"/>
      <c r="I1532" s="46"/>
      <c r="J1532" s="111" t="str">
        <f>IF(AND(G1532&lt;&gt;"",ISERROR(VLOOKUP(G1532,Keszlet!$C$5:$H$200,6,FALSE))=FALSE),VLOOKUP(G1532,Keszlet!$C$5:$H$200,6,FALSE),"")</f>
        <v/>
      </c>
      <c r="K1532" s="106" t="str">
        <f>IF(AND(G1532&lt;&gt;"",ISERROR(VLOOKUP(G1532,Keszlet!$C$5:$G$200,5,FALSE))=FALSE),VLOOKUP(G1532,Keszlet!$C$5:$G$200,5,FALSE),"")</f>
        <v/>
      </c>
      <c r="L1532" s="106" t="str">
        <f t="shared" si="98"/>
        <v/>
      </c>
      <c r="M1532" s="115" t="str">
        <f>IF(ISERROR(VLOOKUP(G1532,Keszlet!$C$5:$I$200,7,FALSE))=TRUE,"",IF(AND(J1531&lt;&gt;"",J1533=""),VLOOKUP(G1532,Keszlet!$C$5:$I$200,7,FALSE),""))</f>
        <v/>
      </c>
      <c r="Q1532" s="1">
        <f>VLOOKUP(G1532,Keszlet!$C$5:$E$205,3,FALSE)</f>
        <v>0</v>
      </c>
      <c r="T1532" s="1" t="str">
        <f t="shared" si="99"/>
        <v/>
      </c>
      <c r="U1532" s="1">
        <f t="shared" si="100"/>
        <v>0</v>
      </c>
      <c r="W1532" s="6">
        <f t="shared" si="103"/>
        <v>0</v>
      </c>
      <c r="X1532" s="6">
        <f t="shared" si="95"/>
        <v>0</v>
      </c>
      <c r="Y1532" s="1">
        <f t="shared" si="101"/>
        <v>1</v>
      </c>
      <c r="Z1532" s="1">
        <f>IF(COUNTIF($Y$6:Y1532,Y1532)=1,Y1532,Y1532+COUNTIF($Y$5:Y1531,Y1532))</f>
        <v>527</v>
      </c>
      <c r="AD1532" s="1" t="str">
        <f t="shared" si="102"/>
        <v/>
      </c>
      <c r="BA1532" s="1">
        <f>IF(W1532&lt;=Leltar_iv!$Y$1,I1532,0)</f>
        <v>0</v>
      </c>
    </row>
    <row r="1533" spans="1:53" s="1" customFormat="1" x14ac:dyDescent="0.25">
      <c r="A1533" s="18">
        <f>IF(COUNTIF($Y$6:Y1533,Y1533)=1,Y1533,Y1533+COUNTIF($Y$5:Y1532,Y1533))</f>
        <v>528</v>
      </c>
      <c r="B1533" s="1">
        <f>IF(AND(Kisero_iv!$N$2=C1533,Kisero_iv!$K$5=$B$3,SUM(I1533:L1537)&lt;&gt;0,$B$4=YEAR(W1533)),B1532+1,0)</f>
        <v>0</v>
      </c>
      <c r="C1533" s="1">
        <f t="shared" si="96"/>
        <v>528</v>
      </c>
      <c r="D1533" s="102" t="str">
        <f t="shared" si="97"/>
        <v/>
      </c>
      <c r="E1533" s="44"/>
      <c r="F1533" s="45"/>
      <c r="G1533" s="45"/>
      <c r="H1533" s="45"/>
      <c r="I1533" s="46"/>
      <c r="J1533" s="111" t="str">
        <f>IF(AND(G1533&lt;&gt;"",ISERROR(VLOOKUP(G1533,Keszlet!$C$5:$H$200,6,FALSE))=FALSE),VLOOKUP(G1533,Keszlet!$C$5:$H$200,6,FALSE),"")</f>
        <v/>
      </c>
      <c r="K1533" s="106" t="str">
        <f>IF(AND(G1533&lt;&gt;"",ISERROR(VLOOKUP(G1533,Keszlet!$C$5:$G$200,5,FALSE))=FALSE),VLOOKUP(G1533,Keszlet!$C$5:$G$200,5,FALSE),"")</f>
        <v/>
      </c>
      <c r="L1533" s="106" t="str">
        <f t="shared" si="98"/>
        <v/>
      </c>
      <c r="M1533" s="115" t="str">
        <f>IF(ISERROR(VLOOKUP(G1533,Keszlet!$C$5:$I$200,7,FALSE))=TRUE,"",IF(AND(J1532&lt;&gt;"",J1534=""),VLOOKUP(G1533,Keszlet!$C$5:$I$200,7,FALSE),""))</f>
        <v/>
      </c>
      <c r="Q1533" s="1">
        <f>VLOOKUP(G1533,Keszlet!$C$5:$E$205,3,FALSE)</f>
        <v>0</v>
      </c>
      <c r="T1533" s="1" t="str">
        <f t="shared" si="99"/>
        <v/>
      </c>
      <c r="U1533" s="1">
        <f t="shared" si="100"/>
        <v>0</v>
      </c>
      <c r="W1533" s="6">
        <f t="shared" si="103"/>
        <v>0</v>
      </c>
      <c r="X1533" s="6">
        <f t="shared" si="95"/>
        <v>0</v>
      </c>
      <c r="Y1533" s="1">
        <f t="shared" si="101"/>
        <v>1</v>
      </c>
      <c r="Z1533" s="1">
        <f>IF(COUNTIF($Y$6:Y1533,Y1533)=1,Y1533,Y1533+COUNTIF($Y$5:Y1532,Y1533))</f>
        <v>528</v>
      </c>
      <c r="AD1533" s="1" t="str">
        <f t="shared" si="102"/>
        <v/>
      </c>
      <c r="BA1533" s="1">
        <f>IF(W1533&lt;=Leltar_iv!$Y$1,I1533,0)</f>
        <v>0</v>
      </c>
    </row>
    <row r="1534" spans="1:53" s="1" customFormat="1" x14ac:dyDescent="0.25">
      <c r="A1534" s="18">
        <f>IF(COUNTIF($Y$6:Y1534,Y1534)=1,Y1534,Y1534+COUNTIF($Y$5:Y1533,Y1534))</f>
        <v>529</v>
      </c>
      <c r="B1534" s="1">
        <f>IF(AND(Kisero_iv!$N$2=C1534,Kisero_iv!$K$5=$B$3,SUM(I1534:L1538)&lt;&gt;0,$B$4=YEAR(W1534)),B1533+1,0)</f>
        <v>0</v>
      </c>
      <c r="C1534" s="1">
        <f t="shared" si="96"/>
        <v>529</v>
      </c>
      <c r="D1534" s="102" t="str">
        <f t="shared" si="97"/>
        <v/>
      </c>
      <c r="E1534" s="44"/>
      <c r="F1534" s="45"/>
      <c r="G1534" s="45"/>
      <c r="H1534" s="45"/>
      <c r="I1534" s="46"/>
      <c r="J1534" s="111" t="str">
        <f>IF(AND(G1534&lt;&gt;"",ISERROR(VLOOKUP(G1534,Keszlet!$C$5:$H$200,6,FALSE))=FALSE),VLOOKUP(G1534,Keszlet!$C$5:$H$200,6,FALSE),"")</f>
        <v/>
      </c>
      <c r="K1534" s="106" t="str">
        <f>IF(AND(G1534&lt;&gt;"",ISERROR(VLOOKUP(G1534,Keszlet!$C$5:$G$200,5,FALSE))=FALSE),VLOOKUP(G1534,Keszlet!$C$5:$G$200,5,FALSE),"")</f>
        <v/>
      </c>
      <c r="L1534" s="106" t="str">
        <f t="shared" si="98"/>
        <v/>
      </c>
      <c r="M1534" s="115" t="str">
        <f>IF(ISERROR(VLOOKUP(G1534,Keszlet!$C$5:$I$200,7,FALSE))=TRUE,"",IF(AND(J1533&lt;&gt;"",J1535=""),VLOOKUP(G1534,Keszlet!$C$5:$I$200,7,FALSE),""))</f>
        <v/>
      </c>
      <c r="Q1534" s="1">
        <f>VLOOKUP(G1534,Keszlet!$C$5:$E$205,3,FALSE)</f>
        <v>0</v>
      </c>
      <c r="T1534" s="1" t="str">
        <f t="shared" si="99"/>
        <v/>
      </c>
      <c r="U1534" s="1">
        <f t="shared" si="100"/>
        <v>0</v>
      </c>
      <c r="W1534" s="6">
        <f t="shared" si="103"/>
        <v>0</v>
      </c>
      <c r="X1534" s="6">
        <f t="shared" si="95"/>
        <v>0</v>
      </c>
      <c r="Y1534" s="1">
        <f t="shared" si="101"/>
        <v>1</v>
      </c>
      <c r="Z1534" s="1">
        <f>IF(COUNTIF($Y$6:Y1534,Y1534)=1,Y1534,Y1534+COUNTIF($Y$5:Y1533,Y1534))</f>
        <v>529</v>
      </c>
      <c r="AD1534" s="1" t="str">
        <f t="shared" si="102"/>
        <v/>
      </c>
      <c r="BA1534" s="1">
        <f>IF(W1534&lt;=Leltar_iv!$Y$1,I1534,0)</f>
        <v>0</v>
      </c>
    </row>
    <row r="1535" spans="1:53" s="1" customFormat="1" x14ac:dyDescent="0.25">
      <c r="A1535" s="18">
        <f>IF(COUNTIF($Y$6:Y1535,Y1535)=1,Y1535,Y1535+COUNTIF($Y$5:Y1534,Y1535))</f>
        <v>530</v>
      </c>
      <c r="B1535" s="1">
        <f>IF(AND(Kisero_iv!$N$2=C1535,Kisero_iv!$K$5=$B$3,SUM(I1535:L1539)&lt;&gt;0,$B$4=YEAR(W1535)),B1534+1,0)</f>
        <v>0</v>
      </c>
      <c r="C1535" s="1">
        <f t="shared" si="96"/>
        <v>530</v>
      </c>
      <c r="D1535" s="102" t="str">
        <f t="shared" si="97"/>
        <v/>
      </c>
      <c r="E1535" s="44"/>
      <c r="F1535" s="45"/>
      <c r="G1535" s="45"/>
      <c r="H1535" s="45"/>
      <c r="I1535" s="46"/>
      <c r="J1535" s="111" t="str">
        <f>IF(AND(G1535&lt;&gt;"",ISERROR(VLOOKUP(G1535,Keszlet!$C$5:$H$200,6,FALSE))=FALSE),VLOOKUP(G1535,Keszlet!$C$5:$H$200,6,FALSE),"")</f>
        <v/>
      </c>
      <c r="K1535" s="106" t="str">
        <f>IF(AND(G1535&lt;&gt;"",ISERROR(VLOOKUP(G1535,Keszlet!$C$5:$G$200,5,FALSE))=FALSE),VLOOKUP(G1535,Keszlet!$C$5:$G$200,5,FALSE),"")</f>
        <v/>
      </c>
      <c r="L1535" s="106" t="str">
        <f t="shared" si="98"/>
        <v/>
      </c>
      <c r="M1535" s="115" t="str">
        <f>IF(ISERROR(VLOOKUP(G1535,Keszlet!$C$5:$I$200,7,FALSE))=TRUE,"",IF(AND(J1534&lt;&gt;"",J1536=""),VLOOKUP(G1535,Keszlet!$C$5:$I$200,7,FALSE),""))</f>
        <v/>
      </c>
      <c r="Q1535" s="1">
        <f>VLOOKUP(G1535,Keszlet!$C$5:$E$205,3,FALSE)</f>
        <v>0</v>
      </c>
      <c r="T1535" s="1" t="str">
        <f t="shared" si="99"/>
        <v/>
      </c>
      <c r="U1535" s="1">
        <f t="shared" si="100"/>
        <v>0</v>
      </c>
      <c r="W1535" s="6">
        <f t="shared" si="103"/>
        <v>0</v>
      </c>
      <c r="X1535" s="6">
        <f t="shared" si="95"/>
        <v>0</v>
      </c>
      <c r="Y1535" s="1">
        <f t="shared" si="101"/>
        <v>1</v>
      </c>
      <c r="Z1535" s="1">
        <f>IF(COUNTIF($Y$6:Y1535,Y1535)=1,Y1535,Y1535+COUNTIF($Y$5:Y1534,Y1535))</f>
        <v>530</v>
      </c>
      <c r="AD1535" s="1" t="str">
        <f t="shared" si="102"/>
        <v/>
      </c>
      <c r="BA1535" s="1">
        <f>IF(W1535&lt;=Leltar_iv!$Y$1,I1535,0)</f>
        <v>0</v>
      </c>
    </row>
    <row r="1536" spans="1:53" s="1" customFormat="1" x14ac:dyDescent="0.25">
      <c r="A1536" s="18">
        <f>IF(COUNTIF($Y$6:Y1536,Y1536)=1,Y1536,Y1536+COUNTIF($Y$5:Y1535,Y1536))</f>
        <v>531</v>
      </c>
      <c r="B1536" s="1">
        <f>IF(AND(Kisero_iv!$N$2=C1536,Kisero_iv!$K$5=$B$3,SUM(I1536:L1540)&lt;&gt;0,$B$4=YEAR(W1536)),B1535+1,0)</f>
        <v>0</v>
      </c>
      <c r="C1536" s="1">
        <f t="shared" si="96"/>
        <v>531</v>
      </c>
      <c r="D1536" s="102" t="str">
        <f t="shared" si="97"/>
        <v/>
      </c>
      <c r="E1536" s="44"/>
      <c r="F1536" s="45"/>
      <c r="G1536" s="45"/>
      <c r="H1536" s="45"/>
      <c r="I1536" s="46"/>
      <c r="J1536" s="111" t="str">
        <f>IF(AND(G1536&lt;&gt;"",ISERROR(VLOOKUP(G1536,Keszlet!$C$5:$H$200,6,FALSE))=FALSE),VLOOKUP(G1536,Keszlet!$C$5:$H$200,6,FALSE),"")</f>
        <v/>
      </c>
      <c r="K1536" s="106" t="str">
        <f>IF(AND(G1536&lt;&gt;"",ISERROR(VLOOKUP(G1536,Keszlet!$C$5:$G$200,5,FALSE))=FALSE),VLOOKUP(G1536,Keszlet!$C$5:$G$200,5,FALSE),"")</f>
        <v/>
      </c>
      <c r="L1536" s="106" t="str">
        <f t="shared" si="98"/>
        <v/>
      </c>
      <c r="M1536" s="115" t="str">
        <f>IF(ISERROR(VLOOKUP(G1536,Keszlet!$C$5:$I$200,7,FALSE))=TRUE,"",IF(AND(J1535&lt;&gt;"",J1537=""),VLOOKUP(G1536,Keszlet!$C$5:$I$200,7,FALSE),""))</f>
        <v/>
      </c>
      <c r="Q1536" s="1">
        <f>VLOOKUP(G1536,Keszlet!$C$5:$E$205,3,FALSE)</f>
        <v>0</v>
      </c>
      <c r="T1536" s="1" t="str">
        <f t="shared" si="99"/>
        <v/>
      </c>
      <c r="U1536" s="1">
        <f t="shared" si="100"/>
        <v>0</v>
      </c>
      <c r="W1536" s="6">
        <f t="shared" si="103"/>
        <v>0</v>
      </c>
      <c r="X1536" s="6">
        <f t="shared" si="95"/>
        <v>0</v>
      </c>
      <c r="Y1536" s="1">
        <f t="shared" si="101"/>
        <v>1</v>
      </c>
      <c r="Z1536" s="1">
        <f>IF(COUNTIF($Y$6:Y1536,Y1536)=1,Y1536,Y1536+COUNTIF($Y$5:Y1535,Y1536))</f>
        <v>531</v>
      </c>
      <c r="AD1536" s="1" t="str">
        <f t="shared" si="102"/>
        <v/>
      </c>
      <c r="BA1536" s="1">
        <f>IF(W1536&lt;=Leltar_iv!$Y$1,I1536,0)</f>
        <v>0</v>
      </c>
    </row>
    <row r="1537" spans="1:53" s="1" customFormat="1" x14ac:dyDescent="0.25">
      <c r="A1537" s="18">
        <f>IF(COUNTIF($Y$6:Y1537,Y1537)=1,Y1537,Y1537+COUNTIF($Y$5:Y1536,Y1537))</f>
        <v>532</v>
      </c>
      <c r="B1537" s="1">
        <f>IF(AND(Kisero_iv!$N$2=C1537,Kisero_iv!$K$5=$B$3,SUM(I1537:L1541)&lt;&gt;0,$B$4=YEAR(W1537)),B1536+1,0)</f>
        <v>0</v>
      </c>
      <c r="C1537" s="1">
        <f t="shared" si="96"/>
        <v>532</v>
      </c>
      <c r="D1537" s="102" t="str">
        <f t="shared" si="97"/>
        <v/>
      </c>
      <c r="E1537" s="44"/>
      <c r="F1537" s="45"/>
      <c r="G1537" s="45"/>
      <c r="H1537" s="45"/>
      <c r="I1537" s="46"/>
      <c r="J1537" s="111" t="str">
        <f>IF(AND(G1537&lt;&gt;"",ISERROR(VLOOKUP(G1537,Keszlet!$C$5:$H$200,6,FALSE))=FALSE),VLOOKUP(G1537,Keszlet!$C$5:$H$200,6,FALSE),"")</f>
        <v/>
      </c>
      <c r="K1537" s="106" t="str">
        <f>IF(AND(G1537&lt;&gt;"",ISERROR(VLOOKUP(G1537,Keszlet!$C$5:$G$200,5,FALSE))=FALSE),VLOOKUP(G1537,Keszlet!$C$5:$G$200,5,FALSE),"")</f>
        <v/>
      </c>
      <c r="L1537" s="106" t="str">
        <f t="shared" si="98"/>
        <v/>
      </c>
      <c r="M1537" s="115" t="str">
        <f>IF(ISERROR(VLOOKUP(G1537,Keszlet!$C$5:$I$200,7,FALSE))=TRUE,"",IF(AND(J1536&lt;&gt;"",J1538=""),VLOOKUP(G1537,Keszlet!$C$5:$I$200,7,FALSE),""))</f>
        <v/>
      </c>
      <c r="Q1537" s="1">
        <f>VLOOKUP(G1537,Keszlet!$C$5:$E$205,3,FALSE)</f>
        <v>0</v>
      </c>
      <c r="T1537" s="1" t="str">
        <f t="shared" si="99"/>
        <v/>
      </c>
      <c r="U1537" s="1">
        <f t="shared" si="100"/>
        <v>0</v>
      </c>
      <c r="W1537" s="6">
        <f t="shared" si="103"/>
        <v>0</v>
      </c>
      <c r="X1537" s="6">
        <f t="shared" si="95"/>
        <v>0</v>
      </c>
      <c r="Y1537" s="1">
        <f t="shared" si="101"/>
        <v>1</v>
      </c>
      <c r="Z1537" s="1">
        <f>IF(COUNTIF($Y$6:Y1537,Y1537)=1,Y1537,Y1537+COUNTIF($Y$5:Y1536,Y1537))</f>
        <v>532</v>
      </c>
      <c r="AD1537" s="1" t="str">
        <f t="shared" si="102"/>
        <v/>
      </c>
      <c r="BA1537" s="1">
        <f>IF(W1537&lt;=Leltar_iv!$Y$1,I1537,0)</f>
        <v>0</v>
      </c>
    </row>
    <row r="1538" spans="1:53" s="1" customFormat="1" x14ac:dyDescent="0.25">
      <c r="A1538" s="18">
        <f>IF(COUNTIF($Y$6:Y1538,Y1538)=1,Y1538,Y1538+COUNTIF($Y$5:Y1537,Y1538))</f>
        <v>533</v>
      </c>
      <c r="B1538" s="1">
        <f>IF(AND(Kisero_iv!$N$2=C1538,Kisero_iv!$K$5=$B$3,SUM(I1538:L1542)&lt;&gt;0,$B$4=YEAR(W1538)),B1537+1,0)</f>
        <v>0</v>
      </c>
      <c r="C1538" s="1">
        <f t="shared" si="96"/>
        <v>533</v>
      </c>
      <c r="D1538" s="102" t="str">
        <f t="shared" si="97"/>
        <v/>
      </c>
      <c r="E1538" s="44"/>
      <c r="F1538" s="45"/>
      <c r="G1538" s="45"/>
      <c r="H1538" s="45"/>
      <c r="I1538" s="46"/>
      <c r="J1538" s="111" t="str">
        <f>IF(AND(G1538&lt;&gt;"",ISERROR(VLOOKUP(G1538,Keszlet!$C$5:$H$200,6,FALSE))=FALSE),VLOOKUP(G1538,Keszlet!$C$5:$H$200,6,FALSE),"")</f>
        <v/>
      </c>
      <c r="K1538" s="106" t="str">
        <f>IF(AND(G1538&lt;&gt;"",ISERROR(VLOOKUP(G1538,Keszlet!$C$5:$G$200,5,FALSE))=FALSE),VLOOKUP(G1538,Keszlet!$C$5:$G$200,5,FALSE),"")</f>
        <v/>
      </c>
      <c r="L1538" s="106" t="str">
        <f t="shared" si="98"/>
        <v/>
      </c>
      <c r="M1538" s="115" t="str">
        <f>IF(ISERROR(VLOOKUP(G1538,Keszlet!$C$5:$I$200,7,FALSE))=TRUE,"",IF(AND(J1537&lt;&gt;"",J1539=""),VLOOKUP(G1538,Keszlet!$C$5:$I$200,7,FALSE),""))</f>
        <v/>
      </c>
      <c r="Q1538" s="1">
        <f>VLOOKUP(G1538,Keszlet!$C$5:$E$205,3,FALSE)</f>
        <v>0</v>
      </c>
      <c r="T1538" s="1" t="str">
        <f t="shared" si="99"/>
        <v/>
      </c>
      <c r="U1538" s="1">
        <f t="shared" si="100"/>
        <v>0</v>
      </c>
      <c r="W1538" s="6">
        <f t="shared" si="103"/>
        <v>0</v>
      </c>
      <c r="X1538" s="6">
        <f t="shared" si="95"/>
        <v>0</v>
      </c>
      <c r="Y1538" s="1">
        <f t="shared" si="101"/>
        <v>1</v>
      </c>
      <c r="Z1538" s="1">
        <f>IF(COUNTIF($Y$6:Y1538,Y1538)=1,Y1538,Y1538+COUNTIF($Y$5:Y1537,Y1538))</f>
        <v>533</v>
      </c>
      <c r="AD1538" s="1" t="str">
        <f t="shared" si="102"/>
        <v/>
      </c>
      <c r="BA1538" s="1">
        <f>IF(W1538&lt;=Leltar_iv!$Y$1,I1538,0)</f>
        <v>0</v>
      </c>
    </row>
    <row r="1539" spans="1:53" s="1" customFormat="1" x14ac:dyDescent="0.25">
      <c r="A1539" s="18">
        <f>IF(COUNTIF($Y$6:Y1539,Y1539)=1,Y1539,Y1539+COUNTIF($Y$5:Y1538,Y1539))</f>
        <v>534</v>
      </c>
      <c r="B1539" s="1">
        <f>IF(AND(Kisero_iv!$N$2=C1539,Kisero_iv!$K$5=$B$3,SUM(I1539:L1543)&lt;&gt;0,$B$4=YEAR(W1539)),B1538+1,0)</f>
        <v>0</v>
      </c>
      <c r="C1539" s="1">
        <f t="shared" si="96"/>
        <v>534</v>
      </c>
      <c r="D1539" s="102" t="str">
        <f t="shared" si="97"/>
        <v/>
      </c>
      <c r="E1539" s="44"/>
      <c r="F1539" s="45"/>
      <c r="G1539" s="45"/>
      <c r="H1539" s="45"/>
      <c r="I1539" s="46"/>
      <c r="J1539" s="111" t="str">
        <f>IF(AND(G1539&lt;&gt;"",ISERROR(VLOOKUP(G1539,Keszlet!$C$5:$H$200,6,FALSE))=FALSE),VLOOKUP(G1539,Keszlet!$C$5:$H$200,6,FALSE),"")</f>
        <v/>
      </c>
      <c r="K1539" s="106" t="str">
        <f>IF(AND(G1539&lt;&gt;"",ISERROR(VLOOKUP(G1539,Keszlet!$C$5:$G$200,5,FALSE))=FALSE),VLOOKUP(G1539,Keszlet!$C$5:$G$200,5,FALSE),"")</f>
        <v/>
      </c>
      <c r="L1539" s="106" t="str">
        <f t="shared" si="98"/>
        <v/>
      </c>
      <c r="M1539" s="115" t="str">
        <f>IF(ISERROR(VLOOKUP(G1539,Keszlet!$C$5:$I$200,7,FALSE))=TRUE,"",IF(AND(J1538&lt;&gt;"",J1540=""),VLOOKUP(G1539,Keszlet!$C$5:$I$200,7,FALSE),""))</f>
        <v/>
      </c>
      <c r="Q1539" s="1">
        <f>VLOOKUP(G1539,Keszlet!$C$5:$E$205,3,FALSE)</f>
        <v>0</v>
      </c>
      <c r="T1539" s="1" t="str">
        <f t="shared" si="99"/>
        <v/>
      </c>
      <c r="U1539" s="1">
        <f t="shared" si="100"/>
        <v>0</v>
      </c>
      <c r="W1539" s="6">
        <f t="shared" si="103"/>
        <v>0</v>
      </c>
      <c r="X1539" s="6">
        <f t="shared" si="95"/>
        <v>0</v>
      </c>
      <c r="Y1539" s="1">
        <f t="shared" si="101"/>
        <v>1</v>
      </c>
      <c r="Z1539" s="1">
        <f>IF(COUNTIF($Y$6:Y1539,Y1539)=1,Y1539,Y1539+COUNTIF($Y$5:Y1538,Y1539))</f>
        <v>534</v>
      </c>
      <c r="AD1539" s="1" t="str">
        <f t="shared" si="102"/>
        <v/>
      </c>
      <c r="BA1539" s="1">
        <f>IF(W1539&lt;=Leltar_iv!$Y$1,I1539,0)</f>
        <v>0</v>
      </c>
    </row>
    <row r="1540" spans="1:53" s="1" customFormat="1" x14ac:dyDescent="0.25">
      <c r="A1540" s="18">
        <f>IF(COUNTIF($Y$6:Y1540,Y1540)=1,Y1540,Y1540+COUNTIF($Y$5:Y1539,Y1540))</f>
        <v>535</v>
      </c>
      <c r="B1540" s="1">
        <f>IF(AND(Kisero_iv!$N$2=C1540,Kisero_iv!$K$5=$B$3,SUM(I1540:L1544)&lt;&gt;0,$B$4=YEAR(W1540)),B1539+1,0)</f>
        <v>0</v>
      </c>
      <c r="C1540" s="1">
        <f t="shared" si="96"/>
        <v>535</v>
      </c>
      <c r="D1540" s="102" t="str">
        <f t="shared" si="97"/>
        <v/>
      </c>
      <c r="E1540" s="44"/>
      <c r="F1540" s="45"/>
      <c r="G1540" s="45"/>
      <c r="H1540" s="45"/>
      <c r="I1540" s="46"/>
      <c r="J1540" s="111" t="str">
        <f>IF(AND(G1540&lt;&gt;"",ISERROR(VLOOKUP(G1540,Keszlet!$C$5:$H$200,6,FALSE))=FALSE),VLOOKUP(G1540,Keszlet!$C$5:$H$200,6,FALSE),"")</f>
        <v/>
      </c>
      <c r="K1540" s="106" t="str">
        <f>IF(AND(G1540&lt;&gt;"",ISERROR(VLOOKUP(G1540,Keszlet!$C$5:$G$200,5,FALSE))=FALSE),VLOOKUP(G1540,Keszlet!$C$5:$G$200,5,FALSE),"")</f>
        <v/>
      </c>
      <c r="L1540" s="106" t="str">
        <f t="shared" si="98"/>
        <v/>
      </c>
      <c r="M1540" s="115" t="str">
        <f>IF(ISERROR(VLOOKUP(G1540,Keszlet!$C$5:$I$200,7,FALSE))=TRUE,"",IF(AND(J1539&lt;&gt;"",J1541=""),VLOOKUP(G1540,Keszlet!$C$5:$I$200,7,FALSE),""))</f>
        <v/>
      </c>
      <c r="Q1540" s="1">
        <f>VLOOKUP(G1540,Keszlet!$C$5:$E$205,3,FALSE)</f>
        <v>0</v>
      </c>
      <c r="T1540" s="1" t="str">
        <f t="shared" si="99"/>
        <v/>
      </c>
      <c r="U1540" s="1">
        <f t="shared" si="100"/>
        <v>0</v>
      </c>
      <c r="W1540" s="6">
        <f t="shared" si="103"/>
        <v>0</v>
      </c>
      <c r="X1540" s="6">
        <f t="shared" si="95"/>
        <v>0</v>
      </c>
      <c r="Y1540" s="1">
        <f t="shared" si="101"/>
        <v>1</v>
      </c>
      <c r="Z1540" s="1">
        <f>IF(COUNTIF($Y$6:Y1540,Y1540)=1,Y1540,Y1540+COUNTIF($Y$5:Y1539,Y1540))</f>
        <v>535</v>
      </c>
      <c r="AD1540" s="1" t="str">
        <f t="shared" si="102"/>
        <v/>
      </c>
      <c r="BA1540" s="1">
        <f>IF(W1540&lt;=Leltar_iv!$Y$1,I1540,0)</f>
        <v>0</v>
      </c>
    </row>
    <row r="1541" spans="1:53" s="1" customFormat="1" x14ac:dyDescent="0.25">
      <c r="A1541" s="18">
        <f>IF(COUNTIF($Y$6:Y1541,Y1541)=1,Y1541,Y1541+COUNTIF($Y$5:Y1540,Y1541))</f>
        <v>536</v>
      </c>
      <c r="B1541" s="1">
        <f>IF(AND(Kisero_iv!$N$2=C1541,Kisero_iv!$K$5=$B$3,SUM(I1541:L1545)&lt;&gt;0,$B$4=YEAR(W1541)),B1540+1,0)</f>
        <v>0</v>
      </c>
      <c r="C1541" s="1">
        <f t="shared" si="96"/>
        <v>536</v>
      </c>
      <c r="D1541" s="102" t="str">
        <f t="shared" si="97"/>
        <v/>
      </c>
      <c r="E1541" s="44"/>
      <c r="F1541" s="45"/>
      <c r="G1541" s="45"/>
      <c r="H1541" s="45"/>
      <c r="I1541" s="46"/>
      <c r="J1541" s="111" t="str">
        <f>IF(AND(G1541&lt;&gt;"",ISERROR(VLOOKUP(G1541,Keszlet!$C$5:$H$200,6,FALSE))=FALSE),VLOOKUP(G1541,Keszlet!$C$5:$H$200,6,FALSE),"")</f>
        <v/>
      </c>
      <c r="K1541" s="106" t="str">
        <f>IF(AND(G1541&lt;&gt;"",ISERROR(VLOOKUP(G1541,Keszlet!$C$5:$G$200,5,FALSE))=FALSE),VLOOKUP(G1541,Keszlet!$C$5:$G$200,5,FALSE),"")</f>
        <v/>
      </c>
      <c r="L1541" s="106" t="str">
        <f t="shared" si="98"/>
        <v/>
      </c>
      <c r="M1541" s="115" t="str">
        <f>IF(ISERROR(VLOOKUP(G1541,Keszlet!$C$5:$I$200,7,FALSE))=TRUE,"",IF(AND(J1540&lt;&gt;"",J1542=""),VLOOKUP(G1541,Keszlet!$C$5:$I$200,7,FALSE),""))</f>
        <v/>
      </c>
      <c r="Q1541" s="1">
        <f>VLOOKUP(G1541,Keszlet!$C$5:$E$205,3,FALSE)</f>
        <v>0</v>
      </c>
      <c r="T1541" s="1" t="str">
        <f t="shared" si="99"/>
        <v/>
      </c>
      <c r="U1541" s="1">
        <f t="shared" si="100"/>
        <v>0</v>
      </c>
      <c r="W1541" s="6">
        <f t="shared" si="103"/>
        <v>0</v>
      </c>
      <c r="X1541" s="6">
        <f t="shared" si="95"/>
        <v>0</v>
      </c>
      <c r="Y1541" s="1">
        <f t="shared" si="101"/>
        <v>1</v>
      </c>
      <c r="Z1541" s="1">
        <f>IF(COUNTIF($Y$6:Y1541,Y1541)=1,Y1541,Y1541+COUNTIF($Y$5:Y1540,Y1541))</f>
        <v>536</v>
      </c>
      <c r="AD1541" s="1" t="str">
        <f t="shared" si="102"/>
        <v/>
      </c>
      <c r="BA1541" s="1">
        <f>IF(W1541&lt;=Leltar_iv!$Y$1,I1541,0)</f>
        <v>0</v>
      </c>
    </row>
    <row r="1542" spans="1:53" s="1" customFormat="1" x14ac:dyDescent="0.25">
      <c r="A1542" s="18">
        <f>IF(COUNTIF($Y$6:Y1542,Y1542)=1,Y1542,Y1542+COUNTIF($Y$5:Y1541,Y1542))</f>
        <v>537</v>
      </c>
      <c r="B1542" s="1">
        <f>IF(AND(Kisero_iv!$N$2=C1542,Kisero_iv!$K$5=$B$3,SUM(I1542:L1546)&lt;&gt;0,$B$4=YEAR(W1542)),B1541+1,0)</f>
        <v>0</v>
      </c>
      <c r="C1542" s="1">
        <f t="shared" si="96"/>
        <v>537</v>
      </c>
      <c r="D1542" s="102" t="str">
        <f t="shared" si="97"/>
        <v/>
      </c>
      <c r="E1542" s="44"/>
      <c r="F1542" s="45"/>
      <c r="G1542" s="45"/>
      <c r="H1542" s="45"/>
      <c r="I1542" s="46"/>
      <c r="J1542" s="111" t="str">
        <f>IF(AND(G1542&lt;&gt;"",ISERROR(VLOOKUP(G1542,Keszlet!$C$5:$H$200,6,FALSE))=FALSE),VLOOKUP(G1542,Keszlet!$C$5:$H$200,6,FALSE),"")</f>
        <v/>
      </c>
      <c r="K1542" s="106" t="str">
        <f>IF(AND(G1542&lt;&gt;"",ISERROR(VLOOKUP(G1542,Keszlet!$C$5:$G$200,5,FALSE))=FALSE),VLOOKUP(G1542,Keszlet!$C$5:$G$200,5,FALSE),"")</f>
        <v/>
      </c>
      <c r="L1542" s="106" t="str">
        <f t="shared" si="98"/>
        <v/>
      </c>
      <c r="M1542" s="115" t="str">
        <f>IF(ISERROR(VLOOKUP(G1542,Keszlet!$C$5:$I$200,7,FALSE))=TRUE,"",IF(AND(J1541&lt;&gt;"",J1543=""),VLOOKUP(G1542,Keszlet!$C$5:$I$200,7,FALSE),""))</f>
        <v/>
      </c>
      <c r="Q1542" s="1">
        <f>VLOOKUP(G1542,Keszlet!$C$5:$E$205,3,FALSE)</f>
        <v>0</v>
      </c>
      <c r="T1542" s="1" t="str">
        <f t="shared" si="99"/>
        <v/>
      </c>
      <c r="U1542" s="1">
        <f t="shared" si="100"/>
        <v>0</v>
      </c>
      <c r="W1542" s="6">
        <f t="shared" si="103"/>
        <v>0</v>
      </c>
      <c r="X1542" s="6">
        <f t="shared" si="95"/>
        <v>0</v>
      </c>
      <c r="Y1542" s="1">
        <f t="shared" si="101"/>
        <v>1</v>
      </c>
      <c r="Z1542" s="1">
        <f>IF(COUNTIF($Y$6:Y1542,Y1542)=1,Y1542,Y1542+COUNTIF($Y$5:Y1541,Y1542))</f>
        <v>537</v>
      </c>
      <c r="AD1542" s="1" t="str">
        <f t="shared" si="102"/>
        <v/>
      </c>
      <c r="BA1542" s="1">
        <f>IF(W1542&lt;=Leltar_iv!$Y$1,I1542,0)</f>
        <v>0</v>
      </c>
    </row>
    <row r="1543" spans="1:53" s="1" customFormat="1" x14ac:dyDescent="0.25">
      <c r="A1543" s="18">
        <f>IF(COUNTIF($Y$6:Y1543,Y1543)=1,Y1543,Y1543+COUNTIF($Y$5:Y1542,Y1543))</f>
        <v>538</v>
      </c>
      <c r="B1543" s="1">
        <f>IF(AND(Kisero_iv!$N$2=C1543,Kisero_iv!$K$5=$B$3,SUM(I1543:L1547)&lt;&gt;0,$B$4=YEAR(W1543)),B1542+1,0)</f>
        <v>0</v>
      </c>
      <c r="C1543" s="1">
        <f t="shared" si="96"/>
        <v>538</v>
      </c>
      <c r="D1543" s="102" t="str">
        <f t="shared" si="97"/>
        <v/>
      </c>
      <c r="E1543" s="44"/>
      <c r="F1543" s="45"/>
      <c r="G1543" s="45"/>
      <c r="H1543" s="45"/>
      <c r="I1543" s="46"/>
      <c r="J1543" s="111" t="str">
        <f>IF(AND(G1543&lt;&gt;"",ISERROR(VLOOKUP(G1543,Keszlet!$C$5:$H$200,6,FALSE))=FALSE),VLOOKUP(G1543,Keszlet!$C$5:$H$200,6,FALSE),"")</f>
        <v/>
      </c>
      <c r="K1543" s="106" t="str">
        <f>IF(AND(G1543&lt;&gt;"",ISERROR(VLOOKUP(G1543,Keszlet!$C$5:$G$200,5,FALSE))=FALSE),VLOOKUP(G1543,Keszlet!$C$5:$G$200,5,FALSE),"")</f>
        <v/>
      </c>
      <c r="L1543" s="106" t="str">
        <f t="shared" si="98"/>
        <v/>
      </c>
      <c r="M1543" s="115" t="str">
        <f>IF(ISERROR(VLOOKUP(G1543,Keszlet!$C$5:$I$200,7,FALSE))=TRUE,"",IF(AND(J1542&lt;&gt;"",J1544=""),VLOOKUP(G1543,Keszlet!$C$5:$I$200,7,FALSE),""))</f>
        <v/>
      </c>
      <c r="Q1543" s="1">
        <f>VLOOKUP(G1543,Keszlet!$C$5:$E$205,3,FALSE)</f>
        <v>0</v>
      </c>
      <c r="T1543" s="1" t="str">
        <f t="shared" si="99"/>
        <v/>
      </c>
      <c r="U1543" s="1">
        <f t="shared" si="100"/>
        <v>0</v>
      </c>
      <c r="W1543" s="6">
        <f t="shared" si="103"/>
        <v>0</v>
      </c>
      <c r="X1543" s="6">
        <f t="shared" si="95"/>
        <v>0</v>
      </c>
      <c r="Y1543" s="1">
        <f t="shared" si="101"/>
        <v>1</v>
      </c>
      <c r="Z1543" s="1">
        <f>IF(COUNTIF($Y$6:Y1543,Y1543)=1,Y1543,Y1543+COUNTIF($Y$5:Y1542,Y1543))</f>
        <v>538</v>
      </c>
      <c r="AD1543" s="1" t="str">
        <f t="shared" si="102"/>
        <v/>
      </c>
      <c r="BA1543" s="1">
        <f>IF(W1543&lt;=Leltar_iv!$Y$1,I1543,0)</f>
        <v>0</v>
      </c>
    </row>
    <row r="1544" spans="1:53" s="1" customFormat="1" x14ac:dyDescent="0.25">
      <c r="A1544" s="18">
        <f>IF(COUNTIF($Y$6:Y1544,Y1544)=1,Y1544,Y1544+COUNTIF($Y$5:Y1543,Y1544))</f>
        <v>539</v>
      </c>
      <c r="B1544" s="1">
        <f>IF(AND(Kisero_iv!$N$2=C1544,Kisero_iv!$K$5=$B$3,SUM(I1544:L1548)&lt;&gt;0,$B$4=YEAR(W1544)),B1543+1,0)</f>
        <v>0</v>
      </c>
      <c r="C1544" s="1">
        <f t="shared" si="96"/>
        <v>539</v>
      </c>
      <c r="D1544" s="102" t="str">
        <f t="shared" si="97"/>
        <v/>
      </c>
      <c r="E1544" s="44"/>
      <c r="F1544" s="45"/>
      <c r="G1544" s="45"/>
      <c r="H1544" s="45"/>
      <c r="I1544" s="46"/>
      <c r="J1544" s="111" t="str">
        <f>IF(AND(G1544&lt;&gt;"",ISERROR(VLOOKUP(G1544,Keszlet!$C$5:$H$200,6,FALSE))=FALSE),VLOOKUP(G1544,Keszlet!$C$5:$H$200,6,FALSE),"")</f>
        <v/>
      </c>
      <c r="K1544" s="106" t="str">
        <f>IF(AND(G1544&lt;&gt;"",ISERROR(VLOOKUP(G1544,Keszlet!$C$5:$G$200,5,FALSE))=FALSE),VLOOKUP(G1544,Keszlet!$C$5:$G$200,5,FALSE),"")</f>
        <v/>
      </c>
      <c r="L1544" s="106" t="str">
        <f t="shared" si="98"/>
        <v/>
      </c>
      <c r="M1544" s="115" t="str">
        <f>IF(ISERROR(VLOOKUP(G1544,Keszlet!$C$5:$I$200,7,FALSE))=TRUE,"",IF(AND(J1543&lt;&gt;"",J1545=""),VLOOKUP(G1544,Keszlet!$C$5:$I$200,7,FALSE),""))</f>
        <v/>
      </c>
      <c r="Q1544" s="1">
        <f>VLOOKUP(G1544,Keszlet!$C$5:$E$205,3,FALSE)</f>
        <v>0</v>
      </c>
      <c r="T1544" s="1" t="str">
        <f t="shared" si="99"/>
        <v/>
      </c>
      <c r="U1544" s="1">
        <f t="shared" si="100"/>
        <v>0</v>
      </c>
      <c r="W1544" s="6">
        <f t="shared" si="103"/>
        <v>0</v>
      </c>
      <c r="X1544" s="6">
        <f t="shared" si="95"/>
        <v>0</v>
      </c>
      <c r="Y1544" s="1">
        <f t="shared" si="101"/>
        <v>1</v>
      </c>
      <c r="Z1544" s="1">
        <f>IF(COUNTIF($Y$6:Y1544,Y1544)=1,Y1544,Y1544+COUNTIF($Y$5:Y1543,Y1544))</f>
        <v>539</v>
      </c>
      <c r="AD1544" s="1" t="str">
        <f t="shared" si="102"/>
        <v/>
      </c>
      <c r="BA1544" s="1">
        <f>IF(W1544&lt;=Leltar_iv!$Y$1,I1544,0)</f>
        <v>0</v>
      </c>
    </row>
    <row r="1545" spans="1:53" s="1" customFormat="1" x14ac:dyDescent="0.25">
      <c r="A1545" s="18">
        <f>IF(COUNTIF($Y$6:Y1545,Y1545)=1,Y1545,Y1545+COUNTIF($Y$5:Y1544,Y1545))</f>
        <v>540</v>
      </c>
      <c r="B1545" s="1">
        <f>IF(AND(Kisero_iv!$N$2=C1545,Kisero_iv!$K$5=$B$3,SUM(I1545:L1549)&lt;&gt;0,$B$4=YEAR(W1545)),B1544+1,0)</f>
        <v>0</v>
      </c>
      <c r="C1545" s="1">
        <f t="shared" si="96"/>
        <v>540</v>
      </c>
      <c r="D1545" s="102" t="str">
        <f t="shared" si="97"/>
        <v/>
      </c>
      <c r="E1545" s="44"/>
      <c r="F1545" s="45"/>
      <c r="G1545" s="45"/>
      <c r="H1545" s="45"/>
      <c r="I1545" s="46"/>
      <c r="J1545" s="111" t="str">
        <f>IF(AND(G1545&lt;&gt;"",ISERROR(VLOOKUP(G1545,Keszlet!$C$5:$H$200,6,FALSE))=FALSE),VLOOKUP(G1545,Keszlet!$C$5:$H$200,6,FALSE),"")</f>
        <v/>
      </c>
      <c r="K1545" s="106" t="str">
        <f>IF(AND(G1545&lt;&gt;"",ISERROR(VLOOKUP(G1545,Keszlet!$C$5:$G$200,5,FALSE))=FALSE),VLOOKUP(G1545,Keszlet!$C$5:$G$200,5,FALSE),"")</f>
        <v/>
      </c>
      <c r="L1545" s="106" t="str">
        <f t="shared" si="98"/>
        <v/>
      </c>
      <c r="M1545" s="115" t="str">
        <f>IF(ISERROR(VLOOKUP(G1545,Keszlet!$C$5:$I$200,7,FALSE))=TRUE,"",IF(AND(J1544&lt;&gt;"",J1546=""),VLOOKUP(G1545,Keszlet!$C$5:$I$200,7,FALSE),""))</f>
        <v/>
      </c>
      <c r="Q1545" s="1">
        <f>VLOOKUP(G1545,Keszlet!$C$5:$E$205,3,FALSE)</f>
        <v>0</v>
      </c>
      <c r="T1545" s="1" t="str">
        <f t="shared" si="99"/>
        <v/>
      </c>
      <c r="U1545" s="1">
        <f t="shared" si="100"/>
        <v>0</v>
      </c>
      <c r="W1545" s="6">
        <f t="shared" si="103"/>
        <v>0</v>
      </c>
      <c r="X1545" s="6">
        <f t="shared" si="95"/>
        <v>0</v>
      </c>
      <c r="Y1545" s="1">
        <f t="shared" si="101"/>
        <v>1</v>
      </c>
      <c r="Z1545" s="1">
        <f>IF(COUNTIF($Y$6:Y1545,Y1545)=1,Y1545,Y1545+COUNTIF($Y$5:Y1544,Y1545))</f>
        <v>540</v>
      </c>
      <c r="AD1545" s="1" t="str">
        <f t="shared" si="102"/>
        <v/>
      </c>
      <c r="BA1545" s="1">
        <f>IF(W1545&lt;=Leltar_iv!$Y$1,I1545,0)</f>
        <v>0</v>
      </c>
    </row>
    <row r="1546" spans="1:53" s="1" customFormat="1" x14ac:dyDescent="0.25">
      <c r="A1546" s="18">
        <f>IF(COUNTIF($Y$6:Y1546,Y1546)=1,Y1546,Y1546+COUNTIF($Y$5:Y1545,Y1546))</f>
        <v>541</v>
      </c>
      <c r="B1546" s="1">
        <f>IF(AND(Kisero_iv!$N$2=C1546,Kisero_iv!$K$5=$B$3,SUM(I1546:L1550)&lt;&gt;0,$B$4=YEAR(W1546)),B1545+1,0)</f>
        <v>0</v>
      </c>
      <c r="C1546" s="1">
        <f t="shared" si="96"/>
        <v>541</v>
      </c>
      <c r="D1546" s="102" t="str">
        <f t="shared" si="97"/>
        <v/>
      </c>
      <c r="E1546" s="44"/>
      <c r="F1546" s="45"/>
      <c r="G1546" s="45"/>
      <c r="H1546" s="45"/>
      <c r="I1546" s="46"/>
      <c r="J1546" s="111" t="str">
        <f>IF(AND(G1546&lt;&gt;"",ISERROR(VLOOKUP(G1546,Keszlet!$C$5:$H$200,6,FALSE))=FALSE),VLOOKUP(G1546,Keszlet!$C$5:$H$200,6,FALSE),"")</f>
        <v/>
      </c>
      <c r="K1546" s="106" t="str">
        <f>IF(AND(G1546&lt;&gt;"",ISERROR(VLOOKUP(G1546,Keszlet!$C$5:$G$200,5,FALSE))=FALSE),VLOOKUP(G1546,Keszlet!$C$5:$G$200,5,FALSE),"")</f>
        <v/>
      </c>
      <c r="L1546" s="106" t="str">
        <f t="shared" si="98"/>
        <v/>
      </c>
      <c r="M1546" s="115" t="str">
        <f>IF(ISERROR(VLOOKUP(G1546,Keszlet!$C$5:$I$200,7,FALSE))=TRUE,"",IF(AND(J1545&lt;&gt;"",J1547=""),VLOOKUP(G1546,Keszlet!$C$5:$I$200,7,FALSE),""))</f>
        <v/>
      </c>
      <c r="Q1546" s="1">
        <f>VLOOKUP(G1546,Keszlet!$C$5:$E$205,3,FALSE)</f>
        <v>0</v>
      </c>
      <c r="T1546" s="1" t="str">
        <f t="shared" si="99"/>
        <v/>
      </c>
      <c r="U1546" s="1">
        <f t="shared" si="100"/>
        <v>0</v>
      </c>
      <c r="W1546" s="6">
        <f t="shared" si="103"/>
        <v>0</v>
      </c>
      <c r="X1546" s="6">
        <f t="shared" si="95"/>
        <v>0</v>
      </c>
      <c r="Y1546" s="1">
        <f t="shared" si="101"/>
        <v>1</v>
      </c>
      <c r="Z1546" s="1">
        <f>IF(COUNTIF($Y$6:Y1546,Y1546)=1,Y1546,Y1546+COUNTIF($Y$5:Y1545,Y1546))</f>
        <v>541</v>
      </c>
      <c r="AD1546" s="1" t="str">
        <f t="shared" si="102"/>
        <v/>
      </c>
      <c r="BA1546" s="1">
        <f>IF(W1546&lt;=Leltar_iv!$Y$1,I1546,0)</f>
        <v>0</v>
      </c>
    </row>
    <row r="1547" spans="1:53" s="1" customFormat="1" x14ac:dyDescent="0.25">
      <c r="A1547" s="18">
        <f>IF(COUNTIF($Y$6:Y1547,Y1547)=1,Y1547,Y1547+COUNTIF($Y$5:Y1546,Y1547))</f>
        <v>542</v>
      </c>
      <c r="B1547" s="1">
        <f>IF(AND(Kisero_iv!$N$2=C1547,Kisero_iv!$K$5=$B$3,SUM(I1547:L1551)&lt;&gt;0,$B$4=YEAR(W1547)),B1546+1,0)</f>
        <v>0</v>
      </c>
      <c r="C1547" s="1">
        <f t="shared" si="96"/>
        <v>542</v>
      </c>
      <c r="D1547" s="102" t="str">
        <f t="shared" si="97"/>
        <v/>
      </c>
      <c r="E1547" s="44"/>
      <c r="F1547" s="45"/>
      <c r="G1547" s="45"/>
      <c r="H1547" s="45"/>
      <c r="I1547" s="46"/>
      <c r="J1547" s="111" t="str">
        <f>IF(AND(G1547&lt;&gt;"",ISERROR(VLOOKUP(G1547,Keszlet!$C$5:$H$200,6,FALSE))=FALSE),VLOOKUP(G1547,Keszlet!$C$5:$H$200,6,FALSE),"")</f>
        <v/>
      </c>
      <c r="K1547" s="106" t="str">
        <f>IF(AND(G1547&lt;&gt;"",ISERROR(VLOOKUP(G1547,Keszlet!$C$5:$G$200,5,FALSE))=FALSE),VLOOKUP(G1547,Keszlet!$C$5:$G$200,5,FALSE),"")</f>
        <v/>
      </c>
      <c r="L1547" s="106" t="str">
        <f t="shared" si="98"/>
        <v/>
      </c>
      <c r="M1547" s="115" t="str">
        <f>IF(ISERROR(VLOOKUP(G1547,Keszlet!$C$5:$I$200,7,FALSE))=TRUE,"",IF(AND(J1546&lt;&gt;"",J1548=""),VLOOKUP(G1547,Keszlet!$C$5:$I$200,7,FALSE),""))</f>
        <v/>
      </c>
      <c r="Q1547" s="1">
        <f>VLOOKUP(G1547,Keszlet!$C$5:$E$205,3,FALSE)</f>
        <v>0</v>
      </c>
      <c r="T1547" s="1" t="str">
        <f t="shared" si="99"/>
        <v/>
      </c>
      <c r="U1547" s="1">
        <f t="shared" si="100"/>
        <v>0</v>
      </c>
      <c r="W1547" s="6">
        <f t="shared" si="103"/>
        <v>0</v>
      </c>
      <c r="X1547" s="6">
        <f t="shared" si="95"/>
        <v>0</v>
      </c>
      <c r="Y1547" s="1">
        <f t="shared" si="101"/>
        <v>1</v>
      </c>
      <c r="Z1547" s="1">
        <f>IF(COUNTIF($Y$6:Y1547,Y1547)=1,Y1547,Y1547+COUNTIF($Y$5:Y1546,Y1547))</f>
        <v>542</v>
      </c>
      <c r="AD1547" s="1" t="str">
        <f t="shared" si="102"/>
        <v/>
      </c>
      <c r="BA1547" s="1">
        <f>IF(W1547&lt;=Leltar_iv!$Y$1,I1547,0)</f>
        <v>0</v>
      </c>
    </row>
    <row r="1548" spans="1:53" s="1" customFormat="1" x14ac:dyDescent="0.25">
      <c r="A1548" s="18">
        <f>IF(COUNTIF($Y$6:Y1548,Y1548)=1,Y1548,Y1548+COUNTIF($Y$5:Y1547,Y1548))</f>
        <v>543</v>
      </c>
      <c r="B1548" s="1">
        <f>IF(AND(Kisero_iv!$N$2=C1548,Kisero_iv!$K$5=$B$3,SUM(I1548:L1552)&lt;&gt;0,$B$4=YEAR(W1548)),B1547+1,0)</f>
        <v>0</v>
      </c>
      <c r="C1548" s="1">
        <f t="shared" si="96"/>
        <v>543</v>
      </c>
      <c r="D1548" s="102" t="str">
        <f t="shared" si="97"/>
        <v/>
      </c>
      <c r="E1548" s="44"/>
      <c r="F1548" s="45"/>
      <c r="G1548" s="45"/>
      <c r="H1548" s="45"/>
      <c r="I1548" s="46"/>
      <c r="J1548" s="111" t="str">
        <f>IF(AND(G1548&lt;&gt;"",ISERROR(VLOOKUP(G1548,Keszlet!$C$5:$H$200,6,FALSE))=FALSE),VLOOKUP(G1548,Keszlet!$C$5:$H$200,6,FALSE),"")</f>
        <v/>
      </c>
      <c r="K1548" s="106" t="str">
        <f>IF(AND(G1548&lt;&gt;"",ISERROR(VLOOKUP(G1548,Keszlet!$C$5:$G$200,5,FALSE))=FALSE),VLOOKUP(G1548,Keszlet!$C$5:$G$200,5,FALSE),"")</f>
        <v/>
      </c>
      <c r="L1548" s="106" t="str">
        <f t="shared" si="98"/>
        <v/>
      </c>
      <c r="M1548" s="115" t="str">
        <f>IF(ISERROR(VLOOKUP(G1548,Keszlet!$C$5:$I$200,7,FALSE))=TRUE,"",IF(AND(J1547&lt;&gt;"",J1549=""),VLOOKUP(G1548,Keszlet!$C$5:$I$200,7,FALSE),""))</f>
        <v/>
      </c>
      <c r="Q1548" s="1">
        <f>VLOOKUP(G1548,Keszlet!$C$5:$E$205,3,FALSE)</f>
        <v>0</v>
      </c>
      <c r="T1548" s="1" t="str">
        <f t="shared" si="99"/>
        <v/>
      </c>
      <c r="U1548" s="1">
        <f t="shared" si="100"/>
        <v>0</v>
      </c>
      <c r="W1548" s="6">
        <f t="shared" si="103"/>
        <v>0</v>
      </c>
      <c r="X1548" s="6">
        <f t="shared" si="95"/>
        <v>0</v>
      </c>
      <c r="Y1548" s="1">
        <f t="shared" si="101"/>
        <v>1</v>
      </c>
      <c r="Z1548" s="1">
        <f>IF(COUNTIF($Y$6:Y1548,Y1548)=1,Y1548,Y1548+COUNTIF($Y$5:Y1547,Y1548))</f>
        <v>543</v>
      </c>
      <c r="AD1548" s="1" t="str">
        <f t="shared" si="102"/>
        <v/>
      </c>
      <c r="BA1548" s="1">
        <f>IF(W1548&lt;=Leltar_iv!$Y$1,I1548,0)</f>
        <v>0</v>
      </c>
    </row>
    <row r="1549" spans="1:53" s="1" customFormat="1" x14ac:dyDescent="0.25">
      <c r="A1549" s="18">
        <f>IF(COUNTIF($Y$6:Y1549,Y1549)=1,Y1549,Y1549+COUNTIF($Y$5:Y1548,Y1549))</f>
        <v>544</v>
      </c>
      <c r="B1549" s="1">
        <f>IF(AND(Kisero_iv!$N$2=C1549,Kisero_iv!$K$5=$B$3,SUM(I1549:L1553)&lt;&gt;0,$B$4=YEAR(W1549)),B1548+1,0)</f>
        <v>0</v>
      </c>
      <c r="C1549" s="1">
        <f t="shared" si="96"/>
        <v>544</v>
      </c>
      <c r="D1549" s="102" t="str">
        <f t="shared" si="97"/>
        <v/>
      </c>
      <c r="E1549" s="44"/>
      <c r="F1549" s="45"/>
      <c r="G1549" s="45"/>
      <c r="H1549" s="45"/>
      <c r="I1549" s="46"/>
      <c r="J1549" s="111" t="str">
        <f>IF(AND(G1549&lt;&gt;"",ISERROR(VLOOKUP(G1549,Keszlet!$C$5:$H$200,6,FALSE))=FALSE),VLOOKUP(G1549,Keszlet!$C$5:$H$200,6,FALSE),"")</f>
        <v/>
      </c>
      <c r="K1549" s="106" t="str">
        <f>IF(AND(G1549&lt;&gt;"",ISERROR(VLOOKUP(G1549,Keszlet!$C$5:$G$200,5,FALSE))=FALSE),VLOOKUP(G1549,Keszlet!$C$5:$G$200,5,FALSE),"")</f>
        <v/>
      </c>
      <c r="L1549" s="106" t="str">
        <f t="shared" si="98"/>
        <v/>
      </c>
      <c r="M1549" s="115" t="str">
        <f>IF(ISERROR(VLOOKUP(G1549,Keszlet!$C$5:$I$200,7,FALSE))=TRUE,"",IF(AND(J1548&lt;&gt;"",J1550=""),VLOOKUP(G1549,Keszlet!$C$5:$I$200,7,FALSE),""))</f>
        <v/>
      </c>
      <c r="Q1549" s="1">
        <f>VLOOKUP(G1549,Keszlet!$C$5:$E$205,3,FALSE)</f>
        <v>0</v>
      </c>
      <c r="T1549" s="1" t="str">
        <f t="shared" si="99"/>
        <v/>
      </c>
      <c r="U1549" s="1">
        <f t="shared" si="100"/>
        <v>0</v>
      </c>
      <c r="W1549" s="6">
        <f t="shared" si="103"/>
        <v>0</v>
      </c>
      <c r="X1549" s="6">
        <f t="shared" si="95"/>
        <v>0</v>
      </c>
      <c r="Y1549" s="1">
        <f t="shared" si="101"/>
        <v>1</v>
      </c>
      <c r="Z1549" s="1">
        <f>IF(COUNTIF($Y$6:Y1549,Y1549)=1,Y1549,Y1549+COUNTIF($Y$5:Y1548,Y1549))</f>
        <v>544</v>
      </c>
      <c r="AD1549" s="1" t="str">
        <f t="shared" si="102"/>
        <v/>
      </c>
      <c r="BA1549" s="1">
        <f>IF(W1549&lt;=Leltar_iv!$Y$1,I1549,0)</f>
        <v>0</v>
      </c>
    </row>
    <row r="1550" spans="1:53" s="1" customFormat="1" x14ac:dyDescent="0.25">
      <c r="A1550" s="18">
        <f>IF(COUNTIF($Y$6:Y1550,Y1550)=1,Y1550,Y1550+COUNTIF($Y$5:Y1549,Y1550))</f>
        <v>545</v>
      </c>
      <c r="B1550" s="1">
        <f>IF(AND(Kisero_iv!$N$2=C1550,Kisero_iv!$K$5=$B$3,SUM(I1550:L1554)&lt;&gt;0,$B$4=YEAR(W1550)),B1549+1,0)</f>
        <v>0</v>
      </c>
      <c r="C1550" s="1">
        <f t="shared" si="96"/>
        <v>545</v>
      </c>
      <c r="D1550" s="102" t="str">
        <f t="shared" si="97"/>
        <v/>
      </c>
      <c r="E1550" s="44"/>
      <c r="F1550" s="45"/>
      <c r="G1550" s="45"/>
      <c r="H1550" s="45"/>
      <c r="I1550" s="46"/>
      <c r="J1550" s="111" t="str">
        <f>IF(AND(G1550&lt;&gt;"",ISERROR(VLOOKUP(G1550,Keszlet!$C$5:$H$200,6,FALSE))=FALSE),VLOOKUP(G1550,Keszlet!$C$5:$H$200,6,FALSE),"")</f>
        <v/>
      </c>
      <c r="K1550" s="106" t="str">
        <f>IF(AND(G1550&lt;&gt;"",ISERROR(VLOOKUP(G1550,Keszlet!$C$5:$G$200,5,FALSE))=FALSE),VLOOKUP(G1550,Keszlet!$C$5:$G$200,5,FALSE),"")</f>
        <v/>
      </c>
      <c r="L1550" s="106" t="str">
        <f t="shared" si="98"/>
        <v/>
      </c>
      <c r="M1550" s="115" t="str">
        <f>IF(ISERROR(VLOOKUP(G1550,Keszlet!$C$5:$I$200,7,FALSE))=TRUE,"",IF(AND(J1549&lt;&gt;"",J1551=""),VLOOKUP(G1550,Keszlet!$C$5:$I$200,7,FALSE),""))</f>
        <v/>
      </c>
      <c r="Q1550" s="1">
        <f>VLOOKUP(G1550,Keszlet!$C$5:$E$205,3,FALSE)</f>
        <v>0</v>
      </c>
      <c r="T1550" s="1" t="str">
        <f t="shared" si="99"/>
        <v/>
      </c>
      <c r="U1550" s="1">
        <f t="shared" si="100"/>
        <v>0</v>
      </c>
      <c r="W1550" s="6">
        <f t="shared" si="103"/>
        <v>0</v>
      </c>
      <c r="X1550" s="6">
        <f t="shared" si="95"/>
        <v>0</v>
      </c>
      <c r="Y1550" s="1">
        <f t="shared" si="101"/>
        <v>1</v>
      </c>
      <c r="Z1550" s="1">
        <f>IF(COUNTIF($Y$6:Y1550,Y1550)=1,Y1550,Y1550+COUNTIF($Y$5:Y1549,Y1550))</f>
        <v>545</v>
      </c>
      <c r="AD1550" s="1" t="str">
        <f t="shared" si="102"/>
        <v/>
      </c>
      <c r="BA1550" s="1">
        <f>IF(W1550&lt;=Leltar_iv!$Y$1,I1550,0)</f>
        <v>0</v>
      </c>
    </row>
    <row r="1551" spans="1:53" s="1" customFormat="1" x14ac:dyDescent="0.25">
      <c r="A1551" s="18">
        <f>IF(COUNTIF($Y$6:Y1551,Y1551)=1,Y1551,Y1551+COUNTIF($Y$5:Y1550,Y1551))</f>
        <v>546</v>
      </c>
      <c r="B1551" s="1">
        <f>IF(AND(Kisero_iv!$N$2=C1551,Kisero_iv!$K$5=$B$3,SUM(I1551:L1555)&lt;&gt;0,$B$4=YEAR(W1551)),B1550+1,0)</f>
        <v>0</v>
      </c>
      <c r="C1551" s="1">
        <f t="shared" si="96"/>
        <v>546</v>
      </c>
      <c r="D1551" s="102" t="str">
        <f t="shared" si="97"/>
        <v/>
      </c>
      <c r="E1551" s="44"/>
      <c r="F1551" s="45"/>
      <c r="G1551" s="45"/>
      <c r="H1551" s="45"/>
      <c r="I1551" s="46"/>
      <c r="J1551" s="111" t="str">
        <f>IF(AND(G1551&lt;&gt;"",ISERROR(VLOOKUP(G1551,Keszlet!$C$5:$H$200,6,FALSE))=FALSE),VLOOKUP(G1551,Keszlet!$C$5:$H$200,6,FALSE),"")</f>
        <v/>
      </c>
      <c r="K1551" s="106" t="str">
        <f>IF(AND(G1551&lt;&gt;"",ISERROR(VLOOKUP(G1551,Keszlet!$C$5:$G$200,5,FALSE))=FALSE),VLOOKUP(G1551,Keszlet!$C$5:$G$200,5,FALSE),"")</f>
        <v/>
      </c>
      <c r="L1551" s="106" t="str">
        <f t="shared" si="98"/>
        <v/>
      </c>
      <c r="M1551" s="115" t="str">
        <f>IF(ISERROR(VLOOKUP(G1551,Keszlet!$C$5:$I$200,7,FALSE))=TRUE,"",IF(AND(J1550&lt;&gt;"",J1552=""),VLOOKUP(G1551,Keszlet!$C$5:$I$200,7,FALSE),""))</f>
        <v/>
      </c>
      <c r="Q1551" s="1">
        <f>VLOOKUP(G1551,Keszlet!$C$5:$E$205,3,FALSE)</f>
        <v>0</v>
      </c>
      <c r="T1551" s="1" t="str">
        <f t="shared" si="99"/>
        <v/>
      </c>
      <c r="U1551" s="1">
        <f t="shared" si="100"/>
        <v>0</v>
      </c>
      <c r="W1551" s="6">
        <f t="shared" si="103"/>
        <v>0</v>
      </c>
      <c r="X1551" s="6">
        <f t="shared" si="95"/>
        <v>0</v>
      </c>
      <c r="Y1551" s="1">
        <f t="shared" si="101"/>
        <v>1</v>
      </c>
      <c r="Z1551" s="1">
        <f>IF(COUNTIF($Y$6:Y1551,Y1551)=1,Y1551,Y1551+COUNTIF($Y$5:Y1550,Y1551))</f>
        <v>546</v>
      </c>
      <c r="AD1551" s="1" t="str">
        <f t="shared" si="102"/>
        <v/>
      </c>
      <c r="BA1551" s="1">
        <f>IF(W1551&lt;=Leltar_iv!$Y$1,I1551,0)</f>
        <v>0</v>
      </c>
    </row>
    <row r="1552" spans="1:53" s="1" customFormat="1" x14ac:dyDescent="0.25">
      <c r="A1552" s="18">
        <f>IF(COUNTIF($Y$6:Y1552,Y1552)=1,Y1552,Y1552+COUNTIF($Y$5:Y1551,Y1552))</f>
        <v>547</v>
      </c>
      <c r="B1552" s="1">
        <f>IF(AND(Kisero_iv!$N$2=C1552,Kisero_iv!$K$5=$B$3,SUM(I1552:L1556)&lt;&gt;0,$B$4=YEAR(W1552)),B1551+1,0)</f>
        <v>0</v>
      </c>
      <c r="C1552" s="1">
        <f t="shared" si="96"/>
        <v>547</v>
      </c>
      <c r="D1552" s="102" t="str">
        <f t="shared" si="97"/>
        <v/>
      </c>
      <c r="E1552" s="44"/>
      <c r="F1552" s="45"/>
      <c r="G1552" s="45"/>
      <c r="H1552" s="45"/>
      <c r="I1552" s="46"/>
      <c r="J1552" s="111" t="str">
        <f>IF(AND(G1552&lt;&gt;"",ISERROR(VLOOKUP(G1552,Keszlet!$C$5:$H$200,6,FALSE))=FALSE),VLOOKUP(G1552,Keszlet!$C$5:$H$200,6,FALSE),"")</f>
        <v/>
      </c>
      <c r="K1552" s="106" t="str">
        <f>IF(AND(G1552&lt;&gt;"",ISERROR(VLOOKUP(G1552,Keszlet!$C$5:$G$200,5,FALSE))=FALSE),VLOOKUP(G1552,Keszlet!$C$5:$G$200,5,FALSE),"")</f>
        <v/>
      </c>
      <c r="L1552" s="106" t="str">
        <f t="shared" si="98"/>
        <v/>
      </c>
      <c r="M1552" s="115" t="str">
        <f>IF(ISERROR(VLOOKUP(G1552,Keszlet!$C$5:$I$200,7,FALSE))=TRUE,"",IF(AND(J1551&lt;&gt;"",J1553=""),VLOOKUP(G1552,Keszlet!$C$5:$I$200,7,FALSE),""))</f>
        <v/>
      </c>
      <c r="Q1552" s="1">
        <f>VLOOKUP(G1552,Keszlet!$C$5:$E$205,3,FALSE)</f>
        <v>0</v>
      </c>
      <c r="T1552" s="1" t="str">
        <f t="shared" si="99"/>
        <v/>
      </c>
      <c r="U1552" s="1">
        <f t="shared" si="100"/>
        <v>0</v>
      </c>
      <c r="W1552" s="6">
        <f t="shared" si="103"/>
        <v>0</v>
      </c>
      <c r="X1552" s="6">
        <f t="shared" si="95"/>
        <v>0</v>
      </c>
      <c r="Y1552" s="1">
        <f t="shared" si="101"/>
        <v>1</v>
      </c>
      <c r="Z1552" s="1">
        <f>IF(COUNTIF($Y$6:Y1552,Y1552)=1,Y1552,Y1552+COUNTIF($Y$5:Y1551,Y1552))</f>
        <v>547</v>
      </c>
      <c r="AD1552" s="1" t="str">
        <f t="shared" si="102"/>
        <v/>
      </c>
      <c r="BA1552" s="1">
        <f>IF(W1552&lt;=Leltar_iv!$Y$1,I1552,0)</f>
        <v>0</v>
      </c>
    </row>
    <row r="1553" spans="1:53" s="1" customFormat="1" x14ac:dyDescent="0.25">
      <c r="A1553" s="18">
        <f>IF(COUNTIF($Y$6:Y1553,Y1553)=1,Y1553,Y1553+COUNTIF($Y$5:Y1552,Y1553))</f>
        <v>548</v>
      </c>
      <c r="B1553" s="1">
        <f>IF(AND(Kisero_iv!$N$2=C1553,Kisero_iv!$K$5=$B$3,SUM(I1553:L1557)&lt;&gt;0,$B$4=YEAR(W1553)),B1552+1,0)</f>
        <v>0</v>
      </c>
      <c r="C1553" s="1">
        <f t="shared" si="96"/>
        <v>548</v>
      </c>
      <c r="D1553" s="102" t="str">
        <f t="shared" si="97"/>
        <v/>
      </c>
      <c r="E1553" s="44"/>
      <c r="F1553" s="45"/>
      <c r="G1553" s="45"/>
      <c r="H1553" s="45"/>
      <c r="I1553" s="46"/>
      <c r="J1553" s="111" t="str">
        <f>IF(AND(G1553&lt;&gt;"",ISERROR(VLOOKUP(G1553,Keszlet!$C$5:$H$200,6,FALSE))=FALSE),VLOOKUP(G1553,Keszlet!$C$5:$H$200,6,FALSE),"")</f>
        <v/>
      </c>
      <c r="K1553" s="106" t="str">
        <f>IF(AND(G1553&lt;&gt;"",ISERROR(VLOOKUP(G1553,Keszlet!$C$5:$G$200,5,FALSE))=FALSE),VLOOKUP(G1553,Keszlet!$C$5:$G$200,5,FALSE),"")</f>
        <v/>
      </c>
      <c r="L1553" s="106" t="str">
        <f t="shared" si="98"/>
        <v/>
      </c>
      <c r="M1553" s="115" t="str">
        <f>IF(ISERROR(VLOOKUP(G1553,Keszlet!$C$5:$I$200,7,FALSE))=TRUE,"",IF(AND(J1552&lt;&gt;"",J1554=""),VLOOKUP(G1553,Keszlet!$C$5:$I$200,7,FALSE),""))</f>
        <v/>
      </c>
      <c r="Q1553" s="1">
        <f>VLOOKUP(G1553,Keszlet!$C$5:$E$205,3,FALSE)</f>
        <v>0</v>
      </c>
      <c r="T1553" s="1" t="str">
        <f t="shared" si="99"/>
        <v/>
      </c>
      <c r="U1553" s="1">
        <f t="shared" si="100"/>
        <v>0</v>
      </c>
      <c r="W1553" s="6">
        <f t="shared" si="103"/>
        <v>0</v>
      </c>
      <c r="X1553" s="6">
        <f t="shared" si="95"/>
        <v>0</v>
      </c>
      <c r="Y1553" s="1">
        <f t="shared" si="101"/>
        <v>1</v>
      </c>
      <c r="Z1553" s="1">
        <f>IF(COUNTIF($Y$6:Y1553,Y1553)=1,Y1553,Y1553+COUNTIF($Y$5:Y1552,Y1553))</f>
        <v>548</v>
      </c>
      <c r="AD1553" s="1" t="str">
        <f t="shared" si="102"/>
        <v/>
      </c>
      <c r="BA1553" s="1">
        <f>IF(W1553&lt;=Leltar_iv!$Y$1,I1553,0)</f>
        <v>0</v>
      </c>
    </row>
    <row r="1554" spans="1:53" s="1" customFormat="1" x14ac:dyDescent="0.25">
      <c r="A1554" s="18">
        <f>IF(COUNTIF($Y$6:Y1554,Y1554)=1,Y1554,Y1554+COUNTIF($Y$5:Y1553,Y1554))</f>
        <v>549</v>
      </c>
      <c r="B1554" s="1">
        <f>IF(AND(Kisero_iv!$N$2=C1554,Kisero_iv!$K$5=$B$3,SUM(I1554:L1558)&lt;&gt;0,$B$4=YEAR(W1554)),B1553+1,0)</f>
        <v>0</v>
      </c>
      <c r="C1554" s="1">
        <f t="shared" si="96"/>
        <v>549</v>
      </c>
      <c r="D1554" s="102" t="str">
        <f t="shared" si="97"/>
        <v/>
      </c>
      <c r="E1554" s="44"/>
      <c r="F1554" s="45"/>
      <c r="G1554" s="45"/>
      <c r="H1554" s="45"/>
      <c r="I1554" s="46"/>
      <c r="J1554" s="111" t="str">
        <f>IF(AND(G1554&lt;&gt;"",ISERROR(VLOOKUP(G1554,Keszlet!$C$5:$H$200,6,FALSE))=FALSE),VLOOKUP(G1554,Keszlet!$C$5:$H$200,6,FALSE),"")</f>
        <v/>
      </c>
      <c r="K1554" s="106" t="str">
        <f>IF(AND(G1554&lt;&gt;"",ISERROR(VLOOKUP(G1554,Keszlet!$C$5:$G$200,5,FALSE))=FALSE),VLOOKUP(G1554,Keszlet!$C$5:$G$200,5,FALSE),"")</f>
        <v/>
      </c>
      <c r="L1554" s="106" t="str">
        <f t="shared" si="98"/>
        <v/>
      </c>
      <c r="M1554" s="115" t="str">
        <f>IF(ISERROR(VLOOKUP(G1554,Keszlet!$C$5:$I$200,7,FALSE))=TRUE,"",IF(AND(J1553&lt;&gt;"",J1555=""),VLOOKUP(G1554,Keszlet!$C$5:$I$200,7,FALSE),""))</f>
        <v/>
      </c>
      <c r="Q1554" s="1">
        <f>VLOOKUP(G1554,Keszlet!$C$5:$E$205,3,FALSE)</f>
        <v>0</v>
      </c>
      <c r="T1554" s="1" t="str">
        <f t="shared" si="99"/>
        <v/>
      </c>
      <c r="U1554" s="1">
        <f t="shared" si="100"/>
        <v>0</v>
      </c>
      <c r="W1554" s="6">
        <f t="shared" si="103"/>
        <v>0</v>
      </c>
      <c r="X1554" s="6">
        <f t="shared" si="95"/>
        <v>0</v>
      </c>
      <c r="Y1554" s="1">
        <f t="shared" si="101"/>
        <v>1</v>
      </c>
      <c r="Z1554" s="1">
        <f>IF(COUNTIF($Y$6:Y1554,Y1554)=1,Y1554,Y1554+COUNTIF($Y$5:Y1553,Y1554))</f>
        <v>549</v>
      </c>
      <c r="AD1554" s="1" t="str">
        <f t="shared" si="102"/>
        <v/>
      </c>
      <c r="BA1554" s="1">
        <f>IF(W1554&lt;=Leltar_iv!$Y$1,I1554,0)</f>
        <v>0</v>
      </c>
    </row>
    <row r="1555" spans="1:53" s="1" customFormat="1" x14ac:dyDescent="0.25">
      <c r="A1555" s="18">
        <f>IF(COUNTIF($Y$6:Y1555,Y1555)=1,Y1555,Y1555+COUNTIF($Y$5:Y1554,Y1555))</f>
        <v>550</v>
      </c>
      <c r="B1555" s="1">
        <f>IF(AND(Kisero_iv!$N$2=C1555,Kisero_iv!$K$5=$B$3,SUM(I1555:L1559)&lt;&gt;0,$B$4=YEAR(W1555)),B1554+1,0)</f>
        <v>0</v>
      </c>
      <c r="C1555" s="1">
        <f t="shared" si="96"/>
        <v>550</v>
      </c>
      <c r="D1555" s="102" t="str">
        <f t="shared" si="97"/>
        <v/>
      </c>
      <c r="E1555" s="44"/>
      <c r="F1555" s="45"/>
      <c r="G1555" s="45"/>
      <c r="H1555" s="45"/>
      <c r="I1555" s="46"/>
      <c r="J1555" s="111" t="str">
        <f>IF(AND(G1555&lt;&gt;"",ISERROR(VLOOKUP(G1555,Keszlet!$C$5:$H$200,6,FALSE))=FALSE),VLOOKUP(G1555,Keszlet!$C$5:$H$200,6,FALSE),"")</f>
        <v/>
      </c>
      <c r="K1555" s="106" t="str">
        <f>IF(AND(G1555&lt;&gt;"",ISERROR(VLOOKUP(G1555,Keszlet!$C$5:$G$200,5,FALSE))=FALSE),VLOOKUP(G1555,Keszlet!$C$5:$G$200,5,FALSE),"")</f>
        <v/>
      </c>
      <c r="L1555" s="106" t="str">
        <f t="shared" si="98"/>
        <v/>
      </c>
      <c r="M1555" s="115" t="str">
        <f>IF(ISERROR(VLOOKUP(G1555,Keszlet!$C$5:$I$200,7,FALSE))=TRUE,"",IF(AND(J1554&lt;&gt;"",J1556=""),VLOOKUP(G1555,Keszlet!$C$5:$I$200,7,FALSE),""))</f>
        <v/>
      </c>
      <c r="Q1555" s="1">
        <f>VLOOKUP(G1555,Keszlet!$C$5:$E$205,3,FALSE)</f>
        <v>0</v>
      </c>
      <c r="T1555" s="1" t="str">
        <f t="shared" si="99"/>
        <v/>
      </c>
      <c r="U1555" s="1">
        <f t="shared" si="100"/>
        <v>0</v>
      </c>
      <c r="W1555" s="6">
        <f t="shared" si="103"/>
        <v>0</v>
      </c>
      <c r="X1555" s="6">
        <f t="shared" si="95"/>
        <v>0</v>
      </c>
      <c r="Y1555" s="1">
        <f t="shared" si="101"/>
        <v>1</v>
      </c>
      <c r="Z1555" s="1">
        <f>IF(COUNTIF($Y$6:Y1555,Y1555)=1,Y1555,Y1555+COUNTIF($Y$5:Y1554,Y1555))</f>
        <v>550</v>
      </c>
      <c r="AD1555" s="1" t="str">
        <f t="shared" si="102"/>
        <v/>
      </c>
      <c r="BA1555" s="1">
        <f>IF(W1555&lt;=Leltar_iv!$Y$1,I1555,0)</f>
        <v>0</v>
      </c>
    </row>
    <row r="1556" spans="1:53" s="1" customFormat="1" x14ac:dyDescent="0.25">
      <c r="A1556" s="18">
        <f>IF(COUNTIF($Y$6:Y1556,Y1556)=1,Y1556,Y1556+COUNTIF($Y$5:Y1555,Y1556))</f>
        <v>551</v>
      </c>
      <c r="B1556" s="1">
        <f>IF(AND(Kisero_iv!$N$2=C1556,Kisero_iv!$K$5=$B$3,SUM(I1556:L1560)&lt;&gt;0,$B$4=YEAR(W1556)),B1555+1,0)</f>
        <v>0</v>
      </c>
      <c r="C1556" s="1">
        <f t="shared" si="96"/>
        <v>551</v>
      </c>
      <c r="D1556" s="102" t="str">
        <f t="shared" si="97"/>
        <v/>
      </c>
      <c r="E1556" s="44"/>
      <c r="F1556" s="45"/>
      <c r="G1556" s="45"/>
      <c r="H1556" s="45"/>
      <c r="I1556" s="46"/>
      <c r="J1556" s="111" t="str">
        <f>IF(AND(G1556&lt;&gt;"",ISERROR(VLOOKUP(G1556,Keszlet!$C$5:$H$200,6,FALSE))=FALSE),VLOOKUP(G1556,Keszlet!$C$5:$H$200,6,FALSE),"")</f>
        <v/>
      </c>
      <c r="K1556" s="106" t="str">
        <f>IF(AND(G1556&lt;&gt;"",ISERROR(VLOOKUP(G1556,Keszlet!$C$5:$G$200,5,FALSE))=FALSE),VLOOKUP(G1556,Keszlet!$C$5:$G$200,5,FALSE),"")</f>
        <v/>
      </c>
      <c r="L1556" s="106" t="str">
        <f t="shared" si="98"/>
        <v/>
      </c>
      <c r="M1556" s="115" t="str">
        <f>IF(ISERROR(VLOOKUP(G1556,Keszlet!$C$5:$I$200,7,FALSE))=TRUE,"",IF(AND(J1555&lt;&gt;"",J1557=""),VLOOKUP(G1556,Keszlet!$C$5:$I$200,7,FALSE),""))</f>
        <v/>
      </c>
      <c r="Q1556" s="1">
        <f>VLOOKUP(G1556,Keszlet!$C$5:$E$205,3,FALSE)</f>
        <v>0</v>
      </c>
      <c r="T1556" s="1" t="str">
        <f t="shared" si="99"/>
        <v/>
      </c>
      <c r="U1556" s="1">
        <f t="shared" si="100"/>
        <v>0</v>
      </c>
      <c r="W1556" s="6">
        <f t="shared" si="103"/>
        <v>0</v>
      </c>
      <c r="X1556" s="6">
        <f t="shared" si="95"/>
        <v>0</v>
      </c>
      <c r="Y1556" s="1">
        <f t="shared" si="101"/>
        <v>1</v>
      </c>
      <c r="Z1556" s="1">
        <f>IF(COUNTIF($Y$6:Y1556,Y1556)=1,Y1556,Y1556+COUNTIF($Y$5:Y1555,Y1556))</f>
        <v>551</v>
      </c>
      <c r="AD1556" s="1" t="str">
        <f t="shared" si="102"/>
        <v/>
      </c>
      <c r="BA1556" s="1">
        <f>IF(W1556&lt;=Leltar_iv!$Y$1,I1556,0)</f>
        <v>0</v>
      </c>
    </row>
    <row r="1557" spans="1:53" s="1" customFormat="1" x14ac:dyDescent="0.25">
      <c r="A1557" s="18">
        <f>IF(COUNTIF($Y$6:Y1557,Y1557)=1,Y1557,Y1557+COUNTIF($Y$5:Y1556,Y1557))</f>
        <v>552</v>
      </c>
      <c r="B1557" s="1">
        <f>IF(AND(Kisero_iv!$N$2=C1557,Kisero_iv!$K$5=$B$3,SUM(I1557:L1561)&lt;&gt;0,$B$4=YEAR(W1557)),B1556+1,0)</f>
        <v>0</v>
      </c>
      <c r="C1557" s="1">
        <f t="shared" si="96"/>
        <v>552</v>
      </c>
      <c r="D1557" s="102" t="str">
        <f t="shared" si="97"/>
        <v/>
      </c>
      <c r="E1557" s="44"/>
      <c r="F1557" s="45"/>
      <c r="G1557" s="45"/>
      <c r="H1557" s="45"/>
      <c r="I1557" s="46"/>
      <c r="J1557" s="111" t="str">
        <f>IF(AND(G1557&lt;&gt;"",ISERROR(VLOOKUP(G1557,Keszlet!$C$5:$H$200,6,FALSE))=FALSE),VLOOKUP(G1557,Keszlet!$C$5:$H$200,6,FALSE),"")</f>
        <v/>
      </c>
      <c r="K1557" s="106" t="str">
        <f>IF(AND(G1557&lt;&gt;"",ISERROR(VLOOKUP(G1557,Keszlet!$C$5:$G$200,5,FALSE))=FALSE),VLOOKUP(G1557,Keszlet!$C$5:$G$200,5,FALSE),"")</f>
        <v/>
      </c>
      <c r="L1557" s="106" t="str">
        <f t="shared" si="98"/>
        <v/>
      </c>
      <c r="M1557" s="115" t="str">
        <f>IF(ISERROR(VLOOKUP(G1557,Keszlet!$C$5:$I$200,7,FALSE))=TRUE,"",IF(AND(J1556&lt;&gt;"",J1558=""),VLOOKUP(G1557,Keszlet!$C$5:$I$200,7,FALSE),""))</f>
        <v/>
      </c>
      <c r="Q1557" s="1">
        <f>VLOOKUP(G1557,Keszlet!$C$5:$E$205,3,FALSE)</f>
        <v>0</v>
      </c>
      <c r="T1557" s="1" t="str">
        <f t="shared" si="99"/>
        <v/>
      </c>
      <c r="U1557" s="1">
        <f t="shared" si="100"/>
        <v>0</v>
      </c>
      <c r="W1557" s="6">
        <f t="shared" si="103"/>
        <v>0</v>
      </c>
      <c r="X1557" s="6">
        <f t="shared" si="95"/>
        <v>0</v>
      </c>
      <c r="Y1557" s="1">
        <f t="shared" si="101"/>
        <v>1</v>
      </c>
      <c r="Z1557" s="1">
        <f>IF(COUNTIF($Y$6:Y1557,Y1557)=1,Y1557,Y1557+COUNTIF($Y$5:Y1556,Y1557))</f>
        <v>552</v>
      </c>
      <c r="AD1557" s="1" t="str">
        <f t="shared" si="102"/>
        <v/>
      </c>
      <c r="BA1557" s="1">
        <f>IF(W1557&lt;=Leltar_iv!$Y$1,I1557,0)</f>
        <v>0</v>
      </c>
    </row>
    <row r="1558" spans="1:53" s="1" customFormat="1" x14ac:dyDescent="0.25">
      <c r="A1558" s="18">
        <f>IF(COUNTIF($Y$6:Y1558,Y1558)=1,Y1558,Y1558+COUNTIF($Y$5:Y1557,Y1558))</f>
        <v>553</v>
      </c>
      <c r="B1558" s="1">
        <f>IF(AND(Kisero_iv!$N$2=C1558,Kisero_iv!$K$5=$B$3,SUM(I1558:L1562)&lt;&gt;0,$B$4=YEAR(W1558)),B1557+1,0)</f>
        <v>0</v>
      </c>
      <c r="C1558" s="1">
        <f t="shared" si="96"/>
        <v>553</v>
      </c>
      <c r="D1558" s="102" t="str">
        <f t="shared" si="97"/>
        <v/>
      </c>
      <c r="E1558" s="44"/>
      <c r="F1558" s="45"/>
      <c r="G1558" s="45"/>
      <c r="H1558" s="45"/>
      <c r="I1558" s="46"/>
      <c r="J1558" s="111" t="str">
        <f>IF(AND(G1558&lt;&gt;"",ISERROR(VLOOKUP(G1558,Keszlet!$C$5:$H$200,6,FALSE))=FALSE),VLOOKUP(G1558,Keszlet!$C$5:$H$200,6,FALSE),"")</f>
        <v/>
      </c>
      <c r="K1558" s="106" t="str">
        <f>IF(AND(G1558&lt;&gt;"",ISERROR(VLOOKUP(G1558,Keszlet!$C$5:$G$200,5,FALSE))=FALSE),VLOOKUP(G1558,Keszlet!$C$5:$G$200,5,FALSE),"")</f>
        <v/>
      </c>
      <c r="L1558" s="106" t="str">
        <f t="shared" si="98"/>
        <v/>
      </c>
      <c r="M1558" s="115" t="str">
        <f>IF(ISERROR(VLOOKUP(G1558,Keszlet!$C$5:$I$200,7,FALSE))=TRUE,"",IF(AND(J1557&lt;&gt;"",J1559=""),VLOOKUP(G1558,Keszlet!$C$5:$I$200,7,FALSE),""))</f>
        <v/>
      </c>
      <c r="Q1558" s="1">
        <f>VLOOKUP(G1558,Keszlet!$C$5:$E$205,3,FALSE)</f>
        <v>0</v>
      </c>
      <c r="T1558" s="1" t="str">
        <f t="shared" si="99"/>
        <v/>
      </c>
      <c r="U1558" s="1">
        <f t="shared" si="100"/>
        <v>0</v>
      </c>
      <c r="W1558" s="6">
        <f t="shared" si="103"/>
        <v>0</v>
      </c>
      <c r="X1558" s="6">
        <f t="shared" si="95"/>
        <v>0</v>
      </c>
      <c r="Y1558" s="1">
        <f t="shared" si="101"/>
        <v>1</v>
      </c>
      <c r="Z1558" s="1">
        <f>IF(COUNTIF($Y$6:Y1558,Y1558)=1,Y1558,Y1558+COUNTIF($Y$5:Y1557,Y1558))</f>
        <v>553</v>
      </c>
      <c r="AD1558" s="1" t="str">
        <f t="shared" si="102"/>
        <v/>
      </c>
      <c r="BA1558" s="1">
        <f>IF(W1558&lt;=Leltar_iv!$Y$1,I1558,0)</f>
        <v>0</v>
      </c>
    </row>
    <row r="1559" spans="1:53" s="1" customFormat="1" x14ac:dyDescent="0.25">
      <c r="A1559" s="18">
        <f>IF(COUNTIF($Y$6:Y1559,Y1559)=1,Y1559,Y1559+COUNTIF($Y$5:Y1558,Y1559))</f>
        <v>554</v>
      </c>
      <c r="B1559" s="1">
        <f>IF(AND(Kisero_iv!$N$2=C1559,Kisero_iv!$K$5=$B$3,SUM(I1559:L1563)&lt;&gt;0,$B$4=YEAR(W1559)),B1558+1,0)</f>
        <v>0</v>
      </c>
      <c r="C1559" s="1">
        <f t="shared" si="96"/>
        <v>554</v>
      </c>
      <c r="D1559" s="102" t="str">
        <f t="shared" si="97"/>
        <v/>
      </c>
      <c r="E1559" s="44"/>
      <c r="F1559" s="45"/>
      <c r="G1559" s="45"/>
      <c r="H1559" s="45"/>
      <c r="I1559" s="46"/>
      <c r="J1559" s="111" t="str">
        <f>IF(AND(G1559&lt;&gt;"",ISERROR(VLOOKUP(G1559,Keszlet!$C$5:$H$200,6,FALSE))=FALSE),VLOOKUP(G1559,Keszlet!$C$5:$H$200,6,FALSE),"")</f>
        <v/>
      </c>
      <c r="K1559" s="106" t="str">
        <f>IF(AND(G1559&lt;&gt;"",ISERROR(VLOOKUP(G1559,Keszlet!$C$5:$G$200,5,FALSE))=FALSE),VLOOKUP(G1559,Keszlet!$C$5:$G$200,5,FALSE),"")</f>
        <v/>
      </c>
      <c r="L1559" s="106" t="str">
        <f t="shared" si="98"/>
        <v/>
      </c>
      <c r="M1559" s="115" t="str">
        <f>IF(ISERROR(VLOOKUP(G1559,Keszlet!$C$5:$I$200,7,FALSE))=TRUE,"",IF(AND(J1558&lt;&gt;"",J1560=""),VLOOKUP(G1559,Keszlet!$C$5:$I$200,7,FALSE),""))</f>
        <v/>
      </c>
      <c r="Q1559" s="1">
        <f>VLOOKUP(G1559,Keszlet!$C$5:$E$205,3,FALSE)</f>
        <v>0</v>
      </c>
      <c r="T1559" s="1" t="str">
        <f t="shared" si="99"/>
        <v/>
      </c>
      <c r="U1559" s="1">
        <f t="shared" si="100"/>
        <v>0</v>
      </c>
      <c r="W1559" s="6">
        <f t="shared" si="103"/>
        <v>0</v>
      </c>
      <c r="X1559" s="6">
        <f t="shared" si="95"/>
        <v>0</v>
      </c>
      <c r="Y1559" s="1">
        <f t="shared" si="101"/>
        <v>1</v>
      </c>
      <c r="Z1559" s="1">
        <f>IF(COUNTIF($Y$6:Y1559,Y1559)=1,Y1559,Y1559+COUNTIF($Y$5:Y1558,Y1559))</f>
        <v>554</v>
      </c>
      <c r="AD1559" s="1" t="str">
        <f t="shared" si="102"/>
        <v/>
      </c>
      <c r="BA1559" s="1">
        <f>IF(W1559&lt;=Leltar_iv!$Y$1,I1559,0)</f>
        <v>0</v>
      </c>
    </row>
    <row r="1560" spans="1:53" s="1" customFormat="1" x14ac:dyDescent="0.25">
      <c r="A1560" s="18">
        <f>IF(COUNTIF($Y$6:Y1560,Y1560)=1,Y1560,Y1560+COUNTIF($Y$5:Y1559,Y1560))</f>
        <v>555</v>
      </c>
      <c r="B1560" s="1">
        <f>IF(AND(Kisero_iv!$N$2=C1560,Kisero_iv!$K$5=$B$3,SUM(I1560:L1564)&lt;&gt;0,$B$4=YEAR(W1560)),B1559+1,0)</f>
        <v>0</v>
      </c>
      <c r="C1560" s="1">
        <f t="shared" si="96"/>
        <v>555</v>
      </c>
      <c r="D1560" s="102" t="str">
        <f t="shared" si="97"/>
        <v/>
      </c>
      <c r="E1560" s="44"/>
      <c r="F1560" s="45"/>
      <c r="G1560" s="45"/>
      <c r="H1560" s="45"/>
      <c r="I1560" s="46"/>
      <c r="J1560" s="111" t="str">
        <f>IF(AND(G1560&lt;&gt;"",ISERROR(VLOOKUP(G1560,Keszlet!$C$5:$H$200,6,FALSE))=FALSE),VLOOKUP(G1560,Keszlet!$C$5:$H$200,6,FALSE),"")</f>
        <v/>
      </c>
      <c r="K1560" s="106" t="str">
        <f>IF(AND(G1560&lt;&gt;"",ISERROR(VLOOKUP(G1560,Keszlet!$C$5:$G$200,5,FALSE))=FALSE),VLOOKUP(G1560,Keszlet!$C$5:$G$200,5,FALSE),"")</f>
        <v/>
      </c>
      <c r="L1560" s="106" t="str">
        <f t="shared" si="98"/>
        <v/>
      </c>
      <c r="M1560" s="115" t="str">
        <f>IF(ISERROR(VLOOKUP(G1560,Keszlet!$C$5:$I$200,7,FALSE))=TRUE,"",IF(AND(J1559&lt;&gt;"",J1561=""),VLOOKUP(G1560,Keszlet!$C$5:$I$200,7,FALSE),""))</f>
        <v/>
      </c>
      <c r="Q1560" s="1">
        <f>VLOOKUP(G1560,Keszlet!$C$5:$E$205,3,FALSE)</f>
        <v>0</v>
      </c>
      <c r="T1560" s="1" t="str">
        <f t="shared" si="99"/>
        <v/>
      </c>
      <c r="U1560" s="1">
        <f t="shared" si="100"/>
        <v>0</v>
      </c>
      <c r="W1560" s="6">
        <f t="shared" si="103"/>
        <v>0</v>
      </c>
      <c r="X1560" s="6">
        <f t="shared" si="95"/>
        <v>0</v>
      </c>
      <c r="Y1560" s="1">
        <f t="shared" si="101"/>
        <v>1</v>
      </c>
      <c r="Z1560" s="1">
        <f>IF(COUNTIF($Y$6:Y1560,Y1560)=1,Y1560,Y1560+COUNTIF($Y$5:Y1559,Y1560))</f>
        <v>555</v>
      </c>
      <c r="AD1560" s="1" t="str">
        <f t="shared" si="102"/>
        <v/>
      </c>
      <c r="BA1560" s="1">
        <f>IF(W1560&lt;=Leltar_iv!$Y$1,I1560,0)</f>
        <v>0</v>
      </c>
    </row>
    <row r="1561" spans="1:53" s="1" customFormat="1" x14ac:dyDescent="0.25">
      <c r="A1561" s="18">
        <f>IF(COUNTIF($Y$6:Y1561,Y1561)=1,Y1561,Y1561+COUNTIF($Y$5:Y1560,Y1561))</f>
        <v>556</v>
      </c>
      <c r="B1561" s="1">
        <f>IF(AND(Kisero_iv!$N$2=C1561,Kisero_iv!$K$5=$B$3,SUM(I1561:L1565)&lt;&gt;0,$B$4=YEAR(W1561)),B1560+1,0)</f>
        <v>0</v>
      </c>
      <c r="C1561" s="1">
        <f t="shared" si="96"/>
        <v>556</v>
      </c>
      <c r="D1561" s="102" t="str">
        <f t="shared" si="97"/>
        <v/>
      </c>
      <c r="E1561" s="44"/>
      <c r="F1561" s="45"/>
      <c r="G1561" s="45"/>
      <c r="H1561" s="45"/>
      <c r="I1561" s="46"/>
      <c r="J1561" s="111" t="str">
        <f>IF(AND(G1561&lt;&gt;"",ISERROR(VLOOKUP(G1561,Keszlet!$C$5:$H$200,6,FALSE))=FALSE),VLOOKUP(G1561,Keszlet!$C$5:$H$200,6,FALSE),"")</f>
        <v/>
      </c>
      <c r="K1561" s="106" t="str">
        <f>IF(AND(G1561&lt;&gt;"",ISERROR(VLOOKUP(G1561,Keszlet!$C$5:$G$200,5,FALSE))=FALSE),VLOOKUP(G1561,Keszlet!$C$5:$G$200,5,FALSE),"")</f>
        <v/>
      </c>
      <c r="L1561" s="106" t="str">
        <f t="shared" si="98"/>
        <v/>
      </c>
      <c r="M1561" s="115" t="str">
        <f>IF(ISERROR(VLOOKUP(G1561,Keszlet!$C$5:$I$200,7,FALSE))=TRUE,"",IF(AND(J1560&lt;&gt;"",J1562=""),VLOOKUP(G1561,Keszlet!$C$5:$I$200,7,FALSE),""))</f>
        <v/>
      </c>
      <c r="Q1561" s="1">
        <f>VLOOKUP(G1561,Keszlet!$C$5:$E$205,3,FALSE)</f>
        <v>0</v>
      </c>
      <c r="T1561" s="1" t="str">
        <f t="shared" si="99"/>
        <v/>
      </c>
      <c r="U1561" s="1">
        <f t="shared" si="100"/>
        <v>0</v>
      </c>
      <c r="W1561" s="6">
        <f t="shared" si="103"/>
        <v>0</v>
      </c>
      <c r="X1561" s="6">
        <f t="shared" si="95"/>
        <v>0</v>
      </c>
      <c r="Y1561" s="1">
        <f t="shared" si="101"/>
        <v>1</v>
      </c>
      <c r="Z1561" s="1">
        <f>IF(COUNTIF($Y$6:Y1561,Y1561)=1,Y1561,Y1561+COUNTIF($Y$5:Y1560,Y1561))</f>
        <v>556</v>
      </c>
      <c r="AD1561" s="1" t="str">
        <f t="shared" si="102"/>
        <v/>
      </c>
      <c r="BA1561" s="1">
        <f>IF(W1561&lt;=Leltar_iv!$Y$1,I1561,0)</f>
        <v>0</v>
      </c>
    </row>
    <row r="1562" spans="1:53" s="1" customFormat="1" x14ac:dyDescent="0.25">
      <c r="A1562" s="18">
        <f>IF(COUNTIF($Y$6:Y1562,Y1562)=1,Y1562,Y1562+COUNTIF($Y$5:Y1561,Y1562))</f>
        <v>557</v>
      </c>
      <c r="B1562" s="1">
        <f>IF(AND(Kisero_iv!$N$2=C1562,Kisero_iv!$K$5=$B$3,SUM(I1562:L1566)&lt;&gt;0,$B$4=YEAR(W1562)),B1561+1,0)</f>
        <v>0</v>
      </c>
      <c r="C1562" s="1">
        <f t="shared" si="96"/>
        <v>557</v>
      </c>
      <c r="D1562" s="102" t="str">
        <f t="shared" si="97"/>
        <v/>
      </c>
      <c r="E1562" s="44"/>
      <c r="F1562" s="45"/>
      <c r="G1562" s="45"/>
      <c r="H1562" s="45"/>
      <c r="I1562" s="46"/>
      <c r="J1562" s="111" t="str">
        <f>IF(AND(G1562&lt;&gt;"",ISERROR(VLOOKUP(G1562,Keszlet!$C$5:$H$200,6,FALSE))=FALSE),VLOOKUP(G1562,Keszlet!$C$5:$H$200,6,FALSE),"")</f>
        <v/>
      </c>
      <c r="K1562" s="106" t="str">
        <f>IF(AND(G1562&lt;&gt;"",ISERROR(VLOOKUP(G1562,Keszlet!$C$5:$G$200,5,FALSE))=FALSE),VLOOKUP(G1562,Keszlet!$C$5:$G$200,5,FALSE),"")</f>
        <v/>
      </c>
      <c r="L1562" s="106" t="str">
        <f t="shared" si="98"/>
        <v/>
      </c>
      <c r="M1562" s="115" t="str">
        <f>IF(ISERROR(VLOOKUP(G1562,Keszlet!$C$5:$I$200,7,FALSE))=TRUE,"",IF(AND(J1561&lt;&gt;"",J1563=""),VLOOKUP(G1562,Keszlet!$C$5:$I$200,7,FALSE),""))</f>
        <v/>
      </c>
      <c r="Q1562" s="1">
        <f>VLOOKUP(G1562,Keszlet!$C$5:$E$205,3,FALSE)</f>
        <v>0</v>
      </c>
      <c r="T1562" s="1" t="str">
        <f t="shared" si="99"/>
        <v/>
      </c>
      <c r="U1562" s="1">
        <f t="shared" si="100"/>
        <v>0</v>
      </c>
      <c r="W1562" s="6">
        <f t="shared" si="103"/>
        <v>0</v>
      </c>
      <c r="X1562" s="6">
        <f t="shared" si="95"/>
        <v>0</v>
      </c>
      <c r="Y1562" s="1">
        <f t="shared" si="101"/>
        <v>1</v>
      </c>
      <c r="Z1562" s="1">
        <f>IF(COUNTIF($Y$6:Y1562,Y1562)=1,Y1562,Y1562+COUNTIF($Y$5:Y1561,Y1562))</f>
        <v>557</v>
      </c>
      <c r="AD1562" s="1" t="str">
        <f t="shared" si="102"/>
        <v/>
      </c>
      <c r="BA1562" s="1">
        <f>IF(W1562&lt;=Leltar_iv!$Y$1,I1562,0)</f>
        <v>0</v>
      </c>
    </row>
    <row r="1563" spans="1:53" s="1" customFormat="1" x14ac:dyDescent="0.25">
      <c r="A1563" s="18">
        <f>IF(COUNTIF($Y$6:Y1563,Y1563)=1,Y1563,Y1563+COUNTIF($Y$5:Y1562,Y1563))</f>
        <v>558</v>
      </c>
      <c r="B1563" s="1">
        <f>IF(AND(Kisero_iv!$N$2=C1563,Kisero_iv!$K$5=$B$3,SUM(I1563:L1567)&lt;&gt;0,$B$4=YEAR(W1563)),B1562+1,0)</f>
        <v>0</v>
      </c>
      <c r="C1563" s="1">
        <f t="shared" si="96"/>
        <v>558</v>
      </c>
      <c r="D1563" s="102" t="str">
        <f t="shared" si="97"/>
        <v/>
      </c>
      <c r="E1563" s="44"/>
      <c r="F1563" s="45"/>
      <c r="G1563" s="45"/>
      <c r="H1563" s="45"/>
      <c r="I1563" s="46"/>
      <c r="J1563" s="111" t="str">
        <f>IF(AND(G1563&lt;&gt;"",ISERROR(VLOOKUP(G1563,Keszlet!$C$5:$H$200,6,FALSE))=FALSE),VLOOKUP(G1563,Keszlet!$C$5:$H$200,6,FALSE),"")</f>
        <v/>
      </c>
      <c r="K1563" s="106" t="str">
        <f>IF(AND(G1563&lt;&gt;"",ISERROR(VLOOKUP(G1563,Keszlet!$C$5:$G$200,5,FALSE))=FALSE),VLOOKUP(G1563,Keszlet!$C$5:$G$200,5,FALSE),"")</f>
        <v/>
      </c>
      <c r="L1563" s="106" t="str">
        <f t="shared" si="98"/>
        <v/>
      </c>
      <c r="M1563" s="115" t="str">
        <f>IF(ISERROR(VLOOKUP(G1563,Keszlet!$C$5:$I$200,7,FALSE))=TRUE,"",IF(AND(J1562&lt;&gt;"",J1564=""),VLOOKUP(G1563,Keszlet!$C$5:$I$200,7,FALSE),""))</f>
        <v/>
      </c>
      <c r="Q1563" s="1">
        <f>VLOOKUP(G1563,Keszlet!$C$5:$E$205,3,FALSE)</f>
        <v>0</v>
      </c>
      <c r="T1563" s="1" t="str">
        <f t="shared" si="99"/>
        <v/>
      </c>
      <c r="U1563" s="1">
        <f t="shared" si="100"/>
        <v>0</v>
      </c>
      <c r="W1563" s="6">
        <f t="shared" si="103"/>
        <v>0</v>
      </c>
      <c r="X1563" s="6">
        <f t="shared" si="95"/>
        <v>0</v>
      </c>
      <c r="Y1563" s="1">
        <f t="shared" si="101"/>
        <v>1</v>
      </c>
      <c r="Z1563" s="1">
        <f>IF(COUNTIF($Y$6:Y1563,Y1563)=1,Y1563,Y1563+COUNTIF($Y$5:Y1562,Y1563))</f>
        <v>558</v>
      </c>
      <c r="AD1563" s="1" t="str">
        <f t="shared" si="102"/>
        <v/>
      </c>
      <c r="BA1563" s="1">
        <f>IF(W1563&lt;=Leltar_iv!$Y$1,I1563,0)</f>
        <v>0</v>
      </c>
    </row>
    <row r="1564" spans="1:53" s="1" customFormat="1" x14ac:dyDescent="0.25">
      <c r="A1564" s="18">
        <f>IF(COUNTIF($Y$6:Y1564,Y1564)=1,Y1564,Y1564+COUNTIF($Y$5:Y1563,Y1564))</f>
        <v>559</v>
      </c>
      <c r="B1564" s="1">
        <f>IF(AND(Kisero_iv!$N$2=C1564,Kisero_iv!$K$5=$B$3,SUM(I1564:L1568)&lt;&gt;0,$B$4=YEAR(W1564)),B1563+1,0)</f>
        <v>0</v>
      </c>
      <c r="C1564" s="1">
        <f t="shared" si="96"/>
        <v>559</v>
      </c>
      <c r="D1564" s="102" t="str">
        <f t="shared" si="97"/>
        <v/>
      </c>
      <c r="E1564" s="44"/>
      <c r="F1564" s="45"/>
      <c r="G1564" s="45"/>
      <c r="H1564" s="45"/>
      <c r="I1564" s="46"/>
      <c r="J1564" s="111" t="str">
        <f>IF(AND(G1564&lt;&gt;"",ISERROR(VLOOKUP(G1564,Keszlet!$C$5:$H$200,6,FALSE))=FALSE),VLOOKUP(G1564,Keszlet!$C$5:$H$200,6,FALSE),"")</f>
        <v/>
      </c>
      <c r="K1564" s="106" t="str">
        <f>IF(AND(G1564&lt;&gt;"",ISERROR(VLOOKUP(G1564,Keszlet!$C$5:$G$200,5,FALSE))=FALSE),VLOOKUP(G1564,Keszlet!$C$5:$G$200,5,FALSE),"")</f>
        <v/>
      </c>
      <c r="L1564" s="106" t="str">
        <f t="shared" si="98"/>
        <v/>
      </c>
      <c r="M1564" s="115" t="str">
        <f>IF(ISERROR(VLOOKUP(G1564,Keszlet!$C$5:$I$200,7,FALSE))=TRUE,"",IF(AND(J1563&lt;&gt;"",J1565=""),VLOOKUP(G1564,Keszlet!$C$5:$I$200,7,FALSE),""))</f>
        <v/>
      </c>
      <c r="Q1564" s="1">
        <f>VLOOKUP(G1564,Keszlet!$C$5:$E$205,3,FALSE)</f>
        <v>0</v>
      </c>
      <c r="T1564" s="1" t="str">
        <f t="shared" si="99"/>
        <v/>
      </c>
      <c r="U1564" s="1">
        <f t="shared" si="100"/>
        <v>0</v>
      </c>
      <c r="W1564" s="6">
        <f t="shared" si="103"/>
        <v>0</v>
      </c>
      <c r="X1564" s="6">
        <f t="shared" si="95"/>
        <v>0</v>
      </c>
      <c r="Y1564" s="1">
        <f t="shared" si="101"/>
        <v>1</v>
      </c>
      <c r="Z1564" s="1">
        <f>IF(COUNTIF($Y$6:Y1564,Y1564)=1,Y1564,Y1564+COUNTIF($Y$5:Y1563,Y1564))</f>
        <v>559</v>
      </c>
      <c r="AD1564" s="1" t="str">
        <f t="shared" si="102"/>
        <v/>
      </c>
      <c r="BA1564" s="1">
        <f>IF(W1564&lt;=Leltar_iv!$Y$1,I1564,0)</f>
        <v>0</v>
      </c>
    </row>
    <row r="1565" spans="1:53" s="1" customFormat="1" x14ac:dyDescent="0.25">
      <c r="A1565" s="18">
        <f>IF(COUNTIF($Y$6:Y1565,Y1565)=1,Y1565,Y1565+COUNTIF($Y$5:Y1564,Y1565))</f>
        <v>560</v>
      </c>
      <c r="B1565" s="1">
        <f>IF(AND(Kisero_iv!$N$2=C1565,Kisero_iv!$K$5=$B$3,SUM(I1565:L1569)&lt;&gt;0,$B$4=YEAR(W1565)),B1564+1,0)</f>
        <v>0</v>
      </c>
      <c r="C1565" s="1">
        <f t="shared" si="96"/>
        <v>560</v>
      </c>
      <c r="D1565" s="102" t="str">
        <f t="shared" si="97"/>
        <v/>
      </c>
      <c r="E1565" s="44"/>
      <c r="F1565" s="45"/>
      <c r="G1565" s="45"/>
      <c r="H1565" s="45"/>
      <c r="I1565" s="46"/>
      <c r="J1565" s="111" t="str">
        <f>IF(AND(G1565&lt;&gt;"",ISERROR(VLOOKUP(G1565,Keszlet!$C$5:$H$200,6,FALSE))=FALSE),VLOOKUP(G1565,Keszlet!$C$5:$H$200,6,FALSE),"")</f>
        <v/>
      </c>
      <c r="K1565" s="106" t="str">
        <f>IF(AND(G1565&lt;&gt;"",ISERROR(VLOOKUP(G1565,Keszlet!$C$5:$G$200,5,FALSE))=FALSE),VLOOKUP(G1565,Keszlet!$C$5:$G$200,5,FALSE),"")</f>
        <v/>
      </c>
      <c r="L1565" s="106" t="str">
        <f t="shared" si="98"/>
        <v/>
      </c>
      <c r="M1565" s="115" t="str">
        <f>IF(ISERROR(VLOOKUP(G1565,Keszlet!$C$5:$I$200,7,FALSE))=TRUE,"",IF(AND(J1564&lt;&gt;"",J1566=""),VLOOKUP(G1565,Keszlet!$C$5:$I$200,7,FALSE),""))</f>
        <v/>
      </c>
      <c r="Q1565" s="1">
        <f>VLOOKUP(G1565,Keszlet!$C$5:$E$205,3,FALSE)</f>
        <v>0</v>
      </c>
      <c r="T1565" s="1" t="str">
        <f t="shared" si="99"/>
        <v/>
      </c>
      <c r="U1565" s="1">
        <f t="shared" si="100"/>
        <v>0</v>
      </c>
      <c r="W1565" s="6">
        <f t="shared" si="103"/>
        <v>0</v>
      </c>
      <c r="X1565" s="6">
        <f t="shared" si="95"/>
        <v>0</v>
      </c>
      <c r="Y1565" s="1">
        <f t="shared" si="101"/>
        <v>1</v>
      </c>
      <c r="Z1565" s="1">
        <f>IF(COUNTIF($Y$6:Y1565,Y1565)=1,Y1565,Y1565+COUNTIF($Y$5:Y1564,Y1565))</f>
        <v>560</v>
      </c>
      <c r="AD1565" s="1" t="str">
        <f t="shared" si="102"/>
        <v/>
      </c>
      <c r="BA1565" s="1">
        <f>IF(W1565&lt;=Leltar_iv!$Y$1,I1565,0)</f>
        <v>0</v>
      </c>
    </row>
    <row r="1566" spans="1:53" s="1" customFormat="1" x14ac:dyDescent="0.25">
      <c r="A1566" s="18">
        <f>IF(COUNTIF($Y$6:Y1566,Y1566)=1,Y1566,Y1566+COUNTIF($Y$5:Y1565,Y1566))</f>
        <v>561</v>
      </c>
      <c r="B1566" s="1">
        <f>IF(AND(Kisero_iv!$N$2=C1566,Kisero_iv!$K$5=$B$3,SUM(I1566:L1570)&lt;&gt;0,$B$4=YEAR(W1566)),B1565+1,0)</f>
        <v>0</v>
      </c>
      <c r="C1566" s="1">
        <f t="shared" si="96"/>
        <v>561</v>
      </c>
      <c r="D1566" s="102" t="str">
        <f t="shared" si="97"/>
        <v/>
      </c>
      <c r="E1566" s="44"/>
      <c r="F1566" s="45"/>
      <c r="G1566" s="45"/>
      <c r="H1566" s="45"/>
      <c r="I1566" s="46"/>
      <c r="J1566" s="111" t="str">
        <f>IF(AND(G1566&lt;&gt;"",ISERROR(VLOOKUP(G1566,Keszlet!$C$5:$H$200,6,FALSE))=FALSE),VLOOKUP(G1566,Keszlet!$C$5:$H$200,6,FALSE),"")</f>
        <v/>
      </c>
      <c r="K1566" s="106" t="str">
        <f>IF(AND(G1566&lt;&gt;"",ISERROR(VLOOKUP(G1566,Keszlet!$C$5:$G$200,5,FALSE))=FALSE),VLOOKUP(G1566,Keszlet!$C$5:$G$200,5,FALSE),"")</f>
        <v/>
      </c>
      <c r="L1566" s="106" t="str">
        <f t="shared" si="98"/>
        <v/>
      </c>
      <c r="M1566" s="115" t="str">
        <f>IF(ISERROR(VLOOKUP(G1566,Keszlet!$C$5:$I$200,7,FALSE))=TRUE,"",IF(AND(J1565&lt;&gt;"",J1567=""),VLOOKUP(G1566,Keszlet!$C$5:$I$200,7,FALSE),""))</f>
        <v/>
      </c>
      <c r="Q1566" s="1">
        <f>VLOOKUP(G1566,Keszlet!$C$5:$E$205,3,FALSE)</f>
        <v>0</v>
      </c>
      <c r="T1566" s="1" t="str">
        <f t="shared" si="99"/>
        <v/>
      </c>
      <c r="U1566" s="1">
        <f t="shared" si="100"/>
        <v>0</v>
      </c>
      <c r="W1566" s="6">
        <f t="shared" si="103"/>
        <v>0</v>
      </c>
      <c r="X1566" s="6">
        <f t="shared" si="95"/>
        <v>0</v>
      </c>
      <c r="Y1566" s="1">
        <f t="shared" si="101"/>
        <v>1</v>
      </c>
      <c r="Z1566" s="1">
        <f>IF(COUNTIF($Y$6:Y1566,Y1566)=1,Y1566,Y1566+COUNTIF($Y$5:Y1565,Y1566))</f>
        <v>561</v>
      </c>
      <c r="AD1566" s="1" t="str">
        <f t="shared" si="102"/>
        <v/>
      </c>
      <c r="BA1566" s="1">
        <f>IF(W1566&lt;=Leltar_iv!$Y$1,I1566,0)</f>
        <v>0</v>
      </c>
    </row>
    <row r="1567" spans="1:53" s="1" customFormat="1" x14ac:dyDescent="0.25">
      <c r="A1567" s="18">
        <f>IF(COUNTIF($Y$6:Y1567,Y1567)=1,Y1567,Y1567+COUNTIF($Y$5:Y1566,Y1567))</f>
        <v>562</v>
      </c>
      <c r="B1567" s="1">
        <f>IF(AND(Kisero_iv!$N$2=C1567,Kisero_iv!$K$5=$B$3,SUM(I1567:L1571)&lt;&gt;0,$B$4=YEAR(W1567)),B1566+1,0)</f>
        <v>0</v>
      </c>
      <c r="C1567" s="1">
        <f t="shared" si="96"/>
        <v>562</v>
      </c>
      <c r="D1567" s="102" t="str">
        <f t="shared" si="97"/>
        <v/>
      </c>
      <c r="E1567" s="44"/>
      <c r="F1567" s="45"/>
      <c r="G1567" s="45"/>
      <c r="H1567" s="45"/>
      <c r="I1567" s="46"/>
      <c r="J1567" s="111" t="str">
        <f>IF(AND(G1567&lt;&gt;"",ISERROR(VLOOKUP(G1567,Keszlet!$C$5:$H$200,6,FALSE))=FALSE),VLOOKUP(G1567,Keszlet!$C$5:$H$200,6,FALSE),"")</f>
        <v/>
      </c>
      <c r="K1567" s="106" t="str">
        <f>IF(AND(G1567&lt;&gt;"",ISERROR(VLOOKUP(G1567,Keszlet!$C$5:$G$200,5,FALSE))=FALSE),VLOOKUP(G1567,Keszlet!$C$5:$G$200,5,FALSE),"")</f>
        <v/>
      </c>
      <c r="L1567" s="106" t="str">
        <f t="shared" si="98"/>
        <v/>
      </c>
      <c r="M1567" s="115" t="str">
        <f>IF(ISERROR(VLOOKUP(G1567,Keszlet!$C$5:$I$200,7,FALSE))=TRUE,"",IF(AND(J1566&lt;&gt;"",J1568=""),VLOOKUP(G1567,Keszlet!$C$5:$I$200,7,FALSE),""))</f>
        <v/>
      </c>
      <c r="Q1567" s="1">
        <f>VLOOKUP(G1567,Keszlet!$C$5:$E$205,3,FALSE)</f>
        <v>0</v>
      </c>
      <c r="T1567" s="1" t="str">
        <f t="shared" si="99"/>
        <v/>
      </c>
      <c r="U1567" s="1">
        <f t="shared" si="100"/>
        <v>0</v>
      </c>
      <c r="W1567" s="6">
        <f t="shared" si="103"/>
        <v>0</v>
      </c>
      <c r="X1567" s="6">
        <f t="shared" si="95"/>
        <v>0</v>
      </c>
      <c r="Y1567" s="1">
        <f t="shared" si="101"/>
        <v>1</v>
      </c>
      <c r="Z1567" s="1">
        <f>IF(COUNTIF($Y$6:Y1567,Y1567)=1,Y1567,Y1567+COUNTIF($Y$5:Y1566,Y1567))</f>
        <v>562</v>
      </c>
      <c r="AD1567" s="1" t="str">
        <f t="shared" si="102"/>
        <v/>
      </c>
      <c r="BA1567" s="1">
        <f>IF(W1567&lt;=Leltar_iv!$Y$1,I1567,0)</f>
        <v>0</v>
      </c>
    </row>
    <row r="1568" spans="1:53" s="1" customFormat="1" x14ac:dyDescent="0.25">
      <c r="A1568" s="18">
        <f>IF(COUNTIF($Y$6:Y1568,Y1568)=1,Y1568,Y1568+COUNTIF($Y$5:Y1567,Y1568))</f>
        <v>563</v>
      </c>
      <c r="B1568" s="1">
        <f>IF(AND(Kisero_iv!$N$2=C1568,Kisero_iv!$K$5=$B$3,SUM(I1568:L1572)&lt;&gt;0,$B$4=YEAR(W1568)),B1567+1,0)</f>
        <v>0</v>
      </c>
      <c r="C1568" s="1">
        <f t="shared" si="96"/>
        <v>563</v>
      </c>
      <c r="D1568" s="102" t="str">
        <f t="shared" si="97"/>
        <v/>
      </c>
      <c r="E1568" s="44"/>
      <c r="F1568" s="45"/>
      <c r="G1568" s="45"/>
      <c r="H1568" s="45"/>
      <c r="I1568" s="46"/>
      <c r="J1568" s="111" t="str">
        <f>IF(AND(G1568&lt;&gt;"",ISERROR(VLOOKUP(G1568,Keszlet!$C$5:$H$200,6,FALSE))=FALSE),VLOOKUP(G1568,Keszlet!$C$5:$H$200,6,FALSE),"")</f>
        <v/>
      </c>
      <c r="K1568" s="106" t="str">
        <f>IF(AND(G1568&lt;&gt;"",ISERROR(VLOOKUP(G1568,Keszlet!$C$5:$G$200,5,FALSE))=FALSE),VLOOKUP(G1568,Keszlet!$C$5:$G$200,5,FALSE),"")</f>
        <v/>
      </c>
      <c r="L1568" s="106" t="str">
        <f t="shared" si="98"/>
        <v/>
      </c>
      <c r="M1568" s="115" t="str">
        <f>IF(ISERROR(VLOOKUP(G1568,Keszlet!$C$5:$I$200,7,FALSE))=TRUE,"",IF(AND(J1567&lt;&gt;"",J1569=""),VLOOKUP(G1568,Keszlet!$C$5:$I$200,7,FALSE),""))</f>
        <v/>
      </c>
      <c r="Q1568" s="1">
        <f>VLOOKUP(G1568,Keszlet!$C$5:$E$205,3,FALSE)</f>
        <v>0</v>
      </c>
      <c r="T1568" s="1" t="str">
        <f t="shared" si="99"/>
        <v/>
      </c>
      <c r="U1568" s="1">
        <f t="shared" si="100"/>
        <v>0</v>
      </c>
      <c r="W1568" s="6">
        <f t="shared" si="103"/>
        <v>0</v>
      </c>
      <c r="X1568" s="6">
        <f t="shared" si="95"/>
        <v>0</v>
      </c>
      <c r="Y1568" s="1">
        <f t="shared" si="101"/>
        <v>1</v>
      </c>
      <c r="Z1568" s="1">
        <f>IF(COUNTIF($Y$6:Y1568,Y1568)=1,Y1568,Y1568+COUNTIF($Y$5:Y1567,Y1568))</f>
        <v>563</v>
      </c>
      <c r="AD1568" s="1" t="str">
        <f t="shared" si="102"/>
        <v/>
      </c>
      <c r="BA1568" s="1">
        <f>IF(W1568&lt;=Leltar_iv!$Y$1,I1568,0)</f>
        <v>0</v>
      </c>
    </row>
    <row r="1569" spans="1:53" s="1" customFormat="1" x14ac:dyDescent="0.25">
      <c r="A1569" s="18">
        <f>IF(COUNTIF($Y$6:Y1569,Y1569)=1,Y1569,Y1569+COUNTIF($Y$5:Y1568,Y1569))</f>
        <v>564</v>
      </c>
      <c r="B1569" s="1">
        <f>IF(AND(Kisero_iv!$N$2=C1569,Kisero_iv!$K$5=$B$3,SUM(I1569:L1573)&lt;&gt;0,$B$4=YEAR(W1569)),B1568+1,0)</f>
        <v>0</v>
      </c>
      <c r="C1569" s="1">
        <f t="shared" si="96"/>
        <v>564</v>
      </c>
      <c r="D1569" s="102" t="str">
        <f t="shared" si="97"/>
        <v/>
      </c>
      <c r="E1569" s="44"/>
      <c r="F1569" s="45"/>
      <c r="G1569" s="45"/>
      <c r="H1569" s="45"/>
      <c r="I1569" s="46"/>
      <c r="J1569" s="111" t="str">
        <f>IF(AND(G1569&lt;&gt;"",ISERROR(VLOOKUP(G1569,Keszlet!$C$5:$H$200,6,FALSE))=FALSE),VLOOKUP(G1569,Keszlet!$C$5:$H$200,6,FALSE),"")</f>
        <v/>
      </c>
      <c r="K1569" s="106" t="str">
        <f>IF(AND(G1569&lt;&gt;"",ISERROR(VLOOKUP(G1569,Keszlet!$C$5:$G$200,5,FALSE))=FALSE),VLOOKUP(G1569,Keszlet!$C$5:$G$200,5,FALSE),"")</f>
        <v/>
      </c>
      <c r="L1569" s="106" t="str">
        <f t="shared" si="98"/>
        <v/>
      </c>
      <c r="M1569" s="115" t="str">
        <f>IF(ISERROR(VLOOKUP(G1569,Keszlet!$C$5:$I$200,7,FALSE))=TRUE,"",IF(AND(J1568&lt;&gt;"",J1570=""),VLOOKUP(G1569,Keszlet!$C$5:$I$200,7,FALSE),""))</f>
        <v/>
      </c>
      <c r="Q1569" s="1">
        <f>VLOOKUP(G1569,Keszlet!$C$5:$E$205,3,FALSE)</f>
        <v>0</v>
      </c>
      <c r="T1569" s="1" t="str">
        <f t="shared" si="99"/>
        <v/>
      </c>
      <c r="U1569" s="1">
        <f t="shared" si="100"/>
        <v>0</v>
      </c>
      <c r="W1569" s="6">
        <f t="shared" si="103"/>
        <v>0</v>
      </c>
      <c r="X1569" s="6">
        <f t="shared" si="95"/>
        <v>0</v>
      </c>
      <c r="Y1569" s="1">
        <f t="shared" si="101"/>
        <v>1</v>
      </c>
      <c r="Z1569" s="1">
        <f>IF(COUNTIF($Y$6:Y1569,Y1569)=1,Y1569,Y1569+COUNTIF($Y$5:Y1568,Y1569))</f>
        <v>564</v>
      </c>
      <c r="AD1569" s="1" t="str">
        <f t="shared" si="102"/>
        <v/>
      </c>
      <c r="BA1569" s="1">
        <f>IF(W1569&lt;=Leltar_iv!$Y$1,I1569,0)</f>
        <v>0</v>
      </c>
    </row>
    <row r="1570" spans="1:53" s="1" customFormat="1" x14ac:dyDescent="0.25">
      <c r="A1570" s="18">
        <f>IF(COUNTIF($Y$6:Y1570,Y1570)=1,Y1570,Y1570+COUNTIF($Y$5:Y1569,Y1570))</f>
        <v>565</v>
      </c>
      <c r="B1570" s="1">
        <f>IF(AND(Kisero_iv!$N$2=C1570,Kisero_iv!$K$5=$B$3,SUM(I1570:L1574)&lt;&gt;0,$B$4=YEAR(W1570)),B1569+1,0)</f>
        <v>0</v>
      </c>
      <c r="C1570" s="1">
        <f t="shared" si="96"/>
        <v>565</v>
      </c>
      <c r="D1570" s="102" t="str">
        <f t="shared" si="97"/>
        <v/>
      </c>
      <c r="E1570" s="44"/>
      <c r="F1570" s="45"/>
      <c r="G1570" s="45"/>
      <c r="H1570" s="45"/>
      <c r="I1570" s="46"/>
      <c r="J1570" s="111" t="str">
        <f>IF(AND(G1570&lt;&gt;"",ISERROR(VLOOKUP(G1570,Keszlet!$C$5:$H$200,6,FALSE))=FALSE),VLOOKUP(G1570,Keszlet!$C$5:$H$200,6,FALSE),"")</f>
        <v/>
      </c>
      <c r="K1570" s="106" t="str">
        <f>IF(AND(G1570&lt;&gt;"",ISERROR(VLOOKUP(G1570,Keszlet!$C$5:$G$200,5,FALSE))=FALSE),VLOOKUP(G1570,Keszlet!$C$5:$G$200,5,FALSE),"")</f>
        <v/>
      </c>
      <c r="L1570" s="106" t="str">
        <f t="shared" si="98"/>
        <v/>
      </c>
      <c r="M1570" s="115" t="str">
        <f>IF(ISERROR(VLOOKUP(G1570,Keszlet!$C$5:$I$200,7,FALSE))=TRUE,"",IF(AND(J1569&lt;&gt;"",J1571=""),VLOOKUP(G1570,Keszlet!$C$5:$I$200,7,FALSE),""))</f>
        <v/>
      </c>
      <c r="Q1570" s="1">
        <f>VLOOKUP(G1570,Keszlet!$C$5:$E$205,3,FALSE)</f>
        <v>0</v>
      </c>
      <c r="T1570" s="1" t="str">
        <f t="shared" si="99"/>
        <v/>
      </c>
      <c r="U1570" s="1">
        <f t="shared" si="100"/>
        <v>0</v>
      </c>
      <c r="W1570" s="6">
        <f t="shared" si="103"/>
        <v>0</v>
      </c>
      <c r="X1570" s="6">
        <f t="shared" si="95"/>
        <v>0</v>
      </c>
      <c r="Y1570" s="1">
        <f t="shared" si="101"/>
        <v>1</v>
      </c>
      <c r="Z1570" s="1">
        <f>IF(COUNTIF($Y$6:Y1570,Y1570)=1,Y1570,Y1570+COUNTIF($Y$5:Y1569,Y1570))</f>
        <v>565</v>
      </c>
      <c r="AD1570" s="1" t="str">
        <f t="shared" si="102"/>
        <v/>
      </c>
      <c r="BA1570" s="1">
        <f>IF(W1570&lt;=Leltar_iv!$Y$1,I1570,0)</f>
        <v>0</v>
      </c>
    </row>
    <row r="1571" spans="1:53" s="1" customFormat="1" x14ac:dyDescent="0.25">
      <c r="A1571" s="18">
        <f>IF(COUNTIF($Y$6:Y1571,Y1571)=1,Y1571,Y1571+COUNTIF($Y$5:Y1570,Y1571))</f>
        <v>566</v>
      </c>
      <c r="B1571" s="1">
        <f>IF(AND(Kisero_iv!$N$2=C1571,Kisero_iv!$K$5=$B$3,SUM(I1571:L1575)&lt;&gt;0,$B$4=YEAR(W1571)),B1570+1,0)</f>
        <v>0</v>
      </c>
      <c r="C1571" s="1">
        <f t="shared" si="96"/>
        <v>566</v>
      </c>
      <c r="D1571" s="102" t="str">
        <f t="shared" si="97"/>
        <v/>
      </c>
      <c r="E1571" s="44"/>
      <c r="F1571" s="45"/>
      <c r="G1571" s="45"/>
      <c r="H1571" s="45"/>
      <c r="I1571" s="46"/>
      <c r="J1571" s="111" t="str">
        <f>IF(AND(G1571&lt;&gt;"",ISERROR(VLOOKUP(G1571,Keszlet!$C$5:$H$200,6,FALSE))=FALSE),VLOOKUP(G1571,Keszlet!$C$5:$H$200,6,FALSE),"")</f>
        <v/>
      </c>
      <c r="K1571" s="106" t="str">
        <f>IF(AND(G1571&lt;&gt;"",ISERROR(VLOOKUP(G1571,Keszlet!$C$5:$G$200,5,FALSE))=FALSE),VLOOKUP(G1571,Keszlet!$C$5:$G$200,5,FALSE),"")</f>
        <v/>
      </c>
      <c r="L1571" s="106" t="str">
        <f t="shared" si="98"/>
        <v/>
      </c>
      <c r="M1571" s="115" t="str">
        <f>IF(ISERROR(VLOOKUP(G1571,Keszlet!$C$5:$I$200,7,FALSE))=TRUE,"",IF(AND(J1570&lt;&gt;"",J1572=""),VLOOKUP(G1571,Keszlet!$C$5:$I$200,7,FALSE),""))</f>
        <v/>
      </c>
      <c r="Q1571" s="1">
        <f>VLOOKUP(G1571,Keszlet!$C$5:$E$205,3,FALSE)</f>
        <v>0</v>
      </c>
      <c r="T1571" s="1" t="str">
        <f t="shared" si="99"/>
        <v/>
      </c>
      <c r="U1571" s="1">
        <f t="shared" si="100"/>
        <v>0</v>
      </c>
      <c r="W1571" s="6">
        <f t="shared" si="103"/>
        <v>0</v>
      </c>
      <c r="X1571" s="6">
        <f t="shared" si="95"/>
        <v>0</v>
      </c>
      <c r="Y1571" s="1">
        <f t="shared" si="101"/>
        <v>1</v>
      </c>
      <c r="Z1571" s="1">
        <f>IF(COUNTIF($Y$6:Y1571,Y1571)=1,Y1571,Y1571+COUNTIF($Y$5:Y1570,Y1571))</f>
        <v>566</v>
      </c>
      <c r="AD1571" s="1" t="str">
        <f t="shared" si="102"/>
        <v/>
      </c>
      <c r="BA1571" s="1">
        <f>IF(W1571&lt;=Leltar_iv!$Y$1,I1571,0)</f>
        <v>0</v>
      </c>
    </row>
    <row r="1572" spans="1:53" s="1" customFormat="1" x14ac:dyDescent="0.25">
      <c r="A1572" s="18">
        <f>IF(COUNTIF($Y$6:Y1572,Y1572)=1,Y1572,Y1572+COUNTIF($Y$5:Y1571,Y1572))</f>
        <v>567</v>
      </c>
      <c r="B1572" s="1">
        <f>IF(AND(Kisero_iv!$N$2=C1572,Kisero_iv!$K$5=$B$3,SUM(I1572:L1576)&lt;&gt;0,$B$4=YEAR(W1572)),B1571+1,0)</f>
        <v>0</v>
      </c>
      <c r="C1572" s="1">
        <f t="shared" si="96"/>
        <v>567</v>
      </c>
      <c r="D1572" s="102" t="str">
        <f t="shared" si="97"/>
        <v/>
      </c>
      <c r="E1572" s="44"/>
      <c r="F1572" s="45"/>
      <c r="G1572" s="45"/>
      <c r="H1572" s="45"/>
      <c r="I1572" s="46"/>
      <c r="J1572" s="111" t="str">
        <f>IF(AND(G1572&lt;&gt;"",ISERROR(VLOOKUP(G1572,Keszlet!$C$5:$H$200,6,FALSE))=FALSE),VLOOKUP(G1572,Keszlet!$C$5:$H$200,6,FALSE),"")</f>
        <v/>
      </c>
      <c r="K1572" s="106" t="str">
        <f>IF(AND(G1572&lt;&gt;"",ISERROR(VLOOKUP(G1572,Keszlet!$C$5:$G$200,5,FALSE))=FALSE),VLOOKUP(G1572,Keszlet!$C$5:$G$200,5,FALSE),"")</f>
        <v/>
      </c>
      <c r="L1572" s="106" t="str">
        <f t="shared" si="98"/>
        <v/>
      </c>
      <c r="M1572" s="115" t="str">
        <f>IF(ISERROR(VLOOKUP(G1572,Keszlet!$C$5:$I$200,7,FALSE))=TRUE,"",IF(AND(J1571&lt;&gt;"",J1573=""),VLOOKUP(G1572,Keszlet!$C$5:$I$200,7,FALSE),""))</f>
        <v/>
      </c>
      <c r="Q1572" s="1">
        <f>VLOOKUP(G1572,Keszlet!$C$5:$E$205,3,FALSE)</f>
        <v>0</v>
      </c>
      <c r="T1572" s="1" t="str">
        <f t="shared" si="99"/>
        <v/>
      </c>
      <c r="U1572" s="1">
        <f t="shared" si="100"/>
        <v>0</v>
      </c>
      <c r="W1572" s="6">
        <f t="shared" si="103"/>
        <v>0</v>
      </c>
      <c r="X1572" s="6">
        <f t="shared" si="95"/>
        <v>0</v>
      </c>
      <c r="Y1572" s="1">
        <f t="shared" si="101"/>
        <v>1</v>
      </c>
      <c r="Z1572" s="1">
        <f>IF(COUNTIF($Y$6:Y1572,Y1572)=1,Y1572,Y1572+COUNTIF($Y$5:Y1571,Y1572))</f>
        <v>567</v>
      </c>
      <c r="AD1572" s="1" t="str">
        <f t="shared" si="102"/>
        <v/>
      </c>
      <c r="BA1572" s="1">
        <f>IF(W1572&lt;=Leltar_iv!$Y$1,I1572,0)</f>
        <v>0</v>
      </c>
    </row>
    <row r="1573" spans="1:53" s="1" customFormat="1" x14ac:dyDescent="0.25">
      <c r="A1573" s="18">
        <f>IF(COUNTIF($Y$6:Y1573,Y1573)=1,Y1573,Y1573+COUNTIF($Y$5:Y1572,Y1573))</f>
        <v>568</v>
      </c>
      <c r="B1573" s="1">
        <f>IF(AND(Kisero_iv!$N$2=C1573,Kisero_iv!$K$5=$B$3,SUM(I1573:L1577)&lt;&gt;0,$B$4=YEAR(W1573)),B1572+1,0)</f>
        <v>0</v>
      </c>
      <c r="C1573" s="1">
        <f t="shared" si="96"/>
        <v>568</v>
      </c>
      <c r="D1573" s="102" t="str">
        <f t="shared" si="97"/>
        <v/>
      </c>
      <c r="E1573" s="44"/>
      <c r="F1573" s="45"/>
      <c r="G1573" s="45"/>
      <c r="H1573" s="45"/>
      <c r="I1573" s="46"/>
      <c r="J1573" s="111" t="str">
        <f>IF(AND(G1573&lt;&gt;"",ISERROR(VLOOKUP(G1573,Keszlet!$C$5:$H$200,6,FALSE))=FALSE),VLOOKUP(G1573,Keszlet!$C$5:$H$200,6,FALSE),"")</f>
        <v/>
      </c>
      <c r="K1573" s="106" t="str">
        <f>IF(AND(G1573&lt;&gt;"",ISERROR(VLOOKUP(G1573,Keszlet!$C$5:$G$200,5,FALSE))=FALSE),VLOOKUP(G1573,Keszlet!$C$5:$G$200,5,FALSE),"")</f>
        <v/>
      </c>
      <c r="L1573" s="106" t="str">
        <f t="shared" si="98"/>
        <v/>
      </c>
      <c r="M1573" s="115" t="str">
        <f>IF(ISERROR(VLOOKUP(G1573,Keszlet!$C$5:$I$200,7,FALSE))=TRUE,"",IF(AND(J1572&lt;&gt;"",J1574=""),VLOOKUP(G1573,Keszlet!$C$5:$I$200,7,FALSE),""))</f>
        <v/>
      </c>
      <c r="Q1573" s="1">
        <f>VLOOKUP(G1573,Keszlet!$C$5:$E$205,3,FALSE)</f>
        <v>0</v>
      </c>
      <c r="T1573" s="1" t="str">
        <f t="shared" si="99"/>
        <v/>
      </c>
      <c r="U1573" s="1">
        <f t="shared" si="100"/>
        <v>0</v>
      </c>
      <c r="W1573" s="6">
        <f t="shared" si="103"/>
        <v>0</v>
      </c>
      <c r="X1573" s="6">
        <f t="shared" si="95"/>
        <v>0</v>
      </c>
      <c r="Y1573" s="1">
        <f t="shared" si="101"/>
        <v>1</v>
      </c>
      <c r="Z1573" s="1">
        <f>IF(COUNTIF($Y$6:Y1573,Y1573)=1,Y1573,Y1573+COUNTIF($Y$5:Y1572,Y1573))</f>
        <v>568</v>
      </c>
      <c r="AD1573" s="1" t="str">
        <f t="shared" si="102"/>
        <v/>
      </c>
      <c r="BA1573" s="1">
        <f>IF(W1573&lt;=Leltar_iv!$Y$1,I1573,0)</f>
        <v>0</v>
      </c>
    </row>
    <row r="1574" spans="1:53" s="1" customFormat="1" x14ac:dyDescent="0.25">
      <c r="A1574" s="18">
        <f>IF(COUNTIF($Y$6:Y1574,Y1574)=1,Y1574,Y1574+COUNTIF($Y$5:Y1573,Y1574))</f>
        <v>569</v>
      </c>
      <c r="B1574" s="1">
        <f>IF(AND(Kisero_iv!$N$2=C1574,Kisero_iv!$K$5=$B$3,SUM(I1574:L1578)&lt;&gt;0,$B$4=YEAR(W1574)),B1573+1,0)</f>
        <v>0</v>
      </c>
      <c r="C1574" s="1">
        <f t="shared" si="96"/>
        <v>569</v>
      </c>
      <c r="D1574" s="102" t="str">
        <f t="shared" si="97"/>
        <v/>
      </c>
      <c r="E1574" s="44"/>
      <c r="F1574" s="45"/>
      <c r="G1574" s="45"/>
      <c r="H1574" s="45"/>
      <c r="I1574" s="46"/>
      <c r="J1574" s="111" t="str">
        <f>IF(AND(G1574&lt;&gt;"",ISERROR(VLOOKUP(G1574,Keszlet!$C$5:$H$200,6,FALSE))=FALSE),VLOOKUP(G1574,Keszlet!$C$5:$H$200,6,FALSE),"")</f>
        <v/>
      </c>
      <c r="K1574" s="106" t="str">
        <f>IF(AND(G1574&lt;&gt;"",ISERROR(VLOOKUP(G1574,Keszlet!$C$5:$G$200,5,FALSE))=FALSE),VLOOKUP(G1574,Keszlet!$C$5:$G$200,5,FALSE),"")</f>
        <v/>
      </c>
      <c r="L1574" s="106" t="str">
        <f t="shared" si="98"/>
        <v/>
      </c>
      <c r="M1574" s="115" t="str">
        <f>IF(ISERROR(VLOOKUP(G1574,Keszlet!$C$5:$I$200,7,FALSE))=TRUE,"",IF(AND(J1573&lt;&gt;"",J1575=""),VLOOKUP(G1574,Keszlet!$C$5:$I$200,7,FALSE),""))</f>
        <v/>
      </c>
      <c r="Q1574" s="1">
        <f>VLOOKUP(G1574,Keszlet!$C$5:$E$205,3,FALSE)</f>
        <v>0</v>
      </c>
      <c r="T1574" s="1" t="str">
        <f t="shared" si="99"/>
        <v/>
      </c>
      <c r="U1574" s="1">
        <f t="shared" si="100"/>
        <v>0</v>
      </c>
      <c r="W1574" s="6">
        <f t="shared" si="103"/>
        <v>0</v>
      </c>
      <c r="X1574" s="6">
        <f t="shared" si="95"/>
        <v>0</v>
      </c>
      <c r="Y1574" s="1">
        <f t="shared" si="101"/>
        <v>1</v>
      </c>
      <c r="Z1574" s="1">
        <f>IF(COUNTIF($Y$6:Y1574,Y1574)=1,Y1574,Y1574+COUNTIF($Y$5:Y1573,Y1574))</f>
        <v>569</v>
      </c>
      <c r="AD1574" s="1" t="str">
        <f t="shared" si="102"/>
        <v/>
      </c>
      <c r="BA1574" s="1">
        <f>IF(W1574&lt;=Leltar_iv!$Y$1,I1574,0)</f>
        <v>0</v>
      </c>
    </row>
    <row r="1575" spans="1:53" s="1" customFormat="1" x14ac:dyDescent="0.25">
      <c r="A1575" s="18">
        <f>IF(COUNTIF($Y$6:Y1575,Y1575)=1,Y1575,Y1575+COUNTIF($Y$5:Y1574,Y1575))</f>
        <v>570</v>
      </c>
      <c r="B1575" s="1">
        <f>IF(AND(Kisero_iv!$N$2=C1575,Kisero_iv!$K$5=$B$3,SUM(I1575:L1579)&lt;&gt;0,$B$4=YEAR(W1575)),B1574+1,0)</f>
        <v>0</v>
      </c>
      <c r="C1575" s="1">
        <f t="shared" si="96"/>
        <v>570</v>
      </c>
      <c r="D1575" s="102" t="str">
        <f t="shared" si="97"/>
        <v/>
      </c>
      <c r="E1575" s="44"/>
      <c r="F1575" s="45"/>
      <c r="G1575" s="45"/>
      <c r="H1575" s="45"/>
      <c r="I1575" s="46"/>
      <c r="J1575" s="111" t="str">
        <f>IF(AND(G1575&lt;&gt;"",ISERROR(VLOOKUP(G1575,Keszlet!$C$5:$H$200,6,FALSE))=FALSE),VLOOKUP(G1575,Keszlet!$C$5:$H$200,6,FALSE),"")</f>
        <v/>
      </c>
      <c r="K1575" s="106" t="str">
        <f>IF(AND(G1575&lt;&gt;"",ISERROR(VLOOKUP(G1575,Keszlet!$C$5:$G$200,5,FALSE))=FALSE),VLOOKUP(G1575,Keszlet!$C$5:$G$200,5,FALSE),"")</f>
        <v/>
      </c>
      <c r="L1575" s="106" t="str">
        <f t="shared" si="98"/>
        <v/>
      </c>
      <c r="M1575" s="115" t="str">
        <f>IF(ISERROR(VLOOKUP(G1575,Keszlet!$C$5:$I$200,7,FALSE))=TRUE,"",IF(AND(J1574&lt;&gt;"",J1576=""),VLOOKUP(G1575,Keszlet!$C$5:$I$200,7,FALSE),""))</f>
        <v/>
      </c>
      <c r="Q1575" s="1">
        <f>VLOOKUP(G1575,Keszlet!$C$5:$E$205,3,FALSE)</f>
        <v>0</v>
      </c>
      <c r="T1575" s="1" t="str">
        <f t="shared" si="99"/>
        <v/>
      </c>
      <c r="U1575" s="1">
        <f t="shared" si="100"/>
        <v>0</v>
      </c>
      <c r="W1575" s="6">
        <f t="shared" si="103"/>
        <v>0</v>
      </c>
      <c r="X1575" s="6">
        <f t="shared" si="95"/>
        <v>0</v>
      </c>
      <c r="Y1575" s="1">
        <f t="shared" si="101"/>
        <v>1</v>
      </c>
      <c r="Z1575" s="1">
        <f>IF(COUNTIF($Y$6:Y1575,Y1575)=1,Y1575,Y1575+COUNTIF($Y$5:Y1574,Y1575))</f>
        <v>570</v>
      </c>
      <c r="AD1575" s="1" t="str">
        <f t="shared" si="102"/>
        <v/>
      </c>
      <c r="BA1575" s="1">
        <f>IF(W1575&lt;=Leltar_iv!$Y$1,I1575,0)</f>
        <v>0</v>
      </c>
    </row>
    <row r="1576" spans="1:53" s="1" customFormat="1" x14ac:dyDescent="0.25">
      <c r="A1576" s="18">
        <f>IF(COUNTIF($Y$6:Y1576,Y1576)=1,Y1576,Y1576+COUNTIF($Y$5:Y1575,Y1576))</f>
        <v>571</v>
      </c>
      <c r="B1576" s="1">
        <f>IF(AND(Kisero_iv!$N$2=C1576,Kisero_iv!$K$5=$B$3,SUM(I1576:L1580)&lt;&gt;0,$B$4=YEAR(W1576)),B1575+1,0)</f>
        <v>0</v>
      </c>
      <c r="C1576" s="1">
        <f t="shared" si="96"/>
        <v>571</v>
      </c>
      <c r="D1576" s="102" t="str">
        <f t="shared" si="97"/>
        <v/>
      </c>
      <c r="E1576" s="44"/>
      <c r="F1576" s="45"/>
      <c r="G1576" s="45"/>
      <c r="H1576" s="45"/>
      <c r="I1576" s="46"/>
      <c r="J1576" s="111" t="str">
        <f>IF(AND(G1576&lt;&gt;"",ISERROR(VLOOKUP(G1576,Keszlet!$C$5:$H$200,6,FALSE))=FALSE),VLOOKUP(G1576,Keszlet!$C$5:$H$200,6,FALSE),"")</f>
        <v/>
      </c>
      <c r="K1576" s="106" t="str">
        <f>IF(AND(G1576&lt;&gt;"",ISERROR(VLOOKUP(G1576,Keszlet!$C$5:$G$200,5,FALSE))=FALSE),VLOOKUP(G1576,Keszlet!$C$5:$G$200,5,FALSE),"")</f>
        <v/>
      </c>
      <c r="L1576" s="106" t="str">
        <f t="shared" si="98"/>
        <v/>
      </c>
      <c r="M1576" s="115" t="str">
        <f>IF(ISERROR(VLOOKUP(G1576,Keszlet!$C$5:$I$200,7,FALSE))=TRUE,"",IF(AND(J1575&lt;&gt;"",J1577=""),VLOOKUP(G1576,Keszlet!$C$5:$I$200,7,FALSE),""))</f>
        <v/>
      </c>
      <c r="Q1576" s="1">
        <f>VLOOKUP(G1576,Keszlet!$C$5:$E$205,3,FALSE)</f>
        <v>0</v>
      </c>
      <c r="T1576" s="1" t="str">
        <f t="shared" si="99"/>
        <v/>
      </c>
      <c r="U1576" s="1">
        <f t="shared" si="100"/>
        <v>0</v>
      </c>
      <c r="W1576" s="6">
        <f t="shared" si="103"/>
        <v>0</v>
      </c>
      <c r="X1576" s="6">
        <f t="shared" si="95"/>
        <v>0</v>
      </c>
      <c r="Y1576" s="1">
        <f t="shared" si="101"/>
        <v>1</v>
      </c>
      <c r="Z1576" s="1">
        <f>IF(COUNTIF($Y$6:Y1576,Y1576)=1,Y1576,Y1576+COUNTIF($Y$5:Y1575,Y1576))</f>
        <v>571</v>
      </c>
      <c r="AD1576" s="1" t="str">
        <f t="shared" si="102"/>
        <v/>
      </c>
      <c r="BA1576" s="1">
        <f>IF(W1576&lt;=Leltar_iv!$Y$1,I1576,0)</f>
        <v>0</v>
      </c>
    </row>
    <row r="1577" spans="1:53" s="1" customFormat="1" x14ac:dyDescent="0.25">
      <c r="A1577" s="18">
        <f>IF(COUNTIF($Y$6:Y1577,Y1577)=1,Y1577,Y1577+COUNTIF($Y$5:Y1576,Y1577))</f>
        <v>572</v>
      </c>
      <c r="B1577" s="1">
        <f>IF(AND(Kisero_iv!$N$2=C1577,Kisero_iv!$K$5=$B$3,SUM(I1577:L1581)&lt;&gt;0,$B$4=YEAR(W1577)),B1576+1,0)</f>
        <v>0</v>
      </c>
      <c r="C1577" s="1">
        <f t="shared" si="96"/>
        <v>572</v>
      </c>
      <c r="D1577" s="102" t="str">
        <f t="shared" si="97"/>
        <v/>
      </c>
      <c r="E1577" s="44"/>
      <c r="F1577" s="45"/>
      <c r="G1577" s="45"/>
      <c r="H1577" s="45"/>
      <c r="I1577" s="46"/>
      <c r="J1577" s="111" t="str">
        <f>IF(AND(G1577&lt;&gt;"",ISERROR(VLOOKUP(G1577,Keszlet!$C$5:$H$200,6,FALSE))=FALSE),VLOOKUP(G1577,Keszlet!$C$5:$H$200,6,FALSE),"")</f>
        <v/>
      </c>
      <c r="K1577" s="106" t="str">
        <f>IF(AND(G1577&lt;&gt;"",ISERROR(VLOOKUP(G1577,Keszlet!$C$5:$G$200,5,FALSE))=FALSE),VLOOKUP(G1577,Keszlet!$C$5:$G$200,5,FALSE),"")</f>
        <v/>
      </c>
      <c r="L1577" s="106" t="str">
        <f t="shared" si="98"/>
        <v/>
      </c>
      <c r="M1577" s="115" t="str">
        <f>IF(ISERROR(VLOOKUP(G1577,Keszlet!$C$5:$I$200,7,FALSE))=TRUE,"",IF(AND(J1576&lt;&gt;"",J1578=""),VLOOKUP(G1577,Keszlet!$C$5:$I$200,7,FALSE),""))</f>
        <v/>
      </c>
      <c r="Q1577" s="1">
        <f>VLOOKUP(G1577,Keszlet!$C$5:$E$205,3,FALSE)</f>
        <v>0</v>
      </c>
      <c r="T1577" s="1" t="str">
        <f t="shared" si="99"/>
        <v/>
      </c>
      <c r="U1577" s="1">
        <f t="shared" si="100"/>
        <v>0</v>
      </c>
      <c r="W1577" s="6">
        <f t="shared" si="103"/>
        <v>0</v>
      </c>
      <c r="X1577" s="6">
        <f t="shared" si="95"/>
        <v>0</v>
      </c>
      <c r="Y1577" s="1">
        <f t="shared" si="101"/>
        <v>1</v>
      </c>
      <c r="Z1577" s="1">
        <f>IF(COUNTIF($Y$6:Y1577,Y1577)=1,Y1577,Y1577+COUNTIF($Y$5:Y1576,Y1577))</f>
        <v>572</v>
      </c>
      <c r="AD1577" s="1" t="str">
        <f t="shared" si="102"/>
        <v/>
      </c>
      <c r="BA1577" s="1">
        <f>IF(W1577&lt;=Leltar_iv!$Y$1,I1577,0)</f>
        <v>0</v>
      </c>
    </row>
    <row r="1578" spans="1:53" s="1" customFormat="1" x14ac:dyDescent="0.25">
      <c r="A1578" s="18">
        <f>IF(COUNTIF($Y$6:Y1578,Y1578)=1,Y1578,Y1578+COUNTIF($Y$5:Y1577,Y1578))</f>
        <v>573</v>
      </c>
      <c r="B1578" s="1">
        <f>IF(AND(Kisero_iv!$N$2=C1578,Kisero_iv!$K$5=$B$3,SUM(I1578:L1582)&lt;&gt;0,$B$4=YEAR(W1578)),B1577+1,0)</f>
        <v>0</v>
      </c>
      <c r="C1578" s="1">
        <f t="shared" si="96"/>
        <v>573</v>
      </c>
      <c r="D1578" s="102" t="str">
        <f t="shared" si="97"/>
        <v/>
      </c>
      <c r="E1578" s="44"/>
      <c r="F1578" s="45"/>
      <c r="G1578" s="45"/>
      <c r="H1578" s="45"/>
      <c r="I1578" s="46"/>
      <c r="J1578" s="111" t="str">
        <f>IF(AND(G1578&lt;&gt;"",ISERROR(VLOOKUP(G1578,Keszlet!$C$5:$H$200,6,FALSE))=FALSE),VLOOKUP(G1578,Keszlet!$C$5:$H$200,6,FALSE),"")</f>
        <v/>
      </c>
      <c r="K1578" s="106" t="str">
        <f>IF(AND(G1578&lt;&gt;"",ISERROR(VLOOKUP(G1578,Keszlet!$C$5:$G$200,5,FALSE))=FALSE),VLOOKUP(G1578,Keszlet!$C$5:$G$200,5,FALSE),"")</f>
        <v/>
      </c>
      <c r="L1578" s="106" t="str">
        <f t="shared" si="98"/>
        <v/>
      </c>
      <c r="M1578" s="115" t="str">
        <f>IF(ISERROR(VLOOKUP(G1578,Keszlet!$C$5:$I$200,7,FALSE))=TRUE,"",IF(AND(J1577&lt;&gt;"",J1579=""),VLOOKUP(G1578,Keszlet!$C$5:$I$200,7,FALSE),""))</f>
        <v/>
      </c>
      <c r="Q1578" s="1">
        <f>VLOOKUP(G1578,Keszlet!$C$5:$E$205,3,FALSE)</f>
        <v>0</v>
      </c>
      <c r="T1578" s="1" t="str">
        <f t="shared" si="99"/>
        <v/>
      </c>
      <c r="U1578" s="1">
        <f t="shared" si="100"/>
        <v>0</v>
      </c>
      <c r="W1578" s="6">
        <f t="shared" si="103"/>
        <v>0</v>
      </c>
      <c r="X1578" s="6">
        <f t="shared" si="95"/>
        <v>0</v>
      </c>
      <c r="Y1578" s="1">
        <f t="shared" si="101"/>
        <v>1</v>
      </c>
      <c r="Z1578" s="1">
        <f>IF(COUNTIF($Y$6:Y1578,Y1578)=1,Y1578,Y1578+COUNTIF($Y$5:Y1577,Y1578))</f>
        <v>573</v>
      </c>
      <c r="AD1578" s="1" t="str">
        <f t="shared" si="102"/>
        <v/>
      </c>
      <c r="BA1578" s="1">
        <f>IF(W1578&lt;=Leltar_iv!$Y$1,I1578,0)</f>
        <v>0</v>
      </c>
    </row>
    <row r="1579" spans="1:53" s="1" customFormat="1" x14ac:dyDescent="0.25">
      <c r="A1579" s="18">
        <f>IF(COUNTIF($Y$6:Y1579,Y1579)=1,Y1579,Y1579+COUNTIF($Y$5:Y1578,Y1579))</f>
        <v>574</v>
      </c>
      <c r="B1579" s="1">
        <f>IF(AND(Kisero_iv!$N$2=C1579,Kisero_iv!$K$5=$B$3,SUM(I1579:L1583)&lt;&gt;0,$B$4=YEAR(W1579)),B1578+1,0)</f>
        <v>0</v>
      </c>
      <c r="C1579" s="1">
        <f t="shared" si="96"/>
        <v>574</v>
      </c>
      <c r="D1579" s="102" t="str">
        <f t="shared" si="97"/>
        <v/>
      </c>
      <c r="E1579" s="44"/>
      <c r="F1579" s="45"/>
      <c r="G1579" s="45"/>
      <c r="H1579" s="45"/>
      <c r="I1579" s="46"/>
      <c r="J1579" s="111" t="str">
        <f>IF(AND(G1579&lt;&gt;"",ISERROR(VLOOKUP(G1579,Keszlet!$C$5:$H$200,6,FALSE))=FALSE),VLOOKUP(G1579,Keszlet!$C$5:$H$200,6,FALSE),"")</f>
        <v/>
      </c>
      <c r="K1579" s="106" t="str">
        <f>IF(AND(G1579&lt;&gt;"",ISERROR(VLOOKUP(G1579,Keszlet!$C$5:$G$200,5,FALSE))=FALSE),VLOOKUP(G1579,Keszlet!$C$5:$G$200,5,FALSE),"")</f>
        <v/>
      </c>
      <c r="L1579" s="106" t="str">
        <f t="shared" si="98"/>
        <v/>
      </c>
      <c r="M1579" s="115" t="str">
        <f>IF(ISERROR(VLOOKUP(G1579,Keszlet!$C$5:$I$200,7,FALSE))=TRUE,"",IF(AND(J1578&lt;&gt;"",J1580=""),VLOOKUP(G1579,Keszlet!$C$5:$I$200,7,FALSE),""))</f>
        <v/>
      </c>
      <c r="Q1579" s="1">
        <f>VLOOKUP(G1579,Keszlet!$C$5:$E$205,3,FALSE)</f>
        <v>0</v>
      </c>
      <c r="T1579" s="1" t="str">
        <f t="shared" si="99"/>
        <v/>
      </c>
      <c r="U1579" s="1">
        <f t="shared" si="100"/>
        <v>0</v>
      </c>
      <c r="W1579" s="6">
        <f t="shared" si="103"/>
        <v>0</v>
      </c>
      <c r="X1579" s="6">
        <f t="shared" si="95"/>
        <v>0</v>
      </c>
      <c r="Y1579" s="1">
        <f t="shared" si="101"/>
        <v>1</v>
      </c>
      <c r="Z1579" s="1">
        <f>IF(COUNTIF($Y$6:Y1579,Y1579)=1,Y1579,Y1579+COUNTIF($Y$5:Y1578,Y1579))</f>
        <v>574</v>
      </c>
      <c r="AD1579" s="1" t="str">
        <f t="shared" si="102"/>
        <v/>
      </c>
      <c r="BA1579" s="1">
        <f>IF(W1579&lt;=Leltar_iv!$Y$1,I1579,0)</f>
        <v>0</v>
      </c>
    </row>
    <row r="1580" spans="1:53" s="1" customFormat="1" x14ac:dyDescent="0.25">
      <c r="A1580" s="18">
        <f>IF(COUNTIF($Y$6:Y1580,Y1580)=1,Y1580,Y1580+COUNTIF($Y$5:Y1579,Y1580))</f>
        <v>575</v>
      </c>
      <c r="B1580" s="1">
        <f>IF(AND(Kisero_iv!$N$2=C1580,Kisero_iv!$K$5=$B$3,SUM(I1580:L1584)&lt;&gt;0,$B$4=YEAR(W1580)),B1579+1,0)</f>
        <v>0</v>
      </c>
      <c r="C1580" s="1">
        <f t="shared" si="96"/>
        <v>575</v>
      </c>
      <c r="D1580" s="102" t="str">
        <f t="shared" si="97"/>
        <v/>
      </c>
      <c r="E1580" s="44"/>
      <c r="F1580" s="45"/>
      <c r="G1580" s="45"/>
      <c r="H1580" s="45"/>
      <c r="I1580" s="46"/>
      <c r="J1580" s="111" t="str">
        <f>IF(AND(G1580&lt;&gt;"",ISERROR(VLOOKUP(G1580,Keszlet!$C$5:$H$200,6,FALSE))=FALSE),VLOOKUP(G1580,Keszlet!$C$5:$H$200,6,FALSE),"")</f>
        <v/>
      </c>
      <c r="K1580" s="106" t="str">
        <f>IF(AND(G1580&lt;&gt;"",ISERROR(VLOOKUP(G1580,Keszlet!$C$5:$G$200,5,FALSE))=FALSE),VLOOKUP(G1580,Keszlet!$C$5:$G$200,5,FALSE),"")</f>
        <v/>
      </c>
      <c r="L1580" s="106" t="str">
        <f t="shared" si="98"/>
        <v/>
      </c>
      <c r="M1580" s="115" t="str">
        <f>IF(ISERROR(VLOOKUP(G1580,Keszlet!$C$5:$I$200,7,FALSE))=TRUE,"",IF(AND(J1579&lt;&gt;"",J1581=""),VLOOKUP(G1580,Keszlet!$C$5:$I$200,7,FALSE),""))</f>
        <v/>
      </c>
      <c r="Q1580" s="1">
        <f>VLOOKUP(G1580,Keszlet!$C$5:$E$205,3,FALSE)</f>
        <v>0</v>
      </c>
      <c r="T1580" s="1" t="str">
        <f t="shared" si="99"/>
        <v/>
      </c>
      <c r="U1580" s="1">
        <f t="shared" si="100"/>
        <v>0</v>
      </c>
      <c r="W1580" s="6">
        <f t="shared" si="103"/>
        <v>0</v>
      </c>
      <c r="X1580" s="6">
        <f t="shared" si="95"/>
        <v>0</v>
      </c>
      <c r="Y1580" s="1">
        <f t="shared" si="101"/>
        <v>1</v>
      </c>
      <c r="Z1580" s="1">
        <f>IF(COUNTIF($Y$6:Y1580,Y1580)=1,Y1580,Y1580+COUNTIF($Y$5:Y1579,Y1580))</f>
        <v>575</v>
      </c>
      <c r="AD1580" s="1" t="str">
        <f t="shared" si="102"/>
        <v/>
      </c>
      <c r="BA1580" s="1">
        <f>IF(W1580&lt;=Leltar_iv!$Y$1,I1580,0)</f>
        <v>0</v>
      </c>
    </row>
    <row r="1581" spans="1:53" s="1" customFormat="1" x14ac:dyDescent="0.25">
      <c r="A1581" s="18">
        <f>IF(COUNTIF($Y$6:Y1581,Y1581)=1,Y1581,Y1581+COUNTIF($Y$5:Y1580,Y1581))</f>
        <v>576</v>
      </c>
      <c r="B1581" s="1">
        <f>IF(AND(Kisero_iv!$N$2=C1581,Kisero_iv!$K$5=$B$3,SUM(I1581:L1585)&lt;&gt;0,$B$4=YEAR(W1581)),B1580+1,0)</f>
        <v>0</v>
      </c>
      <c r="C1581" s="1">
        <f t="shared" si="96"/>
        <v>576</v>
      </c>
      <c r="D1581" s="102" t="str">
        <f t="shared" si="97"/>
        <v/>
      </c>
      <c r="E1581" s="44"/>
      <c r="F1581" s="45"/>
      <c r="G1581" s="45"/>
      <c r="H1581" s="45"/>
      <c r="I1581" s="46"/>
      <c r="J1581" s="111" t="str">
        <f>IF(AND(G1581&lt;&gt;"",ISERROR(VLOOKUP(G1581,Keszlet!$C$5:$H$200,6,FALSE))=FALSE),VLOOKUP(G1581,Keszlet!$C$5:$H$200,6,FALSE),"")</f>
        <v/>
      </c>
      <c r="K1581" s="106" t="str">
        <f>IF(AND(G1581&lt;&gt;"",ISERROR(VLOOKUP(G1581,Keszlet!$C$5:$G$200,5,FALSE))=FALSE),VLOOKUP(G1581,Keszlet!$C$5:$G$200,5,FALSE),"")</f>
        <v/>
      </c>
      <c r="L1581" s="106" t="str">
        <f t="shared" si="98"/>
        <v/>
      </c>
      <c r="M1581" s="115" t="str">
        <f>IF(ISERROR(VLOOKUP(G1581,Keszlet!$C$5:$I$200,7,FALSE))=TRUE,"",IF(AND(J1580&lt;&gt;"",J1582=""),VLOOKUP(G1581,Keszlet!$C$5:$I$200,7,FALSE),""))</f>
        <v/>
      </c>
      <c r="Q1581" s="1">
        <f>VLOOKUP(G1581,Keszlet!$C$5:$E$205,3,FALSE)</f>
        <v>0</v>
      </c>
      <c r="T1581" s="1" t="str">
        <f t="shared" si="99"/>
        <v/>
      </c>
      <c r="U1581" s="1">
        <f t="shared" si="100"/>
        <v>0</v>
      </c>
      <c r="W1581" s="6">
        <f t="shared" si="103"/>
        <v>0</v>
      </c>
      <c r="X1581" s="6">
        <f t="shared" si="95"/>
        <v>0</v>
      </c>
      <c r="Y1581" s="1">
        <f t="shared" si="101"/>
        <v>1</v>
      </c>
      <c r="Z1581" s="1">
        <f>IF(COUNTIF($Y$6:Y1581,Y1581)=1,Y1581,Y1581+COUNTIF($Y$5:Y1580,Y1581))</f>
        <v>576</v>
      </c>
      <c r="AD1581" s="1" t="str">
        <f t="shared" si="102"/>
        <v/>
      </c>
      <c r="BA1581" s="1">
        <f>IF(W1581&lt;=Leltar_iv!$Y$1,I1581,0)</f>
        <v>0</v>
      </c>
    </row>
    <row r="1582" spans="1:53" s="1" customFormat="1" x14ac:dyDescent="0.25">
      <c r="A1582" s="18">
        <f>IF(COUNTIF($Y$6:Y1582,Y1582)=1,Y1582,Y1582+COUNTIF($Y$5:Y1581,Y1582))</f>
        <v>577</v>
      </c>
      <c r="B1582" s="1">
        <f>IF(AND(Kisero_iv!$N$2=C1582,Kisero_iv!$K$5=$B$3,SUM(I1582:L1586)&lt;&gt;0,$B$4=YEAR(W1582)),B1581+1,0)</f>
        <v>0</v>
      </c>
      <c r="C1582" s="1">
        <f t="shared" si="96"/>
        <v>577</v>
      </c>
      <c r="D1582" s="102" t="str">
        <f t="shared" si="97"/>
        <v/>
      </c>
      <c r="E1582" s="44"/>
      <c r="F1582" s="45"/>
      <c r="G1582" s="45"/>
      <c r="H1582" s="45"/>
      <c r="I1582" s="46"/>
      <c r="J1582" s="111" t="str">
        <f>IF(AND(G1582&lt;&gt;"",ISERROR(VLOOKUP(G1582,Keszlet!$C$5:$H$200,6,FALSE))=FALSE),VLOOKUP(G1582,Keszlet!$C$5:$H$200,6,FALSE),"")</f>
        <v/>
      </c>
      <c r="K1582" s="106" t="str">
        <f>IF(AND(G1582&lt;&gt;"",ISERROR(VLOOKUP(G1582,Keszlet!$C$5:$G$200,5,FALSE))=FALSE),VLOOKUP(G1582,Keszlet!$C$5:$G$200,5,FALSE),"")</f>
        <v/>
      </c>
      <c r="L1582" s="106" t="str">
        <f t="shared" si="98"/>
        <v/>
      </c>
      <c r="M1582" s="115" t="str">
        <f>IF(ISERROR(VLOOKUP(G1582,Keszlet!$C$5:$I$200,7,FALSE))=TRUE,"",IF(AND(J1581&lt;&gt;"",J1583=""),VLOOKUP(G1582,Keszlet!$C$5:$I$200,7,FALSE),""))</f>
        <v/>
      </c>
      <c r="Q1582" s="1">
        <f>VLOOKUP(G1582,Keszlet!$C$5:$E$205,3,FALSE)</f>
        <v>0</v>
      </c>
      <c r="T1582" s="1" t="str">
        <f t="shared" si="99"/>
        <v/>
      </c>
      <c r="U1582" s="1">
        <f t="shared" si="100"/>
        <v>0</v>
      </c>
      <c r="W1582" s="6">
        <f t="shared" si="103"/>
        <v>0</v>
      </c>
      <c r="X1582" s="6">
        <f t="shared" ref="X1582:X1645" si="104">IF(G1582=q,W1582,$X$1)</f>
        <v>0</v>
      </c>
      <c r="Y1582" s="1">
        <f t="shared" si="101"/>
        <v>1</v>
      </c>
      <c r="Z1582" s="1">
        <f>IF(COUNTIF($Y$6:Y1582,Y1582)=1,Y1582,Y1582+COUNTIF($Y$5:Y1581,Y1582))</f>
        <v>577</v>
      </c>
      <c r="AD1582" s="1" t="str">
        <f t="shared" si="102"/>
        <v/>
      </c>
      <c r="BA1582" s="1">
        <f>IF(W1582&lt;=Leltar_iv!$Y$1,I1582,0)</f>
        <v>0</v>
      </c>
    </row>
    <row r="1583" spans="1:53" s="1" customFormat="1" x14ac:dyDescent="0.25">
      <c r="A1583" s="18">
        <f>IF(COUNTIF($Y$6:Y1583,Y1583)=1,Y1583,Y1583+COUNTIF($Y$5:Y1582,Y1583))</f>
        <v>578</v>
      </c>
      <c r="B1583" s="1">
        <f>IF(AND(Kisero_iv!$N$2=C1583,Kisero_iv!$K$5=$B$3,SUM(I1583:L1587)&lt;&gt;0,$B$4=YEAR(W1583)),B1582+1,0)</f>
        <v>0</v>
      </c>
      <c r="C1583" s="1">
        <f t="shared" ref="C1583:C1646" si="105">IF(YEAR(W1582)&lt;&gt;YEAR(W1583),1,IF(T1583&lt;&gt;0,C1582+1,C1582))</f>
        <v>578</v>
      </c>
      <c r="D1583" s="102" t="str">
        <f t="shared" ref="D1583:D1646" si="106">IF(AND(OR(C1582&lt;&gt;C1583,C1583=1),SUM(L1583:L1603)&lt;&gt;0),YEAR(W1583)&amp;"/"&amp;C1583,"")</f>
        <v/>
      </c>
      <c r="E1583" s="44"/>
      <c r="F1583" s="45"/>
      <c r="G1583" s="45"/>
      <c r="H1583" s="45"/>
      <c r="I1583" s="46"/>
      <c r="J1583" s="111" t="str">
        <f>IF(AND(G1583&lt;&gt;"",ISERROR(VLOOKUP(G1583,Keszlet!$C$5:$H$200,6,FALSE))=FALSE),VLOOKUP(G1583,Keszlet!$C$5:$H$200,6,FALSE),"")</f>
        <v/>
      </c>
      <c r="K1583" s="106" t="str">
        <f>IF(AND(G1583&lt;&gt;"",ISERROR(VLOOKUP(G1583,Keszlet!$C$5:$G$200,5,FALSE))=FALSE),VLOOKUP(G1583,Keszlet!$C$5:$G$200,5,FALSE),"")</f>
        <v/>
      </c>
      <c r="L1583" s="106" t="str">
        <f t="shared" ref="L1583:L1646" si="107">IF(AND(G1583&lt;&gt;0,K1583&lt;&gt;""),I1583*K1583,"")</f>
        <v/>
      </c>
      <c r="M1583" s="115" t="str">
        <f>IF(ISERROR(VLOOKUP(G1583,Keszlet!$C$5:$I$200,7,FALSE))=TRUE,"",IF(AND(J1582&lt;&gt;"",J1584=""),VLOOKUP(G1583,Keszlet!$C$5:$I$200,7,FALSE),""))</f>
        <v/>
      </c>
      <c r="Q1583" s="1">
        <f>VLOOKUP(G1583,Keszlet!$C$5:$E$205,3,FALSE)</f>
        <v>0</v>
      </c>
      <c r="T1583" s="1" t="str">
        <f t="shared" ref="T1583:T1646" si="108">IF(OR(E1583&lt;&gt;0,COUNTIF(T1574:T1582,0)=9,F1583&lt;&gt;0,SUM(L1583:L1603)=0),E1583&amp;F1583,0)</f>
        <v/>
      </c>
      <c r="U1583" s="1">
        <f t="shared" ref="U1583:U1646" si="109">IF(F1583&lt;&gt;"",F1583,U1582)</f>
        <v>0</v>
      </c>
      <c r="W1583" s="6">
        <f t="shared" si="103"/>
        <v>0</v>
      </c>
      <c r="X1583" s="6">
        <f t="shared" si="104"/>
        <v>0</v>
      </c>
      <c r="Y1583" s="1">
        <f t="shared" ref="Y1583:Y1646" si="110">RANK(X1583,$X$6:$X$10000,1)</f>
        <v>1</v>
      </c>
      <c r="Z1583" s="1">
        <f>IF(COUNTIF($Y$6:Y1583,Y1583)=1,Y1583,Y1583+COUNTIF($Y$5:Y1582,Y1583))</f>
        <v>578</v>
      </c>
      <c r="AD1583" s="1" t="str">
        <f t="shared" ref="AD1583:AD1646" si="111">IF(AND(OR(C1582&lt;&gt;C1583,YEAR(W1583)&lt;&gt;YEAR(W1582)),SUM(L1583:L1603)&lt;&gt;0,$B$4=YEAR(W1583)),C1583,"")</f>
        <v/>
      </c>
      <c r="BA1583" s="1">
        <f>IF(W1583&lt;=Leltar_iv!$Y$1,I1583,0)</f>
        <v>0</v>
      </c>
    </row>
    <row r="1584" spans="1:53" s="1" customFormat="1" x14ac:dyDescent="0.25">
      <c r="A1584" s="18">
        <f>IF(COUNTIF($Y$6:Y1584,Y1584)=1,Y1584,Y1584+COUNTIF($Y$5:Y1583,Y1584))</f>
        <v>579</v>
      </c>
      <c r="B1584" s="1">
        <f>IF(AND(Kisero_iv!$N$2=C1584,Kisero_iv!$K$5=$B$3,SUM(I1584:L1588)&lt;&gt;0,$B$4=YEAR(W1584)),B1583+1,0)</f>
        <v>0</v>
      </c>
      <c r="C1584" s="1">
        <f t="shared" si="105"/>
        <v>579</v>
      </c>
      <c r="D1584" s="102" t="str">
        <f t="shared" si="106"/>
        <v/>
      </c>
      <c r="E1584" s="44"/>
      <c r="F1584" s="45"/>
      <c r="G1584" s="45"/>
      <c r="H1584" s="45"/>
      <c r="I1584" s="46"/>
      <c r="J1584" s="111" t="str">
        <f>IF(AND(G1584&lt;&gt;"",ISERROR(VLOOKUP(G1584,Keszlet!$C$5:$H$200,6,FALSE))=FALSE),VLOOKUP(G1584,Keszlet!$C$5:$H$200,6,FALSE),"")</f>
        <v/>
      </c>
      <c r="K1584" s="106" t="str">
        <f>IF(AND(G1584&lt;&gt;"",ISERROR(VLOOKUP(G1584,Keszlet!$C$5:$G$200,5,FALSE))=FALSE),VLOOKUP(G1584,Keszlet!$C$5:$G$200,5,FALSE),"")</f>
        <v/>
      </c>
      <c r="L1584" s="106" t="str">
        <f t="shared" si="107"/>
        <v/>
      </c>
      <c r="M1584" s="115" t="str">
        <f>IF(ISERROR(VLOOKUP(G1584,Keszlet!$C$5:$I$200,7,FALSE))=TRUE,"",IF(AND(J1583&lt;&gt;"",J1585=""),VLOOKUP(G1584,Keszlet!$C$5:$I$200,7,FALSE),""))</f>
        <v/>
      </c>
      <c r="Q1584" s="1">
        <f>VLOOKUP(G1584,Keszlet!$C$5:$E$205,3,FALSE)</f>
        <v>0</v>
      </c>
      <c r="T1584" s="1" t="str">
        <f t="shared" si="108"/>
        <v/>
      </c>
      <c r="U1584" s="1">
        <f t="shared" si="109"/>
        <v>0</v>
      </c>
      <c r="W1584" s="6">
        <f t="shared" si="103"/>
        <v>0</v>
      </c>
      <c r="X1584" s="6">
        <f t="shared" si="104"/>
        <v>0</v>
      </c>
      <c r="Y1584" s="1">
        <f t="shared" si="110"/>
        <v>1</v>
      </c>
      <c r="Z1584" s="1">
        <f>IF(COUNTIF($Y$6:Y1584,Y1584)=1,Y1584,Y1584+COUNTIF($Y$5:Y1583,Y1584))</f>
        <v>579</v>
      </c>
      <c r="AD1584" s="1" t="str">
        <f t="shared" si="111"/>
        <v/>
      </c>
      <c r="BA1584" s="1">
        <f>IF(W1584&lt;=Leltar_iv!$Y$1,I1584,0)</f>
        <v>0</v>
      </c>
    </row>
    <row r="1585" spans="1:53" s="1" customFormat="1" x14ac:dyDescent="0.25">
      <c r="A1585" s="18">
        <f>IF(COUNTIF($Y$6:Y1585,Y1585)=1,Y1585,Y1585+COUNTIF($Y$5:Y1584,Y1585))</f>
        <v>580</v>
      </c>
      <c r="B1585" s="1">
        <f>IF(AND(Kisero_iv!$N$2=C1585,Kisero_iv!$K$5=$B$3,SUM(I1585:L1589)&lt;&gt;0,$B$4=YEAR(W1585)),B1584+1,0)</f>
        <v>0</v>
      </c>
      <c r="C1585" s="1">
        <f t="shared" si="105"/>
        <v>580</v>
      </c>
      <c r="D1585" s="102" t="str">
        <f t="shared" si="106"/>
        <v/>
      </c>
      <c r="E1585" s="44"/>
      <c r="F1585" s="45"/>
      <c r="G1585" s="45"/>
      <c r="H1585" s="45"/>
      <c r="I1585" s="46"/>
      <c r="J1585" s="111" t="str">
        <f>IF(AND(G1585&lt;&gt;"",ISERROR(VLOOKUP(G1585,Keszlet!$C$5:$H$200,6,FALSE))=FALSE),VLOOKUP(G1585,Keszlet!$C$5:$H$200,6,FALSE),"")</f>
        <v/>
      </c>
      <c r="K1585" s="106" t="str">
        <f>IF(AND(G1585&lt;&gt;"",ISERROR(VLOOKUP(G1585,Keszlet!$C$5:$G$200,5,FALSE))=FALSE),VLOOKUP(G1585,Keszlet!$C$5:$G$200,5,FALSE),"")</f>
        <v/>
      </c>
      <c r="L1585" s="106" t="str">
        <f t="shared" si="107"/>
        <v/>
      </c>
      <c r="M1585" s="115" t="str">
        <f>IF(ISERROR(VLOOKUP(G1585,Keszlet!$C$5:$I$200,7,FALSE))=TRUE,"",IF(AND(J1584&lt;&gt;"",J1586=""),VLOOKUP(G1585,Keszlet!$C$5:$I$200,7,FALSE),""))</f>
        <v/>
      </c>
      <c r="Q1585" s="1">
        <f>VLOOKUP(G1585,Keszlet!$C$5:$E$205,3,FALSE)</f>
        <v>0</v>
      </c>
      <c r="T1585" s="1" t="str">
        <f t="shared" si="108"/>
        <v/>
      </c>
      <c r="U1585" s="1">
        <f t="shared" si="109"/>
        <v>0</v>
      </c>
      <c r="W1585" s="6">
        <f t="shared" ref="W1585:W1648" si="112">IF(E1585&lt;&gt;0,E1585,W1584)</f>
        <v>0</v>
      </c>
      <c r="X1585" s="6">
        <f t="shared" si="104"/>
        <v>0</v>
      </c>
      <c r="Y1585" s="1">
        <f t="shared" si="110"/>
        <v>1</v>
      </c>
      <c r="Z1585" s="1">
        <f>IF(COUNTIF($Y$6:Y1585,Y1585)=1,Y1585,Y1585+COUNTIF($Y$5:Y1584,Y1585))</f>
        <v>580</v>
      </c>
      <c r="AD1585" s="1" t="str">
        <f t="shared" si="111"/>
        <v/>
      </c>
      <c r="BA1585" s="1">
        <f>IF(W1585&lt;=Leltar_iv!$Y$1,I1585,0)</f>
        <v>0</v>
      </c>
    </row>
    <row r="1586" spans="1:53" s="1" customFormat="1" x14ac:dyDescent="0.25">
      <c r="A1586" s="18">
        <f>IF(COUNTIF($Y$6:Y1586,Y1586)=1,Y1586,Y1586+COUNTIF($Y$5:Y1585,Y1586))</f>
        <v>581</v>
      </c>
      <c r="B1586" s="1">
        <f>IF(AND(Kisero_iv!$N$2=C1586,Kisero_iv!$K$5=$B$3,SUM(I1586:L1590)&lt;&gt;0,$B$4=YEAR(W1586)),B1585+1,0)</f>
        <v>0</v>
      </c>
      <c r="C1586" s="1">
        <f t="shared" si="105"/>
        <v>581</v>
      </c>
      <c r="D1586" s="102" t="str">
        <f t="shared" si="106"/>
        <v/>
      </c>
      <c r="E1586" s="44"/>
      <c r="F1586" s="45"/>
      <c r="G1586" s="45"/>
      <c r="H1586" s="45"/>
      <c r="I1586" s="46"/>
      <c r="J1586" s="111" t="str">
        <f>IF(AND(G1586&lt;&gt;"",ISERROR(VLOOKUP(G1586,Keszlet!$C$5:$H$200,6,FALSE))=FALSE),VLOOKUP(G1586,Keszlet!$C$5:$H$200,6,FALSE),"")</f>
        <v/>
      </c>
      <c r="K1586" s="106" t="str">
        <f>IF(AND(G1586&lt;&gt;"",ISERROR(VLOOKUP(G1586,Keszlet!$C$5:$G$200,5,FALSE))=FALSE),VLOOKUP(G1586,Keszlet!$C$5:$G$200,5,FALSE),"")</f>
        <v/>
      </c>
      <c r="L1586" s="106" t="str">
        <f t="shared" si="107"/>
        <v/>
      </c>
      <c r="M1586" s="115" t="str">
        <f>IF(ISERROR(VLOOKUP(G1586,Keszlet!$C$5:$I$200,7,FALSE))=TRUE,"",IF(AND(J1585&lt;&gt;"",J1587=""),VLOOKUP(G1586,Keszlet!$C$5:$I$200,7,FALSE),""))</f>
        <v/>
      </c>
      <c r="Q1586" s="1">
        <f>VLOOKUP(G1586,Keszlet!$C$5:$E$205,3,FALSE)</f>
        <v>0</v>
      </c>
      <c r="T1586" s="1" t="str">
        <f t="shared" si="108"/>
        <v/>
      </c>
      <c r="U1586" s="1">
        <f t="shared" si="109"/>
        <v>0</v>
      </c>
      <c r="W1586" s="6">
        <f t="shared" si="112"/>
        <v>0</v>
      </c>
      <c r="X1586" s="6">
        <f t="shared" si="104"/>
        <v>0</v>
      </c>
      <c r="Y1586" s="1">
        <f t="shared" si="110"/>
        <v>1</v>
      </c>
      <c r="Z1586" s="1">
        <f>IF(COUNTIF($Y$6:Y1586,Y1586)=1,Y1586,Y1586+COUNTIF($Y$5:Y1585,Y1586))</f>
        <v>581</v>
      </c>
      <c r="AD1586" s="1" t="str">
        <f t="shared" si="111"/>
        <v/>
      </c>
      <c r="BA1586" s="1">
        <f>IF(W1586&lt;=Leltar_iv!$Y$1,I1586,0)</f>
        <v>0</v>
      </c>
    </row>
    <row r="1587" spans="1:53" s="1" customFormat="1" x14ac:dyDescent="0.25">
      <c r="A1587" s="18">
        <f>IF(COUNTIF($Y$6:Y1587,Y1587)=1,Y1587,Y1587+COUNTIF($Y$5:Y1586,Y1587))</f>
        <v>582</v>
      </c>
      <c r="B1587" s="1">
        <f>IF(AND(Kisero_iv!$N$2=C1587,Kisero_iv!$K$5=$B$3,SUM(I1587:L1591)&lt;&gt;0,$B$4=YEAR(W1587)),B1586+1,0)</f>
        <v>0</v>
      </c>
      <c r="C1587" s="1">
        <f t="shared" si="105"/>
        <v>582</v>
      </c>
      <c r="D1587" s="102" t="str">
        <f t="shared" si="106"/>
        <v/>
      </c>
      <c r="E1587" s="44"/>
      <c r="F1587" s="45"/>
      <c r="G1587" s="45"/>
      <c r="H1587" s="45"/>
      <c r="I1587" s="46"/>
      <c r="J1587" s="111" t="str">
        <f>IF(AND(G1587&lt;&gt;"",ISERROR(VLOOKUP(G1587,Keszlet!$C$5:$H$200,6,FALSE))=FALSE),VLOOKUP(G1587,Keszlet!$C$5:$H$200,6,FALSE),"")</f>
        <v/>
      </c>
      <c r="K1587" s="106" t="str">
        <f>IF(AND(G1587&lt;&gt;"",ISERROR(VLOOKUP(G1587,Keszlet!$C$5:$G$200,5,FALSE))=FALSE),VLOOKUP(G1587,Keszlet!$C$5:$G$200,5,FALSE),"")</f>
        <v/>
      </c>
      <c r="L1587" s="106" t="str">
        <f t="shared" si="107"/>
        <v/>
      </c>
      <c r="M1587" s="115" t="str">
        <f>IF(ISERROR(VLOOKUP(G1587,Keszlet!$C$5:$I$200,7,FALSE))=TRUE,"",IF(AND(J1586&lt;&gt;"",J1588=""),VLOOKUP(G1587,Keszlet!$C$5:$I$200,7,FALSE),""))</f>
        <v/>
      </c>
      <c r="Q1587" s="1">
        <f>VLOOKUP(G1587,Keszlet!$C$5:$E$205,3,FALSE)</f>
        <v>0</v>
      </c>
      <c r="T1587" s="1" t="str">
        <f t="shared" si="108"/>
        <v/>
      </c>
      <c r="U1587" s="1">
        <f t="shared" si="109"/>
        <v>0</v>
      </c>
      <c r="W1587" s="6">
        <f t="shared" si="112"/>
        <v>0</v>
      </c>
      <c r="X1587" s="6">
        <f t="shared" si="104"/>
        <v>0</v>
      </c>
      <c r="Y1587" s="1">
        <f t="shared" si="110"/>
        <v>1</v>
      </c>
      <c r="Z1587" s="1">
        <f>IF(COUNTIF($Y$6:Y1587,Y1587)=1,Y1587,Y1587+COUNTIF($Y$5:Y1586,Y1587))</f>
        <v>582</v>
      </c>
      <c r="AD1587" s="1" t="str">
        <f t="shared" si="111"/>
        <v/>
      </c>
      <c r="BA1587" s="1">
        <f>IF(W1587&lt;=Leltar_iv!$Y$1,I1587,0)</f>
        <v>0</v>
      </c>
    </row>
    <row r="1588" spans="1:53" s="1" customFormat="1" x14ac:dyDescent="0.25">
      <c r="A1588" s="18">
        <f>IF(COUNTIF($Y$6:Y1588,Y1588)=1,Y1588,Y1588+COUNTIF($Y$5:Y1587,Y1588))</f>
        <v>583</v>
      </c>
      <c r="B1588" s="1">
        <f>IF(AND(Kisero_iv!$N$2=C1588,Kisero_iv!$K$5=$B$3,SUM(I1588:L1592)&lt;&gt;0,$B$4=YEAR(W1588)),B1587+1,0)</f>
        <v>0</v>
      </c>
      <c r="C1588" s="1">
        <f t="shared" si="105"/>
        <v>583</v>
      </c>
      <c r="D1588" s="102" t="str">
        <f t="shared" si="106"/>
        <v/>
      </c>
      <c r="E1588" s="44"/>
      <c r="F1588" s="45"/>
      <c r="G1588" s="45"/>
      <c r="H1588" s="45"/>
      <c r="I1588" s="46"/>
      <c r="J1588" s="111" t="str">
        <f>IF(AND(G1588&lt;&gt;"",ISERROR(VLOOKUP(G1588,Keszlet!$C$5:$H$200,6,FALSE))=FALSE),VLOOKUP(G1588,Keszlet!$C$5:$H$200,6,FALSE),"")</f>
        <v/>
      </c>
      <c r="K1588" s="106" t="str">
        <f>IF(AND(G1588&lt;&gt;"",ISERROR(VLOOKUP(G1588,Keszlet!$C$5:$G$200,5,FALSE))=FALSE),VLOOKUP(G1588,Keszlet!$C$5:$G$200,5,FALSE),"")</f>
        <v/>
      </c>
      <c r="L1588" s="106" t="str">
        <f t="shared" si="107"/>
        <v/>
      </c>
      <c r="M1588" s="115" t="str">
        <f>IF(ISERROR(VLOOKUP(G1588,Keszlet!$C$5:$I$200,7,FALSE))=TRUE,"",IF(AND(J1587&lt;&gt;"",J1589=""),VLOOKUP(G1588,Keszlet!$C$5:$I$200,7,FALSE),""))</f>
        <v/>
      </c>
      <c r="Q1588" s="1">
        <f>VLOOKUP(G1588,Keszlet!$C$5:$E$205,3,FALSE)</f>
        <v>0</v>
      </c>
      <c r="T1588" s="1" t="str">
        <f t="shared" si="108"/>
        <v/>
      </c>
      <c r="U1588" s="1">
        <f t="shared" si="109"/>
        <v>0</v>
      </c>
      <c r="W1588" s="6">
        <f t="shared" si="112"/>
        <v>0</v>
      </c>
      <c r="X1588" s="6">
        <f t="shared" si="104"/>
        <v>0</v>
      </c>
      <c r="Y1588" s="1">
        <f t="shared" si="110"/>
        <v>1</v>
      </c>
      <c r="Z1588" s="1">
        <f>IF(COUNTIF($Y$6:Y1588,Y1588)=1,Y1588,Y1588+COUNTIF($Y$5:Y1587,Y1588))</f>
        <v>583</v>
      </c>
      <c r="AD1588" s="1" t="str">
        <f t="shared" si="111"/>
        <v/>
      </c>
      <c r="BA1588" s="1">
        <f>IF(W1588&lt;=Leltar_iv!$Y$1,I1588,0)</f>
        <v>0</v>
      </c>
    </row>
    <row r="1589" spans="1:53" s="1" customFormat="1" x14ac:dyDescent="0.25">
      <c r="A1589" s="18">
        <f>IF(COUNTIF($Y$6:Y1589,Y1589)=1,Y1589,Y1589+COUNTIF($Y$5:Y1588,Y1589))</f>
        <v>584</v>
      </c>
      <c r="B1589" s="1">
        <f>IF(AND(Kisero_iv!$N$2=C1589,Kisero_iv!$K$5=$B$3,SUM(I1589:L1593)&lt;&gt;0,$B$4=YEAR(W1589)),B1588+1,0)</f>
        <v>0</v>
      </c>
      <c r="C1589" s="1">
        <f t="shared" si="105"/>
        <v>584</v>
      </c>
      <c r="D1589" s="102" t="str">
        <f t="shared" si="106"/>
        <v/>
      </c>
      <c r="E1589" s="44"/>
      <c r="F1589" s="45"/>
      <c r="G1589" s="45"/>
      <c r="H1589" s="45"/>
      <c r="I1589" s="46"/>
      <c r="J1589" s="111" t="str">
        <f>IF(AND(G1589&lt;&gt;"",ISERROR(VLOOKUP(G1589,Keszlet!$C$5:$H$200,6,FALSE))=FALSE),VLOOKUP(G1589,Keszlet!$C$5:$H$200,6,FALSE),"")</f>
        <v/>
      </c>
      <c r="K1589" s="106" t="str">
        <f>IF(AND(G1589&lt;&gt;"",ISERROR(VLOOKUP(G1589,Keszlet!$C$5:$G$200,5,FALSE))=FALSE),VLOOKUP(G1589,Keszlet!$C$5:$G$200,5,FALSE),"")</f>
        <v/>
      </c>
      <c r="L1589" s="106" t="str">
        <f t="shared" si="107"/>
        <v/>
      </c>
      <c r="M1589" s="115" t="str">
        <f>IF(ISERROR(VLOOKUP(G1589,Keszlet!$C$5:$I$200,7,FALSE))=TRUE,"",IF(AND(J1588&lt;&gt;"",J1590=""),VLOOKUP(G1589,Keszlet!$C$5:$I$200,7,FALSE),""))</f>
        <v/>
      </c>
      <c r="Q1589" s="1">
        <f>VLOOKUP(G1589,Keszlet!$C$5:$E$205,3,FALSE)</f>
        <v>0</v>
      </c>
      <c r="T1589" s="1" t="str">
        <f t="shared" si="108"/>
        <v/>
      </c>
      <c r="U1589" s="1">
        <f t="shared" si="109"/>
        <v>0</v>
      </c>
      <c r="W1589" s="6">
        <f t="shared" si="112"/>
        <v>0</v>
      </c>
      <c r="X1589" s="6">
        <f t="shared" si="104"/>
        <v>0</v>
      </c>
      <c r="Y1589" s="1">
        <f t="shared" si="110"/>
        <v>1</v>
      </c>
      <c r="Z1589" s="1">
        <f>IF(COUNTIF($Y$6:Y1589,Y1589)=1,Y1589,Y1589+COUNTIF($Y$5:Y1588,Y1589))</f>
        <v>584</v>
      </c>
      <c r="AD1589" s="1" t="str">
        <f t="shared" si="111"/>
        <v/>
      </c>
      <c r="BA1589" s="1">
        <f>IF(W1589&lt;=Leltar_iv!$Y$1,I1589,0)</f>
        <v>0</v>
      </c>
    </row>
    <row r="1590" spans="1:53" s="1" customFormat="1" x14ac:dyDescent="0.25">
      <c r="A1590" s="18">
        <f>IF(COUNTIF($Y$6:Y1590,Y1590)=1,Y1590,Y1590+COUNTIF($Y$5:Y1589,Y1590))</f>
        <v>585</v>
      </c>
      <c r="B1590" s="1">
        <f>IF(AND(Kisero_iv!$N$2=C1590,Kisero_iv!$K$5=$B$3,SUM(I1590:L1594)&lt;&gt;0,$B$4=YEAR(W1590)),B1589+1,0)</f>
        <v>0</v>
      </c>
      <c r="C1590" s="1">
        <f t="shared" si="105"/>
        <v>585</v>
      </c>
      <c r="D1590" s="102" t="str">
        <f t="shared" si="106"/>
        <v/>
      </c>
      <c r="E1590" s="44"/>
      <c r="F1590" s="45"/>
      <c r="G1590" s="45"/>
      <c r="H1590" s="45"/>
      <c r="I1590" s="46"/>
      <c r="J1590" s="111" t="str">
        <f>IF(AND(G1590&lt;&gt;"",ISERROR(VLOOKUP(G1590,Keszlet!$C$5:$H$200,6,FALSE))=FALSE),VLOOKUP(G1590,Keszlet!$C$5:$H$200,6,FALSE),"")</f>
        <v/>
      </c>
      <c r="K1590" s="106" t="str">
        <f>IF(AND(G1590&lt;&gt;"",ISERROR(VLOOKUP(G1590,Keszlet!$C$5:$G$200,5,FALSE))=FALSE),VLOOKUP(G1590,Keszlet!$C$5:$G$200,5,FALSE),"")</f>
        <v/>
      </c>
      <c r="L1590" s="106" t="str">
        <f t="shared" si="107"/>
        <v/>
      </c>
      <c r="M1590" s="115" t="str">
        <f>IF(ISERROR(VLOOKUP(G1590,Keszlet!$C$5:$I$200,7,FALSE))=TRUE,"",IF(AND(J1589&lt;&gt;"",J1591=""),VLOOKUP(G1590,Keszlet!$C$5:$I$200,7,FALSE),""))</f>
        <v/>
      </c>
      <c r="Q1590" s="1">
        <f>VLOOKUP(G1590,Keszlet!$C$5:$E$205,3,FALSE)</f>
        <v>0</v>
      </c>
      <c r="T1590" s="1" t="str">
        <f t="shared" si="108"/>
        <v/>
      </c>
      <c r="U1590" s="1">
        <f t="shared" si="109"/>
        <v>0</v>
      </c>
      <c r="W1590" s="6">
        <f t="shared" si="112"/>
        <v>0</v>
      </c>
      <c r="X1590" s="6">
        <f t="shared" si="104"/>
        <v>0</v>
      </c>
      <c r="Y1590" s="1">
        <f t="shared" si="110"/>
        <v>1</v>
      </c>
      <c r="Z1590" s="1">
        <f>IF(COUNTIF($Y$6:Y1590,Y1590)=1,Y1590,Y1590+COUNTIF($Y$5:Y1589,Y1590))</f>
        <v>585</v>
      </c>
      <c r="AD1590" s="1" t="str">
        <f t="shared" si="111"/>
        <v/>
      </c>
      <c r="BA1590" s="1">
        <f>IF(W1590&lt;=Leltar_iv!$Y$1,I1590,0)</f>
        <v>0</v>
      </c>
    </row>
    <row r="1591" spans="1:53" s="1" customFormat="1" x14ac:dyDescent="0.25">
      <c r="A1591" s="18">
        <f>IF(COUNTIF($Y$6:Y1591,Y1591)=1,Y1591,Y1591+COUNTIF($Y$5:Y1590,Y1591))</f>
        <v>586</v>
      </c>
      <c r="B1591" s="1">
        <f>IF(AND(Kisero_iv!$N$2=C1591,Kisero_iv!$K$5=$B$3,SUM(I1591:L1595)&lt;&gt;0,$B$4=YEAR(W1591)),B1590+1,0)</f>
        <v>0</v>
      </c>
      <c r="C1591" s="1">
        <f t="shared" si="105"/>
        <v>586</v>
      </c>
      <c r="D1591" s="102" t="str">
        <f t="shared" si="106"/>
        <v/>
      </c>
      <c r="E1591" s="44"/>
      <c r="F1591" s="45"/>
      <c r="G1591" s="45"/>
      <c r="H1591" s="45"/>
      <c r="I1591" s="46"/>
      <c r="J1591" s="111" t="str">
        <f>IF(AND(G1591&lt;&gt;"",ISERROR(VLOOKUP(G1591,Keszlet!$C$5:$H$200,6,FALSE))=FALSE),VLOOKUP(G1591,Keszlet!$C$5:$H$200,6,FALSE),"")</f>
        <v/>
      </c>
      <c r="K1591" s="106" t="str">
        <f>IF(AND(G1591&lt;&gt;"",ISERROR(VLOOKUP(G1591,Keszlet!$C$5:$G$200,5,FALSE))=FALSE),VLOOKUP(G1591,Keszlet!$C$5:$G$200,5,FALSE),"")</f>
        <v/>
      </c>
      <c r="L1591" s="106" t="str">
        <f t="shared" si="107"/>
        <v/>
      </c>
      <c r="M1591" s="115" t="str">
        <f>IF(ISERROR(VLOOKUP(G1591,Keszlet!$C$5:$I$200,7,FALSE))=TRUE,"",IF(AND(J1590&lt;&gt;"",J1592=""),VLOOKUP(G1591,Keszlet!$C$5:$I$200,7,FALSE),""))</f>
        <v/>
      </c>
      <c r="Q1591" s="1">
        <f>VLOOKUP(G1591,Keszlet!$C$5:$E$205,3,FALSE)</f>
        <v>0</v>
      </c>
      <c r="T1591" s="1" t="str">
        <f t="shared" si="108"/>
        <v/>
      </c>
      <c r="U1591" s="1">
        <f t="shared" si="109"/>
        <v>0</v>
      </c>
      <c r="W1591" s="6">
        <f t="shared" si="112"/>
        <v>0</v>
      </c>
      <c r="X1591" s="6">
        <f t="shared" si="104"/>
        <v>0</v>
      </c>
      <c r="Y1591" s="1">
        <f t="shared" si="110"/>
        <v>1</v>
      </c>
      <c r="Z1591" s="1">
        <f>IF(COUNTIF($Y$6:Y1591,Y1591)=1,Y1591,Y1591+COUNTIF($Y$5:Y1590,Y1591))</f>
        <v>586</v>
      </c>
      <c r="AD1591" s="1" t="str">
        <f t="shared" si="111"/>
        <v/>
      </c>
      <c r="BA1591" s="1">
        <f>IF(W1591&lt;=Leltar_iv!$Y$1,I1591,0)</f>
        <v>0</v>
      </c>
    </row>
    <row r="1592" spans="1:53" s="1" customFormat="1" x14ac:dyDescent="0.25">
      <c r="A1592" s="18">
        <f>IF(COUNTIF($Y$6:Y1592,Y1592)=1,Y1592,Y1592+COUNTIF($Y$5:Y1591,Y1592))</f>
        <v>587</v>
      </c>
      <c r="B1592" s="1">
        <f>IF(AND(Kisero_iv!$N$2=C1592,Kisero_iv!$K$5=$B$3,SUM(I1592:L1596)&lt;&gt;0,$B$4=YEAR(W1592)),B1591+1,0)</f>
        <v>0</v>
      </c>
      <c r="C1592" s="1">
        <f t="shared" si="105"/>
        <v>587</v>
      </c>
      <c r="D1592" s="102" t="str">
        <f t="shared" si="106"/>
        <v/>
      </c>
      <c r="E1592" s="44"/>
      <c r="F1592" s="45"/>
      <c r="G1592" s="45"/>
      <c r="H1592" s="45"/>
      <c r="I1592" s="46"/>
      <c r="J1592" s="111" t="str">
        <f>IF(AND(G1592&lt;&gt;"",ISERROR(VLOOKUP(G1592,Keszlet!$C$5:$H$200,6,FALSE))=FALSE),VLOOKUP(G1592,Keszlet!$C$5:$H$200,6,FALSE),"")</f>
        <v/>
      </c>
      <c r="K1592" s="106" t="str">
        <f>IF(AND(G1592&lt;&gt;"",ISERROR(VLOOKUP(G1592,Keszlet!$C$5:$G$200,5,FALSE))=FALSE),VLOOKUP(G1592,Keszlet!$C$5:$G$200,5,FALSE),"")</f>
        <v/>
      </c>
      <c r="L1592" s="106" t="str">
        <f t="shared" si="107"/>
        <v/>
      </c>
      <c r="M1592" s="115" t="str">
        <f>IF(ISERROR(VLOOKUP(G1592,Keszlet!$C$5:$I$200,7,FALSE))=TRUE,"",IF(AND(J1591&lt;&gt;"",J1593=""),VLOOKUP(G1592,Keszlet!$C$5:$I$200,7,FALSE),""))</f>
        <v/>
      </c>
      <c r="Q1592" s="1">
        <f>VLOOKUP(G1592,Keszlet!$C$5:$E$205,3,FALSE)</f>
        <v>0</v>
      </c>
      <c r="T1592" s="1" t="str">
        <f t="shared" si="108"/>
        <v/>
      </c>
      <c r="U1592" s="1">
        <f t="shared" si="109"/>
        <v>0</v>
      </c>
      <c r="W1592" s="6">
        <f t="shared" si="112"/>
        <v>0</v>
      </c>
      <c r="X1592" s="6">
        <f t="shared" si="104"/>
        <v>0</v>
      </c>
      <c r="Y1592" s="1">
        <f t="shared" si="110"/>
        <v>1</v>
      </c>
      <c r="Z1592" s="1">
        <f>IF(COUNTIF($Y$6:Y1592,Y1592)=1,Y1592,Y1592+COUNTIF($Y$5:Y1591,Y1592))</f>
        <v>587</v>
      </c>
      <c r="AD1592" s="1" t="str">
        <f t="shared" si="111"/>
        <v/>
      </c>
      <c r="BA1592" s="1">
        <f>IF(W1592&lt;=Leltar_iv!$Y$1,I1592,0)</f>
        <v>0</v>
      </c>
    </row>
    <row r="1593" spans="1:53" s="1" customFormat="1" x14ac:dyDescent="0.25">
      <c r="A1593" s="18">
        <f>IF(COUNTIF($Y$6:Y1593,Y1593)=1,Y1593,Y1593+COUNTIF($Y$5:Y1592,Y1593))</f>
        <v>588</v>
      </c>
      <c r="B1593" s="1">
        <f>IF(AND(Kisero_iv!$N$2=C1593,Kisero_iv!$K$5=$B$3,SUM(I1593:L1597)&lt;&gt;0,$B$4=YEAR(W1593)),B1592+1,0)</f>
        <v>0</v>
      </c>
      <c r="C1593" s="1">
        <f t="shared" si="105"/>
        <v>588</v>
      </c>
      <c r="D1593" s="102" t="str">
        <f t="shared" si="106"/>
        <v/>
      </c>
      <c r="E1593" s="44"/>
      <c r="F1593" s="45"/>
      <c r="G1593" s="45"/>
      <c r="H1593" s="45"/>
      <c r="I1593" s="46"/>
      <c r="J1593" s="111" t="str">
        <f>IF(AND(G1593&lt;&gt;"",ISERROR(VLOOKUP(G1593,Keszlet!$C$5:$H$200,6,FALSE))=FALSE),VLOOKUP(G1593,Keszlet!$C$5:$H$200,6,FALSE),"")</f>
        <v/>
      </c>
      <c r="K1593" s="106" t="str">
        <f>IF(AND(G1593&lt;&gt;"",ISERROR(VLOOKUP(G1593,Keszlet!$C$5:$G$200,5,FALSE))=FALSE),VLOOKUP(G1593,Keszlet!$C$5:$G$200,5,FALSE),"")</f>
        <v/>
      </c>
      <c r="L1593" s="106" t="str">
        <f t="shared" si="107"/>
        <v/>
      </c>
      <c r="M1593" s="115" t="str">
        <f>IF(ISERROR(VLOOKUP(G1593,Keszlet!$C$5:$I$200,7,FALSE))=TRUE,"",IF(AND(J1592&lt;&gt;"",J1594=""),VLOOKUP(G1593,Keszlet!$C$5:$I$200,7,FALSE),""))</f>
        <v/>
      </c>
      <c r="Q1593" s="1">
        <f>VLOOKUP(G1593,Keszlet!$C$5:$E$205,3,FALSE)</f>
        <v>0</v>
      </c>
      <c r="T1593" s="1" t="str">
        <f t="shared" si="108"/>
        <v/>
      </c>
      <c r="U1593" s="1">
        <f t="shared" si="109"/>
        <v>0</v>
      </c>
      <c r="W1593" s="6">
        <f t="shared" si="112"/>
        <v>0</v>
      </c>
      <c r="X1593" s="6">
        <f t="shared" si="104"/>
        <v>0</v>
      </c>
      <c r="Y1593" s="1">
        <f t="shared" si="110"/>
        <v>1</v>
      </c>
      <c r="Z1593" s="1">
        <f>IF(COUNTIF($Y$6:Y1593,Y1593)=1,Y1593,Y1593+COUNTIF($Y$5:Y1592,Y1593))</f>
        <v>588</v>
      </c>
      <c r="AD1593" s="1" t="str">
        <f t="shared" si="111"/>
        <v/>
      </c>
      <c r="BA1593" s="1">
        <f>IF(W1593&lt;=Leltar_iv!$Y$1,I1593,0)</f>
        <v>0</v>
      </c>
    </row>
    <row r="1594" spans="1:53" s="1" customFormat="1" x14ac:dyDescent="0.25">
      <c r="A1594" s="18">
        <f>IF(COUNTIF($Y$6:Y1594,Y1594)=1,Y1594,Y1594+COUNTIF($Y$5:Y1593,Y1594))</f>
        <v>589</v>
      </c>
      <c r="B1594" s="1">
        <f>IF(AND(Kisero_iv!$N$2=C1594,Kisero_iv!$K$5=$B$3,SUM(I1594:L1598)&lt;&gt;0,$B$4=YEAR(W1594)),B1593+1,0)</f>
        <v>0</v>
      </c>
      <c r="C1594" s="1">
        <f t="shared" si="105"/>
        <v>589</v>
      </c>
      <c r="D1594" s="102" t="str">
        <f t="shared" si="106"/>
        <v/>
      </c>
      <c r="E1594" s="44"/>
      <c r="F1594" s="45"/>
      <c r="G1594" s="45"/>
      <c r="H1594" s="45"/>
      <c r="I1594" s="46"/>
      <c r="J1594" s="111" t="str">
        <f>IF(AND(G1594&lt;&gt;"",ISERROR(VLOOKUP(G1594,Keszlet!$C$5:$H$200,6,FALSE))=FALSE),VLOOKUP(G1594,Keszlet!$C$5:$H$200,6,FALSE),"")</f>
        <v/>
      </c>
      <c r="K1594" s="106" t="str">
        <f>IF(AND(G1594&lt;&gt;"",ISERROR(VLOOKUP(G1594,Keszlet!$C$5:$G$200,5,FALSE))=FALSE),VLOOKUP(G1594,Keszlet!$C$5:$G$200,5,FALSE),"")</f>
        <v/>
      </c>
      <c r="L1594" s="106" t="str">
        <f t="shared" si="107"/>
        <v/>
      </c>
      <c r="M1594" s="115" t="str">
        <f>IF(ISERROR(VLOOKUP(G1594,Keszlet!$C$5:$I$200,7,FALSE))=TRUE,"",IF(AND(J1593&lt;&gt;"",J1595=""),VLOOKUP(G1594,Keszlet!$C$5:$I$200,7,FALSE),""))</f>
        <v/>
      </c>
      <c r="Q1594" s="1">
        <f>VLOOKUP(G1594,Keszlet!$C$5:$E$205,3,FALSE)</f>
        <v>0</v>
      </c>
      <c r="T1594" s="1" t="str">
        <f t="shared" si="108"/>
        <v/>
      </c>
      <c r="U1594" s="1">
        <f t="shared" si="109"/>
        <v>0</v>
      </c>
      <c r="W1594" s="6">
        <f t="shared" si="112"/>
        <v>0</v>
      </c>
      <c r="X1594" s="6">
        <f t="shared" si="104"/>
        <v>0</v>
      </c>
      <c r="Y1594" s="1">
        <f t="shared" si="110"/>
        <v>1</v>
      </c>
      <c r="Z1594" s="1">
        <f>IF(COUNTIF($Y$6:Y1594,Y1594)=1,Y1594,Y1594+COUNTIF($Y$5:Y1593,Y1594))</f>
        <v>589</v>
      </c>
      <c r="AD1594" s="1" t="str">
        <f t="shared" si="111"/>
        <v/>
      </c>
      <c r="BA1594" s="1">
        <f>IF(W1594&lt;=Leltar_iv!$Y$1,I1594,0)</f>
        <v>0</v>
      </c>
    </row>
    <row r="1595" spans="1:53" s="1" customFormat="1" x14ac:dyDescent="0.25">
      <c r="A1595" s="18">
        <f>IF(COUNTIF($Y$6:Y1595,Y1595)=1,Y1595,Y1595+COUNTIF($Y$5:Y1594,Y1595))</f>
        <v>590</v>
      </c>
      <c r="B1595" s="1">
        <f>IF(AND(Kisero_iv!$N$2=C1595,Kisero_iv!$K$5=$B$3,SUM(I1595:L1599)&lt;&gt;0,$B$4=YEAR(W1595)),B1594+1,0)</f>
        <v>0</v>
      </c>
      <c r="C1595" s="1">
        <f t="shared" si="105"/>
        <v>590</v>
      </c>
      <c r="D1595" s="102" t="str">
        <f t="shared" si="106"/>
        <v/>
      </c>
      <c r="E1595" s="44"/>
      <c r="F1595" s="45"/>
      <c r="G1595" s="45"/>
      <c r="H1595" s="45"/>
      <c r="I1595" s="46"/>
      <c r="J1595" s="111" t="str">
        <f>IF(AND(G1595&lt;&gt;"",ISERROR(VLOOKUP(G1595,Keszlet!$C$5:$H$200,6,FALSE))=FALSE),VLOOKUP(G1595,Keszlet!$C$5:$H$200,6,FALSE),"")</f>
        <v/>
      </c>
      <c r="K1595" s="106" t="str">
        <f>IF(AND(G1595&lt;&gt;"",ISERROR(VLOOKUP(G1595,Keszlet!$C$5:$G$200,5,FALSE))=FALSE),VLOOKUP(G1595,Keszlet!$C$5:$G$200,5,FALSE),"")</f>
        <v/>
      </c>
      <c r="L1595" s="106" t="str">
        <f t="shared" si="107"/>
        <v/>
      </c>
      <c r="M1595" s="115" t="str">
        <f>IF(ISERROR(VLOOKUP(G1595,Keszlet!$C$5:$I$200,7,FALSE))=TRUE,"",IF(AND(J1594&lt;&gt;"",J1596=""),VLOOKUP(G1595,Keszlet!$C$5:$I$200,7,FALSE),""))</f>
        <v/>
      </c>
      <c r="Q1595" s="1">
        <f>VLOOKUP(G1595,Keszlet!$C$5:$E$205,3,FALSE)</f>
        <v>0</v>
      </c>
      <c r="T1595" s="1" t="str">
        <f t="shared" si="108"/>
        <v/>
      </c>
      <c r="U1595" s="1">
        <f t="shared" si="109"/>
        <v>0</v>
      </c>
      <c r="W1595" s="6">
        <f t="shared" si="112"/>
        <v>0</v>
      </c>
      <c r="X1595" s="6">
        <f t="shared" si="104"/>
        <v>0</v>
      </c>
      <c r="Y1595" s="1">
        <f t="shared" si="110"/>
        <v>1</v>
      </c>
      <c r="Z1595" s="1">
        <f>IF(COUNTIF($Y$6:Y1595,Y1595)=1,Y1595,Y1595+COUNTIF($Y$5:Y1594,Y1595))</f>
        <v>590</v>
      </c>
      <c r="AD1595" s="1" t="str">
        <f t="shared" si="111"/>
        <v/>
      </c>
      <c r="BA1595" s="1">
        <f>IF(W1595&lt;=Leltar_iv!$Y$1,I1595,0)</f>
        <v>0</v>
      </c>
    </row>
    <row r="1596" spans="1:53" s="1" customFormat="1" x14ac:dyDescent="0.25">
      <c r="A1596" s="18">
        <f>IF(COUNTIF($Y$6:Y1596,Y1596)=1,Y1596,Y1596+COUNTIF($Y$5:Y1595,Y1596))</f>
        <v>591</v>
      </c>
      <c r="B1596" s="1">
        <f>IF(AND(Kisero_iv!$N$2=C1596,Kisero_iv!$K$5=$B$3,SUM(I1596:L1600)&lt;&gt;0,$B$4=YEAR(W1596)),B1595+1,0)</f>
        <v>0</v>
      </c>
      <c r="C1596" s="1">
        <f t="shared" si="105"/>
        <v>591</v>
      </c>
      <c r="D1596" s="102" t="str">
        <f t="shared" si="106"/>
        <v/>
      </c>
      <c r="E1596" s="44"/>
      <c r="F1596" s="45"/>
      <c r="G1596" s="45"/>
      <c r="H1596" s="45"/>
      <c r="I1596" s="46"/>
      <c r="J1596" s="111" t="str">
        <f>IF(AND(G1596&lt;&gt;"",ISERROR(VLOOKUP(G1596,Keszlet!$C$5:$H$200,6,FALSE))=FALSE),VLOOKUP(G1596,Keszlet!$C$5:$H$200,6,FALSE),"")</f>
        <v/>
      </c>
      <c r="K1596" s="106" t="str">
        <f>IF(AND(G1596&lt;&gt;"",ISERROR(VLOOKUP(G1596,Keszlet!$C$5:$G$200,5,FALSE))=FALSE),VLOOKUP(G1596,Keszlet!$C$5:$G$200,5,FALSE),"")</f>
        <v/>
      </c>
      <c r="L1596" s="106" t="str">
        <f t="shared" si="107"/>
        <v/>
      </c>
      <c r="M1596" s="115" t="str">
        <f>IF(ISERROR(VLOOKUP(G1596,Keszlet!$C$5:$I$200,7,FALSE))=TRUE,"",IF(AND(J1595&lt;&gt;"",J1597=""),VLOOKUP(G1596,Keszlet!$C$5:$I$200,7,FALSE),""))</f>
        <v/>
      </c>
      <c r="Q1596" s="1">
        <f>VLOOKUP(G1596,Keszlet!$C$5:$E$205,3,FALSE)</f>
        <v>0</v>
      </c>
      <c r="T1596" s="1" t="str">
        <f t="shared" si="108"/>
        <v/>
      </c>
      <c r="U1596" s="1">
        <f t="shared" si="109"/>
        <v>0</v>
      </c>
      <c r="W1596" s="6">
        <f t="shared" si="112"/>
        <v>0</v>
      </c>
      <c r="X1596" s="6">
        <f t="shared" si="104"/>
        <v>0</v>
      </c>
      <c r="Y1596" s="1">
        <f t="shared" si="110"/>
        <v>1</v>
      </c>
      <c r="Z1596" s="1">
        <f>IF(COUNTIF($Y$6:Y1596,Y1596)=1,Y1596,Y1596+COUNTIF($Y$5:Y1595,Y1596))</f>
        <v>591</v>
      </c>
      <c r="AD1596" s="1" t="str">
        <f t="shared" si="111"/>
        <v/>
      </c>
      <c r="BA1596" s="1">
        <f>IF(W1596&lt;=Leltar_iv!$Y$1,I1596,0)</f>
        <v>0</v>
      </c>
    </row>
    <row r="1597" spans="1:53" s="1" customFormat="1" x14ac:dyDescent="0.25">
      <c r="A1597" s="18">
        <f>IF(COUNTIF($Y$6:Y1597,Y1597)=1,Y1597,Y1597+COUNTIF($Y$5:Y1596,Y1597))</f>
        <v>592</v>
      </c>
      <c r="B1597" s="1">
        <f>IF(AND(Kisero_iv!$N$2=C1597,Kisero_iv!$K$5=$B$3,SUM(I1597:L1601)&lt;&gt;0,$B$4=YEAR(W1597)),B1596+1,0)</f>
        <v>0</v>
      </c>
      <c r="C1597" s="1">
        <f t="shared" si="105"/>
        <v>592</v>
      </c>
      <c r="D1597" s="102" t="str">
        <f t="shared" si="106"/>
        <v/>
      </c>
      <c r="E1597" s="44"/>
      <c r="F1597" s="45"/>
      <c r="G1597" s="45"/>
      <c r="H1597" s="45"/>
      <c r="I1597" s="46"/>
      <c r="J1597" s="111" t="str">
        <f>IF(AND(G1597&lt;&gt;"",ISERROR(VLOOKUP(G1597,Keszlet!$C$5:$H$200,6,FALSE))=FALSE),VLOOKUP(G1597,Keszlet!$C$5:$H$200,6,FALSE),"")</f>
        <v/>
      </c>
      <c r="K1597" s="106" t="str">
        <f>IF(AND(G1597&lt;&gt;"",ISERROR(VLOOKUP(G1597,Keszlet!$C$5:$G$200,5,FALSE))=FALSE),VLOOKUP(G1597,Keszlet!$C$5:$G$200,5,FALSE),"")</f>
        <v/>
      </c>
      <c r="L1597" s="106" t="str">
        <f t="shared" si="107"/>
        <v/>
      </c>
      <c r="M1597" s="115" t="str">
        <f>IF(ISERROR(VLOOKUP(G1597,Keszlet!$C$5:$I$200,7,FALSE))=TRUE,"",IF(AND(J1596&lt;&gt;"",J1598=""),VLOOKUP(G1597,Keszlet!$C$5:$I$200,7,FALSE),""))</f>
        <v/>
      </c>
      <c r="Q1597" s="1">
        <f>VLOOKUP(G1597,Keszlet!$C$5:$E$205,3,FALSE)</f>
        <v>0</v>
      </c>
      <c r="T1597" s="1" t="str">
        <f t="shared" si="108"/>
        <v/>
      </c>
      <c r="U1597" s="1">
        <f t="shared" si="109"/>
        <v>0</v>
      </c>
      <c r="W1597" s="6">
        <f t="shared" si="112"/>
        <v>0</v>
      </c>
      <c r="X1597" s="6">
        <f t="shared" si="104"/>
        <v>0</v>
      </c>
      <c r="Y1597" s="1">
        <f t="shared" si="110"/>
        <v>1</v>
      </c>
      <c r="Z1597" s="1">
        <f>IF(COUNTIF($Y$6:Y1597,Y1597)=1,Y1597,Y1597+COUNTIF($Y$5:Y1596,Y1597))</f>
        <v>592</v>
      </c>
      <c r="AD1597" s="1" t="str">
        <f t="shared" si="111"/>
        <v/>
      </c>
      <c r="BA1597" s="1">
        <f>IF(W1597&lt;=Leltar_iv!$Y$1,I1597,0)</f>
        <v>0</v>
      </c>
    </row>
    <row r="1598" spans="1:53" s="1" customFormat="1" x14ac:dyDescent="0.25">
      <c r="A1598" s="18">
        <f>IF(COUNTIF($Y$6:Y1598,Y1598)=1,Y1598,Y1598+COUNTIF($Y$5:Y1597,Y1598))</f>
        <v>593</v>
      </c>
      <c r="B1598" s="1">
        <f>IF(AND(Kisero_iv!$N$2=C1598,Kisero_iv!$K$5=$B$3,SUM(I1598:L1602)&lt;&gt;0,$B$4=YEAR(W1598)),B1597+1,0)</f>
        <v>0</v>
      </c>
      <c r="C1598" s="1">
        <f t="shared" si="105"/>
        <v>593</v>
      </c>
      <c r="D1598" s="102" t="str">
        <f t="shared" si="106"/>
        <v/>
      </c>
      <c r="E1598" s="44"/>
      <c r="F1598" s="45"/>
      <c r="G1598" s="45"/>
      <c r="H1598" s="45"/>
      <c r="I1598" s="46"/>
      <c r="J1598" s="111" t="str">
        <f>IF(AND(G1598&lt;&gt;"",ISERROR(VLOOKUP(G1598,Keszlet!$C$5:$H$200,6,FALSE))=FALSE),VLOOKUP(G1598,Keszlet!$C$5:$H$200,6,FALSE),"")</f>
        <v/>
      </c>
      <c r="K1598" s="106" t="str">
        <f>IF(AND(G1598&lt;&gt;"",ISERROR(VLOOKUP(G1598,Keszlet!$C$5:$G$200,5,FALSE))=FALSE),VLOOKUP(G1598,Keszlet!$C$5:$G$200,5,FALSE),"")</f>
        <v/>
      </c>
      <c r="L1598" s="106" t="str">
        <f t="shared" si="107"/>
        <v/>
      </c>
      <c r="M1598" s="115" t="str">
        <f>IF(ISERROR(VLOOKUP(G1598,Keszlet!$C$5:$I$200,7,FALSE))=TRUE,"",IF(AND(J1597&lt;&gt;"",J1599=""),VLOOKUP(G1598,Keszlet!$C$5:$I$200,7,FALSE),""))</f>
        <v/>
      </c>
      <c r="Q1598" s="1">
        <f>VLOOKUP(G1598,Keszlet!$C$5:$E$205,3,FALSE)</f>
        <v>0</v>
      </c>
      <c r="T1598" s="1" t="str">
        <f t="shared" si="108"/>
        <v/>
      </c>
      <c r="U1598" s="1">
        <f t="shared" si="109"/>
        <v>0</v>
      </c>
      <c r="W1598" s="6">
        <f t="shared" si="112"/>
        <v>0</v>
      </c>
      <c r="X1598" s="6">
        <f t="shared" si="104"/>
        <v>0</v>
      </c>
      <c r="Y1598" s="1">
        <f t="shared" si="110"/>
        <v>1</v>
      </c>
      <c r="Z1598" s="1">
        <f>IF(COUNTIF($Y$6:Y1598,Y1598)=1,Y1598,Y1598+COUNTIF($Y$5:Y1597,Y1598))</f>
        <v>593</v>
      </c>
      <c r="AD1598" s="1" t="str">
        <f t="shared" si="111"/>
        <v/>
      </c>
      <c r="BA1598" s="1">
        <f>IF(W1598&lt;=Leltar_iv!$Y$1,I1598,0)</f>
        <v>0</v>
      </c>
    </row>
    <row r="1599" spans="1:53" s="1" customFormat="1" x14ac:dyDescent="0.25">
      <c r="A1599" s="18">
        <f>IF(COUNTIF($Y$6:Y1599,Y1599)=1,Y1599,Y1599+COUNTIF($Y$5:Y1598,Y1599))</f>
        <v>594</v>
      </c>
      <c r="B1599" s="1">
        <f>IF(AND(Kisero_iv!$N$2=C1599,Kisero_iv!$K$5=$B$3,SUM(I1599:L1603)&lt;&gt;0,$B$4=YEAR(W1599)),B1598+1,0)</f>
        <v>0</v>
      </c>
      <c r="C1599" s="1">
        <f t="shared" si="105"/>
        <v>594</v>
      </c>
      <c r="D1599" s="102" t="str">
        <f t="shared" si="106"/>
        <v/>
      </c>
      <c r="E1599" s="44"/>
      <c r="F1599" s="45"/>
      <c r="G1599" s="45"/>
      <c r="H1599" s="45"/>
      <c r="I1599" s="46"/>
      <c r="J1599" s="111" t="str">
        <f>IF(AND(G1599&lt;&gt;"",ISERROR(VLOOKUP(G1599,Keszlet!$C$5:$H$200,6,FALSE))=FALSE),VLOOKUP(G1599,Keszlet!$C$5:$H$200,6,FALSE),"")</f>
        <v/>
      </c>
      <c r="K1599" s="106" t="str">
        <f>IF(AND(G1599&lt;&gt;"",ISERROR(VLOOKUP(G1599,Keszlet!$C$5:$G$200,5,FALSE))=FALSE),VLOOKUP(G1599,Keszlet!$C$5:$G$200,5,FALSE),"")</f>
        <v/>
      </c>
      <c r="L1599" s="106" t="str">
        <f t="shared" si="107"/>
        <v/>
      </c>
      <c r="M1599" s="115" t="str">
        <f>IF(ISERROR(VLOOKUP(G1599,Keszlet!$C$5:$I$200,7,FALSE))=TRUE,"",IF(AND(J1598&lt;&gt;"",J1600=""),VLOOKUP(G1599,Keszlet!$C$5:$I$200,7,FALSE),""))</f>
        <v/>
      </c>
      <c r="Q1599" s="1">
        <f>VLOOKUP(G1599,Keszlet!$C$5:$E$205,3,FALSE)</f>
        <v>0</v>
      </c>
      <c r="T1599" s="1" t="str">
        <f t="shared" si="108"/>
        <v/>
      </c>
      <c r="U1599" s="1">
        <f t="shared" si="109"/>
        <v>0</v>
      </c>
      <c r="W1599" s="6">
        <f t="shared" si="112"/>
        <v>0</v>
      </c>
      <c r="X1599" s="6">
        <f t="shared" si="104"/>
        <v>0</v>
      </c>
      <c r="Y1599" s="1">
        <f t="shared" si="110"/>
        <v>1</v>
      </c>
      <c r="Z1599" s="1">
        <f>IF(COUNTIF($Y$6:Y1599,Y1599)=1,Y1599,Y1599+COUNTIF($Y$5:Y1598,Y1599))</f>
        <v>594</v>
      </c>
      <c r="AD1599" s="1" t="str">
        <f t="shared" si="111"/>
        <v/>
      </c>
      <c r="BA1599" s="1">
        <f>IF(W1599&lt;=Leltar_iv!$Y$1,I1599,0)</f>
        <v>0</v>
      </c>
    </row>
    <row r="1600" spans="1:53" s="1" customFormat="1" x14ac:dyDescent="0.25">
      <c r="A1600" s="18">
        <f>IF(COUNTIF($Y$6:Y1600,Y1600)=1,Y1600,Y1600+COUNTIF($Y$5:Y1599,Y1600))</f>
        <v>595</v>
      </c>
      <c r="B1600" s="1">
        <f>IF(AND(Kisero_iv!$N$2=C1600,Kisero_iv!$K$5=$B$3,SUM(I1600:L1604)&lt;&gt;0,$B$4=YEAR(W1600)),B1599+1,0)</f>
        <v>0</v>
      </c>
      <c r="C1600" s="1">
        <f t="shared" si="105"/>
        <v>595</v>
      </c>
      <c r="D1600" s="102" t="str">
        <f t="shared" si="106"/>
        <v/>
      </c>
      <c r="E1600" s="44"/>
      <c r="F1600" s="45"/>
      <c r="G1600" s="45"/>
      <c r="H1600" s="45"/>
      <c r="I1600" s="46"/>
      <c r="J1600" s="111" t="str">
        <f>IF(AND(G1600&lt;&gt;"",ISERROR(VLOOKUP(G1600,Keszlet!$C$5:$H$200,6,FALSE))=FALSE),VLOOKUP(G1600,Keszlet!$C$5:$H$200,6,FALSE),"")</f>
        <v/>
      </c>
      <c r="K1600" s="106" t="str">
        <f>IF(AND(G1600&lt;&gt;"",ISERROR(VLOOKUP(G1600,Keszlet!$C$5:$G$200,5,FALSE))=FALSE),VLOOKUP(G1600,Keszlet!$C$5:$G$200,5,FALSE),"")</f>
        <v/>
      </c>
      <c r="L1600" s="106" t="str">
        <f t="shared" si="107"/>
        <v/>
      </c>
      <c r="M1600" s="115" t="str">
        <f>IF(ISERROR(VLOOKUP(G1600,Keszlet!$C$5:$I$200,7,FALSE))=TRUE,"",IF(AND(J1599&lt;&gt;"",J1601=""),VLOOKUP(G1600,Keszlet!$C$5:$I$200,7,FALSE),""))</f>
        <v/>
      </c>
      <c r="Q1600" s="1">
        <f>VLOOKUP(G1600,Keszlet!$C$5:$E$205,3,FALSE)</f>
        <v>0</v>
      </c>
      <c r="T1600" s="1" t="str">
        <f t="shared" si="108"/>
        <v/>
      </c>
      <c r="U1600" s="1">
        <f t="shared" si="109"/>
        <v>0</v>
      </c>
      <c r="W1600" s="6">
        <f t="shared" si="112"/>
        <v>0</v>
      </c>
      <c r="X1600" s="6">
        <f t="shared" si="104"/>
        <v>0</v>
      </c>
      <c r="Y1600" s="1">
        <f t="shared" si="110"/>
        <v>1</v>
      </c>
      <c r="Z1600" s="1">
        <f>IF(COUNTIF($Y$6:Y1600,Y1600)=1,Y1600,Y1600+COUNTIF($Y$5:Y1599,Y1600))</f>
        <v>595</v>
      </c>
      <c r="AD1600" s="1" t="str">
        <f t="shared" si="111"/>
        <v/>
      </c>
      <c r="BA1600" s="1">
        <f>IF(W1600&lt;=Leltar_iv!$Y$1,I1600,0)</f>
        <v>0</v>
      </c>
    </row>
    <row r="1601" spans="1:53" s="1" customFormat="1" x14ac:dyDescent="0.25">
      <c r="A1601" s="18">
        <f>IF(COUNTIF($Y$6:Y1601,Y1601)=1,Y1601,Y1601+COUNTIF($Y$5:Y1600,Y1601))</f>
        <v>596</v>
      </c>
      <c r="B1601" s="1">
        <f>IF(AND(Kisero_iv!$N$2=C1601,Kisero_iv!$K$5=$B$3,SUM(I1601:L1605)&lt;&gt;0,$B$4=YEAR(W1601)),B1600+1,0)</f>
        <v>0</v>
      </c>
      <c r="C1601" s="1">
        <f t="shared" si="105"/>
        <v>596</v>
      </c>
      <c r="D1601" s="102" t="str">
        <f t="shared" si="106"/>
        <v/>
      </c>
      <c r="E1601" s="44"/>
      <c r="F1601" s="45"/>
      <c r="G1601" s="45"/>
      <c r="H1601" s="45"/>
      <c r="I1601" s="46"/>
      <c r="J1601" s="111" t="str">
        <f>IF(AND(G1601&lt;&gt;"",ISERROR(VLOOKUP(G1601,Keszlet!$C$5:$H$200,6,FALSE))=FALSE),VLOOKUP(G1601,Keszlet!$C$5:$H$200,6,FALSE),"")</f>
        <v/>
      </c>
      <c r="K1601" s="106" t="str">
        <f>IF(AND(G1601&lt;&gt;"",ISERROR(VLOOKUP(G1601,Keszlet!$C$5:$G$200,5,FALSE))=FALSE),VLOOKUP(G1601,Keszlet!$C$5:$G$200,5,FALSE),"")</f>
        <v/>
      </c>
      <c r="L1601" s="106" t="str">
        <f t="shared" si="107"/>
        <v/>
      </c>
      <c r="M1601" s="115" t="str">
        <f>IF(ISERROR(VLOOKUP(G1601,Keszlet!$C$5:$I$200,7,FALSE))=TRUE,"",IF(AND(J1600&lt;&gt;"",J1602=""),VLOOKUP(G1601,Keszlet!$C$5:$I$200,7,FALSE),""))</f>
        <v/>
      </c>
      <c r="Q1601" s="1">
        <f>VLOOKUP(G1601,Keszlet!$C$5:$E$205,3,FALSE)</f>
        <v>0</v>
      </c>
      <c r="T1601" s="1" t="str">
        <f t="shared" si="108"/>
        <v/>
      </c>
      <c r="U1601" s="1">
        <f t="shared" si="109"/>
        <v>0</v>
      </c>
      <c r="W1601" s="6">
        <f t="shared" si="112"/>
        <v>0</v>
      </c>
      <c r="X1601" s="6">
        <f t="shared" si="104"/>
        <v>0</v>
      </c>
      <c r="Y1601" s="1">
        <f t="shared" si="110"/>
        <v>1</v>
      </c>
      <c r="Z1601" s="1">
        <f>IF(COUNTIF($Y$6:Y1601,Y1601)=1,Y1601,Y1601+COUNTIF($Y$5:Y1600,Y1601))</f>
        <v>596</v>
      </c>
      <c r="AD1601" s="1" t="str">
        <f t="shared" si="111"/>
        <v/>
      </c>
      <c r="BA1601" s="1">
        <f>IF(W1601&lt;=Leltar_iv!$Y$1,I1601,0)</f>
        <v>0</v>
      </c>
    </row>
    <row r="1602" spans="1:53" s="1" customFormat="1" x14ac:dyDescent="0.25">
      <c r="A1602" s="18">
        <f>IF(COUNTIF($Y$6:Y1602,Y1602)=1,Y1602,Y1602+COUNTIF($Y$5:Y1601,Y1602))</f>
        <v>597</v>
      </c>
      <c r="B1602" s="1">
        <f>IF(AND(Kisero_iv!$N$2=C1602,Kisero_iv!$K$5=$B$3,SUM(I1602:L1606)&lt;&gt;0,$B$4=YEAR(W1602)),B1601+1,0)</f>
        <v>0</v>
      </c>
      <c r="C1602" s="1">
        <f t="shared" si="105"/>
        <v>597</v>
      </c>
      <c r="D1602" s="102" t="str">
        <f t="shared" si="106"/>
        <v/>
      </c>
      <c r="E1602" s="44"/>
      <c r="F1602" s="45"/>
      <c r="G1602" s="45"/>
      <c r="H1602" s="45"/>
      <c r="I1602" s="46"/>
      <c r="J1602" s="111" t="str">
        <f>IF(AND(G1602&lt;&gt;"",ISERROR(VLOOKUP(G1602,Keszlet!$C$5:$H$200,6,FALSE))=FALSE),VLOOKUP(G1602,Keszlet!$C$5:$H$200,6,FALSE),"")</f>
        <v/>
      </c>
      <c r="K1602" s="106" t="str">
        <f>IF(AND(G1602&lt;&gt;"",ISERROR(VLOOKUP(G1602,Keszlet!$C$5:$G$200,5,FALSE))=FALSE),VLOOKUP(G1602,Keszlet!$C$5:$G$200,5,FALSE),"")</f>
        <v/>
      </c>
      <c r="L1602" s="106" t="str">
        <f t="shared" si="107"/>
        <v/>
      </c>
      <c r="M1602" s="115" t="str">
        <f>IF(ISERROR(VLOOKUP(G1602,Keszlet!$C$5:$I$200,7,FALSE))=TRUE,"",IF(AND(J1601&lt;&gt;"",J1603=""),VLOOKUP(G1602,Keszlet!$C$5:$I$200,7,FALSE),""))</f>
        <v/>
      </c>
      <c r="Q1602" s="1">
        <f>VLOOKUP(G1602,Keszlet!$C$5:$E$205,3,FALSE)</f>
        <v>0</v>
      </c>
      <c r="T1602" s="1" t="str">
        <f t="shared" si="108"/>
        <v/>
      </c>
      <c r="U1602" s="1">
        <f t="shared" si="109"/>
        <v>0</v>
      </c>
      <c r="W1602" s="6">
        <f t="shared" si="112"/>
        <v>0</v>
      </c>
      <c r="X1602" s="6">
        <f t="shared" si="104"/>
        <v>0</v>
      </c>
      <c r="Y1602" s="1">
        <f t="shared" si="110"/>
        <v>1</v>
      </c>
      <c r="Z1602" s="1">
        <f>IF(COUNTIF($Y$6:Y1602,Y1602)=1,Y1602,Y1602+COUNTIF($Y$5:Y1601,Y1602))</f>
        <v>597</v>
      </c>
      <c r="AD1602" s="1" t="str">
        <f t="shared" si="111"/>
        <v/>
      </c>
      <c r="BA1602" s="1">
        <f>IF(W1602&lt;=Leltar_iv!$Y$1,I1602,0)</f>
        <v>0</v>
      </c>
    </row>
    <row r="1603" spans="1:53" s="1" customFormat="1" x14ac:dyDescent="0.25">
      <c r="A1603" s="18">
        <f>IF(COUNTIF($Y$6:Y1603,Y1603)=1,Y1603,Y1603+COUNTIF($Y$5:Y1602,Y1603))</f>
        <v>598</v>
      </c>
      <c r="B1603" s="1">
        <f>IF(AND(Kisero_iv!$N$2=C1603,Kisero_iv!$K$5=$B$3,SUM(I1603:L1607)&lt;&gt;0,$B$4=YEAR(W1603)),B1602+1,0)</f>
        <v>0</v>
      </c>
      <c r="C1603" s="1">
        <f t="shared" si="105"/>
        <v>598</v>
      </c>
      <c r="D1603" s="102" t="str">
        <f t="shared" si="106"/>
        <v/>
      </c>
      <c r="E1603" s="44"/>
      <c r="F1603" s="45"/>
      <c r="G1603" s="45"/>
      <c r="H1603" s="45"/>
      <c r="I1603" s="46"/>
      <c r="J1603" s="111" t="str">
        <f>IF(AND(G1603&lt;&gt;"",ISERROR(VLOOKUP(G1603,Keszlet!$C$5:$H$200,6,FALSE))=FALSE),VLOOKUP(G1603,Keszlet!$C$5:$H$200,6,FALSE),"")</f>
        <v/>
      </c>
      <c r="K1603" s="106" t="str">
        <f>IF(AND(G1603&lt;&gt;"",ISERROR(VLOOKUP(G1603,Keszlet!$C$5:$G$200,5,FALSE))=FALSE),VLOOKUP(G1603,Keszlet!$C$5:$G$200,5,FALSE),"")</f>
        <v/>
      </c>
      <c r="L1603" s="106" t="str">
        <f t="shared" si="107"/>
        <v/>
      </c>
      <c r="M1603" s="115" t="str">
        <f>IF(ISERROR(VLOOKUP(G1603,Keszlet!$C$5:$I$200,7,FALSE))=TRUE,"",IF(AND(J1602&lt;&gt;"",J1604=""),VLOOKUP(G1603,Keszlet!$C$5:$I$200,7,FALSE),""))</f>
        <v/>
      </c>
      <c r="Q1603" s="1">
        <f>VLOOKUP(G1603,Keszlet!$C$5:$E$205,3,FALSE)</f>
        <v>0</v>
      </c>
      <c r="T1603" s="1" t="str">
        <f t="shared" si="108"/>
        <v/>
      </c>
      <c r="U1603" s="1">
        <f t="shared" si="109"/>
        <v>0</v>
      </c>
      <c r="W1603" s="6">
        <f t="shared" si="112"/>
        <v>0</v>
      </c>
      <c r="X1603" s="6">
        <f t="shared" si="104"/>
        <v>0</v>
      </c>
      <c r="Y1603" s="1">
        <f t="shared" si="110"/>
        <v>1</v>
      </c>
      <c r="Z1603" s="1">
        <f>IF(COUNTIF($Y$6:Y1603,Y1603)=1,Y1603,Y1603+COUNTIF($Y$5:Y1602,Y1603))</f>
        <v>598</v>
      </c>
      <c r="AD1603" s="1" t="str">
        <f t="shared" si="111"/>
        <v/>
      </c>
      <c r="BA1603" s="1">
        <f>IF(W1603&lt;=Leltar_iv!$Y$1,I1603,0)</f>
        <v>0</v>
      </c>
    </row>
    <row r="1604" spans="1:53" s="1" customFormat="1" x14ac:dyDescent="0.25">
      <c r="A1604" s="18">
        <f>IF(COUNTIF($Y$6:Y1604,Y1604)=1,Y1604,Y1604+COUNTIF($Y$5:Y1603,Y1604))</f>
        <v>599</v>
      </c>
      <c r="B1604" s="1">
        <f>IF(AND(Kisero_iv!$N$2=C1604,Kisero_iv!$K$5=$B$3,SUM(I1604:L1608)&lt;&gt;0,$B$4=YEAR(W1604)),B1603+1,0)</f>
        <v>0</v>
      </c>
      <c r="C1604" s="1">
        <f t="shared" si="105"/>
        <v>599</v>
      </c>
      <c r="D1604" s="102" t="str">
        <f t="shared" si="106"/>
        <v/>
      </c>
      <c r="E1604" s="44"/>
      <c r="F1604" s="45"/>
      <c r="G1604" s="45"/>
      <c r="H1604" s="45"/>
      <c r="I1604" s="46"/>
      <c r="J1604" s="111" t="str">
        <f>IF(AND(G1604&lt;&gt;"",ISERROR(VLOOKUP(G1604,Keszlet!$C$5:$H$200,6,FALSE))=FALSE),VLOOKUP(G1604,Keszlet!$C$5:$H$200,6,FALSE),"")</f>
        <v/>
      </c>
      <c r="K1604" s="106" t="str">
        <f>IF(AND(G1604&lt;&gt;"",ISERROR(VLOOKUP(G1604,Keszlet!$C$5:$G$200,5,FALSE))=FALSE),VLOOKUP(G1604,Keszlet!$C$5:$G$200,5,FALSE),"")</f>
        <v/>
      </c>
      <c r="L1604" s="106" t="str">
        <f t="shared" si="107"/>
        <v/>
      </c>
      <c r="M1604" s="115" t="str">
        <f>IF(ISERROR(VLOOKUP(G1604,Keszlet!$C$5:$I$200,7,FALSE))=TRUE,"",IF(AND(J1603&lt;&gt;"",J1605=""),VLOOKUP(G1604,Keszlet!$C$5:$I$200,7,FALSE),""))</f>
        <v/>
      </c>
      <c r="Q1604" s="1">
        <f>VLOOKUP(G1604,Keszlet!$C$5:$E$205,3,FALSE)</f>
        <v>0</v>
      </c>
      <c r="T1604" s="1" t="str">
        <f t="shared" si="108"/>
        <v/>
      </c>
      <c r="U1604" s="1">
        <f t="shared" si="109"/>
        <v>0</v>
      </c>
      <c r="W1604" s="6">
        <f t="shared" si="112"/>
        <v>0</v>
      </c>
      <c r="X1604" s="6">
        <f t="shared" si="104"/>
        <v>0</v>
      </c>
      <c r="Y1604" s="1">
        <f t="shared" si="110"/>
        <v>1</v>
      </c>
      <c r="Z1604" s="1">
        <f>IF(COUNTIF($Y$6:Y1604,Y1604)=1,Y1604,Y1604+COUNTIF($Y$5:Y1603,Y1604))</f>
        <v>599</v>
      </c>
      <c r="AD1604" s="1" t="str">
        <f t="shared" si="111"/>
        <v/>
      </c>
      <c r="BA1604" s="1">
        <f>IF(W1604&lt;=Leltar_iv!$Y$1,I1604,0)</f>
        <v>0</v>
      </c>
    </row>
    <row r="1605" spans="1:53" s="1" customFormat="1" x14ac:dyDescent="0.25">
      <c r="A1605" s="18">
        <f>IF(COUNTIF($Y$6:Y1605,Y1605)=1,Y1605,Y1605+COUNTIF($Y$5:Y1604,Y1605))</f>
        <v>600</v>
      </c>
      <c r="B1605" s="1">
        <f>IF(AND(Kisero_iv!$N$2=C1605,Kisero_iv!$K$5=$B$3,SUM(I1605:L1609)&lt;&gt;0,$B$4=YEAR(W1605)),B1604+1,0)</f>
        <v>0</v>
      </c>
      <c r="C1605" s="1">
        <f t="shared" si="105"/>
        <v>600</v>
      </c>
      <c r="D1605" s="102" t="str">
        <f t="shared" si="106"/>
        <v/>
      </c>
      <c r="E1605" s="44"/>
      <c r="F1605" s="45"/>
      <c r="G1605" s="45"/>
      <c r="H1605" s="45"/>
      <c r="I1605" s="46"/>
      <c r="J1605" s="111" t="str">
        <f>IF(AND(G1605&lt;&gt;"",ISERROR(VLOOKUP(G1605,Keszlet!$C$5:$H$200,6,FALSE))=FALSE),VLOOKUP(G1605,Keszlet!$C$5:$H$200,6,FALSE),"")</f>
        <v/>
      </c>
      <c r="K1605" s="106" t="str">
        <f>IF(AND(G1605&lt;&gt;"",ISERROR(VLOOKUP(G1605,Keszlet!$C$5:$G$200,5,FALSE))=FALSE),VLOOKUP(G1605,Keszlet!$C$5:$G$200,5,FALSE),"")</f>
        <v/>
      </c>
      <c r="L1605" s="106" t="str">
        <f t="shared" si="107"/>
        <v/>
      </c>
      <c r="M1605" s="115" t="str">
        <f>IF(ISERROR(VLOOKUP(G1605,Keszlet!$C$5:$I$200,7,FALSE))=TRUE,"",IF(AND(J1604&lt;&gt;"",J1606=""),VLOOKUP(G1605,Keszlet!$C$5:$I$200,7,FALSE),""))</f>
        <v/>
      </c>
      <c r="Q1605" s="1">
        <f>VLOOKUP(G1605,Keszlet!$C$5:$E$205,3,FALSE)</f>
        <v>0</v>
      </c>
      <c r="T1605" s="1" t="str">
        <f t="shared" si="108"/>
        <v/>
      </c>
      <c r="U1605" s="1">
        <f t="shared" si="109"/>
        <v>0</v>
      </c>
      <c r="W1605" s="6">
        <f t="shared" si="112"/>
        <v>0</v>
      </c>
      <c r="X1605" s="6">
        <f t="shared" si="104"/>
        <v>0</v>
      </c>
      <c r="Y1605" s="1">
        <f t="shared" si="110"/>
        <v>1</v>
      </c>
      <c r="Z1605" s="1">
        <f>IF(COUNTIF($Y$6:Y1605,Y1605)=1,Y1605,Y1605+COUNTIF($Y$5:Y1604,Y1605))</f>
        <v>600</v>
      </c>
      <c r="AD1605" s="1" t="str">
        <f t="shared" si="111"/>
        <v/>
      </c>
      <c r="BA1605" s="1">
        <f>IF(W1605&lt;=Leltar_iv!$Y$1,I1605,0)</f>
        <v>0</v>
      </c>
    </row>
    <row r="1606" spans="1:53" s="1" customFormat="1" x14ac:dyDescent="0.25">
      <c r="A1606" s="18">
        <f>IF(COUNTIF($Y$6:Y1606,Y1606)=1,Y1606,Y1606+COUNTIF($Y$5:Y1605,Y1606))</f>
        <v>601</v>
      </c>
      <c r="B1606" s="1">
        <f>IF(AND(Kisero_iv!$N$2=C1606,Kisero_iv!$K$5=$B$3,SUM(I1606:L1610)&lt;&gt;0,$B$4=YEAR(W1606)),B1605+1,0)</f>
        <v>0</v>
      </c>
      <c r="C1606" s="1">
        <f t="shared" si="105"/>
        <v>601</v>
      </c>
      <c r="D1606" s="102" t="str">
        <f t="shared" si="106"/>
        <v/>
      </c>
      <c r="E1606" s="44"/>
      <c r="F1606" s="45"/>
      <c r="G1606" s="45"/>
      <c r="H1606" s="45"/>
      <c r="I1606" s="46"/>
      <c r="J1606" s="111" t="str">
        <f>IF(AND(G1606&lt;&gt;"",ISERROR(VLOOKUP(G1606,Keszlet!$C$5:$H$200,6,FALSE))=FALSE),VLOOKUP(G1606,Keszlet!$C$5:$H$200,6,FALSE),"")</f>
        <v/>
      </c>
      <c r="K1606" s="106" t="str">
        <f>IF(AND(G1606&lt;&gt;"",ISERROR(VLOOKUP(G1606,Keszlet!$C$5:$G$200,5,FALSE))=FALSE),VLOOKUP(G1606,Keszlet!$C$5:$G$200,5,FALSE),"")</f>
        <v/>
      </c>
      <c r="L1606" s="106" t="str">
        <f t="shared" si="107"/>
        <v/>
      </c>
      <c r="M1606" s="115" t="str">
        <f>IF(ISERROR(VLOOKUP(G1606,Keszlet!$C$5:$I$200,7,FALSE))=TRUE,"",IF(AND(J1605&lt;&gt;"",J1607=""),VLOOKUP(G1606,Keszlet!$C$5:$I$200,7,FALSE),""))</f>
        <v/>
      </c>
      <c r="Q1606" s="1">
        <f>VLOOKUP(G1606,Keszlet!$C$5:$E$205,3,FALSE)</f>
        <v>0</v>
      </c>
      <c r="T1606" s="1" t="str">
        <f t="shared" si="108"/>
        <v/>
      </c>
      <c r="U1606" s="1">
        <f t="shared" si="109"/>
        <v>0</v>
      </c>
      <c r="W1606" s="6">
        <f t="shared" si="112"/>
        <v>0</v>
      </c>
      <c r="X1606" s="6">
        <f t="shared" si="104"/>
        <v>0</v>
      </c>
      <c r="Y1606" s="1">
        <f t="shared" si="110"/>
        <v>1</v>
      </c>
      <c r="Z1606" s="1">
        <f>IF(COUNTIF($Y$6:Y1606,Y1606)=1,Y1606,Y1606+COUNTIF($Y$5:Y1605,Y1606))</f>
        <v>601</v>
      </c>
      <c r="AD1606" s="1" t="str">
        <f t="shared" si="111"/>
        <v/>
      </c>
      <c r="BA1606" s="1">
        <f>IF(W1606&lt;=Leltar_iv!$Y$1,I1606,0)</f>
        <v>0</v>
      </c>
    </row>
    <row r="1607" spans="1:53" s="1" customFormat="1" x14ac:dyDescent="0.25">
      <c r="A1607" s="18">
        <f>IF(COUNTIF($Y$6:Y1607,Y1607)=1,Y1607,Y1607+COUNTIF($Y$5:Y1606,Y1607))</f>
        <v>602</v>
      </c>
      <c r="B1607" s="1">
        <f>IF(AND(Kisero_iv!$N$2=C1607,Kisero_iv!$K$5=$B$3,SUM(I1607:L1611)&lt;&gt;0,$B$4=YEAR(W1607)),B1606+1,0)</f>
        <v>0</v>
      </c>
      <c r="C1607" s="1">
        <f t="shared" si="105"/>
        <v>602</v>
      </c>
      <c r="D1607" s="102" t="str">
        <f t="shared" si="106"/>
        <v/>
      </c>
      <c r="E1607" s="44"/>
      <c r="F1607" s="45"/>
      <c r="G1607" s="45"/>
      <c r="H1607" s="45"/>
      <c r="I1607" s="46"/>
      <c r="J1607" s="111" t="str">
        <f>IF(AND(G1607&lt;&gt;"",ISERROR(VLOOKUP(G1607,Keszlet!$C$5:$H$200,6,FALSE))=FALSE),VLOOKUP(G1607,Keszlet!$C$5:$H$200,6,FALSE),"")</f>
        <v/>
      </c>
      <c r="K1607" s="106" t="str">
        <f>IF(AND(G1607&lt;&gt;"",ISERROR(VLOOKUP(G1607,Keszlet!$C$5:$G$200,5,FALSE))=FALSE),VLOOKUP(G1607,Keszlet!$C$5:$G$200,5,FALSE),"")</f>
        <v/>
      </c>
      <c r="L1607" s="106" t="str">
        <f t="shared" si="107"/>
        <v/>
      </c>
      <c r="M1607" s="115" t="str">
        <f>IF(ISERROR(VLOOKUP(G1607,Keszlet!$C$5:$I$200,7,FALSE))=TRUE,"",IF(AND(J1606&lt;&gt;"",J1608=""),VLOOKUP(G1607,Keszlet!$C$5:$I$200,7,FALSE),""))</f>
        <v/>
      </c>
      <c r="Q1607" s="1">
        <f>VLOOKUP(G1607,Keszlet!$C$5:$E$205,3,FALSE)</f>
        <v>0</v>
      </c>
      <c r="T1607" s="1" t="str">
        <f t="shared" si="108"/>
        <v/>
      </c>
      <c r="U1607" s="1">
        <f t="shared" si="109"/>
        <v>0</v>
      </c>
      <c r="W1607" s="6">
        <f t="shared" si="112"/>
        <v>0</v>
      </c>
      <c r="X1607" s="6">
        <f t="shared" si="104"/>
        <v>0</v>
      </c>
      <c r="Y1607" s="1">
        <f t="shared" si="110"/>
        <v>1</v>
      </c>
      <c r="Z1607" s="1">
        <f>IF(COUNTIF($Y$6:Y1607,Y1607)=1,Y1607,Y1607+COUNTIF($Y$5:Y1606,Y1607))</f>
        <v>602</v>
      </c>
      <c r="AD1607" s="1" t="str">
        <f t="shared" si="111"/>
        <v/>
      </c>
      <c r="BA1607" s="1">
        <f>IF(W1607&lt;=Leltar_iv!$Y$1,I1607,0)</f>
        <v>0</v>
      </c>
    </row>
    <row r="1608" spans="1:53" s="1" customFormat="1" x14ac:dyDescent="0.25">
      <c r="A1608" s="18">
        <f>IF(COUNTIF($Y$6:Y1608,Y1608)=1,Y1608,Y1608+COUNTIF($Y$5:Y1607,Y1608))</f>
        <v>603</v>
      </c>
      <c r="B1608" s="1">
        <f>IF(AND(Kisero_iv!$N$2=C1608,Kisero_iv!$K$5=$B$3,SUM(I1608:L1612)&lt;&gt;0,$B$4=YEAR(W1608)),B1607+1,0)</f>
        <v>0</v>
      </c>
      <c r="C1608" s="1">
        <f t="shared" si="105"/>
        <v>603</v>
      </c>
      <c r="D1608" s="102" t="str">
        <f t="shared" si="106"/>
        <v/>
      </c>
      <c r="E1608" s="44"/>
      <c r="F1608" s="45"/>
      <c r="G1608" s="45"/>
      <c r="H1608" s="45"/>
      <c r="I1608" s="46"/>
      <c r="J1608" s="111" t="str">
        <f>IF(AND(G1608&lt;&gt;"",ISERROR(VLOOKUP(G1608,Keszlet!$C$5:$H$200,6,FALSE))=FALSE),VLOOKUP(G1608,Keszlet!$C$5:$H$200,6,FALSE),"")</f>
        <v/>
      </c>
      <c r="K1608" s="106" t="str">
        <f>IF(AND(G1608&lt;&gt;"",ISERROR(VLOOKUP(G1608,Keszlet!$C$5:$G$200,5,FALSE))=FALSE),VLOOKUP(G1608,Keszlet!$C$5:$G$200,5,FALSE),"")</f>
        <v/>
      </c>
      <c r="L1608" s="106" t="str">
        <f t="shared" si="107"/>
        <v/>
      </c>
      <c r="M1608" s="115" t="str">
        <f>IF(ISERROR(VLOOKUP(G1608,Keszlet!$C$5:$I$200,7,FALSE))=TRUE,"",IF(AND(J1607&lt;&gt;"",J1609=""),VLOOKUP(G1608,Keszlet!$C$5:$I$200,7,FALSE),""))</f>
        <v/>
      </c>
      <c r="Q1608" s="1">
        <f>VLOOKUP(G1608,Keszlet!$C$5:$E$205,3,FALSE)</f>
        <v>0</v>
      </c>
      <c r="T1608" s="1" t="str">
        <f t="shared" si="108"/>
        <v/>
      </c>
      <c r="U1608" s="1">
        <f t="shared" si="109"/>
        <v>0</v>
      </c>
      <c r="W1608" s="6">
        <f t="shared" si="112"/>
        <v>0</v>
      </c>
      <c r="X1608" s="6">
        <f t="shared" si="104"/>
        <v>0</v>
      </c>
      <c r="Y1608" s="1">
        <f t="shared" si="110"/>
        <v>1</v>
      </c>
      <c r="Z1608" s="1">
        <f>IF(COUNTIF($Y$6:Y1608,Y1608)=1,Y1608,Y1608+COUNTIF($Y$5:Y1607,Y1608))</f>
        <v>603</v>
      </c>
      <c r="AD1608" s="1" t="str">
        <f t="shared" si="111"/>
        <v/>
      </c>
      <c r="BA1608" s="1">
        <f>IF(W1608&lt;=Leltar_iv!$Y$1,I1608,0)</f>
        <v>0</v>
      </c>
    </row>
    <row r="1609" spans="1:53" s="1" customFormat="1" x14ac:dyDescent="0.25">
      <c r="A1609" s="18">
        <f>IF(COUNTIF($Y$6:Y1609,Y1609)=1,Y1609,Y1609+COUNTIF($Y$5:Y1608,Y1609))</f>
        <v>604</v>
      </c>
      <c r="B1609" s="1">
        <f>IF(AND(Kisero_iv!$N$2=C1609,Kisero_iv!$K$5=$B$3,SUM(I1609:L1613)&lt;&gt;0,$B$4=YEAR(W1609)),B1608+1,0)</f>
        <v>0</v>
      </c>
      <c r="C1609" s="1">
        <f t="shared" si="105"/>
        <v>604</v>
      </c>
      <c r="D1609" s="102" t="str">
        <f t="shared" si="106"/>
        <v/>
      </c>
      <c r="E1609" s="44"/>
      <c r="F1609" s="45"/>
      <c r="G1609" s="45"/>
      <c r="H1609" s="45"/>
      <c r="I1609" s="46"/>
      <c r="J1609" s="111" t="str">
        <f>IF(AND(G1609&lt;&gt;"",ISERROR(VLOOKUP(G1609,Keszlet!$C$5:$H$200,6,FALSE))=FALSE),VLOOKUP(G1609,Keszlet!$C$5:$H$200,6,FALSE),"")</f>
        <v/>
      </c>
      <c r="K1609" s="106" t="str">
        <f>IF(AND(G1609&lt;&gt;"",ISERROR(VLOOKUP(G1609,Keszlet!$C$5:$G$200,5,FALSE))=FALSE),VLOOKUP(G1609,Keszlet!$C$5:$G$200,5,FALSE),"")</f>
        <v/>
      </c>
      <c r="L1609" s="106" t="str">
        <f t="shared" si="107"/>
        <v/>
      </c>
      <c r="M1609" s="115" t="str">
        <f>IF(ISERROR(VLOOKUP(G1609,Keszlet!$C$5:$I$200,7,FALSE))=TRUE,"",IF(AND(J1608&lt;&gt;"",J1610=""),VLOOKUP(G1609,Keszlet!$C$5:$I$200,7,FALSE),""))</f>
        <v/>
      </c>
      <c r="Q1609" s="1">
        <f>VLOOKUP(G1609,Keszlet!$C$5:$E$205,3,FALSE)</f>
        <v>0</v>
      </c>
      <c r="T1609" s="1" t="str">
        <f t="shared" si="108"/>
        <v/>
      </c>
      <c r="U1609" s="1">
        <f t="shared" si="109"/>
        <v>0</v>
      </c>
      <c r="W1609" s="6">
        <f t="shared" si="112"/>
        <v>0</v>
      </c>
      <c r="X1609" s="6">
        <f t="shared" si="104"/>
        <v>0</v>
      </c>
      <c r="Y1609" s="1">
        <f t="shared" si="110"/>
        <v>1</v>
      </c>
      <c r="Z1609" s="1">
        <f>IF(COUNTIF($Y$6:Y1609,Y1609)=1,Y1609,Y1609+COUNTIF($Y$5:Y1608,Y1609))</f>
        <v>604</v>
      </c>
      <c r="AD1609" s="1" t="str">
        <f t="shared" si="111"/>
        <v/>
      </c>
      <c r="BA1609" s="1">
        <f>IF(W1609&lt;=Leltar_iv!$Y$1,I1609,0)</f>
        <v>0</v>
      </c>
    </row>
    <row r="1610" spans="1:53" s="1" customFormat="1" x14ac:dyDescent="0.25">
      <c r="A1610" s="18">
        <f>IF(COUNTIF($Y$6:Y1610,Y1610)=1,Y1610,Y1610+COUNTIF($Y$5:Y1609,Y1610))</f>
        <v>605</v>
      </c>
      <c r="B1610" s="1">
        <f>IF(AND(Kisero_iv!$N$2=C1610,Kisero_iv!$K$5=$B$3,SUM(I1610:L1614)&lt;&gt;0,$B$4=YEAR(W1610)),B1609+1,0)</f>
        <v>0</v>
      </c>
      <c r="C1610" s="1">
        <f t="shared" si="105"/>
        <v>605</v>
      </c>
      <c r="D1610" s="102" t="str">
        <f t="shared" si="106"/>
        <v/>
      </c>
      <c r="E1610" s="44"/>
      <c r="F1610" s="45"/>
      <c r="G1610" s="45"/>
      <c r="H1610" s="45"/>
      <c r="I1610" s="46"/>
      <c r="J1610" s="111" t="str">
        <f>IF(AND(G1610&lt;&gt;"",ISERROR(VLOOKUP(G1610,Keszlet!$C$5:$H$200,6,FALSE))=FALSE),VLOOKUP(G1610,Keszlet!$C$5:$H$200,6,FALSE),"")</f>
        <v/>
      </c>
      <c r="K1610" s="106" t="str">
        <f>IF(AND(G1610&lt;&gt;"",ISERROR(VLOOKUP(G1610,Keszlet!$C$5:$G$200,5,FALSE))=FALSE),VLOOKUP(G1610,Keszlet!$C$5:$G$200,5,FALSE),"")</f>
        <v/>
      </c>
      <c r="L1610" s="106" t="str">
        <f t="shared" si="107"/>
        <v/>
      </c>
      <c r="M1610" s="115" t="str">
        <f>IF(ISERROR(VLOOKUP(G1610,Keszlet!$C$5:$I$200,7,FALSE))=TRUE,"",IF(AND(J1609&lt;&gt;"",J1611=""),VLOOKUP(G1610,Keszlet!$C$5:$I$200,7,FALSE),""))</f>
        <v/>
      </c>
      <c r="Q1610" s="1">
        <f>VLOOKUP(G1610,Keszlet!$C$5:$E$205,3,FALSE)</f>
        <v>0</v>
      </c>
      <c r="T1610" s="1" t="str">
        <f t="shared" si="108"/>
        <v/>
      </c>
      <c r="U1610" s="1">
        <f t="shared" si="109"/>
        <v>0</v>
      </c>
      <c r="W1610" s="6">
        <f t="shared" si="112"/>
        <v>0</v>
      </c>
      <c r="X1610" s="6">
        <f t="shared" si="104"/>
        <v>0</v>
      </c>
      <c r="Y1610" s="1">
        <f t="shared" si="110"/>
        <v>1</v>
      </c>
      <c r="Z1610" s="1">
        <f>IF(COUNTIF($Y$6:Y1610,Y1610)=1,Y1610,Y1610+COUNTIF($Y$5:Y1609,Y1610))</f>
        <v>605</v>
      </c>
      <c r="AD1610" s="1" t="str">
        <f t="shared" si="111"/>
        <v/>
      </c>
      <c r="BA1610" s="1">
        <f>IF(W1610&lt;=Leltar_iv!$Y$1,I1610,0)</f>
        <v>0</v>
      </c>
    </row>
    <row r="1611" spans="1:53" s="1" customFormat="1" x14ac:dyDescent="0.25">
      <c r="A1611" s="18">
        <f>IF(COUNTIF($Y$6:Y1611,Y1611)=1,Y1611,Y1611+COUNTIF($Y$5:Y1610,Y1611))</f>
        <v>606</v>
      </c>
      <c r="B1611" s="1">
        <f>IF(AND(Kisero_iv!$N$2=C1611,Kisero_iv!$K$5=$B$3,SUM(I1611:L1615)&lt;&gt;0,$B$4=YEAR(W1611)),B1610+1,0)</f>
        <v>0</v>
      </c>
      <c r="C1611" s="1">
        <f t="shared" si="105"/>
        <v>606</v>
      </c>
      <c r="D1611" s="102" t="str">
        <f t="shared" si="106"/>
        <v/>
      </c>
      <c r="E1611" s="44"/>
      <c r="F1611" s="45"/>
      <c r="G1611" s="45"/>
      <c r="H1611" s="45"/>
      <c r="I1611" s="46"/>
      <c r="J1611" s="111" t="str">
        <f>IF(AND(G1611&lt;&gt;"",ISERROR(VLOOKUP(G1611,Keszlet!$C$5:$H$200,6,FALSE))=FALSE),VLOOKUP(G1611,Keszlet!$C$5:$H$200,6,FALSE),"")</f>
        <v/>
      </c>
      <c r="K1611" s="106" t="str">
        <f>IF(AND(G1611&lt;&gt;"",ISERROR(VLOOKUP(G1611,Keszlet!$C$5:$G$200,5,FALSE))=FALSE),VLOOKUP(G1611,Keszlet!$C$5:$G$200,5,FALSE),"")</f>
        <v/>
      </c>
      <c r="L1611" s="106" t="str">
        <f t="shared" si="107"/>
        <v/>
      </c>
      <c r="M1611" s="115" t="str">
        <f>IF(ISERROR(VLOOKUP(G1611,Keszlet!$C$5:$I$200,7,FALSE))=TRUE,"",IF(AND(J1610&lt;&gt;"",J1612=""),VLOOKUP(G1611,Keszlet!$C$5:$I$200,7,FALSE),""))</f>
        <v/>
      </c>
      <c r="Q1611" s="1">
        <f>VLOOKUP(G1611,Keszlet!$C$5:$E$205,3,FALSE)</f>
        <v>0</v>
      </c>
      <c r="T1611" s="1" t="str">
        <f t="shared" si="108"/>
        <v/>
      </c>
      <c r="U1611" s="1">
        <f t="shared" si="109"/>
        <v>0</v>
      </c>
      <c r="W1611" s="6">
        <f t="shared" si="112"/>
        <v>0</v>
      </c>
      <c r="X1611" s="6">
        <f t="shared" si="104"/>
        <v>0</v>
      </c>
      <c r="Y1611" s="1">
        <f t="shared" si="110"/>
        <v>1</v>
      </c>
      <c r="Z1611" s="1">
        <f>IF(COUNTIF($Y$6:Y1611,Y1611)=1,Y1611,Y1611+COUNTIF($Y$5:Y1610,Y1611))</f>
        <v>606</v>
      </c>
      <c r="AD1611" s="1" t="str">
        <f t="shared" si="111"/>
        <v/>
      </c>
      <c r="BA1611" s="1">
        <f>IF(W1611&lt;=Leltar_iv!$Y$1,I1611,0)</f>
        <v>0</v>
      </c>
    </row>
    <row r="1612" spans="1:53" s="1" customFormat="1" x14ac:dyDescent="0.25">
      <c r="A1612" s="18">
        <f>IF(COUNTIF($Y$6:Y1612,Y1612)=1,Y1612,Y1612+COUNTIF($Y$5:Y1611,Y1612))</f>
        <v>607</v>
      </c>
      <c r="B1612" s="1">
        <f>IF(AND(Kisero_iv!$N$2=C1612,Kisero_iv!$K$5=$B$3,SUM(I1612:L1616)&lt;&gt;0,$B$4=YEAR(W1612)),B1611+1,0)</f>
        <v>0</v>
      </c>
      <c r="C1612" s="1">
        <f t="shared" si="105"/>
        <v>607</v>
      </c>
      <c r="D1612" s="102" t="str">
        <f t="shared" si="106"/>
        <v/>
      </c>
      <c r="E1612" s="44"/>
      <c r="F1612" s="45"/>
      <c r="G1612" s="45"/>
      <c r="H1612" s="45"/>
      <c r="I1612" s="46"/>
      <c r="J1612" s="111" t="str">
        <f>IF(AND(G1612&lt;&gt;"",ISERROR(VLOOKUP(G1612,Keszlet!$C$5:$H$200,6,FALSE))=FALSE),VLOOKUP(G1612,Keszlet!$C$5:$H$200,6,FALSE),"")</f>
        <v/>
      </c>
      <c r="K1612" s="106" t="str">
        <f>IF(AND(G1612&lt;&gt;"",ISERROR(VLOOKUP(G1612,Keszlet!$C$5:$G$200,5,FALSE))=FALSE),VLOOKUP(G1612,Keszlet!$C$5:$G$200,5,FALSE),"")</f>
        <v/>
      </c>
      <c r="L1612" s="106" t="str">
        <f t="shared" si="107"/>
        <v/>
      </c>
      <c r="M1612" s="115" t="str">
        <f>IF(ISERROR(VLOOKUP(G1612,Keszlet!$C$5:$I$200,7,FALSE))=TRUE,"",IF(AND(J1611&lt;&gt;"",J1613=""),VLOOKUP(G1612,Keszlet!$C$5:$I$200,7,FALSE),""))</f>
        <v/>
      </c>
      <c r="Q1612" s="1">
        <f>VLOOKUP(G1612,Keszlet!$C$5:$E$205,3,FALSE)</f>
        <v>0</v>
      </c>
      <c r="T1612" s="1" t="str">
        <f t="shared" si="108"/>
        <v/>
      </c>
      <c r="U1612" s="1">
        <f t="shared" si="109"/>
        <v>0</v>
      </c>
      <c r="W1612" s="6">
        <f t="shared" si="112"/>
        <v>0</v>
      </c>
      <c r="X1612" s="6">
        <f t="shared" si="104"/>
        <v>0</v>
      </c>
      <c r="Y1612" s="1">
        <f t="shared" si="110"/>
        <v>1</v>
      </c>
      <c r="Z1612" s="1">
        <f>IF(COUNTIF($Y$6:Y1612,Y1612)=1,Y1612,Y1612+COUNTIF($Y$5:Y1611,Y1612))</f>
        <v>607</v>
      </c>
      <c r="AD1612" s="1" t="str">
        <f t="shared" si="111"/>
        <v/>
      </c>
      <c r="BA1612" s="1">
        <f>IF(W1612&lt;=Leltar_iv!$Y$1,I1612,0)</f>
        <v>0</v>
      </c>
    </row>
    <row r="1613" spans="1:53" s="1" customFormat="1" x14ac:dyDescent="0.25">
      <c r="A1613" s="18">
        <f>IF(COUNTIF($Y$6:Y1613,Y1613)=1,Y1613,Y1613+COUNTIF($Y$5:Y1612,Y1613))</f>
        <v>608</v>
      </c>
      <c r="B1613" s="1">
        <f>IF(AND(Kisero_iv!$N$2=C1613,Kisero_iv!$K$5=$B$3,SUM(I1613:L1617)&lt;&gt;0,$B$4=YEAR(W1613)),B1612+1,0)</f>
        <v>0</v>
      </c>
      <c r="C1613" s="1">
        <f t="shared" si="105"/>
        <v>608</v>
      </c>
      <c r="D1613" s="102" t="str">
        <f t="shared" si="106"/>
        <v/>
      </c>
      <c r="E1613" s="44"/>
      <c r="F1613" s="45"/>
      <c r="G1613" s="45"/>
      <c r="H1613" s="45"/>
      <c r="I1613" s="46"/>
      <c r="J1613" s="111" t="str">
        <f>IF(AND(G1613&lt;&gt;"",ISERROR(VLOOKUP(G1613,Keszlet!$C$5:$H$200,6,FALSE))=FALSE),VLOOKUP(G1613,Keszlet!$C$5:$H$200,6,FALSE),"")</f>
        <v/>
      </c>
      <c r="K1613" s="106" t="str">
        <f>IF(AND(G1613&lt;&gt;"",ISERROR(VLOOKUP(G1613,Keszlet!$C$5:$G$200,5,FALSE))=FALSE),VLOOKUP(G1613,Keszlet!$C$5:$G$200,5,FALSE),"")</f>
        <v/>
      </c>
      <c r="L1613" s="106" t="str">
        <f t="shared" si="107"/>
        <v/>
      </c>
      <c r="M1613" s="115" t="str">
        <f>IF(ISERROR(VLOOKUP(G1613,Keszlet!$C$5:$I$200,7,FALSE))=TRUE,"",IF(AND(J1612&lt;&gt;"",J1614=""),VLOOKUP(G1613,Keszlet!$C$5:$I$200,7,FALSE),""))</f>
        <v/>
      </c>
      <c r="Q1613" s="1">
        <f>VLOOKUP(G1613,Keszlet!$C$5:$E$205,3,FALSE)</f>
        <v>0</v>
      </c>
      <c r="T1613" s="1" t="str">
        <f t="shared" si="108"/>
        <v/>
      </c>
      <c r="U1613" s="1">
        <f t="shared" si="109"/>
        <v>0</v>
      </c>
      <c r="W1613" s="6">
        <f t="shared" si="112"/>
        <v>0</v>
      </c>
      <c r="X1613" s="6">
        <f t="shared" si="104"/>
        <v>0</v>
      </c>
      <c r="Y1613" s="1">
        <f t="shared" si="110"/>
        <v>1</v>
      </c>
      <c r="Z1613" s="1">
        <f>IF(COUNTIF($Y$6:Y1613,Y1613)=1,Y1613,Y1613+COUNTIF($Y$5:Y1612,Y1613))</f>
        <v>608</v>
      </c>
      <c r="AD1613" s="1" t="str">
        <f t="shared" si="111"/>
        <v/>
      </c>
      <c r="BA1613" s="1">
        <f>IF(W1613&lt;=Leltar_iv!$Y$1,I1613,0)</f>
        <v>0</v>
      </c>
    </row>
    <row r="1614" spans="1:53" s="1" customFormat="1" x14ac:dyDescent="0.25">
      <c r="A1614" s="18">
        <f>IF(COUNTIF($Y$6:Y1614,Y1614)=1,Y1614,Y1614+COUNTIF($Y$5:Y1613,Y1614))</f>
        <v>609</v>
      </c>
      <c r="B1614" s="1">
        <f>IF(AND(Kisero_iv!$N$2=C1614,Kisero_iv!$K$5=$B$3,SUM(I1614:L1618)&lt;&gt;0,$B$4=YEAR(W1614)),B1613+1,0)</f>
        <v>0</v>
      </c>
      <c r="C1614" s="1">
        <f t="shared" si="105"/>
        <v>609</v>
      </c>
      <c r="D1614" s="102" t="str">
        <f t="shared" si="106"/>
        <v/>
      </c>
      <c r="E1614" s="44"/>
      <c r="F1614" s="45"/>
      <c r="G1614" s="45"/>
      <c r="H1614" s="45"/>
      <c r="I1614" s="46"/>
      <c r="J1614" s="111" t="str">
        <f>IF(AND(G1614&lt;&gt;"",ISERROR(VLOOKUP(G1614,Keszlet!$C$5:$H$200,6,FALSE))=FALSE),VLOOKUP(G1614,Keszlet!$C$5:$H$200,6,FALSE),"")</f>
        <v/>
      </c>
      <c r="K1614" s="106" t="str">
        <f>IF(AND(G1614&lt;&gt;"",ISERROR(VLOOKUP(G1614,Keszlet!$C$5:$G$200,5,FALSE))=FALSE),VLOOKUP(G1614,Keszlet!$C$5:$G$200,5,FALSE),"")</f>
        <v/>
      </c>
      <c r="L1614" s="106" t="str">
        <f t="shared" si="107"/>
        <v/>
      </c>
      <c r="M1614" s="115" t="str">
        <f>IF(ISERROR(VLOOKUP(G1614,Keszlet!$C$5:$I$200,7,FALSE))=TRUE,"",IF(AND(J1613&lt;&gt;"",J1615=""),VLOOKUP(G1614,Keszlet!$C$5:$I$200,7,FALSE),""))</f>
        <v/>
      </c>
      <c r="Q1614" s="1">
        <f>VLOOKUP(G1614,Keszlet!$C$5:$E$205,3,FALSE)</f>
        <v>0</v>
      </c>
      <c r="T1614" s="1" t="str">
        <f t="shared" si="108"/>
        <v/>
      </c>
      <c r="U1614" s="1">
        <f t="shared" si="109"/>
        <v>0</v>
      </c>
      <c r="W1614" s="6">
        <f t="shared" si="112"/>
        <v>0</v>
      </c>
      <c r="X1614" s="6">
        <f t="shared" si="104"/>
        <v>0</v>
      </c>
      <c r="Y1614" s="1">
        <f t="shared" si="110"/>
        <v>1</v>
      </c>
      <c r="Z1614" s="1">
        <f>IF(COUNTIF($Y$6:Y1614,Y1614)=1,Y1614,Y1614+COUNTIF($Y$5:Y1613,Y1614))</f>
        <v>609</v>
      </c>
      <c r="AD1614" s="1" t="str">
        <f t="shared" si="111"/>
        <v/>
      </c>
      <c r="BA1614" s="1">
        <f>IF(W1614&lt;=Leltar_iv!$Y$1,I1614,0)</f>
        <v>0</v>
      </c>
    </row>
    <row r="1615" spans="1:53" s="1" customFormat="1" x14ac:dyDescent="0.25">
      <c r="A1615" s="18">
        <f>IF(COUNTIF($Y$6:Y1615,Y1615)=1,Y1615,Y1615+COUNTIF($Y$5:Y1614,Y1615))</f>
        <v>610</v>
      </c>
      <c r="B1615" s="1">
        <f>IF(AND(Kisero_iv!$N$2=C1615,Kisero_iv!$K$5=$B$3,SUM(I1615:L1619)&lt;&gt;0,$B$4=YEAR(W1615)),B1614+1,0)</f>
        <v>0</v>
      </c>
      <c r="C1615" s="1">
        <f t="shared" si="105"/>
        <v>610</v>
      </c>
      <c r="D1615" s="102" t="str">
        <f t="shared" si="106"/>
        <v/>
      </c>
      <c r="E1615" s="44"/>
      <c r="F1615" s="45"/>
      <c r="G1615" s="45"/>
      <c r="H1615" s="45"/>
      <c r="I1615" s="46"/>
      <c r="J1615" s="111" t="str">
        <f>IF(AND(G1615&lt;&gt;"",ISERROR(VLOOKUP(G1615,Keszlet!$C$5:$H$200,6,FALSE))=FALSE),VLOOKUP(G1615,Keszlet!$C$5:$H$200,6,FALSE),"")</f>
        <v/>
      </c>
      <c r="K1615" s="106" t="str">
        <f>IF(AND(G1615&lt;&gt;"",ISERROR(VLOOKUP(G1615,Keszlet!$C$5:$G$200,5,FALSE))=FALSE),VLOOKUP(G1615,Keszlet!$C$5:$G$200,5,FALSE),"")</f>
        <v/>
      </c>
      <c r="L1615" s="106" t="str">
        <f t="shared" si="107"/>
        <v/>
      </c>
      <c r="M1615" s="115" t="str">
        <f>IF(ISERROR(VLOOKUP(G1615,Keszlet!$C$5:$I$200,7,FALSE))=TRUE,"",IF(AND(J1614&lt;&gt;"",J1616=""),VLOOKUP(G1615,Keszlet!$C$5:$I$200,7,FALSE),""))</f>
        <v/>
      </c>
      <c r="Q1615" s="1">
        <f>VLOOKUP(G1615,Keszlet!$C$5:$E$205,3,FALSE)</f>
        <v>0</v>
      </c>
      <c r="T1615" s="1" t="str">
        <f t="shared" si="108"/>
        <v/>
      </c>
      <c r="U1615" s="1">
        <f t="shared" si="109"/>
        <v>0</v>
      </c>
      <c r="W1615" s="6">
        <f t="shared" si="112"/>
        <v>0</v>
      </c>
      <c r="X1615" s="6">
        <f t="shared" si="104"/>
        <v>0</v>
      </c>
      <c r="Y1615" s="1">
        <f t="shared" si="110"/>
        <v>1</v>
      </c>
      <c r="Z1615" s="1">
        <f>IF(COUNTIF($Y$6:Y1615,Y1615)=1,Y1615,Y1615+COUNTIF($Y$5:Y1614,Y1615))</f>
        <v>610</v>
      </c>
      <c r="AD1615" s="1" t="str">
        <f t="shared" si="111"/>
        <v/>
      </c>
      <c r="BA1615" s="1">
        <f>IF(W1615&lt;=Leltar_iv!$Y$1,I1615,0)</f>
        <v>0</v>
      </c>
    </row>
    <row r="1616" spans="1:53" s="1" customFormat="1" x14ac:dyDescent="0.25">
      <c r="A1616" s="18">
        <f>IF(COUNTIF($Y$6:Y1616,Y1616)=1,Y1616,Y1616+COUNTIF($Y$5:Y1615,Y1616))</f>
        <v>611</v>
      </c>
      <c r="B1616" s="1">
        <f>IF(AND(Kisero_iv!$N$2=C1616,Kisero_iv!$K$5=$B$3,SUM(I1616:L1620)&lt;&gt;0,$B$4=YEAR(W1616)),B1615+1,0)</f>
        <v>0</v>
      </c>
      <c r="C1616" s="1">
        <f t="shared" si="105"/>
        <v>611</v>
      </c>
      <c r="D1616" s="102" t="str">
        <f t="shared" si="106"/>
        <v/>
      </c>
      <c r="E1616" s="44"/>
      <c r="F1616" s="45"/>
      <c r="G1616" s="45"/>
      <c r="H1616" s="45"/>
      <c r="I1616" s="46"/>
      <c r="J1616" s="111" t="str">
        <f>IF(AND(G1616&lt;&gt;"",ISERROR(VLOOKUP(G1616,Keszlet!$C$5:$H$200,6,FALSE))=FALSE),VLOOKUP(G1616,Keszlet!$C$5:$H$200,6,FALSE),"")</f>
        <v/>
      </c>
      <c r="K1616" s="106" t="str">
        <f>IF(AND(G1616&lt;&gt;"",ISERROR(VLOOKUP(G1616,Keszlet!$C$5:$G$200,5,FALSE))=FALSE),VLOOKUP(G1616,Keszlet!$C$5:$G$200,5,FALSE),"")</f>
        <v/>
      </c>
      <c r="L1616" s="106" t="str">
        <f t="shared" si="107"/>
        <v/>
      </c>
      <c r="M1616" s="115" t="str">
        <f>IF(ISERROR(VLOOKUP(G1616,Keszlet!$C$5:$I$200,7,FALSE))=TRUE,"",IF(AND(J1615&lt;&gt;"",J1617=""),VLOOKUP(G1616,Keszlet!$C$5:$I$200,7,FALSE),""))</f>
        <v/>
      </c>
      <c r="Q1616" s="1">
        <f>VLOOKUP(G1616,Keszlet!$C$5:$E$205,3,FALSE)</f>
        <v>0</v>
      </c>
      <c r="T1616" s="1" t="str">
        <f t="shared" si="108"/>
        <v/>
      </c>
      <c r="U1616" s="1">
        <f t="shared" si="109"/>
        <v>0</v>
      </c>
      <c r="W1616" s="6">
        <f t="shared" si="112"/>
        <v>0</v>
      </c>
      <c r="X1616" s="6">
        <f t="shared" si="104"/>
        <v>0</v>
      </c>
      <c r="Y1616" s="1">
        <f t="shared" si="110"/>
        <v>1</v>
      </c>
      <c r="Z1616" s="1">
        <f>IF(COUNTIF($Y$6:Y1616,Y1616)=1,Y1616,Y1616+COUNTIF($Y$5:Y1615,Y1616))</f>
        <v>611</v>
      </c>
      <c r="AD1616" s="1" t="str">
        <f t="shared" si="111"/>
        <v/>
      </c>
      <c r="BA1616" s="1">
        <f>IF(W1616&lt;=Leltar_iv!$Y$1,I1616,0)</f>
        <v>0</v>
      </c>
    </row>
    <row r="1617" spans="1:53" s="1" customFormat="1" x14ac:dyDescent="0.25">
      <c r="A1617" s="18">
        <f>IF(COUNTIF($Y$6:Y1617,Y1617)=1,Y1617,Y1617+COUNTIF($Y$5:Y1616,Y1617))</f>
        <v>612</v>
      </c>
      <c r="B1617" s="1">
        <f>IF(AND(Kisero_iv!$N$2=C1617,Kisero_iv!$K$5=$B$3,SUM(I1617:L1621)&lt;&gt;0,$B$4=YEAR(W1617)),B1616+1,0)</f>
        <v>0</v>
      </c>
      <c r="C1617" s="1">
        <f t="shared" si="105"/>
        <v>612</v>
      </c>
      <c r="D1617" s="102" t="str">
        <f t="shared" si="106"/>
        <v/>
      </c>
      <c r="E1617" s="44"/>
      <c r="F1617" s="45"/>
      <c r="G1617" s="45"/>
      <c r="H1617" s="45"/>
      <c r="I1617" s="46"/>
      <c r="J1617" s="111" t="str">
        <f>IF(AND(G1617&lt;&gt;"",ISERROR(VLOOKUP(G1617,Keszlet!$C$5:$H$200,6,FALSE))=FALSE),VLOOKUP(G1617,Keszlet!$C$5:$H$200,6,FALSE),"")</f>
        <v/>
      </c>
      <c r="K1617" s="106" t="str">
        <f>IF(AND(G1617&lt;&gt;"",ISERROR(VLOOKUP(G1617,Keszlet!$C$5:$G$200,5,FALSE))=FALSE),VLOOKUP(G1617,Keszlet!$C$5:$G$200,5,FALSE),"")</f>
        <v/>
      </c>
      <c r="L1617" s="106" t="str">
        <f t="shared" si="107"/>
        <v/>
      </c>
      <c r="M1617" s="115" t="str">
        <f>IF(ISERROR(VLOOKUP(G1617,Keszlet!$C$5:$I$200,7,FALSE))=TRUE,"",IF(AND(J1616&lt;&gt;"",J1618=""),VLOOKUP(G1617,Keszlet!$C$5:$I$200,7,FALSE),""))</f>
        <v/>
      </c>
      <c r="Q1617" s="1">
        <f>VLOOKUP(G1617,Keszlet!$C$5:$E$205,3,FALSE)</f>
        <v>0</v>
      </c>
      <c r="T1617" s="1" t="str">
        <f t="shared" si="108"/>
        <v/>
      </c>
      <c r="U1617" s="1">
        <f t="shared" si="109"/>
        <v>0</v>
      </c>
      <c r="W1617" s="6">
        <f t="shared" si="112"/>
        <v>0</v>
      </c>
      <c r="X1617" s="6">
        <f t="shared" si="104"/>
        <v>0</v>
      </c>
      <c r="Y1617" s="1">
        <f t="shared" si="110"/>
        <v>1</v>
      </c>
      <c r="Z1617" s="1">
        <f>IF(COUNTIF($Y$6:Y1617,Y1617)=1,Y1617,Y1617+COUNTIF($Y$5:Y1616,Y1617))</f>
        <v>612</v>
      </c>
      <c r="AD1617" s="1" t="str">
        <f t="shared" si="111"/>
        <v/>
      </c>
      <c r="BA1617" s="1">
        <f>IF(W1617&lt;=Leltar_iv!$Y$1,I1617,0)</f>
        <v>0</v>
      </c>
    </row>
    <row r="1618" spans="1:53" s="1" customFormat="1" x14ac:dyDescent="0.25">
      <c r="A1618" s="18">
        <f>IF(COUNTIF($Y$6:Y1618,Y1618)=1,Y1618,Y1618+COUNTIF($Y$5:Y1617,Y1618))</f>
        <v>613</v>
      </c>
      <c r="B1618" s="1">
        <f>IF(AND(Kisero_iv!$N$2=C1618,Kisero_iv!$K$5=$B$3,SUM(I1618:L1622)&lt;&gt;0,$B$4=YEAR(W1618)),B1617+1,0)</f>
        <v>0</v>
      </c>
      <c r="C1618" s="1">
        <f t="shared" si="105"/>
        <v>613</v>
      </c>
      <c r="D1618" s="102" t="str">
        <f t="shared" si="106"/>
        <v/>
      </c>
      <c r="E1618" s="44"/>
      <c r="F1618" s="45"/>
      <c r="G1618" s="45"/>
      <c r="H1618" s="45"/>
      <c r="I1618" s="46"/>
      <c r="J1618" s="111" t="str">
        <f>IF(AND(G1618&lt;&gt;"",ISERROR(VLOOKUP(G1618,Keszlet!$C$5:$H$200,6,FALSE))=FALSE),VLOOKUP(G1618,Keszlet!$C$5:$H$200,6,FALSE),"")</f>
        <v/>
      </c>
      <c r="K1618" s="106" t="str">
        <f>IF(AND(G1618&lt;&gt;"",ISERROR(VLOOKUP(G1618,Keszlet!$C$5:$G$200,5,FALSE))=FALSE),VLOOKUP(G1618,Keszlet!$C$5:$G$200,5,FALSE),"")</f>
        <v/>
      </c>
      <c r="L1618" s="106" t="str">
        <f t="shared" si="107"/>
        <v/>
      </c>
      <c r="M1618" s="115" t="str">
        <f>IF(ISERROR(VLOOKUP(G1618,Keszlet!$C$5:$I$200,7,FALSE))=TRUE,"",IF(AND(J1617&lt;&gt;"",J1619=""),VLOOKUP(G1618,Keszlet!$C$5:$I$200,7,FALSE),""))</f>
        <v/>
      </c>
      <c r="Q1618" s="1">
        <f>VLOOKUP(G1618,Keszlet!$C$5:$E$205,3,FALSE)</f>
        <v>0</v>
      </c>
      <c r="T1618" s="1" t="str">
        <f t="shared" si="108"/>
        <v/>
      </c>
      <c r="U1618" s="1">
        <f t="shared" si="109"/>
        <v>0</v>
      </c>
      <c r="W1618" s="6">
        <f t="shared" si="112"/>
        <v>0</v>
      </c>
      <c r="X1618" s="6">
        <f t="shared" si="104"/>
        <v>0</v>
      </c>
      <c r="Y1618" s="1">
        <f t="shared" si="110"/>
        <v>1</v>
      </c>
      <c r="Z1618" s="1">
        <f>IF(COUNTIF($Y$6:Y1618,Y1618)=1,Y1618,Y1618+COUNTIF($Y$5:Y1617,Y1618))</f>
        <v>613</v>
      </c>
      <c r="AD1618" s="1" t="str">
        <f t="shared" si="111"/>
        <v/>
      </c>
      <c r="BA1618" s="1">
        <f>IF(W1618&lt;=Leltar_iv!$Y$1,I1618,0)</f>
        <v>0</v>
      </c>
    </row>
    <row r="1619" spans="1:53" s="1" customFormat="1" x14ac:dyDescent="0.25">
      <c r="A1619" s="18">
        <f>IF(COUNTIF($Y$6:Y1619,Y1619)=1,Y1619,Y1619+COUNTIF($Y$5:Y1618,Y1619))</f>
        <v>614</v>
      </c>
      <c r="B1619" s="1">
        <f>IF(AND(Kisero_iv!$N$2=C1619,Kisero_iv!$K$5=$B$3,SUM(I1619:L1623)&lt;&gt;0,$B$4=YEAR(W1619)),B1618+1,0)</f>
        <v>0</v>
      </c>
      <c r="C1619" s="1">
        <f t="shared" si="105"/>
        <v>614</v>
      </c>
      <c r="D1619" s="102" t="str">
        <f t="shared" si="106"/>
        <v/>
      </c>
      <c r="E1619" s="44"/>
      <c r="F1619" s="45"/>
      <c r="G1619" s="45"/>
      <c r="H1619" s="45"/>
      <c r="I1619" s="46"/>
      <c r="J1619" s="111" t="str">
        <f>IF(AND(G1619&lt;&gt;"",ISERROR(VLOOKUP(G1619,Keszlet!$C$5:$H$200,6,FALSE))=FALSE),VLOOKUP(G1619,Keszlet!$C$5:$H$200,6,FALSE),"")</f>
        <v/>
      </c>
      <c r="K1619" s="106" t="str">
        <f>IF(AND(G1619&lt;&gt;"",ISERROR(VLOOKUP(G1619,Keszlet!$C$5:$G$200,5,FALSE))=FALSE),VLOOKUP(G1619,Keszlet!$C$5:$G$200,5,FALSE),"")</f>
        <v/>
      </c>
      <c r="L1619" s="106" t="str">
        <f t="shared" si="107"/>
        <v/>
      </c>
      <c r="M1619" s="115" t="str">
        <f>IF(ISERROR(VLOOKUP(G1619,Keszlet!$C$5:$I$200,7,FALSE))=TRUE,"",IF(AND(J1618&lt;&gt;"",J1620=""),VLOOKUP(G1619,Keszlet!$C$5:$I$200,7,FALSE),""))</f>
        <v/>
      </c>
      <c r="Q1619" s="1">
        <f>VLOOKUP(G1619,Keszlet!$C$5:$E$205,3,FALSE)</f>
        <v>0</v>
      </c>
      <c r="T1619" s="1" t="str">
        <f t="shared" si="108"/>
        <v/>
      </c>
      <c r="U1619" s="1">
        <f t="shared" si="109"/>
        <v>0</v>
      </c>
      <c r="W1619" s="6">
        <f t="shared" si="112"/>
        <v>0</v>
      </c>
      <c r="X1619" s="6">
        <f t="shared" si="104"/>
        <v>0</v>
      </c>
      <c r="Y1619" s="1">
        <f t="shared" si="110"/>
        <v>1</v>
      </c>
      <c r="Z1619" s="1">
        <f>IF(COUNTIF($Y$6:Y1619,Y1619)=1,Y1619,Y1619+COUNTIF($Y$5:Y1618,Y1619))</f>
        <v>614</v>
      </c>
      <c r="AD1619" s="1" t="str">
        <f t="shared" si="111"/>
        <v/>
      </c>
      <c r="BA1619" s="1">
        <f>IF(W1619&lt;=Leltar_iv!$Y$1,I1619,0)</f>
        <v>0</v>
      </c>
    </row>
    <row r="1620" spans="1:53" s="1" customFormat="1" x14ac:dyDescent="0.25">
      <c r="A1620" s="18">
        <f>IF(COUNTIF($Y$6:Y1620,Y1620)=1,Y1620,Y1620+COUNTIF($Y$5:Y1619,Y1620))</f>
        <v>615</v>
      </c>
      <c r="B1620" s="1">
        <f>IF(AND(Kisero_iv!$N$2=C1620,Kisero_iv!$K$5=$B$3,SUM(I1620:L1624)&lt;&gt;0,$B$4=YEAR(W1620)),B1619+1,0)</f>
        <v>0</v>
      </c>
      <c r="C1620" s="1">
        <f t="shared" si="105"/>
        <v>615</v>
      </c>
      <c r="D1620" s="102" t="str">
        <f t="shared" si="106"/>
        <v/>
      </c>
      <c r="E1620" s="44"/>
      <c r="F1620" s="45"/>
      <c r="G1620" s="45"/>
      <c r="H1620" s="45"/>
      <c r="I1620" s="46"/>
      <c r="J1620" s="111" t="str">
        <f>IF(AND(G1620&lt;&gt;"",ISERROR(VLOOKUP(G1620,Keszlet!$C$5:$H$200,6,FALSE))=FALSE),VLOOKUP(G1620,Keszlet!$C$5:$H$200,6,FALSE),"")</f>
        <v/>
      </c>
      <c r="K1620" s="106" t="str">
        <f>IF(AND(G1620&lt;&gt;"",ISERROR(VLOOKUP(G1620,Keszlet!$C$5:$G$200,5,FALSE))=FALSE),VLOOKUP(G1620,Keszlet!$C$5:$G$200,5,FALSE),"")</f>
        <v/>
      </c>
      <c r="L1620" s="106" t="str">
        <f t="shared" si="107"/>
        <v/>
      </c>
      <c r="M1620" s="115" t="str">
        <f>IF(ISERROR(VLOOKUP(G1620,Keszlet!$C$5:$I$200,7,FALSE))=TRUE,"",IF(AND(J1619&lt;&gt;"",J1621=""),VLOOKUP(G1620,Keszlet!$C$5:$I$200,7,FALSE),""))</f>
        <v/>
      </c>
      <c r="Q1620" s="1">
        <f>VLOOKUP(G1620,Keszlet!$C$5:$E$205,3,FALSE)</f>
        <v>0</v>
      </c>
      <c r="T1620" s="1" t="str">
        <f t="shared" si="108"/>
        <v/>
      </c>
      <c r="U1620" s="1">
        <f t="shared" si="109"/>
        <v>0</v>
      </c>
      <c r="W1620" s="6">
        <f t="shared" si="112"/>
        <v>0</v>
      </c>
      <c r="X1620" s="6">
        <f t="shared" si="104"/>
        <v>0</v>
      </c>
      <c r="Y1620" s="1">
        <f t="shared" si="110"/>
        <v>1</v>
      </c>
      <c r="Z1620" s="1">
        <f>IF(COUNTIF($Y$6:Y1620,Y1620)=1,Y1620,Y1620+COUNTIF($Y$5:Y1619,Y1620))</f>
        <v>615</v>
      </c>
      <c r="AD1620" s="1" t="str">
        <f t="shared" si="111"/>
        <v/>
      </c>
      <c r="BA1620" s="1">
        <f>IF(W1620&lt;=Leltar_iv!$Y$1,I1620,0)</f>
        <v>0</v>
      </c>
    </row>
    <row r="1621" spans="1:53" s="1" customFormat="1" x14ac:dyDescent="0.25">
      <c r="A1621" s="18">
        <f>IF(COUNTIF($Y$6:Y1621,Y1621)=1,Y1621,Y1621+COUNTIF($Y$5:Y1620,Y1621))</f>
        <v>616</v>
      </c>
      <c r="B1621" s="1">
        <f>IF(AND(Kisero_iv!$N$2=C1621,Kisero_iv!$K$5=$B$3,SUM(I1621:L1625)&lt;&gt;0,$B$4=YEAR(W1621)),B1620+1,0)</f>
        <v>0</v>
      </c>
      <c r="C1621" s="1">
        <f t="shared" si="105"/>
        <v>616</v>
      </c>
      <c r="D1621" s="102" t="str">
        <f t="shared" si="106"/>
        <v/>
      </c>
      <c r="E1621" s="44"/>
      <c r="F1621" s="45"/>
      <c r="G1621" s="45"/>
      <c r="H1621" s="45"/>
      <c r="I1621" s="46"/>
      <c r="J1621" s="111" t="str">
        <f>IF(AND(G1621&lt;&gt;"",ISERROR(VLOOKUP(G1621,Keszlet!$C$5:$H$200,6,FALSE))=FALSE),VLOOKUP(G1621,Keszlet!$C$5:$H$200,6,FALSE),"")</f>
        <v/>
      </c>
      <c r="K1621" s="106" t="str">
        <f>IF(AND(G1621&lt;&gt;"",ISERROR(VLOOKUP(G1621,Keszlet!$C$5:$G$200,5,FALSE))=FALSE),VLOOKUP(G1621,Keszlet!$C$5:$G$200,5,FALSE),"")</f>
        <v/>
      </c>
      <c r="L1621" s="106" t="str">
        <f t="shared" si="107"/>
        <v/>
      </c>
      <c r="M1621" s="115" t="str">
        <f>IF(ISERROR(VLOOKUP(G1621,Keszlet!$C$5:$I$200,7,FALSE))=TRUE,"",IF(AND(J1620&lt;&gt;"",J1622=""),VLOOKUP(G1621,Keszlet!$C$5:$I$200,7,FALSE),""))</f>
        <v/>
      </c>
      <c r="Q1621" s="1">
        <f>VLOOKUP(G1621,Keszlet!$C$5:$E$205,3,FALSE)</f>
        <v>0</v>
      </c>
      <c r="T1621" s="1" t="str">
        <f t="shared" si="108"/>
        <v/>
      </c>
      <c r="U1621" s="1">
        <f t="shared" si="109"/>
        <v>0</v>
      </c>
      <c r="W1621" s="6">
        <f t="shared" si="112"/>
        <v>0</v>
      </c>
      <c r="X1621" s="6">
        <f t="shared" si="104"/>
        <v>0</v>
      </c>
      <c r="Y1621" s="1">
        <f t="shared" si="110"/>
        <v>1</v>
      </c>
      <c r="Z1621" s="1">
        <f>IF(COUNTIF($Y$6:Y1621,Y1621)=1,Y1621,Y1621+COUNTIF($Y$5:Y1620,Y1621))</f>
        <v>616</v>
      </c>
      <c r="AD1621" s="1" t="str">
        <f t="shared" si="111"/>
        <v/>
      </c>
      <c r="BA1621" s="1">
        <f>IF(W1621&lt;=Leltar_iv!$Y$1,I1621,0)</f>
        <v>0</v>
      </c>
    </row>
    <row r="1622" spans="1:53" s="1" customFormat="1" x14ac:dyDescent="0.25">
      <c r="A1622" s="18">
        <f>IF(COUNTIF($Y$6:Y1622,Y1622)=1,Y1622,Y1622+COUNTIF($Y$5:Y1621,Y1622))</f>
        <v>617</v>
      </c>
      <c r="B1622" s="1">
        <f>IF(AND(Kisero_iv!$N$2=C1622,Kisero_iv!$K$5=$B$3,SUM(I1622:L1626)&lt;&gt;0,$B$4=YEAR(W1622)),B1621+1,0)</f>
        <v>0</v>
      </c>
      <c r="C1622" s="1">
        <f t="shared" si="105"/>
        <v>617</v>
      </c>
      <c r="D1622" s="102" t="str">
        <f t="shared" si="106"/>
        <v/>
      </c>
      <c r="E1622" s="44"/>
      <c r="F1622" s="45"/>
      <c r="G1622" s="45"/>
      <c r="H1622" s="45"/>
      <c r="I1622" s="46"/>
      <c r="J1622" s="111" t="str">
        <f>IF(AND(G1622&lt;&gt;"",ISERROR(VLOOKUP(G1622,Keszlet!$C$5:$H$200,6,FALSE))=FALSE),VLOOKUP(G1622,Keszlet!$C$5:$H$200,6,FALSE),"")</f>
        <v/>
      </c>
      <c r="K1622" s="106" t="str">
        <f>IF(AND(G1622&lt;&gt;"",ISERROR(VLOOKUP(G1622,Keszlet!$C$5:$G$200,5,FALSE))=FALSE),VLOOKUP(G1622,Keszlet!$C$5:$G$200,5,FALSE),"")</f>
        <v/>
      </c>
      <c r="L1622" s="106" t="str">
        <f t="shared" si="107"/>
        <v/>
      </c>
      <c r="M1622" s="115" t="str">
        <f>IF(ISERROR(VLOOKUP(G1622,Keszlet!$C$5:$I$200,7,FALSE))=TRUE,"",IF(AND(J1621&lt;&gt;"",J1623=""),VLOOKUP(G1622,Keszlet!$C$5:$I$200,7,FALSE),""))</f>
        <v/>
      </c>
      <c r="Q1622" s="1">
        <f>VLOOKUP(G1622,Keszlet!$C$5:$E$205,3,FALSE)</f>
        <v>0</v>
      </c>
      <c r="T1622" s="1" t="str">
        <f t="shared" si="108"/>
        <v/>
      </c>
      <c r="U1622" s="1">
        <f t="shared" si="109"/>
        <v>0</v>
      </c>
      <c r="W1622" s="6">
        <f t="shared" si="112"/>
        <v>0</v>
      </c>
      <c r="X1622" s="6">
        <f t="shared" si="104"/>
        <v>0</v>
      </c>
      <c r="Y1622" s="1">
        <f t="shared" si="110"/>
        <v>1</v>
      </c>
      <c r="Z1622" s="1">
        <f>IF(COUNTIF($Y$6:Y1622,Y1622)=1,Y1622,Y1622+COUNTIF($Y$5:Y1621,Y1622))</f>
        <v>617</v>
      </c>
      <c r="AD1622" s="1" t="str">
        <f t="shared" si="111"/>
        <v/>
      </c>
      <c r="BA1622" s="1">
        <f>IF(W1622&lt;=Leltar_iv!$Y$1,I1622,0)</f>
        <v>0</v>
      </c>
    </row>
    <row r="1623" spans="1:53" s="1" customFormat="1" x14ac:dyDescent="0.25">
      <c r="A1623" s="18">
        <f>IF(COUNTIF($Y$6:Y1623,Y1623)=1,Y1623,Y1623+COUNTIF($Y$5:Y1622,Y1623))</f>
        <v>618</v>
      </c>
      <c r="B1623" s="1">
        <f>IF(AND(Kisero_iv!$N$2=C1623,Kisero_iv!$K$5=$B$3,SUM(I1623:L1627)&lt;&gt;0,$B$4=YEAR(W1623)),B1622+1,0)</f>
        <v>0</v>
      </c>
      <c r="C1623" s="1">
        <f t="shared" si="105"/>
        <v>618</v>
      </c>
      <c r="D1623" s="102" t="str">
        <f t="shared" si="106"/>
        <v/>
      </c>
      <c r="E1623" s="44"/>
      <c r="F1623" s="45"/>
      <c r="G1623" s="45"/>
      <c r="H1623" s="45"/>
      <c r="I1623" s="46"/>
      <c r="J1623" s="111" t="str">
        <f>IF(AND(G1623&lt;&gt;"",ISERROR(VLOOKUP(G1623,Keszlet!$C$5:$H$200,6,FALSE))=FALSE),VLOOKUP(G1623,Keszlet!$C$5:$H$200,6,FALSE),"")</f>
        <v/>
      </c>
      <c r="K1623" s="106" t="str">
        <f>IF(AND(G1623&lt;&gt;"",ISERROR(VLOOKUP(G1623,Keszlet!$C$5:$G$200,5,FALSE))=FALSE),VLOOKUP(G1623,Keszlet!$C$5:$G$200,5,FALSE),"")</f>
        <v/>
      </c>
      <c r="L1623" s="106" t="str">
        <f t="shared" si="107"/>
        <v/>
      </c>
      <c r="M1623" s="115" t="str">
        <f>IF(ISERROR(VLOOKUP(G1623,Keszlet!$C$5:$I$200,7,FALSE))=TRUE,"",IF(AND(J1622&lt;&gt;"",J1624=""),VLOOKUP(G1623,Keszlet!$C$5:$I$200,7,FALSE),""))</f>
        <v/>
      </c>
      <c r="Q1623" s="1">
        <f>VLOOKUP(G1623,Keszlet!$C$5:$E$205,3,FALSE)</f>
        <v>0</v>
      </c>
      <c r="T1623" s="1" t="str">
        <f t="shared" si="108"/>
        <v/>
      </c>
      <c r="U1623" s="1">
        <f t="shared" si="109"/>
        <v>0</v>
      </c>
      <c r="W1623" s="6">
        <f t="shared" si="112"/>
        <v>0</v>
      </c>
      <c r="X1623" s="6">
        <f t="shared" si="104"/>
        <v>0</v>
      </c>
      <c r="Y1623" s="1">
        <f t="shared" si="110"/>
        <v>1</v>
      </c>
      <c r="Z1623" s="1">
        <f>IF(COUNTIF($Y$6:Y1623,Y1623)=1,Y1623,Y1623+COUNTIF($Y$5:Y1622,Y1623))</f>
        <v>618</v>
      </c>
      <c r="AD1623" s="1" t="str">
        <f t="shared" si="111"/>
        <v/>
      </c>
      <c r="BA1623" s="1">
        <f>IF(W1623&lt;=Leltar_iv!$Y$1,I1623,0)</f>
        <v>0</v>
      </c>
    </row>
    <row r="1624" spans="1:53" s="1" customFormat="1" x14ac:dyDescent="0.25">
      <c r="A1624" s="18">
        <f>IF(COUNTIF($Y$6:Y1624,Y1624)=1,Y1624,Y1624+COUNTIF($Y$5:Y1623,Y1624))</f>
        <v>619</v>
      </c>
      <c r="B1624" s="1">
        <f>IF(AND(Kisero_iv!$N$2=C1624,Kisero_iv!$K$5=$B$3,SUM(I1624:L1628)&lt;&gt;0,$B$4=YEAR(W1624)),B1623+1,0)</f>
        <v>0</v>
      </c>
      <c r="C1624" s="1">
        <f t="shared" si="105"/>
        <v>619</v>
      </c>
      <c r="D1624" s="102" t="str">
        <f t="shared" si="106"/>
        <v/>
      </c>
      <c r="E1624" s="44"/>
      <c r="F1624" s="45"/>
      <c r="G1624" s="45"/>
      <c r="H1624" s="45"/>
      <c r="I1624" s="46"/>
      <c r="J1624" s="111" t="str">
        <f>IF(AND(G1624&lt;&gt;"",ISERROR(VLOOKUP(G1624,Keszlet!$C$5:$H$200,6,FALSE))=FALSE),VLOOKUP(G1624,Keszlet!$C$5:$H$200,6,FALSE),"")</f>
        <v/>
      </c>
      <c r="K1624" s="106" t="str">
        <f>IF(AND(G1624&lt;&gt;"",ISERROR(VLOOKUP(G1624,Keszlet!$C$5:$G$200,5,FALSE))=FALSE),VLOOKUP(G1624,Keszlet!$C$5:$G$200,5,FALSE),"")</f>
        <v/>
      </c>
      <c r="L1624" s="106" t="str">
        <f t="shared" si="107"/>
        <v/>
      </c>
      <c r="M1624" s="115" t="str">
        <f>IF(ISERROR(VLOOKUP(G1624,Keszlet!$C$5:$I$200,7,FALSE))=TRUE,"",IF(AND(J1623&lt;&gt;"",J1625=""),VLOOKUP(G1624,Keszlet!$C$5:$I$200,7,FALSE),""))</f>
        <v/>
      </c>
      <c r="Q1624" s="1">
        <f>VLOOKUP(G1624,Keszlet!$C$5:$E$205,3,FALSE)</f>
        <v>0</v>
      </c>
      <c r="T1624" s="1" t="str">
        <f t="shared" si="108"/>
        <v/>
      </c>
      <c r="U1624" s="1">
        <f t="shared" si="109"/>
        <v>0</v>
      </c>
      <c r="W1624" s="6">
        <f t="shared" si="112"/>
        <v>0</v>
      </c>
      <c r="X1624" s="6">
        <f t="shared" si="104"/>
        <v>0</v>
      </c>
      <c r="Y1624" s="1">
        <f t="shared" si="110"/>
        <v>1</v>
      </c>
      <c r="Z1624" s="1">
        <f>IF(COUNTIF($Y$6:Y1624,Y1624)=1,Y1624,Y1624+COUNTIF($Y$5:Y1623,Y1624))</f>
        <v>619</v>
      </c>
      <c r="AD1624" s="1" t="str">
        <f t="shared" si="111"/>
        <v/>
      </c>
      <c r="BA1624" s="1">
        <f>IF(W1624&lt;=Leltar_iv!$Y$1,I1624,0)</f>
        <v>0</v>
      </c>
    </row>
    <row r="1625" spans="1:53" s="1" customFormat="1" x14ac:dyDescent="0.25">
      <c r="A1625" s="18">
        <f>IF(COUNTIF($Y$6:Y1625,Y1625)=1,Y1625,Y1625+COUNTIF($Y$5:Y1624,Y1625))</f>
        <v>620</v>
      </c>
      <c r="B1625" s="1">
        <f>IF(AND(Kisero_iv!$N$2=C1625,Kisero_iv!$K$5=$B$3,SUM(I1625:L1629)&lt;&gt;0,$B$4=YEAR(W1625)),B1624+1,0)</f>
        <v>0</v>
      </c>
      <c r="C1625" s="1">
        <f t="shared" si="105"/>
        <v>620</v>
      </c>
      <c r="D1625" s="102" t="str">
        <f t="shared" si="106"/>
        <v/>
      </c>
      <c r="E1625" s="44"/>
      <c r="F1625" s="45"/>
      <c r="G1625" s="45"/>
      <c r="H1625" s="45"/>
      <c r="I1625" s="46"/>
      <c r="J1625" s="111" t="str">
        <f>IF(AND(G1625&lt;&gt;"",ISERROR(VLOOKUP(G1625,Keszlet!$C$5:$H$200,6,FALSE))=FALSE),VLOOKUP(G1625,Keszlet!$C$5:$H$200,6,FALSE),"")</f>
        <v/>
      </c>
      <c r="K1625" s="106" t="str">
        <f>IF(AND(G1625&lt;&gt;"",ISERROR(VLOOKUP(G1625,Keszlet!$C$5:$G$200,5,FALSE))=FALSE),VLOOKUP(G1625,Keszlet!$C$5:$G$200,5,FALSE),"")</f>
        <v/>
      </c>
      <c r="L1625" s="106" t="str">
        <f t="shared" si="107"/>
        <v/>
      </c>
      <c r="M1625" s="115" t="str">
        <f>IF(ISERROR(VLOOKUP(G1625,Keszlet!$C$5:$I$200,7,FALSE))=TRUE,"",IF(AND(J1624&lt;&gt;"",J1626=""),VLOOKUP(G1625,Keszlet!$C$5:$I$200,7,FALSE),""))</f>
        <v/>
      </c>
      <c r="Q1625" s="1">
        <f>VLOOKUP(G1625,Keszlet!$C$5:$E$205,3,FALSE)</f>
        <v>0</v>
      </c>
      <c r="T1625" s="1" t="str">
        <f t="shared" si="108"/>
        <v/>
      </c>
      <c r="U1625" s="1">
        <f t="shared" si="109"/>
        <v>0</v>
      </c>
      <c r="W1625" s="6">
        <f t="shared" si="112"/>
        <v>0</v>
      </c>
      <c r="X1625" s="6">
        <f t="shared" si="104"/>
        <v>0</v>
      </c>
      <c r="Y1625" s="1">
        <f t="shared" si="110"/>
        <v>1</v>
      </c>
      <c r="Z1625" s="1">
        <f>IF(COUNTIF($Y$6:Y1625,Y1625)=1,Y1625,Y1625+COUNTIF($Y$5:Y1624,Y1625))</f>
        <v>620</v>
      </c>
      <c r="AD1625" s="1" t="str">
        <f t="shared" si="111"/>
        <v/>
      </c>
      <c r="BA1625" s="1">
        <f>IF(W1625&lt;=Leltar_iv!$Y$1,I1625,0)</f>
        <v>0</v>
      </c>
    </row>
    <row r="1626" spans="1:53" s="1" customFormat="1" x14ac:dyDescent="0.25">
      <c r="A1626" s="18">
        <f>IF(COUNTIF($Y$6:Y1626,Y1626)=1,Y1626,Y1626+COUNTIF($Y$5:Y1625,Y1626))</f>
        <v>621</v>
      </c>
      <c r="B1626" s="1">
        <f>IF(AND(Kisero_iv!$N$2=C1626,Kisero_iv!$K$5=$B$3,SUM(I1626:L1630)&lt;&gt;0,$B$4=YEAR(W1626)),B1625+1,0)</f>
        <v>0</v>
      </c>
      <c r="C1626" s="1">
        <f t="shared" si="105"/>
        <v>621</v>
      </c>
      <c r="D1626" s="102" t="str">
        <f t="shared" si="106"/>
        <v/>
      </c>
      <c r="E1626" s="44"/>
      <c r="F1626" s="45"/>
      <c r="G1626" s="45"/>
      <c r="H1626" s="45"/>
      <c r="I1626" s="46"/>
      <c r="J1626" s="111" t="str">
        <f>IF(AND(G1626&lt;&gt;"",ISERROR(VLOOKUP(G1626,Keszlet!$C$5:$H$200,6,FALSE))=FALSE),VLOOKUP(G1626,Keszlet!$C$5:$H$200,6,FALSE),"")</f>
        <v/>
      </c>
      <c r="K1626" s="106" t="str">
        <f>IF(AND(G1626&lt;&gt;"",ISERROR(VLOOKUP(G1626,Keszlet!$C$5:$G$200,5,FALSE))=FALSE),VLOOKUP(G1626,Keszlet!$C$5:$G$200,5,FALSE),"")</f>
        <v/>
      </c>
      <c r="L1626" s="106" t="str">
        <f t="shared" si="107"/>
        <v/>
      </c>
      <c r="M1626" s="115" t="str">
        <f>IF(ISERROR(VLOOKUP(G1626,Keszlet!$C$5:$I$200,7,FALSE))=TRUE,"",IF(AND(J1625&lt;&gt;"",J1627=""),VLOOKUP(G1626,Keszlet!$C$5:$I$200,7,FALSE),""))</f>
        <v/>
      </c>
      <c r="Q1626" s="1">
        <f>VLOOKUP(G1626,Keszlet!$C$5:$E$205,3,FALSE)</f>
        <v>0</v>
      </c>
      <c r="T1626" s="1" t="str">
        <f t="shared" si="108"/>
        <v/>
      </c>
      <c r="U1626" s="1">
        <f t="shared" si="109"/>
        <v>0</v>
      </c>
      <c r="W1626" s="6">
        <f t="shared" si="112"/>
        <v>0</v>
      </c>
      <c r="X1626" s="6">
        <f t="shared" si="104"/>
        <v>0</v>
      </c>
      <c r="Y1626" s="1">
        <f t="shared" si="110"/>
        <v>1</v>
      </c>
      <c r="Z1626" s="1">
        <f>IF(COUNTIF($Y$6:Y1626,Y1626)=1,Y1626,Y1626+COUNTIF($Y$5:Y1625,Y1626))</f>
        <v>621</v>
      </c>
      <c r="AD1626" s="1" t="str">
        <f t="shared" si="111"/>
        <v/>
      </c>
      <c r="BA1626" s="1">
        <f>IF(W1626&lt;=Leltar_iv!$Y$1,I1626,0)</f>
        <v>0</v>
      </c>
    </row>
    <row r="1627" spans="1:53" s="1" customFormat="1" x14ac:dyDescent="0.25">
      <c r="A1627" s="18">
        <f>IF(COUNTIF($Y$6:Y1627,Y1627)=1,Y1627,Y1627+COUNTIF($Y$5:Y1626,Y1627))</f>
        <v>622</v>
      </c>
      <c r="B1627" s="1">
        <f>IF(AND(Kisero_iv!$N$2=C1627,Kisero_iv!$K$5=$B$3,SUM(I1627:L1631)&lt;&gt;0,$B$4=YEAR(W1627)),B1626+1,0)</f>
        <v>0</v>
      </c>
      <c r="C1627" s="1">
        <f t="shared" si="105"/>
        <v>622</v>
      </c>
      <c r="D1627" s="102" t="str">
        <f t="shared" si="106"/>
        <v/>
      </c>
      <c r="E1627" s="44"/>
      <c r="F1627" s="45"/>
      <c r="G1627" s="45"/>
      <c r="H1627" s="45"/>
      <c r="I1627" s="46"/>
      <c r="J1627" s="111" t="str">
        <f>IF(AND(G1627&lt;&gt;"",ISERROR(VLOOKUP(G1627,Keszlet!$C$5:$H$200,6,FALSE))=FALSE),VLOOKUP(G1627,Keszlet!$C$5:$H$200,6,FALSE),"")</f>
        <v/>
      </c>
      <c r="K1627" s="106" t="str">
        <f>IF(AND(G1627&lt;&gt;"",ISERROR(VLOOKUP(G1627,Keszlet!$C$5:$G$200,5,FALSE))=FALSE),VLOOKUP(G1627,Keszlet!$C$5:$G$200,5,FALSE),"")</f>
        <v/>
      </c>
      <c r="L1627" s="106" t="str">
        <f t="shared" si="107"/>
        <v/>
      </c>
      <c r="M1627" s="115" t="str">
        <f>IF(ISERROR(VLOOKUP(G1627,Keszlet!$C$5:$I$200,7,FALSE))=TRUE,"",IF(AND(J1626&lt;&gt;"",J1628=""),VLOOKUP(G1627,Keszlet!$C$5:$I$200,7,FALSE),""))</f>
        <v/>
      </c>
      <c r="Q1627" s="1">
        <f>VLOOKUP(G1627,Keszlet!$C$5:$E$205,3,FALSE)</f>
        <v>0</v>
      </c>
      <c r="T1627" s="1" t="str">
        <f t="shared" si="108"/>
        <v/>
      </c>
      <c r="U1627" s="1">
        <f t="shared" si="109"/>
        <v>0</v>
      </c>
      <c r="W1627" s="6">
        <f t="shared" si="112"/>
        <v>0</v>
      </c>
      <c r="X1627" s="6">
        <f t="shared" si="104"/>
        <v>0</v>
      </c>
      <c r="Y1627" s="1">
        <f t="shared" si="110"/>
        <v>1</v>
      </c>
      <c r="Z1627" s="1">
        <f>IF(COUNTIF($Y$6:Y1627,Y1627)=1,Y1627,Y1627+COUNTIF($Y$5:Y1626,Y1627))</f>
        <v>622</v>
      </c>
      <c r="AD1627" s="1" t="str">
        <f t="shared" si="111"/>
        <v/>
      </c>
      <c r="BA1627" s="1">
        <f>IF(W1627&lt;=Leltar_iv!$Y$1,I1627,0)</f>
        <v>0</v>
      </c>
    </row>
    <row r="1628" spans="1:53" s="1" customFormat="1" x14ac:dyDescent="0.25">
      <c r="A1628" s="18">
        <f>IF(COUNTIF($Y$6:Y1628,Y1628)=1,Y1628,Y1628+COUNTIF($Y$5:Y1627,Y1628))</f>
        <v>623</v>
      </c>
      <c r="B1628" s="1">
        <f>IF(AND(Kisero_iv!$N$2=C1628,Kisero_iv!$K$5=$B$3,SUM(I1628:L1632)&lt;&gt;0,$B$4=YEAR(W1628)),B1627+1,0)</f>
        <v>0</v>
      </c>
      <c r="C1628" s="1">
        <f t="shared" si="105"/>
        <v>623</v>
      </c>
      <c r="D1628" s="102" t="str">
        <f t="shared" si="106"/>
        <v/>
      </c>
      <c r="E1628" s="44"/>
      <c r="F1628" s="45"/>
      <c r="G1628" s="45"/>
      <c r="H1628" s="45"/>
      <c r="I1628" s="46"/>
      <c r="J1628" s="111" t="str">
        <f>IF(AND(G1628&lt;&gt;"",ISERROR(VLOOKUP(G1628,Keszlet!$C$5:$H$200,6,FALSE))=FALSE),VLOOKUP(G1628,Keszlet!$C$5:$H$200,6,FALSE),"")</f>
        <v/>
      </c>
      <c r="K1628" s="106" t="str">
        <f>IF(AND(G1628&lt;&gt;"",ISERROR(VLOOKUP(G1628,Keszlet!$C$5:$G$200,5,FALSE))=FALSE),VLOOKUP(G1628,Keszlet!$C$5:$G$200,5,FALSE),"")</f>
        <v/>
      </c>
      <c r="L1628" s="106" t="str">
        <f t="shared" si="107"/>
        <v/>
      </c>
      <c r="M1628" s="115" t="str">
        <f>IF(ISERROR(VLOOKUP(G1628,Keszlet!$C$5:$I$200,7,FALSE))=TRUE,"",IF(AND(J1627&lt;&gt;"",J1629=""),VLOOKUP(G1628,Keszlet!$C$5:$I$200,7,FALSE),""))</f>
        <v/>
      </c>
      <c r="Q1628" s="1">
        <f>VLOOKUP(G1628,Keszlet!$C$5:$E$205,3,FALSE)</f>
        <v>0</v>
      </c>
      <c r="T1628" s="1" t="str">
        <f t="shared" si="108"/>
        <v/>
      </c>
      <c r="U1628" s="1">
        <f t="shared" si="109"/>
        <v>0</v>
      </c>
      <c r="W1628" s="6">
        <f t="shared" si="112"/>
        <v>0</v>
      </c>
      <c r="X1628" s="6">
        <f t="shared" si="104"/>
        <v>0</v>
      </c>
      <c r="Y1628" s="1">
        <f t="shared" si="110"/>
        <v>1</v>
      </c>
      <c r="Z1628" s="1">
        <f>IF(COUNTIF($Y$6:Y1628,Y1628)=1,Y1628,Y1628+COUNTIF($Y$5:Y1627,Y1628))</f>
        <v>623</v>
      </c>
      <c r="AD1628" s="1" t="str">
        <f t="shared" si="111"/>
        <v/>
      </c>
      <c r="BA1628" s="1">
        <f>IF(W1628&lt;=Leltar_iv!$Y$1,I1628,0)</f>
        <v>0</v>
      </c>
    </row>
    <row r="1629" spans="1:53" s="1" customFormat="1" x14ac:dyDescent="0.25">
      <c r="A1629" s="18">
        <f>IF(COUNTIF($Y$6:Y1629,Y1629)=1,Y1629,Y1629+COUNTIF($Y$5:Y1628,Y1629))</f>
        <v>624</v>
      </c>
      <c r="B1629" s="1">
        <f>IF(AND(Kisero_iv!$N$2=C1629,Kisero_iv!$K$5=$B$3,SUM(I1629:L1633)&lt;&gt;0,$B$4=YEAR(W1629)),B1628+1,0)</f>
        <v>0</v>
      </c>
      <c r="C1629" s="1">
        <f t="shared" si="105"/>
        <v>624</v>
      </c>
      <c r="D1629" s="102" t="str">
        <f t="shared" si="106"/>
        <v/>
      </c>
      <c r="E1629" s="44"/>
      <c r="F1629" s="45"/>
      <c r="G1629" s="45"/>
      <c r="H1629" s="45"/>
      <c r="I1629" s="46"/>
      <c r="J1629" s="111" t="str">
        <f>IF(AND(G1629&lt;&gt;"",ISERROR(VLOOKUP(G1629,Keszlet!$C$5:$H$200,6,FALSE))=FALSE),VLOOKUP(G1629,Keszlet!$C$5:$H$200,6,FALSE),"")</f>
        <v/>
      </c>
      <c r="K1629" s="106" t="str">
        <f>IF(AND(G1629&lt;&gt;"",ISERROR(VLOOKUP(G1629,Keszlet!$C$5:$G$200,5,FALSE))=FALSE),VLOOKUP(G1629,Keszlet!$C$5:$G$200,5,FALSE),"")</f>
        <v/>
      </c>
      <c r="L1629" s="106" t="str">
        <f t="shared" si="107"/>
        <v/>
      </c>
      <c r="M1629" s="115" t="str">
        <f>IF(ISERROR(VLOOKUP(G1629,Keszlet!$C$5:$I$200,7,FALSE))=TRUE,"",IF(AND(J1628&lt;&gt;"",J1630=""),VLOOKUP(G1629,Keszlet!$C$5:$I$200,7,FALSE),""))</f>
        <v/>
      </c>
      <c r="Q1629" s="1">
        <f>VLOOKUP(G1629,Keszlet!$C$5:$E$205,3,FALSE)</f>
        <v>0</v>
      </c>
      <c r="T1629" s="1" t="str">
        <f t="shared" si="108"/>
        <v/>
      </c>
      <c r="U1629" s="1">
        <f t="shared" si="109"/>
        <v>0</v>
      </c>
      <c r="W1629" s="6">
        <f t="shared" si="112"/>
        <v>0</v>
      </c>
      <c r="X1629" s="6">
        <f t="shared" si="104"/>
        <v>0</v>
      </c>
      <c r="Y1629" s="1">
        <f t="shared" si="110"/>
        <v>1</v>
      </c>
      <c r="Z1629" s="1">
        <f>IF(COUNTIF($Y$6:Y1629,Y1629)=1,Y1629,Y1629+COUNTIF($Y$5:Y1628,Y1629))</f>
        <v>624</v>
      </c>
      <c r="AD1629" s="1" t="str">
        <f t="shared" si="111"/>
        <v/>
      </c>
      <c r="BA1629" s="1">
        <f>IF(W1629&lt;=Leltar_iv!$Y$1,I1629,0)</f>
        <v>0</v>
      </c>
    </row>
    <row r="1630" spans="1:53" s="1" customFormat="1" x14ac:dyDescent="0.25">
      <c r="A1630" s="18">
        <f>IF(COUNTIF($Y$6:Y1630,Y1630)=1,Y1630,Y1630+COUNTIF($Y$5:Y1629,Y1630))</f>
        <v>625</v>
      </c>
      <c r="B1630" s="1">
        <f>IF(AND(Kisero_iv!$N$2=C1630,Kisero_iv!$K$5=$B$3,SUM(I1630:L1634)&lt;&gt;0,$B$4=YEAR(W1630)),B1629+1,0)</f>
        <v>0</v>
      </c>
      <c r="C1630" s="1">
        <f t="shared" si="105"/>
        <v>625</v>
      </c>
      <c r="D1630" s="102" t="str">
        <f t="shared" si="106"/>
        <v/>
      </c>
      <c r="E1630" s="44"/>
      <c r="F1630" s="45"/>
      <c r="G1630" s="45"/>
      <c r="H1630" s="45"/>
      <c r="I1630" s="46"/>
      <c r="J1630" s="111" t="str">
        <f>IF(AND(G1630&lt;&gt;"",ISERROR(VLOOKUP(G1630,Keszlet!$C$5:$H$200,6,FALSE))=FALSE),VLOOKUP(G1630,Keszlet!$C$5:$H$200,6,FALSE),"")</f>
        <v/>
      </c>
      <c r="K1630" s="106" t="str">
        <f>IF(AND(G1630&lt;&gt;"",ISERROR(VLOOKUP(G1630,Keszlet!$C$5:$G$200,5,FALSE))=FALSE),VLOOKUP(G1630,Keszlet!$C$5:$G$200,5,FALSE),"")</f>
        <v/>
      </c>
      <c r="L1630" s="106" t="str">
        <f t="shared" si="107"/>
        <v/>
      </c>
      <c r="M1630" s="115" t="str">
        <f>IF(ISERROR(VLOOKUP(G1630,Keszlet!$C$5:$I$200,7,FALSE))=TRUE,"",IF(AND(J1629&lt;&gt;"",J1631=""),VLOOKUP(G1630,Keszlet!$C$5:$I$200,7,FALSE),""))</f>
        <v/>
      </c>
      <c r="Q1630" s="1">
        <f>VLOOKUP(G1630,Keszlet!$C$5:$E$205,3,FALSE)</f>
        <v>0</v>
      </c>
      <c r="T1630" s="1" t="str">
        <f t="shared" si="108"/>
        <v/>
      </c>
      <c r="U1630" s="1">
        <f t="shared" si="109"/>
        <v>0</v>
      </c>
      <c r="W1630" s="6">
        <f t="shared" si="112"/>
        <v>0</v>
      </c>
      <c r="X1630" s="6">
        <f t="shared" si="104"/>
        <v>0</v>
      </c>
      <c r="Y1630" s="1">
        <f t="shared" si="110"/>
        <v>1</v>
      </c>
      <c r="Z1630" s="1">
        <f>IF(COUNTIF($Y$6:Y1630,Y1630)=1,Y1630,Y1630+COUNTIF($Y$5:Y1629,Y1630))</f>
        <v>625</v>
      </c>
      <c r="AD1630" s="1" t="str">
        <f t="shared" si="111"/>
        <v/>
      </c>
      <c r="BA1630" s="1">
        <f>IF(W1630&lt;=Leltar_iv!$Y$1,I1630,0)</f>
        <v>0</v>
      </c>
    </row>
    <row r="1631" spans="1:53" s="1" customFormat="1" x14ac:dyDescent="0.25">
      <c r="A1631" s="18">
        <f>IF(COUNTIF($Y$6:Y1631,Y1631)=1,Y1631,Y1631+COUNTIF($Y$5:Y1630,Y1631))</f>
        <v>626</v>
      </c>
      <c r="B1631" s="1">
        <f>IF(AND(Kisero_iv!$N$2=C1631,Kisero_iv!$K$5=$B$3,SUM(I1631:L1635)&lt;&gt;0,$B$4=YEAR(W1631)),B1630+1,0)</f>
        <v>0</v>
      </c>
      <c r="C1631" s="1">
        <f t="shared" si="105"/>
        <v>626</v>
      </c>
      <c r="D1631" s="102" t="str">
        <f t="shared" si="106"/>
        <v/>
      </c>
      <c r="E1631" s="44"/>
      <c r="F1631" s="45"/>
      <c r="G1631" s="45"/>
      <c r="H1631" s="45"/>
      <c r="I1631" s="46"/>
      <c r="J1631" s="111" t="str">
        <f>IF(AND(G1631&lt;&gt;"",ISERROR(VLOOKUP(G1631,Keszlet!$C$5:$H$200,6,FALSE))=FALSE),VLOOKUP(G1631,Keszlet!$C$5:$H$200,6,FALSE),"")</f>
        <v/>
      </c>
      <c r="K1631" s="106" t="str">
        <f>IF(AND(G1631&lt;&gt;"",ISERROR(VLOOKUP(G1631,Keszlet!$C$5:$G$200,5,FALSE))=FALSE),VLOOKUP(G1631,Keszlet!$C$5:$G$200,5,FALSE),"")</f>
        <v/>
      </c>
      <c r="L1631" s="106" t="str">
        <f t="shared" si="107"/>
        <v/>
      </c>
      <c r="M1631" s="115" t="str">
        <f>IF(ISERROR(VLOOKUP(G1631,Keszlet!$C$5:$I$200,7,FALSE))=TRUE,"",IF(AND(J1630&lt;&gt;"",J1632=""),VLOOKUP(G1631,Keszlet!$C$5:$I$200,7,FALSE),""))</f>
        <v/>
      </c>
      <c r="Q1631" s="1">
        <f>VLOOKUP(G1631,Keszlet!$C$5:$E$205,3,FALSE)</f>
        <v>0</v>
      </c>
      <c r="T1631" s="1" t="str">
        <f t="shared" si="108"/>
        <v/>
      </c>
      <c r="U1631" s="1">
        <f t="shared" si="109"/>
        <v>0</v>
      </c>
      <c r="W1631" s="6">
        <f t="shared" si="112"/>
        <v>0</v>
      </c>
      <c r="X1631" s="6">
        <f t="shared" si="104"/>
        <v>0</v>
      </c>
      <c r="Y1631" s="1">
        <f t="shared" si="110"/>
        <v>1</v>
      </c>
      <c r="Z1631" s="1">
        <f>IF(COUNTIF($Y$6:Y1631,Y1631)=1,Y1631,Y1631+COUNTIF($Y$5:Y1630,Y1631))</f>
        <v>626</v>
      </c>
      <c r="AD1631" s="1" t="str">
        <f t="shared" si="111"/>
        <v/>
      </c>
      <c r="BA1631" s="1">
        <f>IF(W1631&lt;=Leltar_iv!$Y$1,I1631,0)</f>
        <v>0</v>
      </c>
    </row>
    <row r="1632" spans="1:53" s="1" customFormat="1" x14ac:dyDescent="0.25">
      <c r="A1632" s="18">
        <f>IF(COUNTIF($Y$6:Y1632,Y1632)=1,Y1632,Y1632+COUNTIF($Y$5:Y1631,Y1632))</f>
        <v>627</v>
      </c>
      <c r="B1632" s="1">
        <f>IF(AND(Kisero_iv!$N$2=C1632,Kisero_iv!$K$5=$B$3,SUM(I1632:L1636)&lt;&gt;0,$B$4=YEAR(W1632)),B1631+1,0)</f>
        <v>0</v>
      </c>
      <c r="C1632" s="1">
        <f t="shared" si="105"/>
        <v>627</v>
      </c>
      <c r="D1632" s="102" t="str">
        <f t="shared" si="106"/>
        <v/>
      </c>
      <c r="E1632" s="44"/>
      <c r="F1632" s="45"/>
      <c r="G1632" s="45"/>
      <c r="H1632" s="45"/>
      <c r="I1632" s="46"/>
      <c r="J1632" s="111" t="str">
        <f>IF(AND(G1632&lt;&gt;"",ISERROR(VLOOKUP(G1632,Keszlet!$C$5:$H$200,6,FALSE))=FALSE),VLOOKUP(G1632,Keszlet!$C$5:$H$200,6,FALSE),"")</f>
        <v/>
      </c>
      <c r="K1632" s="106" t="str">
        <f>IF(AND(G1632&lt;&gt;"",ISERROR(VLOOKUP(G1632,Keszlet!$C$5:$G$200,5,FALSE))=FALSE),VLOOKUP(G1632,Keszlet!$C$5:$G$200,5,FALSE),"")</f>
        <v/>
      </c>
      <c r="L1632" s="106" t="str">
        <f t="shared" si="107"/>
        <v/>
      </c>
      <c r="M1632" s="115" t="str">
        <f>IF(ISERROR(VLOOKUP(G1632,Keszlet!$C$5:$I$200,7,FALSE))=TRUE,"",IF(AND(J1631&lt;&gt;"",J1633=""),VLOOKUP(G1632,Keszlet!$C$5:$I$200,7,FALSE),""))</f>
        <v/>
      </c>
      <c r="Q1632" s="1">
        <f>VLOOKUP(G1632,Keszlet!$C$5:$E$205,3,FALSE)</f>
        <v>0</v>
      </c>
      <c r="T1632" s="1" t="str">
        <f t="shared" si="108"/>
        <v/>
      </c>
      <c r="U1632" s="1">
        <f t="shared" si="109"/>
        <v>0</v>
      </c>
      <c r="W1632" s="6">
        <f t="shared" si="112"/>
        <v>0</v>
      </c>
      <c r="X1632" s="6">
        <f t="shared" si="104"/>
        <v>0</v>
      </c>
      <c r="Y1632" s="1">
        <f t="shared" si="110"/>
        <v>1</v>
      </c>
      <c r="Z1632" s="1">
        <f>IF(COUNTIF($Y$6:Y1632,Y1632)=1,Y1632,Y1632+COUNTIF($Y$5:Y1631,Y1632))</f>
        <v>627</v>
      </c>
      <c r="AD1632" s="1" t="str">
        <f t="shared" si="111"/>
        <v/>
      </c>
      <c r="BA1632" s="1">
        <f>IF(W1632&lt;=Leltar_iv!$Y$1,I1632,0)</f>
        <v>0</v>
      </c>
    </row>
    <row r="1633" spans="1:53" s="1" customFormat="1" x14ac:dyDescent="0.25">
      <c r="A1633" s="18">
        <f>IF(COUNTIF($Y$6:Y1633,Y1633)=1,Y1633,Y1633+COUNTIF($Y$5:Y1632,Y1633))</f>
        <v>628</v>
      </c>
      <c r="B1633" s="1">
        <f>IF(AND(Kisero_iv!$N$2=C1633,Kisero_iv!$K$5=$B$3,SUM(I1633:L1637)&lt;&gt;0,$B$4=YEAR(W1633)),B1632+1,0)</f>
        <v>0</v>
      </c>
      <c r="C1633" s="1">
        <f t="shared" si="105"/>
        <v>628</v>
      </c>
      <c r="D1633" s="102" t="str">
        <f t="shared" si="106"/>
        <v/>
      </c>
      <c r="E1633" s="44"/>
      <c r="F1633" s="45"/>
      <c r="G1633" s="45"/>
      <c r="H1633" s="45"/>
      <c r="I1633" s="46"/>
      <c r="J1633" s="111" t="str">
        <f>IF(AND(G1633&lt;&gt;"",ISERROR(VLOOKUP(G1633,Keszlet!$C$5:$H$200,6,FALSE))=FALSE),VLOOKUP(G1633,Keszlet!$C$5:$H$200,6,FALSE),"")</f>
        <v/>
      </c>
      <c r="K1633" s="106" t="str">
        <f>IF(AND(G1633&lt;&gt;"",ISERROR(VLOOKUP(G1633,Keszlet!$C$5:$G$200,5,FALSE))=FALSE),VLOOKUP(G1633,Keszlet!$C$5:$G$200,5,FALSE),"")</f>
        <v/>
      </c>
      <c r="L1633" s="106" t="str">
        <f t="shared" si="107"/>
        <v/>
      </c>
      <c r="M1633" s="115" t="str">
        <f>IF(ISERROR(VLOOKUP(G1633,Keszlet!$C$5:$I$200,7,FALSE))=TRUE,"",IF(AND(J1632&lt;&gt;"",J1634=""),VLOOKUP(G1633,Keszlet!$C$5:$I$200,7,FALSE),""))</f>
        <v/>
      </c>
      <c r="Q1633" s="1">
        <f>VLOOKUP(G1633,Keszlet!$C$5:$E$205,3,FALSE)</f>
        <v>0</v>
      </c>
      <c r="T1633" s="1" t="str">
        <f t="shared" si="108"/>
        <v/>
      </c>
      <c r="U1633" s="1">
        <f t="shared" si="109"/>
        <v>0</v>
      </c>
      <c r="W1633" s="6">
        <f t="shared" si="112"/>
        <v>0</v>
      </c>
      <c r="X1633" s="6">
        <f t="shared" si="104"/>
        <v>0</v>
      </c>
      <c r="Y1633" s="1">
        <f t="shared" si="110"/>
        <v>1</v>
      </c>
      <c r="Z1633" s="1">
        <f>IF(COUNTIF($Y$6:Y1633,Y1633)=1,Y1633,Y1633+COUNTIF($Y$5:Y1632,Y1633))</f>
        <v>628</v>
      </c>
      <c r="AD1633" s="1" t="str">
        <f t="shared" si="111"/>
        <v/>
      </c>
      <c r="BA1633" s="1">
        <f>IF(W1633&lt;=Leltar_iv!$Y$1,I1633,0)</f>
        <v>0</v>
      </c>
    </row>
    <row r="1634" spans="1:53" s="1" customFormat="1" x14ac:dyDescent="0.25">
      <c r="A1634" s="18">
        <f>IF(COUNTIF($Y$6:Y1634,Y1634)=1,Y1634,Y1634+COUNTIF($Y$5:Y1633,Y1634))</f>
        <v>629</v>
      </c>
      <c r="B1634" s="1">
        <f>IF(AND(Kisero_iv!$N$2=C1634,Kisero_iv!$K$5=$B$3,SUM(I1634:L1638)&lt;&gt;0,$B$4=YEAR(W1634)),B1633+1,0)</f>
        <v>0</v>
      </c>
      <c r="C1634" s="1">
        <f t="shared" si="105"/>
        <v>629</v>
      </c>
      <c r="D1634" s="102" t="str">
        <f t="shared" si="106"/>
        <v/>
      </c>
      <c r="E1634" s="44"/>
      <c r="F1634" s="45"/>
      <c r="G1634" s="45"/>
      <c r="H1634" s="45"/>
      <c r="I1634" s="46"/>
      <c r="J1634" s="111" t="str">
        <f>IF(AND(G1634&lt;&gt;"",ISERROR(VLOOKUP(G1634,Keszlet!$C$5:$H$200,6,FALSE))=FALSE),VLOOKUP(G1634,Keszlet!$C$5:$H$200,6,FALSE),"")</f>
        <v/>
      </c>
      <c r="K1634" s="106" t="str">
        <f>IF(AND(G1634&lt;&gt;"",ISERROR(VLOOKUP(G1634,Keszlet!$C$5:$G$200,5,FALSE))=FALSE),VLOOKUP(G1634,Keszlet!$C$5:$G$200,5,FALSE),"")</f>
        <v/>
      </c>
      <c r="L1634" s="106" t="str">
        <f t="shared" si="107"/>
        <v/>
      </c>
      <c r="M1634" s="115" t="str">
        <f>IF(ISERROR(VLOOKUP(G1634,Keszlet!$C$5:$I$200,7,FALSE))=TRUE,"",IF(AND(J1633&lt;&gt;"",J1635=""),VLOOKUP(G1634,Keszlet!$C$5:$I$200,7,FALSE),""))</f>
        <v/>
      </c>
      <c r="Q1634" s="1">
        <f>VLOOKUP(G1634,Keszlet!$C$5:$E$205,3,FALSE)</f>
        <v>0</v>
      </c>
      <c r="T1634" s="1" t="str">
        <f t="shared" si="108"/>
        <v/>
      </c>
      <c r="U1634" s="1">
        <f t="shared" si="109"/>
        <v>0</v>
      </c>
      <c r="W1634" s="6">
        <f t="shared" si="112"/>
        <v>0</v>
      </c>
      <c r="X1634" s="6">
        <f t="shared" si="104"/>
        <v>0</v>
      </c>
      <c r="Y1634" s="1">
        <f t="shared" si="110"/>
        <v>1</v>
      </c>
      <c r="Z1634" s="1">
        <f>IF(COUNTIF($Y$6:Y1634,Y1634)=1,Y1634,Y1634+COUNTIF($Y$5:Y1633,Y1634))</f>
        <v>629</v>
      </c>
      <c r="AD1634" s="1" t="str">
        <f t="shared" si="111"/>
        <v/>
      </c>
      <c r="BA1634" s="1">
        <f>IF(W1634&lt;=Leltar_iv!$Y$1,I1634,0)</f>
        <v>0</v>
      </c>
    </row>
    <row r="1635" spans="1:53" s="1" customFormat="1" x14ac:dyDescent="0.25">
      <c r="A1635" s="18">
        <f>IF(COUNTIF($Y$6:Y1635,Y1635)=1,Y1635,Y1635+COUNTIF($Y$5:Y1634,Y1635))</f>
        <v>630</v>
      </c>
      <c r="B1635" s="1">
        <f>IF(AND(Kisero_iv!$N$2=C1635,Kisero_iv!$K$5=$B$3,SUM(I1635:L1639)&lt;&gt;0,$B$4=YEAR(W1635)),B1634+1,0)</f>
        <v>0</v>
      </c>
      <c r="C1635" s="1">
        <f t="shared" si="105"/>
        <v>630</v>
      </c>
      <c r="D1635" s="102" t="str">
        <f t="shared" si="106"/>
        <v/>
      </c>
      <c r="E1635" s="44"/>
      <c r="F1635" s="45"/>
      <c r="G1635" s="45"/>
      <c r="H1635" s="45"/>
      <c r="I1635" s="46"/>
      <c r="J1635" s="111" t="str">
        <f>IF(AND(G1635&lt;&gt;"",ISERROR(VLOOKUP(G1635,Keszlet!$C$5:$H$200,6,FALSE))=FALSE),VLOOKUP(G1635,Keszlet!$C$5:$H$200,6,FALSE),"")</f>
        <v/>
      </c>
      <c r="K1635" s="106" t="str">
        <f>IF(AND(G1635&lt;&gt;"",ISERROR(VLOOKUP(G1635,Keszlet!$C$5:$G$200,5,FALSE))=FALSE),VLOOKUP(G1635,Keszlet!$C$5:$G$200,5,FALSE),"")</f>
        <v/>
      </c>
      <c r="L1635" s="106" t="str">
        <f t="shared" si="107"/>
        <v/>
      </c>
      <c r="M1635" s="115" t="str">
        <f>IF(ISERROR(VLOOKUP(G1635,Keszlet!$C$5:$I$200,7,FALSE))=TRUE,"",IF(AND(J1634&lt;&gt;"",J1636=""),VLOOKUP(G1635,Keszlet!$C$5:$I$200,7,FALSE),""))</f>
        <v/>
      </c>
      <c r="Q1635" s="1">
        <f>VLOOKUP(G1635,Keszlet!$C$5:$E$205,3,FALSE)</f>
        <v>0</v>
      </c>
      <c r="T1635" s="1" t="str">
        <f t="shared" si="108"/>
        <v/>
      </c>
      <c r="U1635" s="1">
        <f t="shared" si="109"/>
        <v>0</v>
      </c>
      <c r="W1635" s="6">
        <f t="shared" si="112"/>
        <v>0</v>
      </c>
      <c r="X1635" s="6">
        <f t="shared" si="104"/>
        <v>0</v>
      </c>
      <c r="Y1635" s="1">
        <f t="shared" si="110"/>
        <v>1</v>
      </c>
      <c r="Z1635" s="1">
        <f>IF(COUNTIF($Y$6:Y1635,Y1635)=1,Y1635,Y1635+COUNTIF($Y$5:Y1634,Y1635))</f>
        <v>630</v>
      </c>
      <c r="AD1635" s="1" t="str">
        <f t="shared" si="111"/>
        <v/>
      </c>
      <c r="BA1635" s="1">
        <f>IF(W1635&lt;=Leltar_iv!$Y$1,I1635,0)</f>
        <v>0</v>
      </c>
    </row>
    <row r="1636" spans="1:53" s="1" customFormat="1" x14ac:dyDescent="0.25">
      <c r="A1636" s="18">
        <f>IF(COUNTIF($Y$6:Y1636,Y1636)=1,Y1636,Y1636+COUNTIF($Y$5:Y1635,Y1636))</f>
        <v>631</v>
      </c>
      <c r="B1636" s="1">
        <f>IF(AND(Kisero_iv!$N$2=C1636,Kisero_iv!$K$5=$B$3,SUM(I1636:L1640)&lt;&gt;0,$B$4=YEAR(W1636)),B1635+1,0)</f>
        <v>0</v>
      </c>
      <c r="C1636" s="1">
        <f t="shared" si="105"/>
        <v>631</v>
      </c>
      <c r="D1636" s="102" t="str">
        <f t="shared" si="106"/>
        <v/>
      </c>
      <c r="E1636" s="44"/>
      <c r="F1636" s="45"/>
      <c r="G1636" s="45"/>
      <c r="H1636" s="45"/>
      <c r="I1636" s="46"/>
      <c r="J1636" s="111" t="str">
        <f>IF(AND(G1636&lt;&gt;"",ISERROR(VLOOKUP(G1636,Keszlet!$C$5:$H$200,6,FALSE))=FALSE),VLOOKUP(G1636,Keszlet!$C$5:$H$200,6,FALSE),"")</f>
        <v/>
      </c>
      <c r="K1636" s="106" t="str">
        <f>IF(AND(G1636&lt;&gt;"",ISERROR(VLOOKUP(G1636,Keszlet!$C$5:$G$200,5,FALSE))=FALSE),VLOOKUP(G1636,Keszlet!$C$5:$G$200,5,FALSE),"")</f>
        <v/>
      </c>
      <c r="L1636" s="106" t="str">
        <f t="shared" si="107"/>
        <v/>
      </c>
      <c r="M1636" s="115" t="str">
        <f>IF(ISERROR(VLOOKUP(G1636,Keszlet!$C$5:$I$200,7,FALSE))=TRUE,"",IF(AND(J1635&lt;&gt;"",J1637=""),VLOOKUP(G1636,Keszlet!$C$5:$I$200,7,FALSE),""))</f>
        <v/>
      </c>
      <c r="Q1636" s="1">
        <f>VLOOKUP(G1636,Keszlet!$C$5:$E$205,3,FALSE)</f>
        <v>0</v>
      </c>
      <c r="T1636" s="1" t="str">
        <f t="shared" si="108"/>
        <v/>
      </c>
      <c r="U1636" s="1">
        <f t="shared" si="109"/>
        <v>0</v>
      </c>
      <c r="W1636" s="6">
        <f t="shared" si="112"/>
        <v>0</v>
      </c>
      <c r="X1636" s="6">
        <f t="shared" si="104"/>
        <v>0</v>
      </c>
      <c r="Y1636" s="1">
        <f t="shared" si="110"/>
        <v>1</v>
      </c>
      <c r="Z1636" s="1">
        <f>IF(COUNTIF($Y$6:Y1636,Y1636)=1,Y1636,Y1636+COUNTIF($Y$5:Y1635,Y1636))</f>
        <v>631</v>
      </c>
      <c r="AD1636" s="1" t="str">
        <f t="shared" si="111"/>
        <v/>
      </c>
      <c r="BA1636" s="1">
        <f>IF(W1636&lt;=Leltar_iv!$Y$1,I1636,0)</f>
        <v>0</v>
      </c>
    </row>
    <row r="1637" spans="1:53" s="1" customFormat="1" x14ac:dyDescent="0.25">
      <c r="A1637" s="18">
        <f>IF(COUNTIF($Y$6:Y1637,Y1637)=1,Y1637,Y1637+COUNTIF($Y$5:Y1636,Y1637))</f>
        <v>632</v>
      </c>
      <c r="B1637" s="1">
        <f>IF(AND(Kisero_iv!$N$2=C1637,Kisero_iv!$K$5=$B$3,SUM(I1637:L1641)&lt;&gt;0,$B$4=YEAR(W1637)),B1636+1,0)</f>
        <v>0</v>
      </c>
      <c r="C1637" s="1">
        <f t="shared" si="105"/>
        <v>632</v>
      </c>
      <c r="D1637" s="102" t="str">
        <f t="shared" si="106"/>
        <v/>
      </c>
      <c r="E1637" s="44"/>
      <c r="F1637" s="45"/>
      <c r="G1637" s="45"/>
      <c r="H1637" s="45"/>
      <c r="I1637" s="46"/>
      <c r="J1637" s="111" t="str">
        <f>IF(AND(G1637&lt;&gt;"",ISERROR(VLOOKUP(G1637,Keszlet!$C$5:$H$200,6,FALSE))=FALSE),VLOOKUP(G1637,Keszlet!$C$5:$H$200,6,FALSE),"")</f>
        <v/>
      </c>
      <c r="K1637" s="106" t="str">
        <f>IF(AND(G1637&lt;&gt;"",ISERROR(VLOOKUP(G1637,Keszlet!$C$5:$G$200,5,FALSE))=FALSE),VLOOKUP(G1637,Keszlet!$C$5:$G$200,5,FALSE),"")</f>
        <v/>
      </c>
      <c r="L1637" s="106" t="str">
        <f t="shared" si="107"/>
        <v/>
      </c>
      <c r="M1637" s="115" t="str">
        <f>IF(ISERROR(VLOOKUP(G1637,Keszlet!$C$5:$I$200,7,FALSE))=TRUE,"",IF(AND(J1636&lt;&gt;"",J1638=""),VLOOKUP(G1637,Keszlet!$C$5:$I$200,7,FALSE),""))</f>
        <v/>
      </c>
      <c r="Q1637" s="1">
        <f>VLOOKUP(G1637,Keszlet!$C$5:$E$205,3,FALSE)</f>
        <v>0</v>
      </c>
      <c r="T1637" s="1" t="str">
        <f t="shared" si="108"/>
        <v/>
      </c>
      <c r="U1637" s="1">
        <f t="shared" si="109"/>
        <v>0</v>
      </c>
      <c r="W1637" s="6">
        <f t="shared" si="112"/>
        <v>0</v>
      </c>
      <c r="X1637" s="6">
        <f t="shared" si="104"/>
        <v>0</v>
      </c>
      <c r="Y1637" s="1">
        <f t="shared" si="110"/>
        <v>1</v>
      </c>
      <c r="Z1637" s="1">
        <f>IF(COUNTIF($Y$6:Y1637,Y1637)=1,Y1637,Y1637+COUNTIF($Y$5:Y1636,Y1637))</f>
        <v>632</v>
      </c>
      <c r="AD1637" s="1" t="str">
        <f t="shared" si="111"/>
        <v/>
      </c>
      <c r="BA1637" s="1">
        <f>IF(W1637&lt;=Leltar_iv!$Y$1,I1637,0)</f>
        <v>0</v>
      </c>
    </row>
    <row r="1638" spans="1:53" s="1" customFormat="1" x14ac:dyDescent="0.25">
      <c r="A1638" s="18">
        <f>IF(COUNTIF($Y$6:Y1638,Y1638)=1,Y1638,Y1638+COUNTIF($Y$5:Y1637,Y1638))</f>
        <v>633</v>
      </c>
      <c r="B1638" s="1">
        <f>IF(AND(Kisero_iv!$N$2=C1638,Kisero_iv!$K$5=$B$3,SUM(I1638:L1642)&lt;&gt;0,$B$4=YEAR(W1638)),B1637+1,0)</f>
        <v>0</v>
      </c>
      <c r="C1638" s="1">
        <f t="shared" si="105"/>
        <v>633</v>
      </c>
      <c r="D1638" s="102" t="str">
        <f t="shared" si="106"/>
        <v/>
      </c>
      <c r="E1638" s="44"/>
      <c r="F1638" s="45"/>
      <c r="G1638" s="45"/>
      <c r="H1638" s="45"/>
      <c r="I1638" s="46"/>
      <c r="J1638" s="111" t="str">
        <f>IF(AND(G1638&lt;&gt;"",ISERROR(VLOOKUP(G1638,Keszlet!$C$5:$H$200,6,FALSE))=FALSE),VLOOKUP(G1638,Keszlet!$C$5:$H$200,6,FALSE),"")</f>
        <v/>
      </c>
      <c r="K1638" s="106" t="str">
        <f>IF(AND(G1638&lt;&gt;"",ISERROR(VLOOKUP(G1638,Keszlet!$C$5:$G$200,5,FALSE))=FALSE),VLOOKUP(G1638,Keszlet!$C$5:$G$200,5,FALSE),"")</f>
        <v/>
      </c>
      <c r="L1638" s="106" t="str">
        <f t="shared" si="107"/>
        <v/>
      </c>
      <c r="M1638" s="115" t="str">
        <f>IF(ISERROR(VLOOKUP(G1638,Keszlet!$C$5:$I$200,7,FALSE))=TRUE,"",IF(AND(J1637&lt;&gt;"",J1639=""),VLOOKUP(G1638,Keszlet!$C$5:$I$200,7,FALSE),""))</f>
        <v/>
      </c>
      <c r="Q1638" s="1">
        <f>VLOOKUP(G1638,Keszlet!$C$5:$E$205,3,FALSE)</f>
        <v>0</v>
      </c>
      <c r="T1638" s="1" t="str">
        <f t="shared" si="108"/>
        <v/>
      </c>
      <c r="U1638" s="1">
        <f t="shared" si="109"/>
        <v>0</v>
      </c>
      <c r="W1638" s="6">
        <f t="shared" si="112"/>
        <v>0</v>
      </c>
      <c r="X1638" s="6">
        <f t="shared" si="104"/>
        <v>0</v>
      </c>
      <c r="Y1638" s="1">
        <f t="shared" si="110"/>
        <v>1</v>
      </c>
      <c r="Z1638" s="1">
        <f>IF(COUNTIF($Y$6:Y1638,Y1638)=1,Y1638,Y1638+COUNTIF($Y$5:Y1637,Y1638))</f>
        <v>633</v>
      </c>
      <c r="AD1638" s="1" t="str">
        <f t="shared" si="111"/>
        <v/>
      </c>
      <c r="BA1638" s="1">
        <f>IF(W1638&lt;=Leltar_iv!$Y$1,I1638,0)</f>
        <v>0</v>
      </c>
    </row>
    <row r="1639" spans="1:53" s="1" customFormat="1" x14ac:dyDescent="0.25">
      <c r="A1639" s="18">
        <f>IF(COUNTIF($Y$6:Y1639,Y1639)=1,Y1639,Y1639+COUNTIF($Y$5:Y1638,Y1639))</f>
        <v>634</v>
      </c>
      <c r="B1639" s="1">
        <f>IF(AND(Kisero_iv!$N$2=C1639,Kisero_iv!$K$5=$B$3,SUM(I1639:L1643)&lt;&gt;0,$B$4=YEAR(W1639)),B1638+1,0)</f>
        <v>0</v>
      </c>
      <c r="C1639" s="1">
        <f t="shared" si="105"/>
        <v>634</v>
      </c>
      <c r="D1639" s="102" t="str">
        <f t="shared" si="106"/>
        <v/>
      </c>
      <c r="E1639" s="44"/>
      <c r="F1639" s="45"/>
      <c r="G1639" s="45"/>
      <c r="H1639" s="45"/>
      <c r="I1639" s="46"/>
      <c r="J1639" s="111" t="str">
        <f>IF(AND(G1639&lt;&gt;"",ISERROR(VLOOKUP(G1639,Keszlet!$C$5:$H$200,6,FALSE))=FALSE),VLOOKUP(G1639,Keszlet!$C$5:$H$200,6,FALSE),"")</f>
        <v/>
      </c>
      <c r="K1639" s="106" t="str">
        <f>IF(AND(G1639&lt;&gt;"",ISERROR(VLOOKUP(G1639,Keszlet!$C$5:$G$200,5,FALSE))=FALSE),VLOOKUP(G1639,Keszlet!$C$5:$G$200,5,FALSE),"")</f>
        <v/>
      </c>
      <c r="L1639" s="106" t="str">
        <f t="shared" si="107"/>
        <v/>
      </c>
      <c r="M1639" s="115" t="str">
        <f>IF(ISERROR(VLOOKUP(G1639,Keszlet!$C$5:$I$200,7,FALSE))=TRUE,"",IF(AND(J1638&lt;&gt;"",J1640=""),VLOOKUP(G1639,Keszlet!$C$5:$I$200,7,FALSE),""))</f>
        <v/>
      </c>
      <c r="Q1639" s="1">
        <f>VLOOKUP(G1639,Keszlet!$C$5:$E$205,3,FALSE)</f>
        <v>0</v>
      </c>
      <c r="T1639" s="1" t="str">
        <f t="shared" si="108"/>
        <v/>
      </c>
      <c r="U1639" s="1">
        <f t="shared" si="109"/>
        <v>0</v>
      </c>
      <c r="W1639" s="6">
        <f t="shared" si="112"/>
        <v>0</v>
      </c>
      <c r="X1639" s="6">
        <f t="shared" si="104"/>
        <v>0</v>
      </c>
      <c r="Y1639" s="1">
        <f t="shared" si="110"/>
        <v>1</v>
      </c>
      <c r="Z1639" s="1">
        <f>IF(COUNTIF($Y$6:Y1639,Y1639)=1,Y1639,Y1639+COUNTIF($Y$5:Y1638,Y1639))</f>
        <v>634</v>
      </c>
      <c r="AD1639" s="1" t="str">
        <f t="shared" si="111"/>
        <v/>
      </c>
      <c r="BA1639" s="1">
        <f>IF(W1639&lt;=Leltar_iv!$Y$1,I1639,0)</f>
        <v>0</v>
      </c>
    </row>
    <row r="1640" spans="1:53" s="1" customFormat="1" x14ac:dyDescent="0.25">
      <c r="A1640" s="18">
        <f>IF(COUNTIF($Y$6:Y1640,Y1640)=1,Y1640,Y1640+COUNTIF($Y$5:Y1639,Y1640))</f>
        <v>635</v>
      </c>
      <c r="B1640" s="1">
        <f>IF(AND(Kisero_iv!$N$2=C1640,Kisero_iv!$K$5=$B$3,SUM(I1640:L1644)&lt;&gt;0,$B$4=YEAR(W1640)),B1639+1,0)</f>
        <v>0</v>
      </c>
      <c r="C1640" s="1">
        <f t="shared" si="105"/>
        <v>635</v>
      </c>
      <c r="D1640" s="102" t="str">
        <f t="shared" si="106"/>
        <v/>
      </c>
      <c r="E1640" s="44"/>
      <c r="F1640" s="45"/>
      <c r="G1640" s="45"/>
      <c r="H1640" s="45"/>
      <c r="I1640" s="46"/>
      <c r="J1640" s="111" t="str">
        <f>IF(AND(G1640&lt;&gt;"",ISERROR(VLOOKUP(G1640,Keszlet!$C$5:$H$200,6,FALSE))=FALSE),VLOOKUP(G1640,Keszlet!$C$5:$H$200,6,FALSE),"")</f>
        <v/>
      </c>
      <c r="K1640" s="106" t="str">
        <f>IF(AND(G1640&lt;&gt;"",ISERROR(VLOOKUP(G1640,Keszlet!$C$5:$G$200,5,FALSE))=FALSE),VLOOKUP(G1640,Keszlet!$C$5:$G$200,5,FALSE),"")</f>
        <v/>
      </c>
      <c r="L1640" s="106" t="str">
        <f t="shared" si="107"/>
        <v/>
      </c>
      <c r="M1640" s="115" t="str">
        <f>IF(ISERROR(VLOOKUP(G1640,Keszlet!$C$5:$I$200,7,FALSE))=TRUE,"",IF(AND(J1639&lt;&gt;"",J1641=""),VLOOKUP(G1640,Keszlet!$C$5:$I$200,7,FALSE),""))</f>
        <v/>
      </c>
      <c r="Q1640" s="1">
        <f>VLOOKUP(G1640,Keszlet!$C$5:$E$205,3,FALSE)</f>
        <v>0</v>
      </c>
      <c r="T1640" s="1" t="str">
        <f t="shared" si="108"/>
        <v/>
      </c>
      <c r="U1640" s="1">
        <f t="shared" si="109"/>
        <v>0</v>
      </c>
      <c r="W1640" s="6">
        <f t="shared" si="112"/>
        <v>0</v>
      </c>
      <c r="X1640" s="6">
        <f t="shared" si="104"/>
        <v>0</v>
      </c>
      <c r="Y1640" s="1">
        <f t="shared" si="110"/>
        <v>1</v>
      </c>
      <c r="Z1640" s="1">
        <f>IF(COUNTIF($Y$6:Y1640,Y1640)=1,Y1640,Y1640+COUNTIF($Y$5:Y1639,Y1640))</f>
        <v>635</v>
      </c>
      <c r="AD1640" s="1" t="str">
        <f t="shared" si="111"/>
        <v/>
      </c>
      <c r="BA1640" s="1">
        <f>IF(W1640&lt;=Leltar_iv!$Y$1,I1640,0)</f>
        <v>0</v>
      </c>
    </row>
    <row r="1641" spans="1:53" s="1" customFormat="1" x14ac:dyDescent="0.25">
      <c r="A1641" s="18">
        <f>IF(COUNTIF($Y$6:Y1641,Y1641)=1,Y1641,Y1641+COUNTIF($Y$5:Y1640,Y1641))</f>
        <v>636</v>
      </c>
      <c r="B1641" s="1">
        <f>IF(AND(Kisero_iv!$N$2=C1641,Kisero_iv!$K$5=$B$3,SUM(I1641:L1645)&lt;&gt;0,$B$4=YEAR(W1641)),B1640+1,0)</f>
        <v>0</v>
      </c>
      <c r="C1641" s="1">
        <f t="shared" si="105"/>
        <v>636</v>
      </c>
      <c r="D1641" s="102" t="str">
        <f t="shared" si="106"/>
        <v/>
      </c>
      <c r="E1641" s="44"/>
      <c r="F1641" s="45"/>
      <c r="G1641" s="45"/>
      <c r="H1641" s="45"/>
      <c r="I1641" s="46"/>
      <c r="J1641" s="111" t="str">
        <f>IF(AND(G1641&lt;&gt;"",ISERROR(VLOOKUP(G1641,Keszlet!$C$5:$H$200,6,FALSE))=FALSE),VLOOKUP(G1641,Keszlet!$C$5:$H$200,6,FALSE),"")</f>
        <v/>
      </c>
      <c r="K1641" s="106" t="str">
        <f>IF(AND(G1641&lt;&gt;"",ISERROR(VLOOKUP(G1641,Keszlet!$C$5:$G$200,5,FALSE))=FALSE),VLOOKUP(G1641,Keszlet!$C$5:$G$200,5,FALSE),"")</f>
        <v/>
      </c>
      <c r="L1641" s="106" t="str">
        <f t="shared" si="107"/>
        <v/>
      </c>
      <c r="M1641" s="115" t="str">
        <f>IF(ISERROR(VLOOKUP(G1641,Keszlet!$C$5:$I$200,7,FALSE))=TRUE,"",IF(AND(J1640&lt;&gt;"",J1642=""),VLOOKUP(G1641,Keszlet!$C$5:$I$200,7,FALSE),""))</f>
        <v/>
      </c>
      <c r="Q1641" s="1">
        <f>VLOOKUP(G1641,Keszlet!$C$5:$E$205,3,FALSE)</f>
        <v>0</v>
      </c>
      <c r="T1641" s="1" t="str">
        <f t="shared" si="108"/>
        <v/>
      </c>
      <c r="U1641" s="1">
        <f t="shared" si="109"/>
        <v>0</v>
      </c>
      <c r="W1641" s="6">
        <f t="shared" si="112"/>
        <v>0</v>
      </c>
      <c r="X1641" s="6">
        <f t="shared" si="104"/>
        <v>0</v>
      </c>
      <c r="Y1641" s="1">
        <f t="shared" si="110"/>
        <v>1</v>
      </c>
      <c r="Z1641" s="1">
        <f>IF(COUNTIF($Y$6:Y1641,Y1641)=1,Y1641,Y1641+COUNTIF($Y$5:Y1640,Y1641))</f>
        <v>636</v>
      </c>
      <c r="AD1641" s="1" t="str">
        <f t="shared" si="111"/>
        <v/>
      </c>
      <c r="BA1641" s="1">
        <f>IF(W1641&lt;=Leltar_iv!$Y$1,I1641,0)</f>
        <v>0</v>
      </c>
    </row>
    <row r="1642" spans="1:53" s="1" customFormat="1" x14ac:dyDescent="0.25">
      <c r="A1642" s="18">
        <f>IF(COUNTIF($Y$6:Y1642,Y1642)=1,Y1642,Y1642+COUNTIF($Y$5:Y1641,Y1642))</f>
        <v>637</v>
      </c>
      <c r="B1642" s="1">
        <f>IF(AND(Kisero_iv!$N$2=C1642,Kisero_iv!$K$5=$B$3,SUM(I1642:L1646)&lt;&gt;0,$B$4=YEAR(W1642)),B1641+1,0)</f>
        <v>0</v>
      </c>
      <c r="C1642" s="1">
        <f t="shared" si="105"/>
        <v>637</v>
      </c>
      <c r="D1642" s="102" t="str">
        <f t="shared" si="106"/>
        <v/>
      </c>
      <c r="E1642" s="44"/>
      <c r="F1642" s="45"/>
      <c r="G1642" s="45"/>
      <c r="H1642" s="45"/>
      <c r="I1642" s="46"/>
      <c r="J1642" s="111" t="str">
        <f>IF(AND(G1642&lt;&gt;"",ISERROR(VLOOKUP(G1642,Keszlet!$C$5:$H$200,6,FALSE))=FALSE),VLOOKUP(G1642,Keszlet!$C$5:$H$200,6,FALSE),"")</f>
        <v/>
      </c>
      <c r="K1642" s="106" t="str">
        <f>IF(AND(G1642&lt;&gt;"",ISERROR(VLOOKUP(G1642,Keszlet!$C$5:$G$200,5,FALSE))=FALSE),VLOOKUP(G1642,Keszlet!$C$5:$G$200,5,FALSE),"")</f>
        <v/>
      </c>
      <c r="L1642" s="106" t="str">
        <f t="shared" si="107"/>
        <v/>
      </c>
      <c r="M1642" s="115" t="str">
        <f>IF(ISERROR(VLOOKUP(G1642,Keszlet!$C$5:$I$200,7,FALSE))=TRUE,"",IF(AND(J1641&lt;&gt;"",J1643=""),VLOOKUP(G1642,Keszlet!$C$5:$I$200,7,FALSE),""))</f>
        <v/>
      </c>
      <c r="Q1642" s="1">
        <f>VLOOKUP(G1642,Keszlet!$C$5:$E$205,3,FALSE)</f>
        <v>0</v>
      </c>
      <c r="T1642" s="1" t="str">
        <f t="shared" si="108"/>
        <v/>
      </c>
      <c r="U1642" s="1">
        <f t="shared" si="109"/>
        <v>0</v>
      </c>
      <c r="W1642" s="6">
        <f t="shared" si="112"/>
        <v>0</v>
      </c>
      <c r="X1642" s="6">
        <f t="shared" si="104"/>
        <v>0</v>
      </c>
      <c r="Y1642" s="1">
        <f t="shared" si="110"/>
        <v>1</v>
      </c>
      <c r="Z1642" s="1">
        <f>IF(COUNTIF($Y$6:Y1642,Y1642)=1,Y1642,Y1642+COUNTIF($Y$5:Y1641,Y1642))</f>
        <v>637</v>
      </c>
      <c r="AD1642" s="1" t="str">
        <f t="shared" si="111"/>
        <v/>
      </c>
      <c r="BA1642" s="1">
        <f>IF(W1642&lt;=Leltar_iv!$Y$1,I1642,0)</f>
        <v>0</v>
      </c>
    </row>
    <row r="1643" spans="1:53" s="1" customFormat="1" x14ac:dyDescent="0.25">
      <c r="A1643" s="18">
        <f>IF(COUNTIF($Y$6:Y1643,Y1643)=1,Y1643,Y1643+COUNTIF($Y$5:Y1642,Y1643))</f>
        <v>638</v>
      </c>
      <c r="B1643" s="1">
        <f>IF(AND(Kisero_iv!$N$2=C1643,Kisero_iv!$K$5=$B$3,SUM(I1643:L1647)&lt;&gt;0,$B$4=YEAR(W1643)),B1642+1,0)</f>
        <v>0</v>
      </c>
      <c r="C1643" s="1">
        <f t="shared" si="105"/>
        <v>638</v>
      </c>
      <c r="D1643" s="102" t="str">
        <f t="shared" si="106"/>
        <v/>
      </c>
      <c r="E1643" s="44"/>
      <c r="F1643" s="45"/>
      <c r="G1643" s="45"/>
      <c r="H1643" s="45"/>
      <c r="I1643" s="46"/>
      <c r="J1643" s="111" t="str">
        <f>IF(AND(G1643&lt;&gt;"",ISERROR(VLOOKUP(G1643,Keszlet!$C$5:$H$200,6,FALSE))=FALSE),VLOOKUP(G1643,Keszlet!$C$5:$H$200,6,FALSE),"")</f>
        <v/>
      </c>
      <c r="K1643" s="106" t="str">
        <f>IF(AND(G1643&lt;&gt;"",ISERROR(VLOOKUP(G1643,Keszlet!$C$5:$G$200,5,FALSE))=FALSE),VLOOKUP(G1643,Keszlet!$C$5:$G$200,5,FALSE),"")</f>
        <v/>
      </c>
      <c r="L1643" s="106" t="str">
        <f t="shared" si="107"/>
        <v/>
      </c>
      <c r="M1643" s="115" t="str">
        <f>IF(ISERROR(VLOOKUP(G1643,Keszlet!$C$5:$I$200,7,FALSE))=TRUE,"",IF(AND(J1642&lt;&gt;"",J1644=""),VLOOKUP(G1643,Keszlet!$C$5:$I$200,7,FALSE),""))</f>
        <v/>
      </c>
      <c r="Q1643" s="1">
        <f>VLOOKUP(G1643,Keszlet!$C$5:$E$205,3,FALSE)</f>
        <v>0</v>
      </c>
      <c r="T1643" s="1" t="str">
        <f t="shared" si="108"/>
        <v/>
      </c>
      <c r="U1643" s="1">
        <f t="shared" si="109"/>
        <v>0</v>
      </c>
      <c r="W1643" s="6">
        <f t="shared" si="112"/>
        <v>0</v>
      </c>
      <c r="X1643" s="6">
        <f t="shared" si="104"/>
        <v>0</v>
      </c>
      <c r="Y1643" s="1">
        <f t="shared" si="110"/>
        <v>1</v>
      </c>
      <c r="Z1643" s="1">
        <f>IF(COUNTIF($Y$6:Y1643,Y1643)=1,Y1643,Y1643+COUNTIF($Y$5:Y1642,Y1643))</f>
        <v>638</v>
      </c>
      <c r="AD1643" s="1" t="str">
        <f t="shared" si="111"/>
        <v/>
      </c>
      <c r="BA1643" s="1">
        <f>IF(W1643&lt;=Leltar_iv!$Y$1,I1643,0)</f>
        <v>0</v>
      </c>
    </row>
    <row r="1644" spans="1:53" s="1" customFormat="1" x14ac:dyDescent="0.25">
      <c r="A1644" s="18">
        <f>IF(COUNTIF($Y$6:Y1644,Y1644)=1,Y1644,Y1644+COUNTIF($Y$5:Y1643,Y1644))</f>
        <v>639</v>
      </c>
      <c r="B1644" s="1">
        <f>IF(AND(Kisero_iv!$N$2=C1644,Kisero_iv!$K$5=$B$3,SUM(I1644:L1648)&lt;&gt;0,$B$4=YEAR(W1644)),B1643+1,0)</f>
        <v>0</v>
      </c>
      <c r="C1644" s="1">
        <f t="shared" si="105"/>
        <v>639</v>
      </c>
      <c r="D1644" s="102" t="str">
        <f t="shared" si="106"/>
        <v/>
      </c>
      <c r="E1644" s="44"/>
      <c r="F1644" s="45"/>
      <c r="G1644" s="45"/>
      <c r="H1644" s="45"/>
      <c r="I1644" s="46"/>
      <c r="J1644" s="111" t="str">
        <f>IF(AND(G1644&lt;&gt;"",ISERROR(VLOOKUP(G1644,Keszlet!$C$5:$H$200,6,FALSE))=FALSE),VLOOKUP(G1644,Keszlet!$C$5:$H$200,6,FALSE),"")</f>
        <v/>
      </c>
      <c r="K1644" s="106" t="str">
        <f>IF(AND(G1644&lt;&gt;"",ISERROR(VLOOKUP(G1644,Keszlet!$C$5:$G$200,5,FALSE))=FALSE),VLOOKUP(G1644,Keszlet!$C$5:$G$200,5,FALSE),"")</f>
        <v/>
      </c>
      <c r="L1644" s="106" t="str">
        <f t="shared" si="107"/>
        <v/>
      </c>
      <c r="M1644" s="115" t="str">
        <f>IF(ISERROR(VLOOKUP(G1644,Keszlet!$C$5:$I$200,7,FALSE))=TRUE,"",IF(AND(J1643&lt;&gt;"",J1645=""),VLOOKUP(G1644,Keszlet!$C$5:$I$200,7,FALSE),""))</f>
        <v/>
      </c>
      <c r="Q1644" s="1">
        <f>VLOOKUP(G1644,Keszlet!$C$5:$E$205,3,FALSE)</f>
        <v>0</v>
      </c>
      <c r="T1644" s="1" t="str">
        <f t="shared" si="108"/>
        <v/>
      </c>
      <c r="U1644" s="1">
        <f t="shared" si="109"/>
        <v>0</v>
      </c>
      <c r="W1644" s="6">
        <f t="shared" si="112"/>
        <v>0</v>
      </c>
      <c r="X1644" s="6">
        <f t="shared" si="104"/>
        <v>0</v>
      </c>
      <c r="Y1644" s="1">
        <f t="shared" si="110"/>
        <v>1</v>
      </c>
      <c r="Z1644" s="1">
        <f>IF(COUNTIF($Y$6:Y1644,Y1644)=1,Y1644,Y1644+COUNTIF($Y$5:Y1643,Y1644))</f>
        <v>639</v>
      </c>
      <c r="AD1644" s="1" t="str">
        <f t="shared" si="111"/>
        <v/>
      </c>
      <c r="BA1644" s="1">
        <f>IF(W1644&lt;=Leltar_iv!$Y$1,I1644,0)</f>
        <v>0</v>
      </c>
    </row>
    <row r="1645" spans="1:53" s="1" customFormat="1" x14ac:dyDescent="0.25">
      <c r="A1645" s="18">
        <f>IF(COUNTIF($Y$6:Y1645,Y1645)=1,Y1645,Y1645+COUNTIF($Y$5:Y1644,Y1645))</f>
        <v>640</v>
      </c>
      <c r="B1645" s="1">
        <f>IF(AND(Kisero_iv!$N$2=C1645,Kisero_iv!$K$5=$B$3,SUM(I1645:L1649)&lt;&gt;0,$B$4=YEAR(W1645)),B1644+1,0)</f>
        <v>0</v>
      </c>
      <c r="C1645" s="1">
        <f t="shared" si="105"/>
        <v>640</v>
      </c>
      <c r="D1645" s="102" t="str">
        <f t="shared" si="106"/>
        <v/>
      </c>
      <c r="E1645" s="44"/>
      <c r="F1645" s="45"/>
      <c r="G1645" s="45"/>
      <c r="H1645" s="45"/>
      <c r="I1645" s="46"/>
      <c r="J1645" s="111" t="str">
        <f>IF(AND(G1645&lt;&gt;"",ISERROR(VLOOKUP(G1645,Keszlet!$C$5:$H$200,6,FALSE))=FALSE),VLOOKUP(G1645,Keszlet!$C$5:$H$200,6,FALSE),"")</f>
        <v/>
      </c>
      <c r="K1645" s="106" t="str">
        <f>IF(AND(G1645&lt;&gt;"",ISERROR(VLOOKUP(G1645,Keszlet!$C$5:$G$200,5,FALSE))=FALSE),VLOOKUP(G1645,Keszlet!$C$5:$G$200,5,FALSE),"")</f>
        <v/>
      </c>
      <c r="L1645" s="106" t="str">
        <f t="shared" si="107"/>
        <v/>
      </c>
      <c r="M1645" s="115" t="str">
        <f>IF(ISERROR(VLOOKUP(G1645,Keszlet!$C$5:$I$200,7,FALSE))=TRUE,"",IF(AND(J1644&lt;&gt;"",J1646=""),VLOOKUP(G1645,Keszlet!$C$5:$I$200,7,FALSE),""))</f>
        <v/>
      </c>
      <c r="Q1645" s="1">
        <f>VLOOKUP(G1645,Keszlet!$C$5:$E$205,3,FALSE)</f>
        <v>0</v>
      </c>
      <c r="T1645" s="1" t="str">
        <f t="shared" si="108"/>
        <v/>
      </c>
      <c r="U1645" s="1">
        <f t="shared" si="109"/>
        <v>0</v>
      </c>
      <c r="W1645" s="6">
        <f t="shared" si="112"/>
        <v>0</v>
      </c>
      <c r="X1645" s="6">
        <f t="shared" si="104"/>
        <v>0</v>
      </c>
      <c r="Y1645" s="1">
        <f t="shared" si="110"/>
        <v>1</v>
      </c>
      <c r="Z1645" s="1">
        <f>IF(COUNTIF($Y$6:Y1645,Y1645)=1,Y1645,Y1645+COUNTIF($Y$5:Y1644,Y1645))</f>
        <v>640</v>
      </c>
      <c r="AD1645" s="1" t="str">
        <f t="shared" si="111"/>
        <v/>
      </c>
      <c r="BA1645" s="1">
        <f>IF(W1645&lt;=Leltar_iv!$Y$1,I1645,0)</f>
        <v>0</v>
      </c>
    </row>
    <row r="1646" spans="1:53" s="1" customFormat="1" x14ac:dyDescent="0.25">
      <c r="A1646" s="18">
        <f>IF(COUNTIF($Y$6:Y1646,Y1646)=1,Y1646,Y1646+COUNTIF($Y$5:Y1645,Y1646))</f>
        <v>641</v>
      </c>
      <c r="B1646" s="1">
        <f>IF(AND(Kisero_iv!$N$2=C1646,Kisero_iv!$K$5=$B$3,SUM(I1646:L1650)&lt;&gt;0,$B$4=YEAR(W1646)),B1645+1,0)</f>
        <v>0</v>
      </c>
      <c r="C1646" s="1">
        <f t="shared" si="105"/>
        <v>641</v>
      </c>
      <c r="D1646" s="102" t="str">
        <f t="shared" si="106"/>
        <v/>
      </c>
      <c r="E1646" s="44"/>
      <c r="F1646" s="45"/>
      <c r="G1646" s="45"/>
      <c r="H1646" s="45"/>
      <c r="I1646" s="46"/>
      <c r="J1646" s="111" t="str">
        <f>IF(AND(G1646&lt;&gt;"",ISERROR(VLOOKUP(G1646,Keszlet!$C$5:$H$200,6,FALSE))=FALSE),VLOOKUP(G1646,Keszlet!$C$5:$H$200,6,FALSE),"")</f>
        <v/>
      </c>
      <c r="K1646" s="106" t="str">
        <f>IF(AND(G1646&lt;&gt;"",ISERROR(VLOOKUP(G1646,Keszlet!$C$5:$G$200,5,FALSE))=FALSE),VLOOKUP(G1646,Keszlet!$C$5:$G$200,5,FALSE),"")</f>
        <v/>
      </c>
      <c r="L1646" s="106" t="str">
        <f t="shared" si="107"/>
        <v/>
      </c>
      <c r="M1646" s="115" t="str">
        <f>IF(ISERROR(VLOOKUP(G1646,Keszlet!$C$5:$I$200,7,FALSE))=TRUE,"",IF(AND(J1645&lt;&gt;"",J1647=""),VLOOKUP(G1646,Keszlet!$C$5:$I$200,7,FALSE),""))</f>
        <v/>
      </c>
      <c r="Q1646" s="1">
        <f>VLOOKUP(G1646,Keszlet!$C$5:$E$205,3,FALSE)</f>
        <v>0</v>
      </c>
      <c r="T1646" s="1" t="str">
        <f t="shared" si="108"/>
        <v/>
      </c>
      <c r="U1646" s="1">
        <f t="shared" si="109"/>
        <v>0</v>
      </c>
      <c r="W1646" s="6">
        <f t="shared" si="112"/>
        <v>0</v>
      </c>
      <c r="X1646" s="6">
        <f t="shared" ref="X1646:X1709" si="113">IF(G1646=q,W1646,$X$1)</f>
        <v>0</v>
      </c>
      <c r="Y1646" s="1">
        <f t="shared" si="110"/>
        <v>1</v>
      </c>
      <c r="Z1646" s="1">
        <f>IF(COUNTIF($Y$6:Y1646,Y1646)=1,Y1646,Y1646+COUNTIF($Y$5:Y1645,Y1646))</f>
        <v>641</v>
      </c>
      <c r="AD1646" s="1" t="str">
        <f t="shared" si="111"/>
        <v/>
      </c>
      <c r="BA1646" s="1">
        <f>IF(W1646&lt;=Leltar_iv!$Y$1,I1646,0)</f>
        <v>0</v>
      </c>
    </row>
    <row r="1647" spans="1:53" s="1" customFormat="1" x14ac:dyDescent="0.25">
      <c r="A1647" s="18">
        <f>IF(COUNTIF($Y$6:Y1647,Y1647)=1,Y1647,Y1647+COUNTIF($Y$5:Y1646,Y1647))</f>
        <v>642</v>
      </c>
      <c r="B1647" s="1">
        <f>IF(AND(Kisero_iv!$N$2=C1647,Kisero_iv!$K$5=$B$3,SUM(I1647:L1651)&lt;&gt;0,$B$4=YEAR(W1647)),B1646+1,0)</f>
        <v>0</v>
      </c>
      <c r="C1647" s="1">
        <f t="shared" ref="C1647:C1710" si="114">IF(YEAR(W1646)&lt;&gt;YEAR(W1647),1,IF(T1647&lt;&gt;0,C1646+1,C1646))</f>
        <v>642</v>
      </c>
      <c r="D1647" s="102" t="str">
        <f t="shared" ref="D1647:D1710" si="115">IF(AND(OR(C1646&lt;&gt;C1647,C1647=1),SUM(L1647:L1667)&lt;&gt;0),YEAR(W1647)&amp;"/"&amp;C1647,"")</f>
        <v/>
      </c>
      <c r="E1647" s="44"/>
      <c r="F1647" s="45"/>
      <c r="G1647" s="45"/>
      <c r="H1647" s="45"/>
      <c r="I1647" s="46"/>
      <c r="J1647" s="111" t="str">
        <f>IF(AND(G1647&lt;&gt;"",ISERROR(VLOOKUP(G1647,Keszlet!$C$5:$H$200,6,FALSE))=FALSE),VLOOKUP(G1647,Keszlet!$C$5:$H$200,6,FALSE),"")</f>
        <v/>
      </c>
      <c r="K1647" s="106" t="str">
        <f>IF(AND(G1647&lt;&gt;"",ISERROR(VLOOKUP(G1647,Keszlet!$C$5:$G$200,5,FALSE))=FALSE),VLOOKUP(G1647,Keszlet!$C$5:$G$200,5,FALSE),"")</f>
        <v/>
      </c>
      <c r="L1647" s="106" t="str">
        <f t="shared" ref="L1647:L1710" si="116">IF(AND(G1647&lt;&gt;0,K1647&lt;&gt;""),I1647*K1647,"")</f>
        <v/>
      </c>
      <c r="M1647" s="115" t="str">
        <f>IF(ISERROR(VLOOKUP(G1647,Keszlet!$C$5:$I$200,7,FALSE))=TRUE,"",IF(AND(J1646&lt;&gt;"",J1648=""),VLOOKUP(G1647,Keszlet!$C$5:$I$200,7,FALSE),""))</f>
        <v/>
      </c>
      <c r="Q1647" s="1">
        <f>VLOOKUP(G1647,Keszlet!$C$5:$E$205,3,FALSE)</f>
        <v>0</v>
      </c>
      <c r="T1647" s="1" t="str">
        <f t="shared" ref="T1647:T1710" si="117">IF(OR(E1647&lt;&gt;0,COUNTIF(T1638:T1646,0)=9,F1647&lt;&gt;0,SUM(L1647:L1667)=0),E1647&amp;F1647,0)</f>
        <v/>
      </c>
      <c r="U1647" s="1">
        <f t="shared" ref="U1647:U1710" si="118">IF(F1647&lt;&gt;"",F1647,U1646)</f>
        <v>0</v>
      </c>
      <c r="W1647" s="6">
        <f t="shared" si="112"/>
        <v>0</v>
      </c>
      <c r="X1647" s="6">
        <f t="shared" si="113"/>
        <v>0</v>
      </c>
      <c r="Y1647" s="1">
        <f t="shared" ref="Y1647:Y1710" si="119">RANK(X1647,$X$6:$X$10000,1)</f>
        <v>1</v>
      </c>
      <c r="Z1647" s="1">
        <f>IF(COUNTIF($Y$6:Y1647,Y1647)=1,Y1647,Y1647+COUNTIF($Y$5:Y1646,Y1647))</f>
        <v>642</v>
      </c>
      <c r="AD1647" s="1" t="str">
        <f t="shared" ref="AD1647:AD1710" si="120">IF(AND(OR(C1646&lt;&gt;C1647,YEAR(W1647)&lt;&gt;YEAR(W1646)),SUM(L1647:L1667)&lt;&gt;0,$B$4=YEAR(W1647)),C1647,"")</f>
        <v/>
      </c>
      <c r="BA1647" s="1">
        <f>IF(W1647&lt;=Leltar_iv!$Y$1,I1647,0)</f>
        <v>0</v>
      </c>
    </row>
    <row r="1648" spans="1:53" s="1" customFormat="1" x14ac:dyDescent="0.25">
      <c r="A1648" s="18">
        <f>IF(COUNTIF($Y$6:Y1648,Y1648)=1,Y1648,Y1648+COUNTIF($Y$5:Y1647,Y1648))</f>
        <v>643</v>
      </c>
      <c r="B1648" s="1">
        <f>IF(AND(Kisero_iv!$N$2=C1648,Kisero_iv!$K$5=$B$3,SUM(I1648:L1652)&lt;&gt;0,$B$4=YEAR(W1648)),B1647+1,0)</f>
        <v>0</v>
      </c>
      <c r="C1648" s="1">
        <f t="shared" si="114"/>
        <v>643</v>
      </c>
      <c r="D1648" s="102" t="str">
        <f t="shared" si="115"/>
        <v/>
      </c>
      <c r="E1648" s="44"/>
      <c r="F1648" s="45"/>
      <c r="G1648" s="45"/>
      <c r="H1648" s="45"/>
      <c r="I1648" s="46"/>
      <c r="J1648" s="111" t="str">
        <f>IF(AND(G1648&lt;&gt;"",ISERROR(VLOOKUP(G1648,Keszlet!$C$5:$H$200,6,FALSE))=FALSE),VLOOKUP(G1648,Keszlet!$C$5:$H$200,6,FALSE),"")</f>
        <v/>
      </c>
      <c r="K1648" s="106" t="str">
        <f>IF(AND(G1648&lt;&gt;"",ISERROR(VLOOKUP(G1648,Keszlet!$C$5:$G$200,5,FALSE))=FALSE),VLOOKUP(G1648,Keszlet!$C$5:$G$200,5,FALSE),"")</f>
        <v/>
      </c>
      <c r="L1648" s="106" t="str">
        <f t="shared" si="116"/>
        <v/>
      </c>
      <c r="M1648" s="115" t="str">
        <f>IF(ISERROR(VLOOKUP(G1648,Keszlet!$C$5:$I$200,7,FALSE))=TRUE,"",IF(AND(J1647&lt;&gt;"",J1649=""),VLOOKUP(G1648,Keszlet!$C$5:$I$200,7,FALSE),""))</f>
        <v/>
      </c>
      <c r="Q1648" s="1">
        <f>VLOOKUP(G1648,Keszlet!$C$5:$E$205,3,FALSE)</f>
        <v>0</v>
      </c>
      <c r="T1648" s="1" t="str">
        <f t="shared" si="117"/>
        <v/>
      </c>
      <c r="U1648" s="1">
        <f t="shared" si="118"/>
        <v>0</v>
      </c>
      <c r="W1648" s="6">
        <f t="shared" si="112"/>
        <v>0</v>
      </c>
      <c r="X1648" s="6">
        <f t="shared" si="113"/>
        <v>0</v>
      </c>
      <c r="Y1648" s="1">
        <f t="shared" si="119"/>
        <v>1</v>
      </c>
      <c r="Z1648" s="1">
        <f>IF(COUNTIF($Y$6:Y1648,Y1648)=1,Y1648,Y1648+COUNTIF($Y$5:Y1647,Y1648))</f>
        <v>643</v>
      </c>
      <c r="AD1648" s="1" t="str">
        <f t="shared" si="120"/>
        <v/>
      </c>
      <c r="BA1648" s="1">
        <f>IF(W1648&lt;=Leltar_iv!$Y$1,I1648,0)</f>
        <v>0</v>
      </c>
    </row>
    <row r="1649" spans="1:53" s="1" customFormat="1" x14ac:dyDescent="0.25">
      <c r="A1649" s="18">
        <f>IF(COUNTIF($Y$6:Y1649,Y1649)=1,Y1649,Y1649+COUNTIF($Y$5:Y1648,Y1649))</f>
        <v>644</v>
      </c>
      <c r="B1649" s="1">
        <f>IF(AND(Kisero_iv!$N$2=C1649,Kisero_iv!$K$5=$B$3,SUM(I1649:L1653)&lt;&gt;0,$B$4=YEAR(W1649)),B1648+1,0)</f>
        <v>0</v>
      </c>
      <c r="C1649" s="1">
        <f t="shared" si="114"/>
        <v>644</v>
      </c>
      <c r="D1649" s="102" t="str">
        <f t="shared" si="115"/>
        <v/>
      </c>
      <c r="E1649" s="44"/>
      <c r="F1649" s="45"/>
      <c r="G1649" s="45"/>
      <c r="H1649" s="45"/>
      <c r="I1649" s="46"/>
      <c r="J1649" s="111" t="str">
        <f>IF(AND(G1649&lt;&gt;"",ISERROR(VLOOKUP(G1649,Keszlet!$C$5:$H$200,6,FALSE))=FALSE),VLOOKUP(G1649,Keszlet!$C$5:$H$200,6,FALSE),"")</f>
        <v/>
      </c>
      <c r="K1649" s="106" t="str">
        <f>IF(AND(G1649&lt;&gt;"",ISERROR(VLOOKUP(G1649,Keszlet!$C$5:$G$200,5,FALSE))=FALSE),VLOOKUP(G1649,Keszlet!$C$5:$G$200,5,FALSE),"")</f>
        <v/>
      </c>
      <c r="L1649" s="106" t="str">
        <f t="shared" si="116"/>
        <v/>
      </c>
      <c r="M1649" s="115" t="str">
        <f>IF(ISERROR(VLOOKUP(G1649,Keszlet!$C$5:$I$200,7,FALSE))=TRUE,"",IF(AND(J1648&lt;&gt;"",J1650=""),VLOOKUP(G1649,Keszlet!$C$5:$I$200,7,FALSE),""))</f>
        <v/>
      </c>
      <c r="Q1649" s="1">
        <f>VLOOKUP(G1649,Keszlet!$C$5:$E$205,3,FALSE)</f>
        <v>0</v>
      </c>
      <c r="T1649" s="1" t="str">
        <f t="shared" si="117"/>
        <v/>
      </c>
      <c r="U1649" s="1">
        <f t="shared" si="118"/>
        <v>0</v>
      </c>
      <c r="W1649" s="6">
        <f t="shared" ref="W1649:W1712" si="121">IF(E1649&lt;&gt;0,E1649,W1648)</f>
        <v>0</v>
      </c>
      <c r="X1649" s="6">
        <f t="shared" si="113"/>
        <v>0</v>
      </c>
      <c r="Y1649" s="1">
        <f t="shared" si="119"/>
        <v>1</v>
      </c>
      <c r="Z1649" s="1">
        <f>IF(COUNTIF($Y$6:Y1649,Y1649)=1,Y1649,Y1649+COUNTIF($Y$5:Y1648,Y1649))</f>
        <v>644</v>
      </c>
      <c r="AD1649" s="1" t="str">
        <f t="shared" si="120"/>
        <v/>
      </c>
      <c r="BA1649" s="1">
        <f>IF(W1649&lt;=Leltar_iv!$Y$1,I1649,0)</f>
        <v>0</v>
      </c>
    </row>
    <row r="1650" spans="1:53" s="1" customFormat="1" x14ac:dyDescent="0.25">
      <c r="A1650" s="18">
        <f>IF(COUNTIF($Y$6:Y1650,Y1650)=1,Y1650,Y1650+COUNTIF($Y$5:Y1649,Y1650))</f>
        <v>645</v>
      </c>
      <c r="B1650" s="1">
        <f>IF(AND(Kisero_iv!$N$2=C1650,Kisero_iv!$K$5=$B$3,SUM(I1650:L1654)&lt;&gt;0,$B$4=YEAR(W1650)),B1649+1,0)</f>
        <v>0</v>
      </c>
      <c r="C1650" s="1">
        <f t="shared" si="114"/>
        <v>645</v>
      </c>
      <c r="D1650" s="102" t="str">
        <f t="shared" si="115"/>
        <v/>
      </c>
      <c r="E1650" s="44"/>
      <c r="F1650" s="45"/>
      <c r="G1650" s="45"/>
      <c r="H1650" s="45"/>
      <c r="I1650" s="46"/>
      <c r="J1650" s="111" t="str">
        <f>IF(AND(G1650&lt;&gt;"",ISERROR(VLOOKUP(G1650,Keszlet!$C$5:$H$200,6,FALSE))=FALSE),VLOOKUP(G1650,Keszlet!$C$5:$H$200,6,FALSE),"")</f>
        <v/>
      </c>
      <c r="K1650" s="106" t="str">
        <f>IF(AND(G1650&lt;&gt;"",ISERROR(VLOOKUP(G1650,Keszlet!$C$5:$G$200,5,FALSE))=FALSE),VLOOKUP(G1650,Keszlet!$C$5:$G$200,5,FALSE),"")</f>
        <v/>
      </c>
      <c r="L1650" s="106" t="str">
        <f t="shared" si="116"/>
        <v/>
      </c>
      <c r="M1650" s="115" t="str">
        <f>IF(ISERROR(VLOOKUP(G1650,Keszlet!$C$5:$I$200,7,FALSE))=TRUE,"",IF(AND(J1649&lt;&gt;"",J1651=""),VLOOKUP(G1650,Keszlet!$C$5:$I$200,7,FALSE),""))</f>
        <v/>
      </c>
      <c r="Q1650" s="1">
        <f>VLOOKUP(G1650,Keszlet!$C$5:$E$205,3,FALSE)</f>
        <v>0</v>
      </c>
      <c r="T1650" s="1" t="str">
        <f t="shared" si="117"/>
        <v/>
      </c>
      <c r="U1650" s="1">
        <f t="shared" si="118"/>
        <v>0</v>
      </c>
      <c r="W1650" s="6">
        <f t="shared" si="121"/>
        <v>0</v>
      </c>
      <c r="X1650" s="6">
        <f t="shared" si="113"/>
        <v>0</v>
      </c>
      <c r="Y1650" s="1">
        <f t="shared" si="119"/>
        <v>1</v>
      </c>
      <c r="Z1650" s="1">
        <f>IF(COUNTIF($Y$6:Y1650,Y1650)=1,Y1650,Y1650+COUNTIF($Y$5:Y1649,Y1650))</f>
        <v>645</v>
      </c>
      <c r="AD1650" s="1" t="str">
        <f t="shared" si="120"/>
        <v/>
      </c>
      <c r="BA1650" s="1">
        <f>IF(W1650&lt;=Leltar_iv!$Y$1,I1650,0)</f>
        <v>0</v>
      </c>
    </row>
    <row r="1651" spans="1:53" s="1" customFormat="1" x14ac:dyDescent="0.25">
      <c r="A1651" s="18">
        <f>IF(COUNTIF($Y$6:Y1651,Y1651)=1,Y1651,Y1651+COUNTIF($Y$5:Y1650,Y1651))</f>
        <v>646</v>
      </c>
      <c r="B1651" s="1">
        <f>IF(AND(Kisero_iv!$N$2=C1651,Kisero_iv!$K$5=$B$3,SUM(I1651:L1655)&lt;&gt;0,$B$4=YEAR(W1651)),B1650+1,0)</f>
        <v>0</v>
      </c>
      <c r="C1651" s="1">
        <f t="shared" si="114"/>
        <v>646</v>
      </c>
      <c r="D1651" s="102" t="str">
        <f t="shared" si="115"/>
        <v/>
      </c>
      <c r="E1651" s="44"/>
      <c r="F1651" s="45"/>
      <c r="G1651" s="45"/>
      <c r="H1651" s="45"/>
      <c r="I1651" s="46"/>
      <c r="J1651" s="111" t="str">
        <f>IF(AND(G1651&lt;&gt;"",ISERROR(VLOOKUP(G1651,Keszlet!$C$5:$H$200,6,FALSE))=FALSE),VLOOKUP(G1651,Keszlet!$C$5:$H$200,6,FALSE),"")</f>
        <v/>
      </c>
      <c r="K1651" s="106" t="str">
        <f>IF(AND(G1651&lt;&gt;"",ISERROR(VLOOKUP(G1651,Keszlet!$C$5:$G$200,5,FALSE))=FALSE),VLOOKUP(G1651,Keszlet!$C$5:$G$200,5,FALSE),"")</f>
        <v/>
      </c>
      <c r="L1651" s="106" t="str">
        <f t="shared" si="116"/>
        <v/>
      </c>
      <c r="M1651" s="115" t="str">
        <f>IF(ISERROR(VLOOKUP(G1651,Keszlet!$C$5:$I$200,7,FALSE))=TRUE,"",IF(AND(J1650&lt;&gt;"",J1652=""),VLOOKUP(G1651,Keszlet!$C$5:$I$200,7,FALSE),""))</f>
        <v/>
      </c>
      <c r="Q1651" s="1">
        <f>VLOOKUP(G1651,Keszlet!$C$5:$E$205,3,FALSE)</f>
        <v>0</v>
      </c>
      <c r="T1651" s="1" t="str">
        <f t="shared" si="117"/>
        <v/>
      </c>
      <c r="U1651" s="1">
        <f t="shared" si="118"/>
        <v>0</v>
      </c>
      <c r="W1651" s="6">
        <f t="shared" si="121"/>
        <v>0</v>
      </c>
      <c r="X1651" s="6">
        <f t="shared" si="113"/>
        <v>0</v>
      </c>
      <c r="Y1651" s="1">
        <f t="shared" si="119"/>
        <v>1</v>
      </c>
      <c r="Z1651" s="1">
        <f>IF(COUNTIF($Y$6:Y1651,Y1651)=1,Y1651,Y1651+COUNTIF($Y$5:Y1650,Y1651))</f>
        <v>646</v>
      </c>
      <c r="AD1651" s="1" t="str">
        <f t="shared" si="120"/>
        <v/>
      </c>
      <c r="BA1651" s="1">
        <f>IF(W1651&lt;=Leltar_iv!$Y$1,I1651,0)</f>
        <v>0</v>
      </c>
    </row>
    <row r="1652" spans="1:53" s="1" customFormat="1" x14ac:dyDescent="0.25">
      <c r="A1652" s="18">
        <f>IF(COUNTIF($Y$6:Y1652,Y1652)=1,Y1652,Y1652+COUNTIF($Y$5:Y1651,Y1652))</f>
        <v>647</v>
      </c>
      <c r="B1652" s="1">
        <f>IF(AND(Kisero_iv!$N$2=C1652,Kisero_iv!$K$5=$B$3,SUM(I1652:L1656)&lt;&gt;0,$B$4=YEAR(W1652)),B1651+1,0)</f>
        <v>0</v>
      </c>
      <c r="C1652" s="1">
        <f t="shared" si="114"/>
        <v>647</v>
      </c>
      <c r="D1652" s="102" t="str">
        <f t="shared" si="115"/>
        <v/>
      </c>
      <c r="E1652" s="44"/>
      <c r="F1652" s="45"/>
      <c r="G1652" s="45"/>
      <c r="H1652" s="45"/>
      <c r="I1652" s="46"/>
      <c r="J1652" s="111" t="str">
        <f>IF(AND(G1652&lt;&gt;"",ISERROR(VLOOKUP(G1652,Keszlet!$C$5:$H$200,6,FALSE))=FALSE),VLOOKUP(G1652,Keszlet!$C$5:$H$200,6,FALSE),"")</f>
        <v/>
      </c>
      <c r="K1652" s="106" t="str">
        <f>IF(AND(G1652&lt;&gt;"",ISERROR(VLOOKUP(G1652,Keszlet!$C$5:$G$200,5,FALSE))=FALSE),VLOOKUP(G1652,Keszlet!$C$5:$G$200,5,FALSE),"")</f>
        <v/>
      </c>
      <c r="L1652" s="106" t="str">
        <f t="shared" si="116"/>
        <v/>
      </c>
      <c r="M1652" s="115" t="str">
        <f>IF(ISERROR(VLOOKUP(G1652,Keszlet!$C$5:$I$200,7,FALSE))=TRUE,"",IF(AND(J1651&lt;&gt;"",J1653=""),VLOOKUP(G1652,Keszlet!$C$5:$I$200,7,FALSE),""))</f>
        <v/>
      </c>
      <c r="Q1652" s="1">
        <f>VLOOKUP(G1652,Keszlet!$C$5:$E$205,3,FALSE)</f>
        <v>0</v>
      </c>
      <c r="T1652" s="1" t="str">
        <f t="shared" si="117"/>
        <v/>
      </c>
      <c r="U1652" s="1">
        <f t="shared" si="118"/>
        <v>0</v>
      </c>
      <c r="W1652" s="6">
        <f t="shared" si="121"/>
        <v>0</v>
      </c>
      <c r="X1652" s="6">
        <f t="shared" si="113"/>
        <v>0</v>
      </c>
      <c r="Y1652" s="1">
        <f t="shared" si="119"/>
        <v>1</v>
      </c>
      <c r="Z1652" s="1">
        <f>IF(COUNTIF($Y$6:Y1652,Y1652)=1,Y1652,Y1652+COUNTIF($Y$5:Y1651,Y1652))</f>
        <v>647</v>
      </c>
      <c r="AD1652" s="1" t="str">
        <f t="shared" si="120"/>
        <v/>
      </c>
      <c r="BA1652" s="1">
        <f>IF(W1652&lt;=Leltar_iv!$Y$1,I1652,0)</f>
        <v>0</v>
      </c>
    </row>
    <row r="1653" spans="1:53" s="1" customFormat="1" x14ac:dyDescent="0.25">
      <c r="A1653" s="18">
        <f>IF(COUNTIF($Y$6:Y1653,Y1653)=1,Y1653,Y1653+COUNTIF($Y$5:Y1652,Y1653))</f>
        <v>648</v>
      </c>
      <c r="B1653" s="1">
        <f>IF(AND(Kisero_iv!$N$2=C1653,Kisero_iv!$K$5=$B$3,SUM(I1653:L1657)&lt;&gt;0,$B$4=YEAR(W1653)),B1652+1,0)</f>
        <v>0</v>
      </c>
      <c r="C1653" s="1">
        <f t="shared" si="114"/>
        <v>648</v>
      </c>
      <c r="D1653" s="102" t="str">
        <f t="shared" si="115"/>
        <v/>
      </c>
      <c r="E1653" s="44"/>
      <c r="F1653" s="45"/>
      <c r="G1653" s="45"/>
      <c r="H1653" s="45"/>
      <c r="I1653" s="46"/>
      <c r="J1653" s="111" t="str">
        <f>IF(AND(G1653&lt;&gt;"",ISERROR(VLOOKUP(G1653,Keszlet!$C$5:$H$200,6,FALSE))=FALSE),VLOOKUP(G1653,Keszlet!$C$5:$H$200,6,FALSE),"")</f>
        <v/>
      </c>
      <c r="K1653" s="106" t="str">
        <f>IF(AND(G1653&lt;&gt;"",ISERROR(VLOOKUP(G1653,Keszlet!$C$5:$G$200,5,FALSE))=FALSE),VLOOKUP(G1653,Keszlet!$C$5:$G$200,5,FALSE),"")</f>
        <v/>
      </c>
      <c r="L1653" s="106" t="str">
        <f t="shared" si="116"/>
        <v/>
      </c>
      <c r="M1653" s="115" t="str">
        <f>IF(ISERROR(VLOOKUP(G1653,Keszlet!$C$5:$I$200,7,FALSE))=TRUE,"",IF(AND(J1652&lt;&gt;"",J1654=""),VLOOKUP(G1653,Keszlet!$C$5:$I$200,7,FALSE),""))</f>
        <v/>
      </c>
      <c r="Q1653" s="1">
        <f>VLOOKUP(G1653,Keszlet!$C$5:$E$205,3,FALSE)</f>
        <v>0</v>
      </c>
      <c r="T1653" s="1" t="str">
        <f t="shared" si="117"/>
        <v/>
      </c>
      <c r="U1653" s="1">
        <f t="shared" si="118"/>
        <v>0</v>
      </c>
      <c r="W1653" s="6">
        <f t="shared" si="121"/>
        <v>0</v>
      </c>
      <c r="X1653" s="6">
        <f t="shared" si="113"/>
        <v>0</v>
      </c>
      <c r="Y1653" s="1">
        <f t="shared" si="119"/>
        <v>1</v>
      </c>
      <c r="Z1653" s="1">
        <f>IF(COUNTIF($Y$6:Y1653,Y1653)=1,Y1653,Y1653+COUNTIF($Y$5:Y1652,Y1653))</f>
        <v>648</v>
      </c>
      <c r="AD1653" s="1" t="str">
        <f t="shared" si="120"/>
        <v/>
      </c>
      <c r="BA1653" s="1">
        <f>IF(W1653&lt;=Leltar_iv!$Y$1,I1653,0)</f>
        <v>0</v>
      </c>
    </row>
    <row r="1654" spans="1:53" s="1" customFormat="1" x14ac:dyDescent="0.25">
      <c r="A1654" s="18">
        <f>IF(COUNTIF($Y$6:Y1654,Y1654)=1,Y1654,Y1654+COUNTIF($Y$5:Y1653,Y1654))</f>
        <v>649</v>
      </c>
      <c r="B1654" s="1">
        <f>IF(AND(Kisero_iv!$N$2=C1654,Kisero_iv!$K$5=$B$3,SUM(I1654:L1658)&lt;&gt;0,$B$4=YEAR(W1654)),B1653+1,0)</f>
        <v>0</v>
      </c>
      <c r="C1654" s="1">
        <f t="shared" si="114"/>
        <v>649</v>
      </c>
      <c r="D1654" s="102" t="str">
        <f t="shared" si="115"/>
        <v/>
      </c>
      <c r="E1654" s="44"/>
      <c r="F1654" s="45"/>
      <c r="G1654" s="45"/>
      <c r="H1654" s="45"/>
      <c r="I1654" s="46"/>
      <c r="J1654" s="111" t="str">
        <f>IF(AND(G1654&lt;&gt;"",ISERROR(VLOOKUP(G1654,Keszlet!$C$5:$H$200,6,FALSE))=FALSE),VLOOKUP(G1654,Keszlet!$C$5:$H$200,6,FALSE),"")</f>
        <v/>
      </c>
      <c r="K1654" s="106" t="str">
        <f>IF(AND(G1654&lt;&gt;"",ISERROR(VLOOKUP(G1654,Keszlet!$C$5:$G$200,5,FALSE))=FALSE),VLOOKUP(G1654,Keszlet!$C$5:$G$200,5,FALSE),"")</f>
        <v/>
      </c>
      <c r="L1654" s="106" t="str">
        <f t="shared" si="116"/>
        <v/>
      </c>
      <c r="M1654" s="115" t="str">
        <f>IF(ISERROR(VLOOKUP(G1654,Keszlet!$C$5:$I$200,7,FALSE))=TRUE,"",IF(AND(J1653&lt;&gt;"",J1655=""),VLOOKUP(G1654,Keszlet!$C$5:$I$200,7,FALSE),""))</f>
        <v/>
      </c>
      <c r="Q1654" s="1">
        <f>VLOOKUP(G1654,Keszlet!$C$5:$E$205,3,FALSE)</f>
        <v>0</v>
      </c>
      <c r="T1654" s="1" t="str">
        <f t="shared" si="117"/>
        <v/>
      </c>
      <c r="U1654" s="1">
        <f t="shared" si="118"/>
        <v>0</v>
      </c>
      <c r="W1654" s="6">
        <f t="shared" si="121"/>
        <v>0</v>
      </c>
      <c r="X1654" s="6">
        <f t="shared" si="113"/>
        <v>0</v>
      </c>
      <c r="Y1654" s="1">
        <f t="shared" si="119"/>
        <v>1</v>
      </c>
      <c r="Z1654" s="1">
        <f>IF(COUNTIF($Y$6:Y1654,Y1654)=1,Y1654,Y1654+COUNTIF($Y$5:Y1653,Y1654))</f>
        <v>649</v>
      </c>
      <c r="AD1654" s="1" t="str">
        <f t="shared" si="120"/>
        <v/>
      </c>
      <c r="BA1654" s="1">
        <f>IF(W1654&lt;=Leltar_iv!$Y$1,I1654,0)</f>
        <v>0</v>
      </c>
    </row>
    <row r="1655" spans="1:53" s="1" customFormat="1" x14ac:dyDescent="0.25">
      <c r="A1655" s="18">
        <f>IF(COUNTIF($Y$6:Y1655,Y1655)=1,Y1655,Y1655+COUNTIF($Y$5:Y1654,Y1655))</f>
        <v>650</v>
      </c>
      <c r="B1655" s="1">
        <f>IF(AND(Kisero_iv!$N$2=C1655,Kisero_iv!$K$5=$B$3,SUM(I1655:L1659)&lt;&gt;0,$B$4=YEAR(W1655)),B1654+1,0)</f>
        <v>0</v>
      </c>
      <c r="C1655" s="1">
        <f t="shared" si="114"/>
        <v>650</v>
      </c>
      <c r="D1655" s="102" t="str">
        <f t="shared" si="115"/>
        <v/>
      </c>
      <c r="E1655" s="44"/>
      <c r="F1655" s="45"/>
      <c r="G1655" s="45"/>
      <c r="H1655" s="45"/>
      <c r="I1655" s="46"/>
      <c r="J1655" s="111" t="str">
        <f>IF(AND(G1655&lt;&gt;"",ISERROR(VLOOKUP(G1655,Keszlet!$C$5:$H$200,6,FALSE))=FALSE),VLOOKUP(G1655,Keszlet!$C$5:$H$200,6,FALSE),"")</f>
        <v/>
      </c>
      <c r="K1655" s="106" t="str">
        <f>IF(AND(G1655&lt;&gt;"",ISERROR(VLOOKUP(G1655,Keszlet!$C$5:$G$200,5,FALSE))=FALSE),VLOOKUP(G1655,Keszlet!$C$5:$G$200,5,FALSE),"")</f>
        <v/>
      </c>
      <c r="L1655" s="106" t="str">
        <f t="shared" si="116"/>
        <v/>
      </c>
      <c r="M1655" s="115" t="str">
        <f>IF(ISERROR(VLOOKUP(G1655,Keszlet!$C$5:$I$200,7,FALSE))=TRUE,"",IF(AND(J1654&lt;&gt;"",J1656=""),VLOOKUP(G1655,Keszlet!$C$5:$I$200,7,FALSE),""))</f>
        <v/>
      </c>
      <c r="Q1655" s="1">
        <f>VLOOKUP(G1655,Keszlet!$C$5:$E$205,3,FALSE)</f>
        <v>0</v>
      </c>
      <c r="T1655" s="1" t="str">
        <f t="shared" si="117"/>
        <v/>
      </c>
      <c r="U1655" s="1">
        <f t="shared" si="118"/>
        <v>0</v>
      </c>
      <c r="W1655" s="6">
        <f t="shared" si="121"/>
        <v>0</v>
      </c>
      <c r="X1655" s="6">
        <f t="shared" si="113"/>
        <v>0</v>
      </c>
      <c r="Y1655" s="1">
        <f t="shared" si="119"/>
        <v>1</v>
      </c>
      <c r="Z1655" s="1">
        <f>IF(COUNTIF($Y$6:Y1655,Y1655)=1,Y1655,Y1655+COUNTIF($Y$5:Y1654,Y1655))</f>
        <v>650</v>
      </c>
      <c r="AD1655" s="1" t="str">
        <f t="shared" si="120"/>
        <v/>
      </c>
      <c r="BA1655" s="1">
        <f>IF(W1655&lt;=Leltar_iv!$Y$1,I1655,0)</f>
        <v>0</v>
      </c>
    </row>
    <row r="1656" spans="1:53" s="1" customFormat="1" x14ac:dyDescent="0.25">
      <c r="A1656" s="18">
        <f>IF(COUNTIF($Y$6:Y1656,Y1656)=1,Y1656,Y1656+COUNTIF($Y$5:Y1655,Y1656))</f>
        <v>651</v>
      </c>
      <c r="B1656" s="1">
        <f>IF(AND(Kisero_iv!$N$2=C1656,Kisero_iv!$K$5=$B$3,SUM(I1656:L1660)&lt;&gt;0,$B$4=YEAR(W1656)),B1655+1,0)</f>
        <v>0</v>
      </c>
      <c r="C1656" s="1">
        <f t="shared" si="114"/>
        <v>651</v>
      </c>
      <c r="D1656" s="102" t="str">
        <f t="shared" si="115"/>
        <v/>
      </c>
      <c r="E1656" s="44"/>
      <c r="F1656" s="45"/>
      <c r="G1656" s="45"/>
      <c r="H1656" s="45"/>
      <c r="I1656" s="46"/>
      <c r="J1656" s="111" t="str">
        <f>IF(AND(G1656&lt;&gt;"",ISERROR(VLOOKUP(G1656,Keszlet!$C$5:$H$200,6,FALSE))=FALSE),VLOOKUP(G1656,Keszlet!$C$5:$H$200,6,FALSE),"")</f>
        <v/>
      </c>
      <c r="K1656" s="106" t="str">
        <f>IF(AND(G1656&lt;&gt;"",ISERROR(VLOOKUP(G1656,Keszlet!$C$5:$G$200,5,FALSE))=FALSE),VLOOKUP(G1656,Keszlet!$C$5:$G$200,5,FALSE),"")</f>
        <v/>
      </c>
      <c r="L1656" s="106" t="str">
        <f t="shared" si="116"/>
        <v/>
      </c>
      <c r="M1656" s="115" t="str">
        <f>IF(ISERROR(VLOOKUP(G1656,Keszlet!$C$5:$I$200,7,FALSE))=TRUE,"",IF(AND(J1655&lt;&gt;"",J1657=""),VLOOKUP(G1656,Keszlet!$C$5:$I$200,7,FALSE),""))</f>
        <v/>
      </c>
      <c r="Q1656" s="1">
        <f>VLOOKUP(G1656,Keszlet!$C$5:$E$205,3,FALSE)</f>
        <v>0</v>
      </c>
      <c r="T1656" s="1" t="str">
        <f t="shared" si="117"/>
        <v/>
      </c>
      <c r="U1656" s="1">
        <f t="shared" si="118"/>
        <v>0</v>
      </c>
      <c r="W1656" s="6">
        <f t="shared" si="121"/>
        <v>0</v>
      </c>
      <c r="X1656" s="6">
        <f t="shared" si="113"/>
        <v>0</v>
      </c>
      <c r="Y1656" s="1">
        <f t="shared" si="119"/>
        <v>1</v>
      </c>
      <c r="Z1656" s="1">
        <f>IF(COUNTIF($Y$6:Y1656,Y1656)=1,Y1656,Y1656+COUNTIF($Y$5:Y1655,Y1656))</f>
        <v>651</v>
      </c>
      <c r="AD1656" s="1" t="str">
        <f t="shared" si="120"/>
        <v/>
      </c>
      <c r="BA1656" s="1">
        <f>IF(W1656&lt;=Leltar_iv!$Y$1,I1656,0)</f>
        <v>0</v>
      </c>
    </row>
    <row r="1657" spans="1:53" s="1" customFormat="1" x14ac:dyDescent="0.25">
      <c r="A1657" s="18">
        <f>IF(COUNTIF($Y$6:Y1657,Y1657)=1,Y1657,Y1657+COUNTIF($Y$5:Y1656,Y1657))</f>
        <v>652</v>
      </c>
      <c r="B1657" s="1">
        <f>IF(AND(Kisero_iv!$N$2=C1657,Kisero_iv!$K$5=$B$3,SUM(I1657:L1661)&lt;&gt;0,$B$4=YEAR(W1657)),B1656+1,0)</f>
        <v>0</v>
      </c>
      <c r="C1657" s="1">
        <f t="shared" si="114"/>
        <v>652</v>
      </c>
      <c r="D1657" s="102" t="str">
        <f t="shared" si="115"/>
        <v/>
      </c>
      <c r="E1657" s="44"/>
      <c r="F1657" s="45"/>
      <c r="G1657" s="45"/>
      <c r="H1657" s="45"/>
      <c r="I1657" s="46"/>
      <c r="J1657" s="111" t="str">
        <f>IF(AND(G1657&lt;&gt;"",ISERROR(VLOOKUP(G1657,Keszlet!$C$5:$H$200,6,FALSE))=FALSE),VLOOKUP(G1657,Keszlet!$C$5:$H$200,6,FALSE),"")</f>
        <v/>
      </c>
      <c r="K1657" s="106" t="str">
        <f>IF(AND(G1657&lt;&gt;"",ISERROR(VLOOKUP(G1657,Keszlet!$C$5:$G$200,5,FALSE))=FALSE),VLOOKUP(G1657,Keszlet!$C$5:$G$200,5,FALSE),"")</f>
        <v/>
      </c>
      <c r="L1657" s="106" t="str">
        <f t="shared" si="116"/>
        <v/>
      </c>
      <c r="M1657" s="115" t="str">
        <f>IF(ISERROR(VLOOKUP(G1657,Keszlet!$C$5:$I$200,7,FALSE))=TRUE,"",IF(AND(J1656&lt;&gt;"",J1658=""),VLOOKUP(G1657,Keszlet!$C$5:$I$200,7,FALSE),""))</f>
        <v/>
      </c>
      <c r="Q1657" s="1">
        <f>VLOOKUP(G1657,Keszlet!$C$5:$E$205,3,FALSE)</f>
        <v>0</v>
      </c>
      <c r="T1657" s="1" t="str">
        <f t="shared" si="117"/>
        <v/>
      </c>
      <c r="U1657" s="1">
        <f t="shared" si="118"/>
        <v>0</v>
      </c>
      <c r="W1657" s="6">
        <f t="shared" si="121"/>
        <v>0</v>
      </c>
      <c r="X1657" s="6">
        <f t="shared" si="113"/>
        <v>0</v>
      </c>
      <c r="Y1657" s="1">
        <f t="shared" si="119"/>
        <v>1</v>
      </c>
      <c r="Z1657" s="1">
        <f>IF(COUNTIF($Y$6:Y1657,Y1657)=1,Y1657,Y1657+COUNTIF($Y$5:Y1656,Y1657))</f>
        <v>652</v>
      </c>
      <c r="AD1657" s="1" t="str">
        <f t="shared" si="120"/>
        <v/>
      </c>
      <c r="BA1657" s="1">
        <f>IF(W1657&lt;=Leltar_iv!$Y$1,I1657,0)</f>
        <v>0</v>
      </c>
    </row>
    <row r="1658" spans="1:53" s="1" customFormat="1" x14ac:dyDescent="0.25">
      <c r="A1658" s="18">
        <f>IF(COUNTIF($Y$6:Y1658,Y1658)=1,Y1658,Y1658+COUNTIF($Y$5:Y1657,Y1658))</f>
        <v>653</v>
      </c>
      <c r="B1658" s="1">
        <f>IF(AND(Kisero_iv!$N$2=C1658,Kisero_iv!$K$5=$B$3,SUM(I1658:L1662)&lt;&gt;0,$B$4=YEAR(W1658)),B1657+1,0)</f>
        <v>0</v>
      </c>
      <c r="C1658" s="1">
        <f t="shared" si="114"/>
        <v>653</v>
      </c>
      <c r="D1658" s="102" t="str">
        <f t="shared" si="115"/>
        <v/>
      </c>
      <c r="E1658" s="44"/>
      <c r="F1658" s="45"/>
      <c r="G1658" s="45"/>
      <c r="H1658" s="45"/>
      <c r="I1658" s="46"/>
      <c r="J1658" s="111" t="str">
        <f>IF(AND(G1658&lt;&gt;"",ISERROR(VLOOKUP(G1658,Keszlet!$C$5:$H$200,6,FALSE))=FALSE),VLOOKUP(G1658,Keszlet!$C$5:$H$200,6,FALSE),"")</f>
        <v/>
      </c>
      <c r="K1658" s="106" t="str">
        <f>IF(AND(G1658&lt;&gt;"",ISERROR(VLOOKUP(G1658,Keszlet!$C$5:$G$200,5,FALSE))=FALSE),VLOOKUP(G1658,Keszlet!$C$5:$G$200,5,FALSE),"")</f>
        <v/>
      </c>
      <c r="L1658" s="106" t="str">
        <f t="shared" si="116"/>
        <v/>
      </c>
      <c r="M1658" s="115" t="str">
        <f>IF(ISERROR(VLOOKUP(G1658,Keszlet!$C$5:$I$200,7,FALSE))=TRUE,"",IF(AND(J1657&lt;&gt;"",J1659=""),VLOOKUP(G1658,Keszlet!$C$5:$I$200,7,FALSE),""))</f>
        <v/>
      </c>
      <c r="Q1658" s="1">
        <f>VLOOKUP(G1658,Keszlet!$C$5:$E$205,3,FALSE)</f>
        <v>0</v>
      </c>
      <c r="T1658" s="1" t="str">
        <f t="shared" si="117"/>
        <v/>
      </c>
      <c r="U1658" s="1">
        <f t="shared" si="118"/>
        <v>0</v>
      </c>
      <c r="W1658" s="6">
        <f t="shared" si="121"/>
        <v>0</v>
      </c>
      <c r="X1658" s="6">
        <f t="shared" si="113"/>
        <v>0</v>
      </c>
      <c r="Y1658" s="1">
        <f t="shared" si="119"/>
        <v>1</v>
      </c>
      <c r="Z1658" s="1">
        <f>IF(COUNTIF($Y$6:Y1658,Y1658)=1,Y1658,Y1658+COUNTIF($Y$5:Y1657,Y1658))</f>
        <v>653</v>
      </c>
      <c r="AD1658" s="1" t="str">
        <f t="shared" si="120"/>
        <v/>
      </c>
      <c r="BA1658" s="1">
        <f>IF(W1658&lt;=Leltar_iv!$Y$1,I1658,0)</f>
        <v>0</v>
      </c>
    </row>
    <row r="1659" spans="1:53" s="1" customFormat="1" x14ac:dyDescent="0.25">
      <c r="A1659" s="18">
        <f>IF(COUNTIF($Y$6:Y1659,Y1659)=1,Y1659,Y1659+COUNTIF($Y$5:Y1658,Y1659))</f>
        <v>654</v>
      </c>
      <c r="B1659" s="1">
        <f>IF(AND(Kisero_iv!$N$2=C1659,Kisero_iv!$K$5=$B$3,SUM(I1659:L1663)&lt;&gt;0,$B$4=YEAR(W1659)),B1658+1,0)</f>
        <v>0</v>
      </c>
      <c r="C1659" s="1">
        <f t="shared" si="114"/>
        <v>654</v>
      </c>
      <c r="D1659" s="102" t="str">
        <f t="shared" si="115"/>
        <v/>
      </c>
      <c r="E1659" s="44"/>
      <c r="F1659" s="45"/>
      <c r="G1659" s="45"/>
      <c r="H1659" s="45"/>
      <c r="I1659" s="46"/>
      <c r="J1659" s="111" t="str">
        <f>IF(AND(G1659&lt;&gt;"",ISERROR(VLOOKUP(G1659,Keszlet!$C$5:$H$200,6,FALSE))=FALSE),VLOOKUP(G1659,Keszlet!$C$5:$H$200,6,FALSE),"")</f>
        <v/>
      </c>
      <c r="K1659" s="106" t="str">
        <f>IF(AND(G1659&lt;&gt;"",ISERROR(VLOOKUP(G1659,Keszlet!$C$5:$G$200,5,FALSE))=FALSE),VLOOKUP(G1659,Keszlet!$C$5:$G$200,5,FALSE),"")</f>
        <v/>
      </c>
      <c r="L1659" s="106" t="str">
        <f t="shared" si="116"/>
        <v/>
      </c>
      <c r="M1659" s="115" t="str">
        <f>IF(ISERROR(VLOOKUP(G1659,Keszlet!$C$5:$I$200,7,FALSE))=TRUE,"",IF(AND(J1658&lt;&gt;"",J1660=""),VLOOKUP(G1659,Keszlet!$C$5:$I$200,7,FALSE),""))</f>
        <v/>
      </c>
      <c r="Q1659" s="1">
        <f>VLOOKUP(G1659,Keszlet!$C$5:$E$205,3,FALSE)</f>
        <v>0</v>
      </c>
      <c r="T1659" s="1" t="str">
        <f t="shared" si="117"/>
        <v/>
      </c>
      <c r="U1659" s="1">
        <f t="shared" si="118"/>
        <v>0</v>
      </c>
      <c r="W1659" s="6">
        <f t="shared" si="121"/>
        <v>0</v>
      </c>
      <c r="X1659" s="6">
        <f t="shared" si="113"/>
        <v>0</v>
      </c>
      <c r="Y1659" s="1">
        <f t="shared" si="119"/>
        <v>1</v>
      </c>
      <c r="Z1659" s="1">
        <f>IF(COUNTIF($Y$6:Y1659,Y1659)=1,Y1659,Y1659+COUNTIF($Y$5:Y1658,Y1659))</f>
        <v>654</v>
      </c>
      <c r="AD1659" s="1" t="str">
        <f t="shared" si="120"/>
        <v/>
      </c>
      <c r="BA1659" s="1">
        <f>IF(W1659&lt;=Leltar_iv!$Y$1,I1659,0)</f>
        <v>0</v>
      </c>
    </row>
    <row r="1660" spans="1:53" s="1" customFormat="1" x14ac:dyDescent="0.25">
      <c r="A1660" s="18">
        <f>IF(COUNTIF($Y$6:Y1660,Y1660)=1,Y1660,Y1660+COUNTIF($Y$5:Y1659,Y1660))</f>
        <v>655</v>
      </c>
      <c r="B1660" s="1">
        <f>IF(AND(Kisero_iv!$N$2=C1660,Kisero_iv!$K$5=$B$3,SUM(I1660:L1664)&lt;&gt;0,$B$4=YEAR(W1660)),B1659+1,0)</f>
        <v>0</v>
      </c>
      <c r="C1660" s="1">
        <f t="shared" si="114"/>
        <v>655</v>
      </c>
      <c r="D1660" s="102" t="str">
        <f t="shared" si="115"/>
        <v/>
      </c>
      <c r="E1660" s="44"/>
      <c r="F1660" s="45"/>
      <c r="G1660" s="45"/>
      <c r="H1660" s="45"/>
      <c r="I1660" s="46"/>
      <c r="J1660" s="111" t="str">
        <f>IF(AND(G1660&lt;&gt;"",ISERROR(VLOOKUP(G1660,Keszlet!$C$5:$H$200,6,FALSE))=FALSE),VLOOKUP(G1660,Keszlet!$C$5:$H$200,6,FALSE),"")</f>
        <v/>
      </c>
      <c r="K1660" s="106" t="str">
        <f>IF(AND(G1660&lt;&gt;"",ISERROR(VLOOKUP(G1660,Keszlet!$C$5:$G$200,5,FALSE))=FALSE),VLOOKUP(G1660,Keszlet!$C$5:$G$200,5,FALSE),"")</f>
        <v/>
      </c>
      <c r="L1660" s="106" t="str">
        <f t="shared" si="116"/>
        <v/>
      </c>
      <c r="M1660" s="115" t="str">
        <f>IF(ISERROR(VLOOKUP(G1660,Keszlet!$C$5:$I$200,7,FALSE))=TRUE,"",IF(AND(J1659&lt;&gt;"",J1661=""),VLOOKUP(G1660,Keszlet!$C$5:$I$200,7,FALSE),""))</f>
        <v/>
      </c>
      <c r="Q1660" s="1">
        <f>VLOOKUP(G1660,Keszlet!$C$5:$E$205,3,FALSE)</f>
        <v>0</v>
      </c>
      <c r="T1660" s="1" t="str">
        <f t="shared" si="117"/>
        <v/>
      </c>
      <c r="U1660" s="1">
        <f t="shared" si="118"/>
        <v>0</v>
      </c>
      <c r="W1660" s="6">
        <f t="shared" si="121"/>
        <v>0</v>
      </c>
      <c r="X1660" s="6">
        <f t="shared" si="113"/>
        <v>0</v>
      </c>
      <c r="Y1660" s="1">
        <f t="shared" si="119"/>
        <v>1</v>
      </c>
      <c r="Z1660" s="1">
        <f>IF(COUNTIF($Y$6:Y1660,Y1660)=1,Y1660,Y1660+COUNTIF($Y$5:Y1659,Y1660))</f>
        <v>655</v>
      </c>
      <c r="AD1660" s="1" t="str">
        <f t="shared" si="120"/>
        <v/>
      </c>
      <c r="BA1660" s="1">
        <f>IF(W1660&lt;=Leltar_iv!$Y$1,I1660,0)</f>
        <v>0</v>
      </c>
    </row>
    <row r="1661" spans="1:53" s="1" customFormat="1" x14ac:dyDescent="0.25">
      <c r="A1661" s="18">
        <f>IF(COUNTIF($Y$6:Y1661,Y1661)=1,Y1661,Y1661+COUNTIF($Y$5:Y1660,Y1661))</f>
        <v>656</v>
      </c>
      <c r="B1661" s="1">
        <f>IF(AND(Kisero_iv!$N$2=C1661,Kisero_iv!$K$5=$B$3,SUM(I1661:L1665)&lt;&gt;0,$B$4=YEAR(W1661)),B1660+1,0)</f>
        <v>0</v>
      </c>
      <c r="C1661" s="1">
        <f t="shared" si="114"/>
        <v>656</v>
      </c>
      <c r="D1661" s="102" t="str">
        <f t="shared" si="115"/>
        <v/>
      </c>
      <c r="E1661" s="44"/>
      <c r="F1661" s="45"/>
      <c r="G1661" s="45"/>
      <c r="H1661" s="45"/>
      <c r="I1661" s="46"/>
      <c r="J1661" s="111" t="str">
        <f>IF(AND(G1661&lt;&gt;"",ISERROR(VLOOKUP(G1661,Keszlet!$C$5:$H$200,6,FALSE))=FALSE),VLOOKUP(G1661,Keszlet!$C$5:$H$200,6,FALSE),"")</f>
        <v/>
      </c>
      <c r="K1661" s="106" t="str">
        <f>IF(AND(G1661&lt;&gt;"",ISERROR(VLOOKUP(G1661,Keszlet!$C$5:$G$200,5,FALSE))=FALSE),VLOOKUP(G1661,Keszlet!$C$5:$G$200,5,FALSE),"")</f>
        <v/>
      </c>
      <c r="L1661" s="106" t="str">
        <f t="shared" si="116"/>
        <v/>
      </c>
      <c r="M1661" s="115" t="str">
        <f>IF(ISERROR(VLOOKUP(G1661,Keszlet!$C$5:$I$200,7,FALSE))=TRUE,"",IF(AND(J1660&lt;&gt;"",J1662=""),VLOOKUP(G1661,Keszlet!$C$5:$I$200,7,FALSE),""))</f>
        <v/>
      </c>
      <c r="Q1661" s="1">
        <f>VLOOKUP(G1661,Keszlet!$C$5:$E$205,3,FALSE)</f>
        <v>0</v>
      </c>
      <c r="T1661" s="1" t="str">
        <f t="shared" si="117"/>
        <v/>
      </c>
      <c r="U1661" s="1">
        <f t="shared" si="118"/>
        <v>0</v>
      </c>
      <c r="W1661" s="6">
        <f t="shared" si="121"/>
        <v>0</v>
      </c>
      <c r="X1661" s="6">
        <f t="shared" si="113"/>
        <v>0</v>
      </c>
      <c r="Y1661" s="1">
        <f t="shared" si="119"/>
        <v>1</v>
      </c>
      <c r="Z1661" s="1">
        <f>IF(COUNTIF($Y$6:Y1661,Y1661)=1,Y1661,Y1661+COUNTIF($Y$5:Y1660,Y1661))</f>
        <v>656</v>
      </c>
      <c r="AD1661" s="1" t="str">
        <f t="shared" si="120"/>
        <v/>
      </c>
      <c r="BA1661" s="1">
        <f>IF(W1661&lt;=Leltar_iv!$Y$1,I1661,0)</f>
        <v>0</v>
      </c>
    </row>
    <row r="1662" spans="1:53" s="1" customFormat="1" x14ac:dyDescent="0.25">
      <c r="A1662" s="18">
        <f>IF(COUNTIF($Y$6:Y1662,Y1662)=1,Y1662,Y1662+COUNTIF($Y$5:Y1661,Y1662))</f>
        <v>657</v>
      </c>
      <c r="B1662" s="1">
        <f>IF(AND(Kisero_iv!$N$2=C1662,Kisero_iv!$K$5=$B$3,SUM(I1662:L1666)&lt;&gt;0,$B$4=YEAR(W1662)),B1661+1,0)</f>
        <v>0</v>
      </c>
      <c r="C1662" s="1">
        <f t="shared" si="114"/>
        <v>657</v>
      </c>
      <c r="D1662" s="102" t="str">
        <f t="shared" si="115"/>
        <v/>
      </c>
      <c r="E1662" s="44"/>
      <c r="F1662" s="45"/>
      <c r="G1662" s="45"/>
      <c r="H1662" s="45"/>
      <c r="I1662" s="46"/>
      <c r="J1662" s="111" t="str">
        <f>IF(AND(G1662&lt;&gt;"",ISERROR(VLOOKUP(G1662,Keszlet!$C$5:$H$200,6,FALSE))=FALSE),VLOOKUP(G1662,Keszlet!$C$5:$H$200,6,FALSE),"")</f>
        <v/>
      </c>
      <c r="K1662" s="106" t="str">
        <f>IF(AND(G1662&lt;&gt;"",ISERROR(VLOOKUP(G1662,Keszlet!$C$5:$G$200,5,FALSE))=FALSE),VLOOKUP(G1662,Keszlet!$C$5:$G$200,5,FALSE),"")</f>
        <v/>
      </c>
      <c r="L1662" s="106" t="str">
        <f t="shared" si="116"/>
        <v/>
      </c>
      <c r="M1662" s="115" t="str">
        <f>IF(ISERROR(VLOOKUP(G1662,Keszlet!$C$5:$I$200,7,FALSE))=TRUE,"",IF(AND(J1661&lt;&gt;"",J1663=""),VLOOKUP(G1662,Keszlet!$C$5:$I$200,7,FALSE),""))</f>
        <v/>
      </c>
      <c r="Q1662" s="1">
        <f>VLOOKUP(G1662,Keszlet!$C$5:$E$205,3,FALSE)</f>
        <v>0</v>
      </c>
      <c r="T1662" s="1" t="str">
        <f t="shared" si="117"/>
        <v/>
      </c>
      <c r="U1662" s="1">
        <f t="shared" si="118"/>
        <v>0</v>
      </c>
      <c r="W1662" s="6">
        <f t="shared" si="121"/>
        <v>0</v>
      </c>
      <c r="X1662" s="6">
        <f t="shared" si="113"/>
        <v>0</v>
      </c>
      <c r="Y1662" s="1">
        <f t="shared" si="119"/>
        <v>1</v>
      </c>
      <c r="Z1662" s="1">
        <f>IF(COUNTIF($Y$6:Y1662,Y1662)=1,Y1662,Y1662+COUNTIF($Y$5:Y1661,Y1662))</f>
        <v>657</v>
      </c>
      <c r="AD1662" s="1" t="str">
        <f t="shared" si="120"/>
        <v/>
      </c>
      <c r="BA1662" s="1">
        <f>IF(W1662&lt;=Leltar_iv!$Y$1,I1662,0)</f>
        <v>0</v>
      </c>
    </row>
    <row r="1663" spans="1:53" s="1" customFormat="1" x14ac:dyDescent="0.25">
      <c r="A1663" s="18">
        <f>IF(COUNTIF($Y$6:Y1663,Y1663)=1,Y1663,Y1663+COUNTIF($Y$5:Y1662,Y1663))</f>
        <v>658</v>
      </c>
      <c r="B1663" s="1">
        <f>IF(AND(Kisero_iv!$N$2=C1663,Kisero_iv!$K$5=$B$3,SUM(I1663:L1667)&lt;&gt;0,$B$4=YEAR(W1663)),B1662+1,0)</f>
        <v>0</v>
      </c>
      <c r="C1663" s="1">
        <f t="shared" si="114"/>
        <v>658</v>
      </c>
      <c r="D1663" s="102" t="str">
        <f t="shared" si="115"/>
        <v/>
      </c>
      <c r="E1663" s="44"/>
      <c r="F1663" s="45"/>
      <c r="G1663" s="45"/>
      <c r="H1663" s="45"/>
      <c r="I1663" s="46"/>
      <c r="J1663" s="111" t="str">
        <f>IF(AND(G1663&lt;&gt;"",ISERROR(VLOOKUP(G1663,Keszlet!$C$5:$H$200,6,FALSE))=FALSE),VLOOKUP(G1663,Keszlet!$C$5:$H$200,6,FALSE),"")</f>
        <v/>
      </c>
      <c r="K1663" s="106" t="str">
        <f>IF(AND(G1663&lt;&gt;"",ISERROR(VLOOKUP(G1663,Keszlet!$C$5:$G$200,5,FALSE))=FALSE),VLOOKUP(G1663,Keszlet!$C$5:$G$200,5,FALSE),"")</f>
        <v/>
      </c>
      <c r="L1663" s="106" t="str">
        <f t="shared" si="116"/>
        <v/>
      </c>
      <c r="M1663" s="115" t="str">
        <f>IF(ISERROR(VLOOKUP(G1663,Keszlet!$C$5:$I$200,7,FALSE))=TRUE,"",IF(AND(J1662&lt;&gt;"",J1664=""),VLOOKUP(G1663,Keszlet!$C$5:$I$200,7,FALSE),""))</f>
        <v/>
      </c>
      <c r="Q1663" s="1">
        <f>VLOOKUP(G1663,Keszlet!$C$5:$E$205,3,FALSE)</f>
        <v>0</v>
      </c>
      <c r="T1663" s="1" t="str">
        <f t="shared" si="117"/>
        <v/>
      </c>
      <c r="U1663" s="1">
        <f t="shared" si="118"/>
        <v>0</v>
      </c>
      <c r="W1663" s="6">
        <f t="shared" si="121"/>
        <v>0</v>
      </c>
      <c r="X1663" s="6">
        <f t="shared" si="113"/>
        <v>0</v>
      </c>
      <c r="Y1663" s="1">
        <f t="shared" si="119"/>
        <v>1</v>
      </c>
      <c r="Z1663" s="1">
        <f>IF(COUNTIF($Y$6:Y1663,Y1663)=1,Y1663,Y1663+COUNTIF($Y$5:Y1662,Y1663))</f>
        <v>658</v>
      </c>
      <c r="AD1663" s="1" t="str">
        <f t="shared" si="120"/>
        <v/>
      </c>
      <c r="BA1663" s="1">
        <f>IF(W1663&lt;=Leltar_iv!$Y$1,I1663,0)</f>
        <v>0</v>
      </c>
    </row>
    <row r="1664" spans="1:53" s="1" customFormat="1" x14ac:dyDescent="0.25">
      <c r="A1664" s="18">
        <f>IF(COUNTIF($Y$6:Y1664,Y1664)=1,Y1664,Y1664+COUNTIF($Y$5:Y1663,Y1664))</f>
        <v>659</v>
      </c>
      <c r="B1664" s="1">
        <f>IF(AND(Kisero_iv!$N$2=C1664,Kisero_iv!$K$5=$B$3,SUM(I1664:L1668)&lt;&gt;0,$B$4=YEAR(W1664)),B1663+1,0)</f>
        <v>0</v>
      </c>
      <c r="C1664" s="1">
        <f t="shared" si="114"/>
        <v>659</v>
      </c>
      <c r="D1664" s="102" t="str">
        <f t="shared" si="115"/>
        <v/>
      </c>
      <c r="E1664" s="44"/>
      <c r="F1664" s="45"/>
      <c r="G1664" s="45"/>
      <c r="H1664" s="45"/>
      <c r="I1664" s="46"/>
      <c r="J1664" s="111" t="str">
        <f>IF(AND(G1664&lt;&gt;"",ISERROR(VLOOKUP(G1664,Keszlet!$C$5:$H$200,6,FALSE))=FALSE),VLOOKUP(G1664,Keszlet!$C$5:$H$200,6,FALSE),"")</f>
        <v/>
      </c>
      <c r="K1664" s="106" t="str">
        <f>IF(AND(G1664&lt;&gt;"",ISERROR(VLOOKUP(G1664,Keszlet!$C$5:$G$200,5,FALSE))=FALSE),VLOOKUP(G1664,Keszlet!$C$5:$G$200,5,FALSE),"")</f>
        <v/>
      </c>
      <c r="L1664" s="106" t="str">
        <f t="shared" si="116"/>
        <v/>
      </c>
      <c r="M1664" s="115" t="str">
        <f>IF(ISERROR(VLOOKUP(G1664,Keszlet!$C$5:$I$200,7,FALSE))=TRUE,"",IF(AND(J1663&lt;&gt;"",J1665=""),VLOOKUP(G1664,Keszlet!$C$5:$I$200,7,FALSE),""))</f>
        <v/>
      </c>
      <c r="Q1664" s="1">
        <f>VLOOKUP(G1664,Keszlet!$C$5:$E$205,3,FALSE)</f>
        <v>0</v>
      </c>
      <c r="T1664" s="1" t="str">
        <f t="shared" si="117"/>
        <v/>
      </c>
      <c r="U1664" s="1">
        <f t="shared" si="118"/>
        <v>0</v>
      </c>
      <c r="W1664" s="6">
        <f t="shared" si="121"/>
        <v>0</v>
      </c>
      <c r="X1664" s="6">
        <f t="shared" si="113"/>
        <v>0</v>
      </c>
      <c r="Y1664" s="1">
        <f t="shared" si="119"/>
        <v>1</v>
      </c>
      <c r="Z1664" s="1">
        <f>IF(COUNTIF($Y$6:Y1664,Y1664)=1,Y1664,Y1664+COUNTIF($Y$5:Y1663,Y1664))</f>
        <v>659</v>
      </c>
      <c r="AD1664" s="1" t="str">
        <f t="shared" si="120"/>
        <v/>
      </c>
      <c r="BA1664" s="1">
        <f>IF(W1664&lt;=Leltar_iv!$Y$1,I1664,0)</f>
        <v>0</v>
      </c>
    </row>
    <row r="1665" spans="1:53" s="1" customFormat="1" x14ac:dyDescent="0.25">
      <c r="A1665" s="18">
        <f>IF(COUNTIF($Y$6:Y1665,Y1665)=1,Y1665,Y1665+COUNTIF($Y$5:Y1664,Y1665))</f>
        <v>660</v>
      </c>
      <c r="B1665" s="1">
        <f>IF(AND(Kisero_iv!$N$2=C1665,Kisero_iv!$K$5=$B$3,SUM(I1665:L1669)&lt;&gt;0,$B$4=YEAR(W1665)),B1664+1,0)</f>
        <v>0</v>
      </c>
      <c r="C1665" s="1">
        <f t="shared" si="114"/>
        <v>660</v>
      </c>
      <c r="D1665" s="102" t="str">
        <f t="shared" si="115"/>
        <v/>
      </c>
      <c r="E1665" s="44"/>
      <c r="F1665" s="45"/>
      <c r="G1665" s="45"/>
      <c r="H1665" s="45"/>
      <c r="I1665" s="46"/>
      <c r="J1665" s="111" t="str">
        <f>IF(AND(G1665&lt;&gt;"",ISERROR(VLOOKUP(G1665,Keszlet!$C$5:$H$200,6,FALSE))=FALSE),VLOOKUP(G1665,Keszlet!$C$5:$H$200,6,FALSE),"")</f>
        <v/>
      </c>
      <c r="K1665" s="106" t="str">
        <f>IF(AND(G1665&lt;&gt;"",ISERROR(VLOOKUP(G1665,Keszlet!$C$5:$G$200,5,FALSE))=FALSE),VLOOKUP(G1665,Keszlet!$C$5:$G$200,5,FALSE),"")</f>
        <v/>
      </c>
      <c r="L1665" s="106" t="str">
        <f t="shared" si="116"/>
        <v/>
      </c>
      <c r="M1665" s="115" t="str">
        <f>IF(ISERROR(VLOOKUP(G1665,Keszlet!$C$5:$I$200,7,FALSE))=TRUE,"",IF(AND(J1664&lt;&gt;"",J1666=""),VLOOKUP(G1665,Keszlet!$C$5:$I$200,7,FALSE),""))</f>
        <v/>
      </c>
      <c r="Q1665" s="1">
        <f>VLOOKUP(G1665,Keszlet!$C$5:$E$205,3,FALSE)</f>
        <v>0</v>
      </c>
      <c r="T1665" s="1" t="str">
        <f t="shared" si="117"/>
        <v/>
      </c>
      <c r="U1665" s="1">
        <f t="shared" si="118"/>
        <v>0</v>
      </c>
      <c r="W1665" s="6">
        <f t="shared" si="121"/>
        <v>0</v>
      </c>
      <c r="X1665" s="6">
        <f t="shared" si="113"/>
        <v>0</v>
      </c>
      <c r="Y1665" s="1">
        <f t="shared" si="119"/>
        <v>1</v>
      </c>
      <c r="Z1665" s="1">
        <f>IF(COUNTIF($Y$6:Y1665,Y1665)=1,Y1665,Y1665+COUNTIF($Y$5:Y1664,Y1665))</f>
        <v>660</v>
      </c>
      <c r="AD1665" s="1" t="str">
        <f t="shared" si="120"/>
        <v/>
      </c>
      <c r="BA1665" s="1">
        <f>IF(W1665&lt;=Leltar_iv!$Y$1,I1665,0)</f>
        <v>0</v>
      </c>
    </row>
    <row r="1666" spans="1:53" s="1" customFormat="1" x14ac:dyDescent="0.25">
      <c r="A1666" s="18">
        <f>IF(COUNTIF($Y$6:Y1666,Y1666)=1,Y1666,Y1666+COUNTIF($Y$5:Y1665,Y1666))</f>
        <v>661</v>
      </c>
      <c r="B1666" s="1">
        <f>IF(AND(Kisero_iv!$N$2=C1666,Kisero_iv!$K$5=$B$3,SUM(I1666:L1670)&lt;&gt;0,$B$4=YEAR(W1666)),B1665+1,0)</f>
        <v>0</v>
      </c>
      <c r="C1666" s="1">
        <f t="shared" si="114"/>
        <v>661</v>
      </c>
      <c r="D1666" s="102" t="str">
        <f t="shared" si="115"/>
        <v/>
      </c>
      <c r="E1666" s="44"/>
      <c r="F1666" s="45"/>
      <c r="G1666" s="45"/>
      <c r="H1666" s="45"/>
      <c r="I1666" s="46"/>
      <c r="J1666" s="111" t="str">
        <f>IF(AND(G1666&lt;&gt;"",ISERROR(VLOOKUP(G1666,Keszlet!$C$5:$H$200,6,FALSE))=FALSE),VLOOKUP(G1666,Keszlet!$C$5:$H$200,6,FALSE),"")</f>
        <v/>
      </c>
      <c r="K1666" s="106" t="str">
        <f>IF(AND(G1666&lt;&gt;"",ISERROR(VLOOKUP(G1666,Keszlet!$C$5:$G$200,5,FALSE))=FALSE),VLOOKUP(G1666,Keszlet!$C$5:$G$200,5,FALSE),"")</f>
        <v/>
      </c>
      <c r="L1666" s="106" t="str">
        <f t="shared" si="116"/>
        <v/>
      </c>
      <c r="M1666" s="115" t="str">
        <f>IF(ISERROR(VLOOKUP(G1666,Keszlet!$C$5:$I$200,7,FALSE))=TRUE,"",IF(AND(J1665&lt;&gt;"",J1667=""),VLOOKUP(G1666,Keszlet!$C$5:$I$200,7,FALSE),""))</f>
        <v/>
      </c>
      <c r="Q1666" s="1">
        <f>VLOOKUP(G1666,Keszlet!$C$5:$E$205,3,FALSE)</f>
        <v>0</v>
      </c>
      <c r="T1666" s="1" t="str">
        <f t="shared" si="117"/>
        <v/>
      </c>
      <c r="U1666" s="1">
        <f t="shared" si="118"/>
        <v>0</v>
      </c>
      <c r="W1666" s="6">
        <f t="shared" si="121"/>
        <v>0</v>
      </c>
      <c r="X1666" s="6">
        <f t="shared" si="113"/>
        <v>0</v>
      </c>
      <c r="Y1666" s="1">
        <f t="shared" si="119"/>
        <v>1</v>
      </c>
      <c r="Z1666" s="1">
        <f>IF(COUNTIF($Y$6:Y1666,Y1666)=1,Y1666,Y1666+COUNTIF($Y$5:Y1665,Y1666))</f>
        <v>661</v>
      </c>
      <c r="AD1666" s="1" t="str">
        <f t="shared" si="120"/>
        <v/>
      </c>
      <c r="BA1666" s="1">
        <f>IF(W1666&lt;=Leltar_iv!$Y$1,I1666,0)</f>
        <v>0</v>
      </c>
    </row>
    <row r="1667" spans="1:53" s="1" customFormat="1" x14ac:dyDescent="0.25">
      <c r="A1667" s="18">
        <f>IF(COUNTIF($Y$6:Y1667,Y1667)=1,Y1667,Y1667+COUNTIF($Y$5:Y1666,Y1667))</f>
        <v>662</v>
      </c>
      <c r="B1667" s="1">
        <f>IF(AND(Kisero_iv!$N$2=C1667,Kisero_iv!$K$5=$B$3,SUM(I1667:L1671)&lt;&gt;0,$B$4=YEAR(W1667)),B1666+1,0)</f>
        <v>0</v>
      </c>
      <c r="C1667" s="1">
        <f t="shared" si="114"/>
        <v>662</v>
      </c>
      <c r="D1667" s="102" t="str">
        <f t="shared" si="115"/>
        <v/>
      </c>
      <c r="E1667" s="44"/>
      <c r="F1667" s="45"/>
      <c r="G1667" s="45"/>
      <c r="H1667" s="45"/>
      <c r="I1667" s="46"/>
      <c r="J1667" s="111" t="str">
        <f>IF(AND(G1667&lt;&gt;"",ISERROR(VLOOKUP(G1667,Keszlet!$C$5:$H$200,6,FALSE))=FALSE),VLOOKUP(G1667,Keszlet!$C$5:$H$200,6,FALSE),"")</f>
        <v/>
      </c>
      <c r="K1667" s="106" t="str">
        <f>IF(AND(G1667&lt;&gt;"",ISERROR(VLOOKUP(G1667,Keszlet!$C$5:$G$200,5,FALSE))=FALSE),VLOOKUP(G1667,Keszlet!$C$5:$G$200,5,FALSE),"")</f>
        <v/>
      </c>
      <c r="L1667" s="106" t="str">
        <f t="shared" si="116"/>
        <v/>
      </c>
      <c r="M1667" s="115" t="str">
        <f>IF(ISERROR(VLOOKUP(G1667,Keszlet!$C$5:$I$200,7,FALSE))=TRUE,"",IF(AND(J1666&lt;&gt;"",J1668=""),VLOOKUP(G1667,Keszlet!$C$5:$I$200,7,FALSE),""))</f>
        <v/>
      </c>
      <c r="Q1667" s="1">
        <f>VLOOKUP(G1667,Keszlet!$C$5:$E$205,3,FALSE)</f>
        <v>0</v>
      </c>
      <c r="T1667" s="1" t="str">
        <f t="shared" si="117"/>
        <v/>
      </c>
      <c r="U1667" s="1">
        <f t="shared" si="118"/>
        <v>0</v>
      </c>
      <c r="W1667" s="6">
        <f t="shared" si="121"/>
        <v>0</v>
      </c>
      <c r="X1667" s="6">
        <f t="shared" si="113"/>
        <v>0</v>
      </c>
      <c r="Y1667" s="1">
        <f t="shared" si="119"/>
        <v>1</v>
      </c>
      <c r="Z1667" s="1">
        <f>IF(COUNTIF($Y$6:Y1667,Y1667)=1,Y1667,Y1667+COUNTIF($Y$5:Y1666,Y1667))</f>
        <v>662</v>
      </c>
      <c r="AD1667" s="1" t="str">
        <f t="shared" si="120"/>
        <v/>
      </c>
      <c r="BA1667" s="1">
        <f>IF(W1667&lt;=Leltar_iv!$Y$1,I1667,0)</f>
        <v>0</v>
      </c>
    </row>
    <row r="1668" spans="1:53" s="1" customFormat="1" x14ac:dyDescent="0.25">
      <c r="A1668" s="18">
        <f>IF(COUNTIF($Y$6:Y1668,Y1668)=1,Y1668,Y1668+COUNTIF($Y$5:Y1667,Y1668))</f>
        <v>663</v>
      </c>
      <c r="B1668" s="1">
        <f>IF(AND(Kisero_iv!$N$2=C1668,Kisero_iv!$K$5=$B$3,SUM(I1668:L1672)&lt;&gt;0,$B$4=YEAR(W1668)),B1667+1,0)</f>
        <v>0</v>
      </c>
      <c r="C1668" s="1">
        <f t="shared" si="114"/>
        <v>663</v>
      </c>
      <c r="D1668" s="102" t="str">
        <f t="shared" si="115"/>
        <v/>
      </c>
      <c r="E1668" s="44"/>
      <c r="F1668" s="45"/>
      <c r="G1668" s="45"/>
      <c r="H1668" s="45"/>
      <c r="I1668" s="46"/>
      <c r="J1668" s="111" t="str">
        <f>IF(AND(G1668&lt;&gt;"",ISERROR(VLOOKUP(G1668,Keszlet!$C$5:$H$200,6,FALSE))=FALSE),VLOOKUP(G1668,Keszlet!$C$5:$H$200,6,FALSE),"")</f>
        <v/>
      </c>
      <c r="K1668" s="106" t="str">
        <f>IF(AND(G1668&lt;&gt;"",ISERROR(VLOOKUP(G1668,Keszlet!$C$5:$G$200,5,FALSE))=FALSE),VLOOKUP(G1668,Keszlet!$C$5:$G$200,5,FALSE),"")</f>
        <v/>
      </c>
      <c r="L1668" s="106" t="str">
        <f t="shared" si="116"/>
        <v/>
      </c>
      <c r="M1668" s="115" t="str">
        <f>IF(ISERROR(VLOOKUP(G1668,Keszlet!$C$5:$I$200,7,FALSE))=TRUE,"",IF(AND(J1667&lt;&gt;"",J1669=""),VLOOKUP(G1668,Keszlet!$C$5:$I$200,7,FALSE),""))</f>
        <v/>
      </c>
      <c r="Q1668" s="1">
        <f>VLOOKUP(G1668,Keszlet!$C$5:$E$205,3,FALSE)</f>
        <v>0</v>
      </c>
      <c r="T1668" s="1" t="str">
        <f t="shared" si="117"/>
        <v/>
      </c>
      <c r="U1668" s="1">
        <f t="shared" si="118"/>
        <v>0</v>
      </c>
      <c r="W1668" s="6">
        <f t="shared" si="121"/>
        <v>0</v>
      </c>
      <c r="X1668" s="6">
        <f t="shared" si="113"/>
        <v>0</v>
      </c>
      <c r="Y1668" s="1">
        <f t="shared" si="119"/>
        <v>1</v>
      </c>
      <c r="Z1668" s="1">
        <f>IF(COUNTIF($Y$6:Y1668,Y1668)=1,Y1668,Y1668+COUNTIF($Y$5:Y1667,Y1668))</f>
        <v>663</v>
      </c>
      <c r="AD1668" s="1" t="str">
        <f t="shared" si="120"/>
        <v/>
      </c>
      <c r="BA1668" s="1">
        <f>IF(W1668&lt;=Leltar_iv!$Y$1,I1668,0)</f>
        <v>0</v>
      </c>
    </row>
    <row r="1669" spans="1:53" s="1" customFormat="1" x14ac:dyDescent="0.25">
      <c r="A1669" s="18">
        <f>IF(COUNTIF($Y$6:Y1669,Y1669)=1,Y1669,Y1669+COUNTIF($Y$5:Y1668,Y1669))</f>
        <v>664</v>
      </c>
      <c r="B1669" s="1">
        <f>IF(AND(Kisero_iv!$N$2=C1669,Kisero_iv!$K$5=$B$3,SUM(I1669:L1673)&lt;&gt;0,$B$4=YEAR(W1669)),B1668+1,0)</f>
        <v>0</v>
      </c>
      <c r="C1669" s="1">
        <f t="shared" si="114"/>
        <v>664</v>
      </c>
      <c r="D1669" s="102" t="str">
        <f t="shared" si="115"/>
        <v/>
      </c>
      <c r="E1669" s="44"/>
      <c r="F1669" s="45"/>
      <c r="G1669" s="45"/>
      <c r="H1669" s="45"/>
      <c r="I1669" s="46"/>
      <c r="J1669" s="111" t="str">
        <f>IF(AND(G1669&lt;&gt;"",ISERROR(VLOOKUP(G1669,Keszlet!$C$5:$H$200,6,FALSE))=FALSE),VLOOKUP(G1669,Keszlet!$C$5:$H$200,6,FALSE),"")</f>
        <v/>
      </c>
      <c r="K1669" s="106" t="str">
        <f>IF(AND(G1669&lt;&gt;"",ISERROR(VLOOKUP(G1669,Keszlet!$C$5:$G$200,5,FALSE))=FALSE),VLOOKUP(G1669,Keszlet!$C$5:$G$200,5,FALSE),"")</f>
        <v/>
      </c>
      <c r="L1669" s="106" t="str">
        <f t="shared" si="116"/>
        <v/>
      </c>
      <c r="M1669" s="115" t="str">
        <f>IF(ISERROR(VLOOKUP(G1669,Keszlet!$C$5:$I$200,7,FALSE))=TRUE,"",IF(AND(J1668&lt;&gt;"",J1670=""),VLOOKUP(G1669,Keszlet!$C$5:$I$200,7,FALSE),""))</f>
        <v/>
      </c>
      <c r="Q1669" s="1">
        <f>VLOOKUP(G1669,Keszlet!$C$5:$E$205,3,FALSE)</f>
        <v>0</v>
      </c>
      <c r="T1669" s="1" t="str">
        <f t="shared" si="117"/>
        <v/>
      </c>
      <c r="U1669" s="1">
        <f t="shared" si="118"/>
        <v>0</v>
      </c>
      <c r="W1669" s="6">
        <f t="shared" si="121"/>
        <v>0</v>
      </c>
      <c r="X1669" s="6">
        <f t="shared" si="113"/>
        <v>0</v>
      </c>
      <c r="Y1669" s="1">
        <f t="shared" si="119"/>
        <v>1</v>
      </c>
      <c r="Z1669" s="1">
        <f>IF(COUNTIF($Y$6:Y1669,Y1669)=1,Y1669,Y1669+COUNTIF($Y$5:Y1668,Y1669))</f>
        <v>664</v>
      </c>
      <c r="AD1669" s="1" t="str">
        <f t="shared" si="120"/>
        <v/>
      </c>
      <c r="BA1669" s="1">
        <f>IF(W1669&lt;=Leltar_iv!$Y$1,I1669,0)</f>
        <v>0</v>
      </c>
    </row>
    <row r="1670" spans="1:53" s="1" customFormat="1" x14ac:dyDescent="0.25">
      <c r="A1670" s="18">
        <f>IF(COUNTIF($Y$6:Y1670,Y1670)=1,Y1670,Y1670+COUNTIF($Y$5:Y1669,Y1670))</f>
        <v>665</v>
      </c>
      <c r="B1670" s="1">
        <f>IF(AND(Kisero_iv!$N$2=C1670,Kisero_iv!$K$5=$B$3,SUM(I1670:L1674)&lt;&gt;0,$B$4=YEAR(W1670)),B1669+1,0)</f>
        <v>0</v>
      </c>
      <c r="C1670" s="1">
        <f t="shared" si="114"/>
        <v>665</v>
      </c>
      <c r="D1670" s="102" t="str">
        <f t="shared" si="115"/>
        <v/>
      </c>
      <c r="E1670" s="44"/>
      <c r="F1670" s="45"/>
      <c r="G1670" s="45"/>
      <c r="H1670" s="45"/>
      <c r="I1670" s="46"/>
      <c r="J1670" s="111" t="str">
        <f>IF(AND(G1670&lt;&gt;"",ISERROR(VLOOKUP(G1670,Keszlet!$C$5:$H$200,6,FALSE))=FALSE),VLOOKUP(G1670,Keszlet!$C$5:$H$200,6,FALSE),"")</f>
        <v/>
      </c>
      <c r="K1670" s="106" t="str">
        <f>IF(AND(G1670&lt;&gt;"",ISERROR(VLOOKUP(G1670,Keszlet!$C$5:$G$200,5,FALSE))=FALSE),VLOOKUP(G1670,Keszlet!$C$5:$G$200,5,FALSE),"")</f>
        <v/>
      </c>
      <c r="L1670" s="106" t="str">
        <f t="shared" si="116"/>
        <v/>
      </c>
      <c r="M1670" s="115" t="str">
        <f>IF(ISERROR(VLOOKUP(G1670,Keszlet!$C$5:$I$200,7,FALSE))=TRUE,"",IF(AND(J1669&lt;&gt;"",J1671=""),VLOOKUP(G1670,Keszlet!$C$5:$I$200,7,FALSE),""))</f>
        <v/>
      </c>
      <c r="Q1670" s="1">
        <f>VLOOKUP(G1670,Keszlet!$C$5:$E$205,3,FALSE)</f>
        <v>0</v>
      </c>
      <c r="T1670" s="1" t="str">
        <f t="shared" si="117"/>
        <v/>
      </c>
      <c r="U1670" s="1">
        <f t="shared" si="118"/>
        <v>0</v>
      </c>
      <c r="W1670" s="6">
        <f t="shared" si="121"/>
        <v>0</v>
      </c>
      <c r="X1670" s="6">
        <f t="shared" si="113"/>
        <v>0</v>
      </c>
      <c r="Y1670" s="1">
        <f t="shared" si="119"/>
        <v>1</v>
      </c>
      <c r="Z1670" s="1">
        <f>IF(COUNTIF($Y$6:Y1670,Y1670)=1,Y1670,Y1670+COUNTIF($Y$5:Y1669,Y1670))</f>
        <v>665</v>
      </c>
      <c r="AD1670" s="1" t="str">
        <f t="shared" si="120"/>
        <v/>
      </c>
      <c r="BA1670" s="1">
        <f>IF(W1670&lt;=Leltar_iv!$Y$1,I1670,0)</f>
        <v>0</v>
      </c>
    </row>
    <row r="1671" spans="1:53" s="1" customFormat="1" x14ac:dyDescent="0.25">
      <c r="A1671" s="18">
        <f>IF(COUNTIF($Y$6:Y1671,Y1671)=1,Y1671,Y1671+COUNTIF($Y$5:Y1670,Y1671))</f>
        <v>666</v>
      </c>
      <c r="B1671" s="1">
        <f>IF(AND(Kisero_iv!$N$2=C1671,Kisero_iv!$K$5=$B$3,SUM(I1671:L1675)&lt;&gt;0,$B$4=YEAR(W1671)),B1670+1,0)</f>
        <v>0</v>
      </c>
      <c r="C1671" s="1">
        <f t="shared" si="114"/>
        <v>666</v>
      </c>
      <c r="D1671" s="102" t="str">
        <f t="shared" si="115"/>
        <v/>
      </c>
      <c r="E1671" s="44"/>
      <c r="F1671" s="45"/>
      <c r="G1671" s="45"/>
      <c r="H1671" s="45"/>
      <c r="I1671" s="46"/>
      <c r="J1671" s="111" t="str">
        <f>IF(AND(G1671&lt;&gt;"",ISERROR(VLOOKUP(G1671,Keszlet!$C$5:$H$200,6,FALSE))=FALSE),VLOOKUP(G1671,Keszlet!$C$5:$H$200,6,FALSE),"")</f>
        <v/>
      </c>
      <c r="K1671" s="106" t="str">
        <f>IF(AND(G1671&lt;&gt;"",ISERROR(VLOOKUP(G1671,Keszlet!$C$5:$G$200,5,FALSE))=FALSE),VLOOKUP(G1671,Keszlet!$C$5:$G$200,5,FALSE),"")</f>
        <v/>
      </c>
      <c r="L1671" s="106" t="str">
        <f t="shared" si="116"/>
        <v/>
      </c>
      <c r="M1671" s="115" t="str">
        <f>IF(ISERROR(VLOOKUP(G1671,Keszlet!$C$5:$I$200,7,FALSE))=TRUE,"",IF(AND(J1670&lt;&gt;"",J1672=""),VLOOKUP(G1671,Keszlet!$C$5:$I$200,7,FALSE),""))</f>
        <v/>
      </c>
      <c r="Q1671" s="1">
        <f>VLOOKUP(G1671,Keszlet!$C$5:$E$205,3,FALSE)</f>
        <v>0</v>
      </c>
      <c r="T1671" s="1" t="str">
        <f t="shared" si="117"/>
        <v/>
      </c>
      <c r="U1671" s="1">
        <f t="shared" si="118"/>
        <v>0</v>
      </c>
      <c r="W1671" s="6">
        <f t="shared" si="121"/>
        <v>0</v>
      </c>
      <c r="X1671" s="6">
        <f t="shared" si="113"/>
        <v>0</v>
      </c>
      <c r="Y1671" s="1">
        <f t="shared" si="119"/>
        <v>1</v>
      </c>
      <c r="Z1671" s="1">
        <f>IF(COUNTIF($Y$6:Y1671,Y1671)=1,Y1671,Y1671+COUNTIF($Y$5:Y1670,Y1671))</f>
        <v>666</v>
      </c>
      <c r="AD1671" s="1" t="str">
        <f t="shared" si="120"/>
        <v/>
      </c>
      <c r="BA1671" s="1">
        <f>IF(W1671&lt;=Leltar_iv!$Y$1,I1671,0)</f>
        <v>0</v>
      </c>
    </row>
    <row r="1672" spans="1:53" s="1" customFormat="1" x14ac:dyDescent="0.25">
      <c r="A1672" s="18">
        <f>IF(COUNTIF($Y$6:Y1672,Y1672)=1,Y1672,Y1672+COUNTIF($Y$5:Y1671,Y1672))</f>
        <v>667</v>
      </c>
      <c r="B1672" s="1">
        <f>IF(AND(Kisero_iv!$N$2=C1672,Kisero_iv!$K$5=$B$3,SUM(I1672:L1676)&lt;&gt;0,$B$4=YEAR(W1672)),B1671+1,0)</f>
        <v>0</v>
      </c>
      <c r="C1672" s="1">
        <f t="shared" si="114"/>
        <v>667</v>
      </c>
      <c r="D1672" s="102" t="str">
        <f t="shared" si="115"/>
        <v/>
      </c>
      <c r="E1672" s="44"/>
      <c r="F1672" s="45"/>
      <c r="G1672" s="45"/>
      <c r="H1672" s="45"/>
      <c r="I1672" s="46"/>
      <c r="J1672" s="111" t="str">
        <f>IF(AND(G1672&lt;&gt;"",ISERROR(VLOOKUP(G1672,Keszlet!$C$5:$H$200,6,FALSE))=FALSE),VLOOKUP(G1672,Keszlet!$C$5:$H$200,6,FALSE),"")</f>
        <v/>
      </c>
      <c r="K1672" s="106" t="str">
        <f>IF(AND(G1672&lt;&gt;"",ISERROR(VLOOKUP(G1672,Keszlet!$C$5:$G$200,5,FALSE))=FALSE),VLOOKUP(G1672,Keszlet!$C$5:$G$200,5,FALSE),"")</f>
        <v/>
      </c>
      <c r="L1672" s="106" t="str">
        <f t="shared" si="116"/>
        <v/>
      </c>
      <c r="M1672" s="115" t="str">
        <f>IF(ISERROR(VLOOKUP(G1672,Keszlet!$C$5:$I$200,7,FALSE))=TRUE,"",IF(AND(J1671&lt;&gt;"",J1673=""),VLOOKUP(G1672,Keszlet!$C$5:$I$200,7,FALSE),""))</f>
        <v/>
      </c>
      <c r="Q1672" s="1">
        <f>VLOOKUP(G1672,Keszlet!$C$5:$E$205,3,FALSE)</f>
        <v>0</v>
      </c>
      <c r="T1672" s="1" t="str">
        <f t="shared" si="117"/>
        <v/>
      </c>
      <c r="U1672" s="1">
        <f t="shared" si="118"/>
        <v>0</v>
      </c>
      <c r="W1672" s="6">
        <f t="shared" si="121"/>
        <v>0</v>
      </c>
      <c r="X1672" s="6">
        <f t="shared" si="113"/>
        <v>0</v>
      </c>
      <c r="Y1672" s="1">
        <f t="shared" si="119"/>
        <v>1</v>
      </c>
      <c r="Z1672" s="1">
        <f>IF(COUNTIF($Y$6:Y1672,Y1672)=1,Y1672,Y1672+COUNTIF($Y$5:Y1671,Y1672))</f>
        <v>667</v>
      </c>
      <c r="AD1672" s="1" t="str">
        <f t="shared" si="120"/>
        <v/>
      </c>
      <c r="BA1672" s="1">
        <f>IF(W1672&lt;=Leltar_iv!$Y$1,I1672,0)</f>
        <v>0</v>
      </c>
    </row>
    <row r="1673" spans="1:53" s="1" customFormat="1" x14ac:dyDescent="0.25">
      <c r="A1673" s="18">
        <f>IF(COUNTIF($Y$6:Y1673,Y1673)=1,Y1673,Y1673+COUNTIF($Y$5:Y1672,Y1673))</f>
        <v>668</v>
      </c>
      <c r="B1673" s="1">
        <f>IF(AND(Kisero_iv!$N$2=C1673,Kisero_iv!$K$5=$B$3,SUM(I1673:L1677)&lt;&gt;0,$B$4=YEAR(W1673)),B1672+1,0)</f>
        <v>0</v>
      </c>
      <c r="C1673" s="1">
        <f t="shared" si="114"/>
        <v>668</v>
      </c>
      <c r="D1673" s="102" t="str">
        <f t="shared" si="115"/>
        <v/>
      </c>
      <c r="E1673" s="44"/>
      <c r="F1673" s="45"/>
      <c r="G1673" s="45"/>
      <c r="H1673" s="45"/>
      <c r="I1673" s="46"/>
      <c r="J1673" s="111" t="str">
        <f>IF(AND(G1673&lt;&gt;"",ISERROR(VLOOKUP(G1673,Keszlet!$C$5:$H$200,6,FALSE))=FALSE),VLOOKUP(G1673,Keszlet!$C$5:$H$200,6,FALSE),"")</f>
        <v/>
      </c>
      <c r="K1673" s="106" t="str">
        <f>IF(AND(G1673&lt;&gt;"",ISERROR(VLOOKUP(G1673,Keszlet!$C$5:$G$200,5,FALSE))=FALSE),VLOOKUP(G1673,Keszlet!$C$5:$G$200,5,FALSE),"")</f>
        <v/>
      </c>
      <c r="L1673" s="106" t="str">
        <f t="shared" si="116"/>
        <v/>
      </c>
      <c r="M1673" s="115" t="str">
        <f>IF(ISERROR(VLOOKUP(G1673,Keszlet!$C$5:$I$200,7,FALSE))=TRUE,"",IF(AND(J1672&lt;&gt;"",J1674=""),VLOOKUP(G1673,Keszlet!$C$5:$I$200,7,FALSE),""))</f>
        <v/>
      </c>
      <c r="Q1673" s="1">
        <f>VLOOKUP(G1673,Keszlet!$C$5:$E$205,3,FALSE)</f>
        <v>0</v>
      </c>
      <c r="T1673" s="1" t="str">
        <f t="shared" si="117"/>
        <v/>
      </c>
      <c r="U1673" s="1">
        <f t="shared" si="118"/>
        <v>0</v>
      </c>
      <c r="W1673" s="6">
        <f t="shared" si="121"/>
        <v>0</v>
      </c>
      <c r="X1673" s="6">
        <f t="shared" si="113"/>
        <v>0</v>
      </c>
      <c r="Y1673" s="1">
        <f t="shared" si="119"/>
        <v>1</v>
      </c>
      <c r="Z1673" s="1">
        <f>IF(COUNTIF($Y$6:Y1673,Y1673)=1,Y1673,Y1673+COUNTIF($Y$5:Y1672,Y1673))</f>
        <v>668</v>
      </c>
      <c r="AD1673" s="1" t="str">
        <f t="shared" si="120"/>
        <v/>
      </c>
      <c r="BA1673" s="1">
        <f>IF(W1673&lt;=Leltar_iv!$Y$1,I1673,0)</f>
        <v>0</v>
      </c>
    </row>
    <row r="1674" spans="1:53" s="1" customFormat="1" x14ac:dyDescent="0.25">
      <c r="A1674" s="18">
        <f>IF(COUNTIF($Y$6:Y1674,Y1674)=1,Y1674,Y1674+COUNTIF($Y$5:Y1673,Y1674))</f>
        <v>669</v>
      </c>
      <c r="B1674" s="1">
        <f>IF(AND(Kisero_iv!$N$2=C1674,Kisero_iv!$K$5=$B$3,SUM(I1674:L1678)&lt;&gt;0,$B$4=YEAR(W1674)),B1673+1,0)</f>
        <v>0</v>
      </c>
      <c r="C1674" s="1">
        <f t="shared" si="114"/>
        <v>669</v>
      </c>
      <c r="D1674" s="102" t="str">
        <f t="shared" si="115"/>
        <v/>
      </c>
      <c r="E1674" s="44"/>
      <c r="F1674" s="45"/>
      <c r="G1674" s="45"/>
      <c r="H1674" s="45"/>
      <c r="I1674" s="46"/>
      <c r="J1674" s="111" t="str">
        <f>IF(AND(G1674&lt;&gt;"",ISERROR(VLOOKUP(G1674,Keszlet!$C$5:$H$200,6,FALSE))=FALSE),VLOOKUP(G1674,Keszlet!$C$5:$H$200,6,FALSE),"")</f>
        <v/>
      </c>
      <c r="K1674" s="106" t="str">
        <f>IF(AND(G1674&lt;&gt;"",ISERROR(VLOOKUP(G1674,Keszlet!$C$5:$G$200,5,FALSE))=FALSE),VLOOKUP(G1674,Keszlet!$C$5:$G$200,5,FALSE),"")</f>
        <v/>
      </c>
      <c r="L1674" s="106" t="str">
        <f t="shared" si="116"/>
        <v/>
      </c>
      <c r="M1674" s="115" t="str">
        <f>IF(ISERROR(VLOOKUP(G1674,Keszlet!$C$5:$I$200,7,FALSE))=TRUE,"",IF(AND(J1673&lt;&gt;"",J1675=""),VLOOKUP(G1674,Keszlet!$C$5:$I$200,7,FALSE),""))</f>
        <v/>
      </c>
      <c r="Q1674" s="1">
        <f>VLOOKUP(G1674,Keszlet!$C$5:$E$205,3,FALSE)</f>
        <v>0</v>
      </c>
      <c r="T1674" s="1" t="str">
        <f t="shared" si="117"/>
        <v/>
      </c>
      <c r="U1674" s="1">
        <f t="shared" si="118"/>
        <v>0</v>
      </c>
      <c r="W1674" s="6">
        <f t="shared" si="121"/>
        <v>0</v>
      </c>
      <c r="X1674" s="6">
        <f t="shared" si="113"/>
        <v>0</v>
      </c>
      <c r="Y1674" s="1">
        <f t="shared" si="119"/>
        <v>1</v>
      </c>
      <c r="Z1674" s="1">
        <f>IF(COUNTIF($Y$6:Y1674,Y1674)=1,Y1674,Y1674+COUNTIF($Y$5:Y1673,Y1674))</f>
        <v>669</v>
      </c>
      <c r="AD1674" s="1" t="str">
        <f t="shared" si="120"/>
        <v/>
      </c>
      <c r="BA1674" s="1">
        <f>IF(W1674&lt;=Leltar_iv!$Y$1,I1674,0)</f>
        <v>0</v>
      </c>
    </row>
    <row r="1675" spans="1:53" s="1" customFormat="1" x14ac:dyDescent="0.25">
      <c r="A1675" s="18">
        <f>IF(COUNTIF($Y$6:Y1675,Y1675)=1,Y1675,Y1675+COUNTIF($Y$5:Y1674,Y1675))</f>
        <v>670</v>
      </c>
      <c r="B1675" s="1">
        <f>IF(AND(Kisero_iv!$N$2=C1675,Kisero_iv!$K$5=$B$3,SUM(I1675:L1679)&lt;&gt;0,$B$4=YEAR(W1675)),B1674+1,0)</f>
        <v>0</v>
      </c>
      <c r="C1675" s="1">
        <f t="shared" si="114"/>
        <v>670</v>
      </c>
      <c r="D1675" s="102" t="str">
        <f t="shared" si="115"/>
        <v/>
      </c>
      <c r="E1675" s="44"/>
      <c r="F1675" s="45"/>
      <c r="G1675" s="45"/>
      <c r="H1675" s="45"/>
      <c r="I1675" s="46"/>
      <c r="J1675" s="111" t="str">
        <f>IF(AND(G1675&lt;&gt;"",ISERROR(VLOOKUP(G1675,Keszlet!$C$5:$H$200,6,FALSE))=FALSE),VLOOKUP(G1675,Keszlet!$C$5:$H$200,6,FALSE),"")</f>
        <v/>
      </c>
      <c r="K1675" s="106" t="str">
        <f>IF(AND(G1675&lt;&gt;"",ISERROR(VLOOKUP(G1675,Keszlet!$C$5:$G$200,5,FALSE))=FALSE),VLOOKUP(G1675,Keszlet!$C$5:$G$200,5,FALSE),"")</f>
        <v/>
      </c>
      <c r="L1675" s="106" t="str">
        <f t="shared" si="116"/>
        <v/>
      </c>
      <c r="M1675" s="115" t="str">
        <f>IF(ISERROR(VLOOKUP(G1675,Keszlet!$C$5:$I$200,7,FALSE))=TRUE,"",IF(AND(J1674&lt;&gt;"",J1676=""),VLOOKUP(G1675,Keszlet!$C$5:$I$200,7,FALSE),""))</f>
        <v/>
      </c>
      <c r="Q1675" s="1">
        <f>VLOOKUP(G1675,Keszlet!$C$5:$E$205,3,FALSE)</f>
        <v>0</v>
      </c>
      <c r="T1675" s="1" t="str">
        <f t="shared" si="117"/>
        <v/>
      </c>
      <c r="U1675" s="1">
        <f t="shared" si="118"/>
        <v>0</v>
      </c>
      <c r="W1675" s="6">
        <f t="shared" si="121"/>
        <v>0</v>
      </c>
      <c r="X1675" s="6">
        <f t="shared" si="113"/>
        <v>0</v>
      </c>
      <c r="Y1675" s="1">
        <f t="shared" si="119"/>
        <v>1</v>
      </c>
      <c r="Z1675" s="1">
        <f>IF(COUNTIF($Y$6:Y1675,Y1675)=1,Y1675,Y1675+COUNTIF($Y$5:Y1674,Y1675))</f>
        <v>670</v>
      </c>
      <c r="AD1675" s="1" t="str">
        <f t="shared" si="120"/>
        <v/>
      </c>
      <c r="BA1675" s="1">
        <f>IF(W1675&lt;=Leltar_iv!$Y$1,I1675,0)</f>
        <v>0</v>
      </c>
    </row>
    <row r="1676" spans="1:53" s="1" customFormat="1" x14ac:dyDescent="0.25">
      <c r="A1676" s="18">
        <f>IF(COUNTIF($Y$6:Y1676,Y1676)=1,Y1676,Y1676+COUNTIF($Y$5:Y1675,Y1676))</f>
        <v>671</v>
      </c>
      <c r="B1676" s="1">
        <f>IF(AND(Kisero_iv!$N$2=C1676,Kisero_iv!$K$5=$B$3,SUM(I1676:L1680)&lt;&gt;0,$B$4=YEAR(W1676)),B1675+1,0)</f>
        <v>0</v>
      </c>
      <c r="C1676" s="1">
        <f t="shared" si="114"/>
        <v>671</v>
      </c>
      <c r="D1676" s="102" t="str">
        <f t="shared" si="115"/>
        <v/>
      </c>
      <c r="E1676" s="44"/>
      <c r="F1676" s="45"/>
      <c r="G1676" s="45"/>
      <c r="H1676" s="45"/>
      <c r="I1676" s="46"/>
      <c r="J1676" s="111" t="str">
        <f>IF(AND(G1676&lt;&gt;"",ISERROR(VLOOKUP(G1676,Keszlet!$C$5:$H$200,6,FALSE))=FALSE),VLOOKUP(G1676,Keszlet!$C$5:$H$200,6,FALSE),"")</f>
        <v/>
      </c>
      <c r="K1676" s="106" t="str">
        <f>IF(AND(G1676&lt;&gt;"",ISERROR(VLOOKUP(G1676,Keszlet!$C$5:$G$200,5,FALSE))=FALSE),VLOOKUP(G1676,Keszlet!$C$5:$G$200,5,FALSE),"")</f>
        <v/>
      </c>
      <c r="L1676" s="106" t="str">
        <f t="shared" si="116"/>
        <v/>
      </c>
      <c r="M1676" s="115" t="str">
        <f>IF(ISERROR(VLOOKUP(G1676,Keszlet!$C$5:$I$200,7,FALSE))=TRUE,"",IF(AND(J1675&lt;&gt;"",J1677=""),VLOOKUP(G1676,Keszlet!$C$5:$I$200,7,FALSE),""))</f>
        <v/>
      </c>
      <c r="Q1676" s="1">
        <f>VLOOKUP(G1676,Keszlet!$C$5:$E$205,3,FALSE)</f>
        <v>0</v>
      </c>
      <c r="T1676" s="1" t="str">
        <f t="shared" si="117"/>
        <v/>
      </c>
      <c r="U1676" s="1">
        <f t="shared" si="118"/>
        <v>0</v>
      </c>
      <c r="W1676" s="6">
        <f t="shared" si="121"/>
        <v>0</v>
      </c>
      <c r="X1676" s="6">
        <f t="shared" si="113"/>
        <v>0</v>
      </c>
      <c r="Y1676" s="1">
        <f t="shared" si="119"/>
        <v>1</v>
      </c>
      <c r="Z1676" s="1">
        <f>IF(COUNTIF($Y$6:Y1676,Y1676)=1,Y1676,Y1676+COUNTIF($Y$5:Y1675,Y1676))</f>
        <v>671</v>
      </c>
      <c r="AD1676" s="1" t="str">
        <f t="shared" si="120"/>
        <v/>
      </c>
      <c r="BA1676" s="1">
        <f>IF(W1676&lt;=Leltar_iv!$Y$1,I1676,0)</f>
        <v>0</v>
      </c>
    </row>
    <row r="1677" spans="1:53" s="1" customFormat="1" x14ac:dyDescent="0.25">
      <c r="A1677" s="18">
        <f>IF(COUNTIF($Y$6:Y1677,Y1677)=1,Y1677,Y1677+COUNTIF($Y$5:Y1676,Y1677))</f>
        <v>672</v>
      </c>
      <c r="B1677" s="1">
        <f>IF(AND(Kisero_iv!$N$2=C1677,Kisero_iv!$K$5=$B$3,SUM(I1677:L1681)&lt;&gt;0,$B$4=YEAR(W1677)),B1676+1,0)</f>
        <v>0</v>
      </c>
      <c r="C1677" s="1">
        <f t="shared" si="114"/>
        <v>672</v>
      </c>
      <c r="D1677" s="102" t="str">
        <f t="shared" si="115"/>
        <v/>
      </c>
      <c r="E1677" s="44"/>
      <c r="F1677" s="45"/>
      <c r="G1677" s="45"/>
      <c r="H1677" s="45"/>
      <c r="I1677" s="46"/>
      <c r="J1677" s="111" t="str">
        <f>IF(AND(G1677&lt;&gt;"",ISERROR(VLOOKUP(G1677,Keszlet!$C$5:$H$200,6,FALSE))=FALSE),VLOOKUP(G1677,Keszlet!$C$5:$H$200,6,FALSE),"")</f>
        <v/>
      </c>
      <c r="K1677" s="106" t="str">
        <f>IF(AND(G1677&lt;&gt;"",ISERROR(VLOOKUP(G1677,Keszlet!$C$5:$G$200,5,FALSE))=FALSE),VLOOKUP(G1677,Keszlet!$C$5:$G$200,5,FALSE),"")</f>
        <v/>
      </c>
      <c r="L1677" s="106" t="str">
        <f t="shared" si="116"/>
        <v/>
      </c>
      <c r="M1677" s="115" t="str">
        <f>IF(ISERROR(VLOOKUP(G1677,Keszlet!$C$5:$I$200,7,FALSE))=TRUE,"",IF(AND(J1676&lt;&gt;"",J1678=""),VLOOKUP(G1677,Keszlet!$C$5:$I$200,7,FALSE),""))</f>
        <v/>
      </c>
      <c r="Q1677" s="1">
        <f>VLOOKUP(G1677,Keszlet!$C$5:$E$205,3,FALSE)</f>
        <v>0</v>
      </c>
      <c r="T1677" s="1" t="str">
        <f t="shared" si="117"/>
        <v/>
      </c>
      <c r="U1677" s="1">
        <f t="shared" si="118"/>
        <v>0</v>
      </c>
      <c r="W1677" s="6">
        <f t="shared" si="121"/>
        <v>0</v>
      </c>
      <c r="X1677" s="6">
        <f t="shared" si="113"/>
        <v>0</v>
      </c>
      <c r="Y1677" s="1">
        <f t="shared" si="119"/>
        <v>1</v>
      </c>
      <c r="Z1677" s="1">
        <f>IF(COUNTIF($Y$6:Y1677,Y1677)=1,Y1677,Y1677+COUNTIF($Y$5:Y1676,Y1677))</f>
        <v>672</v>
      </c>
      <c r="AD1677" s="1" t="str">
        <f t="shared" si="120"/>
        <v/>
      </c>
      <c r="BA1677" s="1">
        <f>IF(W1677&lt;=Leltar_iv!$Y$1,I1677,0)</f>
        <v>0</v>
      </c>
    </row>
    <row r="1678" spans="1:53" s="1" customFormat="1" x14ac:dyDescent="0.25">
      <c r="A1678" s="18">
        <f>IF(COUNTIF($Y$6:Y1678,Y1678)=1,Y1678,Y1678+COUNTIF($Y$5:Y1677,Y1678))</f>
        <v>673</v>
      </c>
      <c r="B1678" s="1">
        <f>IF(AND(Kisero_iv!$N$2=C1678,Kisero_iv!$K$5=$B$3,SUM(I1678:L1682)&lt;&gt;0,$B$4=YEAR(W1678)),B1677+1,0)</f>
        <v>0</v>
      </c>
      <c r="C1678" s="1">
        <f t="shared" si="114"/>
        <v>673</v>
      </c>
      <c r="D1678" s="102" t="str">
        <f t="shared" si="115"/>
        <v/>
      </c>
      <c r="E1678" s="44"/>
      <c r="F1678" s="45"/>
      <c r="G1678" s="45"/>
      <c r="H1678" s="45"/>
      <c r="I1678" s="46"/>
      <c r="J1678" s="111" t="str">
        <f>IF(AND(G1678&lt;&gt;"",ISERROR(VLOOKUP(G1678,Keszlet!$C$5:$H$200,6,FALSE))=FALSE),VLOOKUP(G1678,Keszlet!$C$5:$H$200,6,FALSE),"")</f>
        <v/>
      </c>
      <c r="K1678" s="106" t="str">
        <f>IF(AND(G1678&lt;&gt;"",ISERROR(VLOOKUP(G1678,Keszlet!$C$5:$G$200,5,FALSE))=FALSE),VLOOKUP(G1678,Keszlet!$C$5:$G$200,5,FALSE),"")</f>
        <v/>
      </c>
      <c r="L1678" s="106" t="str">
        <f t="shared" si="116"/>
        <v/>
      </c>
      <c r="M1678" s="115" t="str">
        <f>IF(ISERROR(VLOOKUP(G1678,Keszlet!$C$5:$I$200,7,FALSE))=TRUE,"",IF(AND(J1677&lt;&gt;"",J1679=""),VLOOKUP(G1678,Keszlet!$C$5:$I$200,7,FALSE),""))</f>
        <v/>
      </c>
      <c r="Q1678" s="1">
        <f>VLOOKUP(G1678,Keszlet!$C$5:$E$205,3,FALSE)</f>
        <v>0</v>
      </c>
      <c r="T1678" s="1" t="str">
        <f t="shared" si="117"/>
        <v/>
      </c>
      <c r="U1678" s="1">
        <f t="shared" si="118"/>
        <v>0</v>
      </c>
      <c r="W1678" s="6">
        <f t="shared" si="121"/>
        <v>0</v>
      </c>
      <c r="X1678" s="6">
        <f t="shared" si="113"/>
        <v>0</v>
      </c>
      <c r="Y1678" s="1">
        <f t="shared" si="119"/>
        <v>1</v>
      </c>
      <c r="Z1678" s="1">
        <f>IF(COUNTIF($Y$6:Y1678,Y1678)=1,Y1678,Y1678+COUNTIF($Y$5:Y1677,Y1678))</f>
        <v>673</v>
      </c>
      <c r="AD1678" s="1" t="str">
        <f t="shared" si="120"/>
        <v/>
      </c>
      <c r="BA1678" s="1">
        <f>IF(W1678&lt;=Leltar_iv!$Y$1,I1678,0)</f>
        <v>0</v>
      </c>
    </row>
    <row r="1679" spans="1:53" s="1" customFormat="1" x14ac:dyDescent="0.25">
      <c r="A1679" s="18">
        <f>IF(COUNTIF($Y$6:Y1679,Y1679)=1,Y1679,Y1679+COUNTIF($Y$5:Y1678,Y1679))</f>
        <v>674</v>
      </c>
      <c r="B1679" s="1">
        <f>IF(AND(Kisero_iv!$N$2=C1679,Kisero_iv!$K$5=$B$3,SUM(I1679:L1683)&lt;&gt;0,$B$4=YEAR(W1679)),B1678+1,0)</f>
        <v>0</v>
      </c>
      <c r="C1679" s="1">
        <f t="shared" si="114"/>
        <v>674</v>
      </c>
      <c r="D1679" s="102" t="str">
        <f t="shared" si="115"/>
        <v/>
      </c>
      <c r="E1679" s="44"/>
      <c r="F1679" s="45"/>
      <c r="G1679" s="45"/>
      <c r="H1679" s="45"/>
      <c r="I1679" s="46"/>
      <c r="J1679" s="111" t="str">
        <f>IF(AND(G1679&lt;&gt;"",ISERROR(VLOOKUP(G1679,Keszlet!$C$5:$H$200,6,FALSE))=FALSE),VLOOKUP(G1679,Keszlet!$C$5:$H$200,6,FALSE),"")</f>
        <v/>
      </c>
      <c r="K1679" s="106" t="str">
        <f>IF(AND(G1679&lt;&gt;"",ISERROR(VLOOKUP(G1679,Keszlet!$C$5:$G$200,5,FALSE))=FALSE),VLOOKUP(G1679,Keszlet!$C$5:$G$200,5,FALSE),"")</f>
        <v/>
      </c>
      <c r="L1679" s="106" t="str">
        <f t="shared" si="116"/>
        <v/>
      </c>
      <c r="M1679" s="115" t="str">
        <f>IF(ISERROR(VLOOKUP(G1679,Keszlet!$C$5:$I$200,7,FALSE))=TRUE,"",IF(AND(J1678&lt;&gt;"",J1680=""),VLOOKUP(G1679,Keszlet!$C$5:$I$200,7,FALSE),""))</f>
        <v/>
      </c>
      <c r="Q1679" s="1">
        <f>VLOOKUP(G1679,Keszlet!$C$5:$E$205,3,FALSE)</f>
        <v>0</v>
      </c>
      <c r="T1679" s="1" t="str">
        <f t="shared" si="117"/>
        <v/>
      </c>
      <c r="U1679" s="1">
        <f t="shared" si="118"/>
        <v>0</v>
      </c>
      <c r="W1679" s="6">
        <f t="shared" si="121"/>
        <v>0</v>
      </c>
      <c r="X1679" s="6">
        <f t="shared" si="113"/>
        <v>0</v>
      </c>
      <c r="Y1679" s="1">
        <f t="shared" si="119"/>
        <v>1</v>
      </c>
      <c r="Z1679" s="1">
        <f>IF(COUNTIF($Y$6:Y1679,Y1679)=1,Y1679,Y1679+COUNTIF($Y$5:Y1678,Y1679))</f>
        <v>674</v>
      </c>
      <c r="AD1679" s="1" t="str">
        <f t="shared" si="120"/>
        <v/>
      </c>
      <c r="BA1679" s="1">
        <f>IF(W1679&lt;=Leltar_iv!$Y$1,I1679,0)</f>
        <v>0</v>
      </c>
    </row>
    <row r="1680" spans="1:53" s="1" customFormat="1" x14ac:dyDescent="0.25">
      <c r="A1680" s="18">
        <f>IF(COUNTIF($Y$6:Y1680,Y1680)=1,Y1680,Y1680+COUNTIF($Y$5:Y1679,Y1680))</f>
        <v>675</v>
      </c>
      <c r="B1680" s="1">
        <f>IF(AND(Kisero_iv!$N$2=C1680,Kisero_iv!$K$5=$B$3,SUM(I1680:L1684)&lt;&gt;0,$B$4=YEAR(W1680)),B1679+1,0)</f>
        <v>0</v>
      </c>
      <c r="C1680" s="1">
        <f t="shared" si="114"/>
        <v>675</v>
      </c>
      <c r="D1680" s="102" t="str">
        <f t="shared" si="115"/>
        <v/>
      </c>
      <c r="E1680" s="44"/>
      <c r="F1680" s="45"/>
      <c r="G1680" s="45"/>
      <c r="H1680" s="45"/>
      <c r="I1680" s="46"/>
      <c r="J1680" s="111" t="str">
        <f>IF(AND(G1680&lt;&gt;"",ISERROR(VLOOKUP(G1680,Keszlet!$C$5:$H$200,6,FALSE))=FALSE),VLOOKUP(G1680,Keszlet!$C$5:$H$200,6,FALSE),"")</f>
        <v/>
      </c>
      <c r="K1680" s="106" t="str">
        <f>IF(AND(G1680&lt;&gt;"",ISERROR(VLOOKUP(G1680,Keszlet!$C$5:$G$200,5,FALSE))=FALSE),VLOOKUP(G1680,Keszlet!$C$5:$G$200,5,FALSE),"")</f>
        <v/>
      </c>
      <c r="L1680" s="106" t="str">
        <f t="shared" si="116"/>
        <v/>
      </c>
      <c r="M1680" s="115" t="str">
        <f>IF(ISERROR(VLOOKUP(G1680,Keszlet!$C$5:$I$200,7,FALSE))=TRUE,"",IF(AND(J1679&lt;&gt;"",J1681=""),VLOOKUP(G1680,Keszlet!$C$5:$I$200,7,FALSE),""))</f>
        <v/>
      </c>
      <c r="Q1680" s="1">
        <f>VLOOKUP(G1680,Keszlet!$C$5:$E$205,3,FALSE)</f>
        <v>0</v>
      </c>
      <c r="T1680" s="1" t="str">
        <f t="shared" si="117"/>
        <v/>
      </c>
      <c r="U1680" s="1">
        <f t="shared" si="118"/>
        <v>0</v>
      </c>
      <c r="W1680" s="6">
        <f t="shared" si="121"/>
        <v>0</v>
      </c>
      <c r="X1680" s="6">
        <f t="shared" si="113"/>
        <v>0</v>
      </c>
      <c r="Y1680" s="1">
        <f t="shared" si="119"/>
        <v>1</v>
      </c>
      <c r="Z1680" s="1">
        <f>IF(COUNTIF($Y$6:Y1680,Y1680)=1,Y1680,Y1680+COUNTIF($Y$5:Y1679,Y1680))</f>
        <v>675</v>
      </c>
      <c r="AD1680" s="1" t="str">
        <f t="shared" si="120"/>
        <v/>
      </c>
      <c r="BA1680" s="1">
        <f>IF(W1680&lt;=Leltar_iv!$Y$1,I1680,0)</f>
        <v>0</v>
      </c>
    </row>
    <row r="1681" spans="1:53" s="1" customFormat="1" x14ac:dyDescent="0.25">
      <c r="A1681" s="18">
        <f>IF(COUNTIF($Y$6:Y1681,Y1681)=1,Y1681,Y1681+COUNTIF($Y$5:Y1680,Y1681))</f>
        <v>676</v>
      </c>
      <c r="B1681" s="1">
        <f>IF(AND(Kisero_iv!$N$2=C1681,Kisero_iv!$K$5=$B$3,SUM(I1681:L1685)&lt;&gt;0,$B$4=YEAR(W1681)),B1680+1,0)</f>
        <v>0</v>
      </c>
      <c r="C1681" s="1">
        <f t="shared" si="114"/>
        <v>676</v>
      </c>
      <c r="D1681" s="102" t="str">
        <f t="shared" si="115"/>
        <v/>
      </c>
      <c r="E1681" s="44"/>
      <c r="F1681" s="45"/>
      <c r="G1681" s="45"/>
      <c r="H1681" s="45"/>
      <c r="I1681" s="46"/>
      <c r="J1681" s="111" t="str">
        <f>IF(AND(G1681&lt;&gt;"",ISERROR(VLOOKUP(G1681,Keszlet!$C$5:$H$200,6,FALSE))=FALSE),VLOOKUP(G1681,Keszlet!$C$5:$H$200,6,FALSE),"")</f>
        <v/>
      </c>
      <c r="K1681" s="106" t="str">
        <f>IF(AND(G1681&lt;&gt;"",ISERROR(VLOOKUP(G1681,Keszlet!$C$5:$G$200,5,FALSE))=FALSE),VLOOKUP(G1681,Keszlet!$C$5:$G$200,5,FALSE),"")</f>
        <v/>
      </c>
      <c r="L1681" s="106" t="str">
        <f t="shared" si="116"/>
        <v/>
      </c>
      <c r="M1681" s="115" t="str">
        <f>IF(ISERROR(VLOOKUP(G1681,Keszlet!$C$5:$I$200,7,FALSE))=TRUE,"",IF(AND(J1680&lt;&gt;"",J1682=""),VLOOKUP(G1681,Keszlet!$C$5:$I$200,7,FALSE),""))</f>
        <v/>
      </c>
      <c r="Q1681" s="1">
        <f>VLOOKUP(G1681,Keszlet!$C$5:$E$205,3,FALSE)</f>
        <v>0</v>
      </c>
      <c r="T1681" s="1" t="str">
        <f t="shared" si="117"/>
        <v/>
      </c>
      <c r="U1681" s="1">
        <f t="shared" si="118"/>
        <v>0</v>
      </c>
      <c r="W1681" s="6">
        <f t="shared" si="121"/>
        <v>0</v>
      </c>
      <c r="X1681" s="6">
        <f t="shared" si="113"/>
        <v>0</v>
      </c>
      <c r="Y1681" s="1">
        <f t="shared" si="119"/>
        <v>1</v>
      </c>
      <c r="Z1681" s="1">
        <f>IF(COUNTIF($Y$6:Y1681,Y1681)=1,Y1681,Y1681+COUNTIF($Y$5:Y1680,Y1681))</f>
        <v>676</v>
      </c>
      <c r="AD1681" s="1" t="str">
        <f t="shared" si="120"/>
        <v/>
      </c>
      <c r="BA1681" s="1">
        <f>IF(W1681&lt;=Leltar_iv!$Y$1,I1681,0)</f>
        <v>0</v>
      </c>
    </row>
    <row r="1682" spans="1:53" s="1" customFormat="1" x14ac:dyDescent="0.25">
      <c r="A1682" s="18">
        <f>IF(COUNTIF($Y$6:Y1682,Y1682)=1,Y1682,Y1682+COUNTIF($Y$5:Y1681,Y1682))</f>
        <v>677</v>
      </c>
      <c r="B1682" s="1">
        <f>IF(AND(Kisero_iv!$N$2=C1682,Kisero_iv!$K$5=$B$3,SUM(I1682:L1686)&lt;&gt;0,$B$4=YEAR(W1682)),B1681+1,0)</f>
        <v>0</v>
      </c>
      <c r="C1682" s="1">
        <f t="shared" si="114"/>
        <v>677</v>
      </c>
      <c r="D1682" s="102" t="str">
        <f t="shared" si="115"/>
        <v/>
      </c>
      <c r="E1682" s="44"/>
      <c r="F1682" s="45"/>
      <c r="G1682" s="45"/>
      <c r="H1682" s="45"/>
      <c r="I1682" s="46"/>
      <c r="J1682" s="111" t="str">
        <f>IF(AND(G1682&lt;&gt;"",ISERROR(VLOOKUP(G1682,Keszlet!$C$5:$H$200,6,FALSE))=FALSE),VLOOKUP(G1682,Keszlet!$C$5:$H$200,6,FALSE),"")</f>
        <v/>
      </c>
      <c r="K1682" s="106" t="str">
        <f>IF(AND(G1682&lt;&gt;"",ISERROR(VLOOKUP(G1682,Keszlet!$C$5:$G$200,5,FALSE))=FALSE),VLOOKUP(G1682,Keszlet!$C$5:$G$200,5,FALSE),"")</f>
        <v/>
      </c>
      <c r="L1682" s="106" t="str">
        <f t="shared" si="116"/>
        <v/>
      </c>
      <c r="M1682" s="115" t="str">
        <f>IF(ISERROR(VLOOKUP(G1682,Keszlet!$C$5:$I$200,7,FALSE))=TRUE,"",IF(AND(J1681&lt;&gt;"",J1683=""),VLOOKUP(G1682,Keszlet!$C$5:$I$200,7,FALSE),""))</f>
        <v/>
      </c>
      <c r="Q1682" s="1">
        <f>VLOOKUP(G1682,Keszlet!$C$5:$E$205,3,FALSE)</f>
        <v>0</v>
      </c>
      <c r="T1682" s="1" t="str">
        <f t="shared" si="117"/>
        <v/>
      </c>
      <c r="U1682" s="1">
        <f t="shared" si="118"/>
        <v>0</v>
      </c>
      <c r="W1682" s="6">
        <f t="shared" si="121"/>
        <v>0</v>
      </c>
      <c r="X1682" s="6">
        <f t="shared" si="113"/>
        <v>0</v>
      </c>
      <c r="Y1682" s="1">
        <f t="shared" si="119"/>
        <v>1</v>
      </c>
      <c r="Z1682" s="1">
        <f>IF(COUNTIF($Y$6:Y1682,Y1682)=1,Y1682,Y1682+COUNTIF($Y$5:Y1681,Y1682))</f>
        <v>677</v>
      </c>
      <c r="AD1682" s="1" t="str">
        <f t="shared" si="120"/>
        <v/>
      </c>
      <c r="BA1682" s="1">
        <f>IF(W1682&lt;=Leltar_iv!$Y$1,I1682,0)</f>
        <v>0</v>
      </c>
    </row>
    <row r="1683" spans="1:53" s="1" customFormat="1" x14ac:dyDescent="0.25">
      <c r="A1683" s="18">
        <f>IF(COUNTIF($Y$6:Y1683,Y1683)=1,Y1683,Y1683+COUNTIF($Y$5:Y1682,Y1683))</f>
        <v>678</v>
      </c>
      <c r="B1683" s="1">
        <f>IF(AND(Kisero_iv!$N$2=C1683,Kisero_iv!$K$5=$B$3,SUM(I1683:L1687)&lt;&gt;0,$B$4=YEAR(W1683)),B1682+1,0)</f>
        <v>0</v>
      </c>
      <c r="C1683" s="1">
        <f t="shared" si="114"/>
        <v>678</v>
      </c>
      <c r="D1683" s="102" t="str">
        <f t="shared" si="115"/>
        <v/>
      </c>
      <c r="E1683" s="44"/>
      <c r="F1683" s="45"/>
      <c r="G1683" s="45"/>
      <c r="H1683" s="45"/>
      <c r="I1683" s="46"/>
      <c r="J1683" s="111" t="str">
        <f>IF(AND(G1683&lt;&gt;"",ISERROR(VLOOKUP(G1683,Keszlet!$C$5:$H$200,6,FALSE))=FALSE),VLOOKUP(G1683,Keszlet!$C$5:$H$200,6,FALSE),"")</f>
        <v/>
      </c>
      <c r="K1683" s="106" t="str">
        <f>IF(AND(G1683&lt;&gt;"",ISERROR(VLOOKUP(G1683,Keszlet!$C$5:$G$200,5,FALSE))=FALSE),VLOOKUP(G1683,Keszlet!$C$5:$G$200,5,FALSE),"")</f>
        <v/>
      </c>
      <c r="L1683" s="106" t="str">
        <f t="shared" si="116"/>
        <v/>
      </c>
      <c r="M1683" s="115" t="str">
        <f>IF(ISERROR(VLOOKUP(G1683,Keszlet!$C$5:$I$200,7,FALSE))=TRUE,"",IF(AND(J1682&lt;&gt;"",J1684=""),VLOOKUP(G1683,Keszlet!$C$5:$I$200,7,FALSE),""))</f>
        <v/>
      </c>
      <c r="Q1683" s="1">
        <f>VLOOKUP(G1683,Keszlet!$C$5:$E$205,3,FALSE)</f>
        <v>0</v>
      </c>
      <c r="T1683" s="1" t="str">
        <f t="shared" si="117"/>
        <v/>
      </c>
      <c r="U1683" s="1">
        <f t="shared" si="118"/>
        <v>0</v>
      </c>
      <c r="W1683" s="6">
        <f t="shared" si="121"/>
        <v>0</v>
      </c>
      <c r="X1683" s="6">
        <f t="shared" si="113"/>
        <v>0</v>
      </c>
      <c r="Y1683" s="1">
        <f t="shared" si="119"/>
        <v>1</v>
      </c>
      <c r="Z1683" s="1">
        <f>IF(COUNTIF($Y$6:Y1683,Y1683)=1,Y1683,Y1683+COUNTIF($Y$5:Y1682,Y1683))</f>
        <v>678</v>
      </c>
      <c r="AD1683" s="1" t="str">
        <f t="shared" si="120"/>
        <v/>
      </c>
      <c r="BA1683" s="1">
        <f>IF(W1683&lt;=Leltar_iv!$Y$1,I1683,0)</f>
        <v>0</v>
      </c>
    </row>
    <row r="1684" spans="1:53" s="1" customFormat="1" x14ac:dyDescent="0.25">
      <c r="A1684" s="18">
        <f>IF(COUNTIF($Y$6:Y1684,Y1684)=1,Y1684,Y1684+COUNTIF($Y$5:Y1683,Y1684))</f>
        <v>679</v>
      </c>
      <c r="B1684" s="1">
        <f>IF(AND(Kisero_iv!$N$2=C1684,Kisero_iv!$K$5=$B$3,SUM(I1684:L1688)&lt;&gt;0,$B$4=YEAR(W1684)),B1683+1,0)</f>
        <v>0</v>
      </c>
      <c r="C1684" s="1">
        <f t="shared" si="114"/>
        <v>679</v>
      </c>
      <c r="D1684" s="102" t="str">
        <f t="shared" si="115"/>
        <v/>
      </c>
      <c r="E1684" s="44"/>
      <c r="F1684" s="45"/>
      <c r="G1684" s="45"/>
      <c r="H1684" s="45"/>
      <c r="I1684" s="46"/>
      <c r="J1684" s="111" t="str">
        <f>IF(AND(G1684&lt;&gt;"",ISERROR(VLOOKUP(G1684,Keszlet!$C$5:$H$200,6,FALSE))=FALSE),VLOOKUP(G1684,Keszlet!$C$5:$H$200,6,FALSE),"")</f>
        <v/>
      </c>
      <c r="K1684" s="106" t="str">
        <f>IF(AND(G1684&lt;&gt;"",ISERROR(VLOOKUP(G1684,Keszlet!$C$5:$G$200,5,FALSE))=FALSE),VLOOKUP(G1684,Keszlet!$C$5:$G$200,5,FALSE),"")</f>
        <v/>
      </c>
      <c r="L1684" s="106" t="str">
        <f t="shared" si="116"/>
        <v/>
      </c>
      <c r="M1684" s="115" t="str">
        <f>IF(ISERROR(VLOOKUP(G1684,Keszlet!$C$5:$I$200,7,FALSE))=TRUE,"",IF(AND(J1683&lt;&gt;"",J1685=""),VLOOKUP(G1684,Keszlet!$C$5:$I$200,7,FALSE),""))</f>
        <v/>
      </c>
      <c r="Q1684" s="1">
        <f>VLOOKUP(G1684,Keszlet!$C$5:$E$205,3,FALSE)</f>
        <v>0</v>
      </c>
      <c r="T1684" s="1" t="str">
        <f t="shared" si="117"/>
        <v/>
      </c>
      <c r="U1684" s="1">
        <f t="shared" si="118"/>
        <v>0</v>
      </c>
      <c r="W1684" s="6">
        <f t="shared" si="121"/>
        <v>0</v>
      </c>
      <c r="X1684" s="6">
        <f t="shared" si="113"/>
        <v>0</v>
      </c>
      <c r="Y1684" s="1">
        <f t="shared" si="119"/>
        <v>1</v>
      </c>
      <c r="Z1684" s="1">
        <f>IF(COUNTIF($Y$6:Y1684,Y1684)=1,Y1684,Y1684+COUNTIF($Y$5:Y1683,Y1684))</f>
        <v>679</v>
      </c>
      <c r="AD1684" s="1" t="str">
        <f t="shared" si="120"/>
        <v/>
      </c>
      <c r="BA1684" s="1">
        <f>IF(W1684&lt;=Leltar_iv!$Y$1,I1684,0)</f>
        <v>0</v>
      </c>
    </row>
    <row r="1685" spans="1:53" s="1" customFormat="1" x14ac:dyDescent="0.25">
      <c r="A1685" s="18">
        <f>IF(COUNTIF($Y$6:Y1685,Y1685)=1,Y1685,Y1685+COUNTIF($Y$5:Y1684,Y1685))</f>
        <v>680</v>
      </c>
      <c r="B1685" s="1">
        <f>IF(AND(Kisero_iv!$N$2=C1685,Kisero_iv!$K$5=$B$3,SUM(I1685:L1689)&lt;&gt;0,$B$4=YEAR(W1685)),B1684+1,0)</f>
        <v>0</v>
      </c>
      <c r="C1685" s="1">
        <f t="shared" si="114"/>
        <v>680</v>
      </c>
      <c r="D1685" s="102" t="str">
        <f t="shared" si="115"/>
        <v/>
      </c>
      <c r="E1685" s="44"/>
      <c r="F1685" s="45"/>
      <c r="G1685" s="45"/>
      <c r="H1685" s="45"/>
      <c r="I1685" s="46"/>
      <c r="J1685" s="111" t="str">
        <f>IF(AND(G1685&lt;&gt;"",ISERROR(VLOOKUP(G1685,Keszlet!$C$5:$H$200,6,FALSE))=FALSE),VLOOKUP(G1685,Keszlet!$C$5:$H$200,6,FALSE),"")</f>
        <v/>
      </c>
      <c r="K1685" s="106" t="str">
        <f>IF(AND(G1685&lt;&gt;"",ISERROR(VLOOKUP(G1685,Keszlet!$C$5:$G$200,5,FALSE))=FALSE),VLOOKUP(G1685,Keszlet!$C$5:$G$200,5,FALSE),"")</f>
        <v/>
      </c>
      <c r="L1685" s="106" t="str">
        <f t="shared" si="116"/>
        <v/>
      </c>
      <c r="M1685" s="115" t="str">
        <f>IF(ISERROR(VLOOKUP(G1685,Keszlet!$C$5:$I$200,7,FALSE))=TRUE,"",IF(AND(J1684&lt;&gt;"",J1686=""),VLOOKUP(G1685,Keszlet!$C$5:$I$200,7,FALSE),""))</f>
        <v/>
      </c>
      <c r="Q1685" s="1">
        <f>VLOOKUP(G1685,Keszlet!$C$5:$E$205,3,FALSE)</f>
        <v>0</v>
      </c>
      <c r="T1685" s="1" t="str">
        <f t="shared" si="117"/>
        <v/>
      </c>
      <c r="U1685" s="1">
        <f t="shared" si="118"/>
        <v>0</v>
      </c>
      <c r="W1685" s="6">
        <f t="shared" si="121"/>
        <v>0</v>
      </c>
      <c r="X1685" s="6">
        <f t="shared" si="113"/>
        <v>0</v>
      </c>
      <c r="Y1685" s="1">
        <f t="shared" si="119"/>
        <v>1</v>
      </c>
      <c r="Z1685" s="1">
        <f>IF(COUNTIF($Y$6:Y1685,Y1685)=1,Y1685,Y1685+COUNTIF($Y$5:Y1684,Y1685))</f>
        <v>680</v>
      </c>
      <c r="AD1685" s="1" t="str">
        <f t="shared" si="120"/>
        <v/>
      </c>
      <c r="BA1685" s="1">
        <f>IF(W1685&lt;=Leltar_iv!$Y$1,I1685,0)</f>
        <v>0</v>
      </c>
    </row>
    <row r="1686" spans="1:53" s="1" customFormat="1" x14ac:dyDescent="0.25">
      <c r="A1686" s="18">
        <f>IF(COUNTIF($Y$6:Y1686,Y1686)=1,Y1686,Y1686+COUNTIF($Y$5:Y1685,Y1686))</f>
        <v>681</v>
      </c>
      <c r="B1686" s="1">
        <f>IF(AND(Kisero_iv!$N$2=C1686,Kisero_iv!$K$5=$B$3,SUM(I1686:L1690)&lt;&gt;0,$B$4=YEAR(W1686)),B1685+1,0)</f>
        <v>0</v>
      </c>
      <c r="C1686" s="1">
        <f t="shared" si="114"/>
        <v>681</v>
      </c>
      <c r="D1686" s="102" t="str">
        <f t="shared" si="115"/>
        <v/>
      </c>
      <c r="E1686" s="44"/>
      <c r="F1686" s="45"/>
      <c r="G1686" s="45"/>
      <c r="H1686" s="45"/>
      <c r="I1686" s="46"/>
      <c r="J1686" s="111" t="str">
        <f>IF(AND(G1686&lt;&gt;"",ISERROR(VLOOKUP(G1686,Keszlet!$C$5:$H$200,6,FALSE))=FALSE),VLOOKUP(G1686,Keszlet!$C$5:$H$200,6,FALSE),"")</f>
        <v/>
      </c>
      <c r="K1686" s="106" t="str">
        <f>IF(AND(G1686&lt;&gt;"",ISERROR(VLOOKUP(G1686,Keszlet!$C$5:$G$200,5,FALSE))=FALSE),VLOOKUP(G1686,Keszlet!$C$5:$G$200,5,FALSE),"")</f>
        <v/>
      </c>
      <c r="L1686" s="106" t="str">
        <f t="shared" si="116"/>
        <v/>
      </c>
      <c r="M1686" s="115" t="str">
        <f>IF(ISERROR(VLOOKUP(G1686,Keszlet!$C$5:$I$200,7,FALSE))=TRUE,"",IF(AND(J1685&lt;&gt;"",J1687=""),VLOOKUP(G1686,Keszlet!$C$5:$I$200,7,FALSE),""))</f>
        <v/>
      </c>
      <c r="Q1686" s="1">
        <f>VLOOKUP(G1686,Keszlet!$C$5:$E$205,3,FALSE)</f>
        <v>0</v>
      </c>
      <c r="T1686" s="1" t="str">
        <f t="shared" si="117"/>
        <v/>
      </c>
      <c r="U1686" s="1">
        <f t="shared" si="118"/>
        <v>0</v>
      </c>
      <c r="W1686" s="6">
        <f t="shared" si="121"/>
        <v>0</v>
      </c>
      <c r="X1686" s="6">
        <f t="shared" si="113"/>
        <v>0</v>
      </c>
      <c r="Y1686" s="1">
        <f t="shared" si="119"/>
        <v>1</v>
      </c>
      <c r="Z1686" s="1">
        <f>IF(COUNTIF($Y$6:Y1686,Y1686)=1,Y1686,Y1686+COUNTIF($Y$5:Y1685,Y1686))</f>
        <v>681</v>
      </c>
      <c r="AD1686" s="1" t="str">
        <f t="shared" si="120"/>
        <v/>
      </c>
      <c r="BA1686" s="1">
        <f>IF(W1686&lt;=Leltar_iv!$Y$1,I1686,0)</f>
        <v>0</v>
      </c>
    </row>
    <row r="1687" spans="1:53" s="1" customFormat="1" x14ac:dyDescent="0.25">
      <c r="A1687" s="18">
        <f>IF(COUNTIF($Y$6:Y1687,Y1687)=1,Y1687,Y1687+COUNTIF($Y$5:Y1686,Y1687))</f>
        <v>682</v>
      </c>
      <c r="B1687" s="1">
        <f>IF(AND(Kisero_iv!$N$2=C1687,Kisero_iv!$K$5=$B$3,SUM(I1687:L1691)&lt;&gt;0,$B$4=YEAR(W1687)),B1686+1,0)</f>
        <v>0</v>
      </c>
      <c r="C1687" s="1">
        <f t="shared" si="114"/>
        <v>682</v>
      </c>
      <c r="D1687" s="102" t="str">
        <f t="shared" si="115"/>
        <v/>
      </c>
      <c r="E1687" s="44"/>
      <c r="F1687" s="45"/>
      <c r="G1687" s="45"/>
      <c r="H1687" s="45"/>
      <c r="I1687" s="46"/>
      <c r="J1687" s="111" t="str">
        <f>IF(AND(G1687&lt;&gt;"",ISERROR(VLOOKUP(G1687,Keszlet!$C$5:$H$200,6,FALSE))=FALSE),VLOOKUP(G1687,Keszlet!$C$5:$H$200,6,FALSE),"")</f>
        <v/>
      </c>
      <c r="K1687" s="106" t="str">
        <f>IF(AND(G1687&lt;&gt;"",ISERROR(VLOOKUP(G1687,Keszlet!$C$5:$G$200,5,FALSE))=FALSE),VLOOKUP(G1687,Keszlet!$C$5:$G$200,5,FALSE),"")</f>
        <v/>
      </c>
      <c r="L1687" s="106" t="str">
        <f t="shared" si="116"/>
        <v/>
      </c>
      <c r="M1687" s="115" t="str">
        <f>IF(ISERROR(VLOOKUP(G1687,Keszlet!$C$5:$I$200,7,FALSE))=TRUE,"",IF(AND(J1686&lt;&gt;"",J1688=""),VLOOKUP(G1687,Keszlet!$C$5:$I$200,7,FALSE),""))</f>
        <v/>
      </c>
      <c r="Q1687" s="1">
        <f>VLOOKUP(G1687,Keszlet!$C$5:$E$205,3,FALSE)</f>
        <v>0</v>
      </c>
      <c r="T1687" s="1" t="str">
        <f t="shared" si="117"/>
        <v/>
      </c>
      <c r="U1687" s="1">
        <f t="shared" si="118"/>
        <v>0</v>
      </c>
      <c r="W1687" s="6">
        <f t="shared" si="121"/>
        <v>0</v>
      </c>
      <c r="X1687" s="6">
        <f t="shared" si="113"/>
        <v>0</v>
      </c>
      <c r="Y1687" s="1">
        <f t="shared" si="119"/>
        <v>1</v>
      </c>
      <c r="Z1687" s="1">
        <f>IF(COUNTIF($Y$6:Y1687,Y1687)=1,Y1687,Y1687+COUNTIF($Y$5:Y1686,Y1687))</f>
        <v>682</v>
      </c>
      <c r="AD1687" s="1" t="str">
        <f t="shared" si="120"/>
        <v/>
      </c>
      <c r="BA1687" s="1">
        <f>IF(W1687&lt;=Leltar_iv!$Y$1,I1687,0)</f>
        <v>0</v>
      </c>
    </row>
    <row r="1688" spans="1:53" s="1" customFormat="1" x14ac:dyDescent="0.25">
      <c r="A1688" s="18">
        <f>IF(COUNTIF($Y$6:Y1688,Y1688)=1,Y1688,Y1688+COUNTIF($Y$5:Y1687,Y1688))</f>
        <v>683</v>
      </c>
      <c r="B1688" s="1">
        <f>IF(AND(Kisero_iv!$N$2=C1688,Kisero_iv!$K$5=$B$3,SUM(I1688:L1692)&lt;&gt;0,$B$4=YEAR(W1688)),B1687+1,0)</f>
        <v>0</v>
      </c>
      <c r="C1688" s="1">
        <f t="shared" si="114"/>
        <v>683</v>
      </c>
      <c r="D1688" s="102" t="str">
        <f t="shared" si="115"/>
        <v/>
      </c>
      <c r="E1688" s="44"/>
      <c r="F1688" s="45"/>
      <c r="G1688" s="45"/>
      <c r="H1688" s="45"/>
      <c r="I1688" s="46"/>
      <c r="J1688" s="111" t="str">
        <f>IF(AND(G1688&lt;&gt;"",ISERROR(VLOOKUP(G1688,Keszlet!$C$5:$H$200,6,FALSE))=FALSE),VLOOKUP(G1688,Keszlet!$C$5:$H$200,6,FALSE),"")</f>
        <v/>
      </c>
      <c r="K1688" s="106" t="str">
        <f>IF(AND(G1688&lt;&gt;"",ISERROR(VLOOKUP(G1688,Keszlet!$C$5:$G$200,5,FALSE))=FALSE),VLOOKUP(G1688,Keszlet!$C$5:$G$200,5,FALSE),"")</f>
        <v/>
      </c>
      <c r="L1688" s="106" t="str">
        <f t="shared" si="116"/>
        <v/>
      </c>
      <c r="M1688" s="115" t="str">
        <f>IF(ISERROR(VLOOKUP(G1688,Keszlet!$C$5:$I$200,7,FALSE))=TRUE,"",IF(AND(J1687&lt;&gt;"",J1689=""),VLOOKUP(G1688,Keszlet!$C$5:$I$200,7,FALSE),""))</f>
        <v/>
      </c>
      <c r="Q1688" s="1">
        <f>VLOOKUP(G1688,Keszlet!$C$5:$E$205,3,FALSE)</f>
        <v>0</v>
      </c>
      <c r="T1688" s="1" t="str">
        <f t="shared" si="117"/>
        <v/>
      </c>
      <c r="U1688" s="1">
        <f t="shared" si="118"/>
        <v>0</v>
      </c>
      <c r="W1688" s="6">
        <f t="shared" si="121"/>
        <v>0</v>
      </c>
      <c r="X1688" s="6">
        <f t="shared" si="113"/>
        <v>0</v>
      </c>
      <c r="Y1688" s="1">
        <f t="shared" si="119"/>
        <v>1</v>
      </c>
      <c r="Z1688" s="1">
        <f>IF(COUNTIF($Y$6:Y1688,Y1688)=1,Y1688,Y1688+COUNTIF($Y$5:Y1687,Y1688))</f>
        <v>683</v>
      </c>
      <c r="AD1688" s="1" t="str">
        <f t="shared" si="120"/>
        <v/>
      </c>
      <c r="BA1688" s="1">
        <f>IF(W1688&lt;=Leltar_iv!$Y$1,I1688,0)</f>
        <v>0</v>
      </c>
    </row>
    <row r="1689" spans="1:53" s="1" customFormat="1" x14ac:dyDescent="0.25">
      <c r="A1689" s="18">
        <f>IF(COUNTIF($Y$6:Y1689,Y1689)=1,Y1689,Y1689+COUNTIF($Y$5:Y1688,Y1689))</f>
        <v>684</v>
      </c>
      <c r="B1689" s="1">
        <f>IF(AND(Kisero_iv!$N$2=C1689,Kisero_iv!$K$5=$B$3,SUM(I1689:L1693)&lt;&gt;0,$B$4=YEAR(W1689)),B1688+1,0)</f>
        <v>0</v>
      </c>
      <c r="C1689" s="1">
        <f t="shared" si="114"/>
        <v>684</v>
      </c>
      <c r="D1689" s="102" t="str">
        <f t="shared" si="115"/>
        <v/>
      </c>
      <c r="E1689" s="44"/>
      <c r="F1689" s="45"/>
      <c r="G1689" s="45"/>
      <c r="H1689" s="45"/>
      <c r="I1689" s="46"/>
      <c r="J1689" s="111" t="str">
        <f>IF(AND(G1689&lt;&gt;"",ISERROR(VLOOKUP(G1689,Keszlet!$C$5:$H$200,6,FALSE))=FALSE),VLOOKUP(G1689,Keszlet!$C$5:$H$200,6,FALSE),"")</f>
        <v/>
      </c>
      <c r="K1689" s="106" t="str">
        <f>IF(AND(G1689&lt;&gt;"",ISERROR(VLOOKUP(G1689,Keszlet!$C$5:$G$200,5,FALSE))=FALSE),VLOOKUP(G1689,Keszlet!$C$5:$G$200,5,FALSE),"")</f>
        <v/>
      </c>
      <c r="L1689" s="106" t="str">
        <f t="shared" si="116"/>
        <v/>
      </c>
      <c r="M1689" s="115" t="str">
        <f>IF(ISERROR(VLOOKUP(G1689,Keszlet!$C$5:$I$200,7,FALSE))=TRUE,"",IF(AND(J1688&lt;&gt;"",J1690=""),VLOOKUP(G1689,Keszlet!$C$5:$I$200,7,FALSE),""))</f>
        <v/>
      </c>
      <c r="Q1689" s="1">
        <f>VLOOKUP(G1689,Keszlet!$C$5:$E$205,3,FALSE)</f>
        <v>0</v>
      </c>
      <c r="T1689" s="1" t="str">
        <f t="shared" si="117"/>
        <v/>
      </c>
      <c r="U1689" s="1">
        <f t="shared" si="118"/>
        <v>0</v>
      </c>
      <c r="W1689" s="6">
        <f t="shared" si="121"/>
        <v>0</v>
      </c>
      <c r="X1689" s="6">
        <f t="shared" si="113"/>
        <v>0</v>
      </c>
      <c r="Y1689" s="1">
        <f t="shared" si="119"/>
        <v>1</v>
      </c>
      <c r="Z1689" s="1">
        <f>IF(COUNTIF($Y$6:Y1689,Y1689)=1,Y1689,Y1689+COUNTIF($Y$5:Y1688,Y1689))</f>
        <v>684</v>
      </c>
      <c r="AD1689" s="1" t="str">
        <f t="shared" si="120"/>
        <v/>
      </c>
      <c r="BA1689" s="1">
        <f>IF(W1689&lt;=Leltar_iv!$Y$1,I1689,0)</f>
        <v>0</v>
      </c>
    </row>
    <row r="1690" spans="1:53" s="1" customFormat="1" x14ac:dyDescent="0.25">
      <c r="A1690" s="18">
        <f>IF(COUNTIF($Y$6:Y1690,Y1690)=1,Y1690,Y1690+COUNTIF($Y$5:Y1689,Y1690))</f>
        <v>685</v>
      </c>
      <c r="B1690" s="1">
        <f>IF(AND(Kisero_iv!$N$2=C1690,Kisero_iv!$K$5=$B$3,SUM(I1690:L1694)&lt;&gt;0,$B$4=YEAR(W1690)),B1689+1,0)</f>
        <v>0</v>
      </c>
      <c r="C1690" s="1">
        <f t="shared" si="114"/>
        <v>685</v>
      </c>
      <c r="D1690" s="102" t="str">
        <f t="shared" si="115"/>
        <v/>
      </c>
      <c r="E1690" s="44"/>
      <c r="F1690" s="45"/>
      <c r="G1690" s="45"/>
      <c r="H1690" s="45"/>
      <c r="I1690" s="46"/>
      <c r="J1690" s="111" t="str">
        <f>IF(AND(G1690&lt;&gt;"",ISERROR(VLOOKUP(G1690,Keszlet!$C$5:$H$200,6,FALSE))=FALSE),VLOOKUP(G1690,Keszlet!$C$5:$H$200,6,FALSE),"")</f>
        <v/>
      </c>
      <c r="K1690" s="106" t="str">
        <f>IF(AND(G1690&lt;&gt;"",ISERROR(VLOOKUP(G1690,Keszlet!$C$5:$G$200,5,FALSE))=FALSE),VLOOKUP(G1690,Keszlet!$C$5:$G$200,5,FALSE),"")</f>
        <v/>
      </c>
      <c r="L1690" s="106" t="str">
        <f t="shared" si="116"/>
        <v/>
      </c>
      <c r="M1690" s="115" t="str">
        <f>IF(ISERROR(VLOOKUP(G1690,Keszlet!$C$5:$I$200,7,FALSE))=TRUE,"",IF(AND(J1689&lt;&gt;"",J1691=""),VLOOKUP(G1690,Keszlet!$C$5:$I$200,7,FALSE),""))</f>
        <v/>
      </c>
      <c r="Q1690" s="1">
        <f>VLOOKUP(G1690,Keszlet!$C$5:$E$205,3,FALSE)</f>
        <v>0</v>
      </c>
      <c r="T1690" s="1" t="str">
        <f t="shared" si="117"/>
        <v/>
      </c>
      <c r="U1690" s="1">
        <f t="shared" si="118"/>
        <v>0</v>
      </c>
      <c r="W1690" s="6">
        <f t="shared" si="121"/>
        <v>0</v>
      </c>
      <c r="X1690" s="6">
        <f t="shared" si="113"/>
        <v>0</v>
      </c>
      <c r="Y1690" s="1">
        <f t="shared" si="119"/>
        <v>1</v>
      </c>
      <c r="Z1690" s="1">
        <f>IF(COUNTIF($Y$6:Y1690,Y1690)=1,Y1690,Y1690+COUNTIF($Y$5:Y1689,Y1690))</f>
        <v>685</v>
      </c>
      <c r="AD1690" s="1" t="str">
        <f t="shared" si="120"/>
        <v/>
      </c>
      <c r="BA1690" s="1">
        <f>IF(W1690&lt;=Leltar_iv!$Y$1,I1690,0)</f>
        <v>0</v>
      </c>
    </row>
    <row r="1691" spans="1:53" s="1" customFormat="1" x14ac:dyDescent="0.25">
      <c r="A1691" s="18">
        <f>IF(COUNTIF($Y$6:Y1691,Y1691)=1,Y1691,Y1691+COUNTIF($Y$5:Y1690,Y1691))</f>
        <v>686</v>
      </c>
      <c r="B1691" s="1">
        <f>IF(AND(Kisero_iv!$N$2=C1691,Kisero_iv!$K$5=$B$3,SUM(I1691:L1695)&lt;&gt;0,$B$4=YEAR(W1691)),B1690+1,0)</f>
        <v>0</v>
      </c>
      <c r="C1691" s="1">
        <f t="shared" si="114"/>
        <v>686</v>
      </c>
      <c r="D1691" s="102" t="str">
        <f t="shared" si="115"/>
        <v/>
      </c>
      <c r="E1691" s="44"/>
      <c r="F1691" s="45"/>
      <c r="G1691" s="45"/>
      <c r="H1691" s="45"/>
      <c r="I1691" s="46"/>
      <c r="J1691" s="111" t="str">
        <f>IF(AND(G1691&lt;&gt;"",ISERROR(VLOOKUP(G1691,Keszlet!$C$5:$H$200,6,FALSE))=FALSE),VLOOKUP(G1691,Keszlet!$C$5:$H$200,6,FALSE),"")</f>
        <v/>
      </c>
      <c r="K1691" s="106" t="str">
        <f>IF(AND(G1691&lt;&gt;"",ISERROR(VLOOKUP(G1691,Keszlet!$C$5:$G$200,5,FALSE))=FALSE),VLOOKUP(G1691,Keszlet!$C$5:$G$200,5,FALSE),"")</f>
        <v/>
      </c>
      <c r="L1691" s="106" t="str">
        <f t="shared" si="116"/>
        <v/>
      </c>
      <c r="M1691" s="115" t="str">
        <f>IF(ISERROR(VLOOKUP(G1691,Keszlet!$C$5:$I$200,7,FALSE))=TRUE,"",IF(AND(J1690&lt;&gt;"",J1692=""),VLOOKUP(G1691,Keszlet!$C$5:$I$200,7,FALSE),""))</f>
        <v/>
      </c>
      <c r="Q1691" s="1">
        <f>VLOOKUP(G1691,Keszlet!$C$5:$E$205,3,FALSE)</f>
        <v>0</v>
      </c>
      <c r="T1691" s="1" t="str">
        <f t="shared" si="117"/>
        <v/>
      </c>
      <c r="U1691" s="1">
        <f t="shared" si="118"/>
        <v>0</v>
      </c>
      <c r="W1691" s="6">
        <f t="shared" si="121"/>
        <v>0</v>
      </c>
      <c r="X1691" s="6">
        <f t="shared" si="113"/>
        <v>0</v>
      </c>
      <c r="Y1691" s="1">
        <f t="shared" si="119"/>
        <v>1</v>
      </c>
      <c r="Z1691" s="1">
        <f>IF(COUNTIF($Y$6:Y1691,Y1691)=1,Y1691,Y1691+COUNTIF($Y$5:Y1690,Y1691))</f>
        <v>686</v>
      </c>
      <c r="AD1691" s="1" t="str">
        <f t="shared" si="120"/>
        <v/>
      </c>
      <c r="BA1691" s="1">
        <f>IF(W1691&lt;=Leltar_iv!$Y$1,I1691,0)</f>
        <v>0</v>
      </c>
    </row>
    <row r="1692" spans="1:53" s="1" customFormat="1" x14ac:dyDescent="0.25">
      <c r="A1692" s="18">
        <f>IF(COUNTIF($Y$6:Y1692,Y1692)=1,Y1692,Y1692+COUNTIF($Y$5:Y1691,Y1692))</f>
        <v>687</v>
      </c>
      <c r="B1692" s="1">
        <f>IF(AND(Kisero_iv!$N$2=C1692,Kisero_iv!$K$5=$B$3,SUM(I1692:L1696)&lt;&gt;0,$B$4=YEAR(W1692)),B1691+1,0)</f>
        <v>0</v>
      </c>
      <c r="C1692" s="1">
        <f t="shared" si="114"/>
        <v>687</v>
      </c>
      <c r="D1692" s="102" t="str">
        <f t="shared" si="115"/>
        <v/>
      </c>
      <c r="E1692" s="44"/>
      <c r="F1692" s="45"/>
      <c r="G1692" s="45"/>
      <c r="H1692" s="45"/>
      <c r="I1692" s="46"/>
      <c r="J1692" s="111" t="str">
        <f>IF(AND(G1692&lt;&gt;"",ISERROR(VLOOKUP(G1692,Keszlet!$C$5:$H$200,6,FALSE))=FALSE),VLOOKUP(G1692,Keszlet!$C$5:$H$200,6,FALSE),"")</f>
        <v/>
      </c>
      <c r="K1692" s="106" t="str">
        <f>IF(AND(G1692&lt;&gt;"",ISERROR(VLOOKUP(G1692,Keszlet!$C$5:$G$200,5,FALSE))=FALSE),VLOOKUP(G1692,Keszlet!$C$5:$G$200,5,FALSE),"")</f>
        <v/>
      </c>
      <c r="L1692" s="106" t="str">
        <f t="shared" si="116"/>
        <v/>
      </c>
      <c r="M1692" s="115" t="str">
        <f>IF(ISERROR(VLOOKUP(G1692,Keszlet!$C$5:$I$200,7,FALSE))=TRUE,"",IF(AND(J1691&lt;&gt;"",J1693=""),VLOOKUP(G1692,Keszlet!$C$5:$I$200,7,FALSE),""))</f>
        <v/>
      </c>
      <c r="Q1692" s="1">
        <f>VLOOKUP(G1692,Keszlet!$C$5:$E$205,3,FALSE)</f>
        <v>0</v>
      </c>
      <c r="T1692" s="1" t="str">
        <f t="shared" si="117"/>
        <v/>
      </c>
      <c r="U1692" s="1">
        <f t="shared" si="118"/>
        <v>0</v>
      </c>
      <c r="W1692" s="6">
        <f t="shared" si="121"/>
        <v>0</v>
      </c>
      <c r="X1692" s="6">
        <f t="shared" si="113"/>
        <v>0</v>
      </c>
      <c r="Y1692" s="1">
        <f t="shared" si="119"/>
        <v>1</v>
      </c>
      <c r="Z1692" s="1">
        <f>IF(COUNTIF($Y$6:Y1692,Y1692)=1,Y1692,Y1692+COUNTIF($Y$5:Y1691,Y1692))</f>
        <v>687</v>
      </c>
      <c r="AD1692" s="1" t="str">
        <f t="shared" si="120"/>
        <v/>
      </c>
      <c r="BA1692" s="1">
        <f>IF(W1692&lt;=Leltar_iv!$Y$1,I1692,0)</f>
        <v>0</v>
      </c>
    </row>
    <row r="1693" spans="1:53" s="1" customFormat="1" x14ac:dyDescent="0.25">
      <c r="A1693" s="18">
        <f>IF(COUNTIF($Y$6:Y1693,Y1693)=1,Y1693,Y1693+COUNTIF($Y$5:Y1692,Y1693))</f>
        <v>688</v>
      </c>
      <c r="B1693" s="1">
        <f>IF(AND(Kisero_iv!$N$2=C1693,Kisero_iv!$K$5=$B$3,SUM(I1693:L1697)&lt;&gt;0,$B$4=YEAR(W1693)),B1692+1,0)</f>
        <v>0</v>
      </c>
      <c r="C1693" s="1">
        <f t="shared" si="114"/>
        <v>688</v>
      </c>
      <c r="D1693" s="102" t="str">
        <f t="shared" si="115"/>
        <v/>
      </c>
      <c r="E1693" s="44"/>
      <c r="F1693" s="45"/>
      <c r="G1693" s="45"/>
      <c r="H1693" s="45"/>
      <c r="I1693" s="46"/>
      <c r="J1693" s="111" t="str">
        <f>IF(AND(G1693&lt;&gt;"",ISERROR(VLOOKUP(G1693,Keszlet!$C$5:$H$200,6,FALSE))=FALSE),VLOOKUP(G1693,Keszlet!$C$5:$H$200,6,FALSE),"")</f>
        <v/>
      </c>
      <c r="K1693" s="106" t="str">
        <f>IF(AND(G1693&lt;&gt;"",ISERROR(VLOOKUP(G1693,Keszlet!$C$5:$G$200,5,FALSE))=FALSE),VLOOKUP(G1693,Keszlet!$C$5:$G$200,5,FALSE),"")</f>
        <v/>
      </c>
      <c r="L1693" s="106" t="str">
        <f t="shared" si="116"/>
        <v/>
      </c>
      <c r="M1693" s="115" t="str">
        <f>IF(ISERROR(VLOOKUP(G1693,Keszlet!$C$5:$I$200,7,FALSE))=TRUE,"",IF(AND(J1692&lt;&gt;"",J1694=""),VLOOKUP(G1693,Keszlet!$C$5:$I$200,7,FALSE),""))</f>
        <v/>
      </c>
      <c r="Q1693" s="1">
        <f>VLOOKUP(G1693,Keszlet!$C$5:$E$205,3,FALSE)</f>
        <v>0</v>
      </c>
      <c r="T1693" s="1" t="str">
        <f t="shared" si="117"/>
        <v/>
      </c>
      <c r="U1693" s="1">
        <f t="shared" si="118"/>
        <v>0</v>
      </c>
      <c r="W1693" s="6">
        <f t="shared" si="121"/>
        <v>0</v>
      </c>
      <c r="X1693" s="6">
        <f t="shared" si="113"/>
        <v>0</v>
      </c>
      <c r="Y1693" s="1">
        <f t="shared" si="119"/>
        <v>1</v>
      </c>
      <c r="Z1693" s="1">
        <f>IF(COUNTIF($Y$6:Y1693,Y1693)=1,Y1693,Y1693+COUNTIF($Y$5:Y1692,Y1693))</f>
        <v>688</v>
      </c>
      <c r="AD1693" s="1" t="str">
        <f t="shared" si="120"/>
        <v/>
      </c>
      <c r="BA1693" s="1">
        <f>IF(W1693&lt;=Leltar_iv!$Y$1,I1693,0)</f>
        <v>0</v>
      </c>
    </row>
    <row r="1694" spans="1:53" s="1" customFormat="1" x14ac:dyDescent="0.25">
      <c r="A1694" s="18">
        <f>IF(COUNTIF($Y$6:Y1694,Y1694)=1,Y1694,Y1694+COUNTIF($Y$5:Y1693,Y1694))</f>
        <v>689</v>
      </c>
      <c r="B1694" s="1">
        <f>IF(AND(Kisero_iv!$N$2=C1694,Kisero_iv!$K$5=$B$3,SUM(I1694:L1698)&lt;&gt;0,$B$4=YEAR(W1694)),B1693+1,0)</f>
        <v>0</v>
      </c>
      <c r="C1694" s="1">
        <f t="shared" si="114"/>
        <v>689</v>
      </c>
      <c r="D1694" s="102" t="str">
        <f t="shared" si="115"/>
        <v/>
      </c>
      <c r="E1694" s="44"/>
      <c r="F1694" s="45"/>
      <c r="G1694" s="45"/>
      <c r="H1694" s="45"/>
      <c r="I1694" s="46"/>
      <c r="J1694" s="111" t="str">
        <f>IF(AND(G1694&lt;&gt;"",ISERROR(VLOOKUP(G1694,Keszlet!$C$5:$H$200,6,FALSE))=FALSE),VLOOKUP(G1694,Keszlet!$C$5:$H$200,6,FALSE),"")</f>
        <v/>
      </c>
      <c r="K1694" s="106" t="str">
        <f>IF(AND(G1694&lt;&gt;"",ISERROR(VLOOKUP(G1694,Keszlet!$C$5:$G$200,5,FALSE))=FALSE),VLOOKUP(G1694,Keszlet!$C$5:$G$200,5,FALSE),"")</f>
        <v/>
      </c>
      <c r="L1694" s="106" t="str">
        <f t="shared" si="116"/>
        <v/>
      </c>
      <c r="M1694" s="115" t="str">
        <f>IF(ISERROR(VLOOKUP(G1694,Keszlet!$C$5:$I$200,7,FALSE))=TRUE,"",IF(AND(J1693&lt;&gt;"",J1695=""),VLOOKUP(G1694,Keszlet!$C$5:$I$200,7,FALSE),""))</f>
        <v/>
      </c>
      <c r="Q1694" s="1">
        <f>VLOOKUP(G1694,Keszlet!$C$5:$E$205,3,FALSE)</f>
        <v>0</v>
      </c>
      <c r="T1694" s="1" t="str">
        <f t="shared" si="117"/>
        <v/>
      </c>
      <c r="U1694" s="1">
        <f t="shared" si="118"/>
        <v>0</v>
      </c>
      <c r="W1694" s="6">
        <f t="shared" si="121"/>
        <v>0</v>
      </c>
      <c r="X1694" s="6">
        <f t="shared" si="113"/>
        <v>0</v>
      </c>
      <c r="Y1694" s="1">
        <f t="shared" si="119"/>
        <v>1</v>
      </c>
      <c r="Z1694" s="1">
        <f>IF(COUNTIF($Y$6:Y1694,Y1694)=1,Y1694,Y1694+COUNTIF($Y$5:Y1693,Y1694))</f>
        <v>689</v>
      </c>
      <c r="AD1694" s="1" t="str">
        <f t="shared" si="120"/>
        <v/>
      </c>
      <c r="BA1694" s="1">
        <f>IF(W1694&lt;=Leltar_iv!$Y$1,I1694,0)</f>
        <v>0</v>
      </c>
    </row>
    <row r="1695" spans="1:53" s="1" customFormat="1" x14ac:dyDescent="0.25">
      <c r="A1695" s="18">
        <f>IF(COUNTIF($Y$6:Y1695,Y1695)=1,Y1695,Y1695+COUNTIF($Y$5:Y1694,Y1695))</f>
        <v>690</v>
      </c>
      <c r="B1695" s="1">
        <f>IF(AND(Kisero_iv!$N$2=C1695,Kisero_iv!$K$5=$B$3,SUM(I1695:L1699)&lt;&gt;0,$B$4=YEAR(W1695)),B1694+1,0)</f>
        <v>0</v>
      </c>
      <c r="C1695" s="1">
        <f t="shared" si="114"/>
        <v>690</v>
      </c>
      <c r="D1695" s="102" t="str">
        <f t="shared" si="115"/>
        <v/>
      </c>
      <c r="E1695" s="44"/>
      <c r="F1695" s="45"/>
      <c r="G1695" s="45"/>
      <c r="H1695" s="45"/>
      <c r="I1695" s="46"/>
      <c r="J1695" s="111" t="str">
        <f>IF(AND(G1695&lt;&gt;"",ISERROR(VLOOKUP(G1695,Keszlet!$C$5:$H$200,6,FALSE))=FALSE),VLOOKUP(G1695,Keszlet!$C$5:$H$200,6,FALSE),"")</f>
        <v/>
      </c>
      <c r="K1695" s="106" t="str">
        <f>IF(AND(G1695&lt;&gt;"",ISERROR(VLOOKUP(G1695,Keszlet!$C$5:$G$200,5,FALSE))=FALSE),VLOOKUP(G1695,Keszlet!$C$5:$G$200,5,FALSE),"")</f>
        <v/>
      </c>
      <c r="L1695" s="106" t="str">
        <f t="shared" si="116"/>
        <v/>
      </c>
      <c r="M1695" s="115" t="str">
        <f>IF(ISERROR(VLOOKUP(G1695,Keszlet!$C$5:$I$200,7,FALSE))=TRUE,"",IF(AND(J1694&lt;&gt;"",J1696=""),VLOOKUP(G1695,Keszlet!$C$5:$I$200,7,FALSE),""))</f>
        <v/>
      </c>
      <c r="Q1695" s="1">
        <f>VLOOKUP(G1695,Keszlet!$C$5:$E$205,3,FALSE)</f>
        <v>0</v>
      </c>
      <c r="T1695" s="1" t="str">
        <f t="shared" si="117"/>
        <v/>
      </c>
      <c r="U1695" s="1">
        <f t="shared" si="118"/>
        <v>0</v>
      </c>
      <c r="W1695" s="6">
        <f t="shared" si="121"/>
        <v>0</v>
      </c>
      <c r="X1695" s="6">
        <f t="shared" si="113"/>
        <v>0</v>
      </c>
      <c r="Y1695" s="1">
        <f t="shared" si="119"/>
        <v>1</v>
      </c>
      <c r="Z1695" s="1">
        <f>IF(COUNTIF($Y$6:Y1695,Y1695)=1,Y1695,Y1695+COUNTIF($Y$5:Y1694,Y1695))</f>
        <v>690</v>
      </c>
      <c r="AD1695" s="1" t="str">
        <f t="shared" si="120"/>
        <v/>
      </c>
      <c r="BA1695" s="1">
        <f>IF(W1695&lt;=Leltar_iv!$Y$1,I1695,0)</f>
        <v>0</v>
      </c>
    </row>
    <row r="1696" spans="1:53" s="1" customFormat="1" x14ac:dyDescent="0.25">
      <c r="A1696" s="18">
        <f>IF(COUNTIF($Y$6:Y1696,Y1696)=1,Y1696,Y1696+COUNTIF($Y$5:Y1695,Y1696))</f>
        <v>691</v>
      </c>
      <c r="B1696" s="1">
        <f>IF(AND(Kisero_iv!$N$2=C1696,Kisero_iv!$K$5=$B$3,SUM(I1696:L1700)&lt;&gt;0,$B$4=YEAR(W1696)),B1695+1,0)</f>
        <v>0</v>
      </c>
      <c r="C1696" s="1">
        <f t="shared" si="114"/>
        <v>691</v>
      </c>
      <c r="D1696" s="102" t="str">
        <f t="shared" si="115"/>
        <v/>
      </c>
      <c r="E1696" s="44"/>
      <c r="F1696" s="45"/>
      <c r="G1696" s="45"/>
      <c r="H1696" s="45"/>
      <c r="I1696" s="46"/>
      <c r="J1696" s="111" t="str">
        <f>IF(AND(G1696&lt;&gt;"",ISERROR(VLOOKUP(G1696,Keszlet!$C$5:$H$200,6,FALSE))=FALSE),VLOOKUP(G1696,Keszlet!$C$5:$H$200,6,FALSE),"")</f>
        <v/>
      </c>
      <c r="K1696" s="106" t="str">
        <f>IF(AND(G1696&lt;&gt;"",ISERROR(VLOOKUP(G1696,Keszlet!$C$5:$G$200,5,FALSE))=FALSE),VLOOKUP(G1696,Keszlet!$C$5:$G$200,5,FALSE),"")</f>
        <v/>
      </c>
      <c r="L1696" s="106" t="str">
        <f t="shared" si="116"/>
        <v/>
      </c>
      <c r="M1696" s="115" t="str">
        <f>IF(ISERROR(VLOOKUP(G1696,Keszlet!$C$5:$I$200,7,FALSE))=TRUE,"",IF(AND(J1695&lt;&gt;"",J1697=""),VLOOKUP(G1696,Keszlet!$C$5:$I$200,7,FALSE),""))</f>
        <v/>
      </c>
      <c r="Q1696" s="1">
        <f>VLOOKUP(G1696,Keszlet!$C$5:$E$205,3,FALSE)</f>
        <v>0</v>
      </c>
      <c r="T1696" s="1" t="str">
        <f t="shared" si="117"/>
        <v/>
      </c>
      <c r="U1696" s="1">
        <f t="shared" si="118"/>
        <v>0</v>
      </c>
      <c r="W1696" s="6">
        <f t="shared" si="121"/>
        <v>0</v>
      </c>
      <c r="X1696" s="6">
        <f t="shared" si="113"/>
        <v>0</v>
      </c>
      <c r="Y1696" s="1">
        <f t="shared" si="119"/>
        <v>1</v>
      </c>
      <c r="Z1696" s="1">
        <f>IF(COUNTIF($Y$6:Y1696,Y1696)=1,Y1696,Y1696+COUNTIF($Y$5:Y1695,Y1696))</f>
        <v>691</v>
      </c>
      <c r="AD1696" s="1" t="str">
        <f t="shared" si="120"/>
        <v/>
      </c>
      <c r="BA1696" s="1">
        <f>IF(W1696&lt;=Leltar_iv!$Y$1,I1696,0)</f>
        <v>0</v>
      </c>
    </row>
    <row r="1697" spans="1:53" s="1" customFormat="1" x14ac:dyDescent="0.25">
      <c r="A1697" s="18">
        <f>IF(COUNTIF($Y$6:Y1697,Y1697)=1,Y1697,Y1697+COUNTIF($Y$5:Y1696,Y1697))</f>
        <v>692</v>
      </c>
      <c r="B1697" s="1">
        <f>IF(AND(Kisero_iv!$N$2=C1697,Kisero_iv!$K$5=$B$3,SUM(I1697:L1701)&lt;&gt;0,$B$4=YEAR(W1697)),B1696+1,0)</f>
        <v>0</v>
      </c>
      <c r="C1697" s="1">
        <f t="shared" si="114"/>
        <v>692</v>
      </c>
      <c r="D1697" s="102" t="str">
        <f t="shared" si="115"/>
        <v/>
      </c>
      <c r="E1697" s="44"/>
      <c r="F1697" s="45"/>
      <c r="G1697" s="45"/>
      <c r="H1697" s="45"/>
      <c r="I1697" s="46"/>
      <c r="J1697" s="111" t="str">
        <f>IF(AND(G1697&lt;&gt;"",ISERROR(VLOOKUP(G1697,Keszlet!$C$5:$H$200,6,FALSE))=FALSE),VLOOKUP(G1697,Keszlet!$C$5:$H$200,6,FALSE),"")</f>
        <v/>
      </c>
      <c r="K1697" s="106" t="str">
        <f>IF(AND(G1697&lt;&gt;"",ISERROR(VLOOKUP(G1697,Keszlet!$C$5:$G$200,5,FALSE))=FALSE),VLOOKUP(G1697,Keszlet!$C$5:$G$200,5,FALSE),"")</f>
        <v/>
      </c>
      <c r="L1697" s="106" t="str">
        <f t="shared" si="116"/>
        <v/>
      </c>
      <c r="M1697" s="115" t="str">
        <f>IF(ISERROR(VLOOKUP(G1697,Keszlet!$C$5:$I$200,7,FALSE))=TRUE,"",IF(AND(J1696&lt;&gt;"",J1698=""),VLOOKUP(G1697,Keszlet!$C$5:$I$200,7,FALSE),""))</f>
        <v/>
      </c>
      <c r="Q1697" s="1">
        <f>VLOOKUP(G1697,Keszlet!$C$5:$E$205,3,FALSE)</f>
        <v>0</v>
      </c>
      <c r="T1697" s="1" t="str">
        <f t="shared" si="117"/>
        <v/>
      </c>
      <c r="U1697" s="1">
        <f t="shared" si="118"/>
        <v>0</v>
      </c>
      <c r="W1697" s="6">
        <f t="shared" si="121"/>
        <v>0</v>
      </c>
      <c r="X1697" s="6">
        <f t="shared" si="113"/>
        <v>0</v>
      </c>
      <c r="Y1697" s="1">
        <f t="shared" si="119"/>
        <v>1</v>
      </c>
      <c r="Z1697" s="1">
        <f>IF(COUNTIF($Y$6:Y1697,Y1697)=1,Y1697,Y1697+COUNTIF($Y$5:Y1696,Y1697))</f>
        <v>692</v>
      </c>
      <c r="AD1697" s="1" t="str">
        <f t="shared" si="120"/>
        <v/>
      </c>
      <c r="BA1697" s="1">
        <f>IF(W1697&lt;=Leltar_iv!$Y$1,I1697,0)</f>
        <v>0</v>
      </c>
    </row>
    <row r="1698" spans="1:53" s="1" customFormat="1" x14ac:dyDescent="0.25">
      <c r="A1698" s="18">
        <f>IF(COUNTIF($Y$6:Y1698,Y1698)=1,Y1698,Y1698+COUNTIF($Y$5:Y1697,Y1698))</f>
        <v>693</v>
      </c>
      <c r="B1698" s="1">
        <f>IF(AND(Kisero_iv!$N$2=C1698,Kisero_iv!$K$5=$B$3,SUM(I1698:L1702)&lt;&gt;0,$B$4=YEAR(W1698)),B1697+1,0)</f>
        <v>0</v>
      </c>
      <c r="C1698" s="1">
        <f t="shared" si="114"/>
        <v>693</v>
      </c>
      <c r="D1698" s="102" t="str">
        <f t="shared" si="115"/>
        <v/>
      </c>
      <c r="E1698" s="44"/>
      <c r="F1698" s="45"/>
      <c r="G1698" s="45"/>
      <c r="H1698" s="45"/>
      <c r="I1698" s="46"/>
      <c r="J1698" s="111" t="str">
        <f>IF(AND(G1698&lt;&gt;"",ISERROR(VLOOKUP(G1698,Keszlet!$C$5:$H$200,6,FALSE))=FALSE),VLOOKUP(G1698,Keszlet!$C$5:$H$200,6,FALSE),"")</f>
        <v/>
      </c>
      <c r="K1698" s="106" t="str">
        <f>IF(AND(G1698&lt;&gt;"",ISERROR(VLOOKUP(G1698,Keszlet!$C$5:$G$200,5,FALSE))=FALSE),VLOOKUP(G1698,Keszlet!$C$5:$G$200,5,FALSE),"")</f>
        <v/>
      </c>
      <c r="L1698" s="106" t="str">
        <f t="shared" si="116"/>
        <v/>
      </c>
      <c r="M1698" s="115" t="str">
        <f>IF(ISERROR(VLOOKUP(G1698,Keszlet!$C$5:$I$200,7,FALSE))=TRUE,"",IF(AND(J1697&lt;&gt;"",J1699=""),VLOOKUP(G1698,Keszlet!$C$5:$I$200,7,FALSE),""))</f>
        <v/>
      </c>
      <c r="Q1698" s="1">
        <f>VLOOKUP(G1698,Keszlet!$C$5:$E$205,3,FALSE)</f>
        <v>0</v>
      </c>
      <c r="T1698" s="1" t="str">
        <f t="shared" si="117"/>
        <v/>
      </c>
      <c r="U1698" s="1">
        <f t="shared" si="118"/>
        <v>0</v>
      </c>
      <c r="W1698" s="6">
        <f t="shared" si="121"/>
        <v>0</v>
      </c>
      <c r="X1698" s="6">
        <f t="shared" si="113"/>
        <v>0</v>
      </c>
      <c r="Y1698" s="1">
        <f t="shared" si="119"/>
        <v>1</v>
      </c>
      <c r="Z1698" s="1">
        <f>IF(COUNTIF($Y$6:Y1698,Y1698)=1,Y1698,Y1698+COUNTIF($Y$5:Y1697,Y1698))</f>
        <v>693</v>
      </c>
      <c r="AD1698" s="1" t="str">
        <f t="shared" si="120"/>
        <v/>
      </c>
      <c r="BA1698" s="1">
        <f>IF(W1698&lt;=Leltar_iv!$Y$1,I1698,0)</f>
        <v>0</v>
      </c>
    </row>
    <row r="1699" spans="1:53" s="1" customFormat="1" x14ac:dyDescent="0.25">
      <c r="A1699" s="18">
        <f>IF(COUNTIF($Y$6:Y1699,Y1699)=1,Y1699,Y1699+COUNTIF($Y$5:Y1698,Y1699))</f>
        <v>694</v>
      </c>
      <c r="B1699" s="1">
        <f>IF(AND(Kisero_iv!$N$2=C1699,Kisero_iv!$K$5=$B$3,SUM(I1699:L1703)&lt;&gt;0,$B$4=YEAR(W1699)),B1698+1,0)</f>
        <v>0</v>
      </c>
      <c r="C1699" s="1">
        <f t="shared" si="114"/>
        <v>694</v>
      </c>
      <c r="D1699" s="102" t="str">
        <f t="shared" si="115"/>
        <v/>
      </c>
      <c r="E1699" s="44"/>
      <c r="F1699" s="45"/>
      <c r="G1699" s="45"/>
      <c r="H1699" s="45"/>
      <c r="I1699" s="46"/>
      <c r="J1699" s="111" t="str">
        <f>IF(AND(G1699&lt;&gt;"",ISERROR(VLOOKUP(G1699,Keszlet!$C$5:$H$200,6,FALSE))=FALSE),VLOOKUP(G1699,Keszlet!$C$5:$H$200,6,FALSE),"")</f>
        <v/>
      </c>
      <c r="K1699" s="106" t="str">
        <f>IF(AND(G1699&lt;&gt;"",ISERROR(VLOOKUP(G1699,Keszlet!$C$5:$G$200,5,FALSE))=FALSE),VLOOKUP(G1699,Keszlet!$C$5:$G$200,5,FALSE),"")</f>
        <v/>
      </c>
      <c r="L1699" s="106" t="str">
        <f t="shared" si="116"/>
        <v/>
      </c>
      <c r="M1699" s="115" t="str">
        <f>IF(ISERROR(VLOOKUP(G1699,Keszlet!$C$5:$I$200,7,FALSE))=TRUE,"",IF(AND(J1698&lt;&gt;"",J1700=""),VLOOKUP(G1699,Keszlet!$C$5:$I$200,7,FALSE),""))</f>
        <v/>
      </c>
      <c r="Q1699" s="1">
        <f>VLOOKUP(G1699,Keszlet!$C$5:$E$205,3,FALSE)</f>
        <v>0</v>
      </c>
      <c r="T1699" s="1" t="str">
        <f t="shared" si="117"/>
        <v/>
      </c>
      <c r="U1699" s="1">
        <f t="shared" si="118"/>
        <v>0</v>
      </c>
      <c r="W1699" s="6">
        <f t="shared" si="121"/>
        <v>0</v>
      </c>
      <c r="X1699" s="6">
        <f t="shared" si="113"/>
        <v>0</v>
      </c>
      <c r="Y1699" s="1">
        <f t="shared" si="119"/>
        <v>1</v>
      </c>
      <c r="Z1699" s="1">
        <f>IF(COUNTIF($Y$6:Y1699,Y1699)=1,Y1699,Y1699+COUNTIF($Y$5:Y1698,Y1699))</f>
        <v>694</v>
      </c>
      <c r="AD1699" s="1" t="str">
        <f t="shared" si="120"/>
        <v/>
      </c>
      <c r="BA1699" s="1">
        <f>IF(W1699&lt;=Leltar_iv!$Y$1,I1699,0)</f>
        <v>0</v>
      </c>
    </row>
    <row r="1700" spans="1:53" s="1" customFormat="1" x14ac:dyDescent="0.25">
      <c r="A1700" s="18">
        <f>IF(COUNTIF($Y$6:Y1700,Y1700)=1,Y1700,Y1700+COUNTIF($Y$5:Y1699,Y1700))</f>
        <v>695</v>
      </c>
      <c r="B1700" s="1">
        <f>IF(AND(Kisero_iv!$N$2=C1700,Kisero_iv!$K$5=$B$3,SUM(I1700:L1704)&lt;&gt;0,$B$4=YEAR(W1700)),B1699+1,0)</f>
        <v>0</v>
      </c>
      <c r="C1700" s="1">
        <f t="shared" si="114"/>
        <v>695</v>
      </c>
      <c r="D1700" s="102" t="str">
        <f t="shared" si="115"/>
        <v/>
      </c>
      <c r="E1700" s="44"/>
      <c r="F1700" s="45"/>
      <c r="G1700" s="45"/>
      <c r="H1700" s="45"/>
      <c r="I1700" s="46"/>
      <c r="J1700" s="111" t="str">
        <f>IF(AND(G1700&lt;&gt;"",ISERROR(VLOOKUP(G1700,Keszlet!$C$5:$H$200,6,FALSE))=FALSE),VLOOKUP(G1700,Keszlet!$C$5:$H$200,6,FALSE),"")</f>
        <v/>
      </c>
      <c r="K1700" s="106" t="str">
        <f>IF(AND(G1700&lt;&gt;"",ISERROR(VLOOKUP(G1700,Keszlet!$C$5:$G$200,5,FALSE))=FALSE),VLOOKUP(G1700,Keszlet!$C$5:$G$200,5,FALSE),"")</f>
        <v/>
      </c>
      <c r="L1700" s="106" t="str">
        <f t="shared" si="116"/>
        <v/>
      </c>
      <c r="M1700" s="115" t="str">
        <f>IF(ISERROR(VLOOKUP(G1700,Keszlet!$C$5:$I$200,7,FALSE))=TRUE,"",IF(AND(J1699&lt;&gt;"",J1701=""),VLOOKUP(G1700,Keszlet!$C$5:$I$200,7,FALSE),""))</f>
        <v/>
      </c>
      <c r="Q1700" s="1">
        <f>VLOOKUP(G1700,Keszlet!$C$5:$E$205,3,FALSE)</f>
        <v>0</v>
      </c>
      <c r="T1700" s="1" t="str">
        <f t="shared" si="117"/>
        <v/>
      </c>
      <c r="U1700" s="1">
        <f t="shared" si="118"/>
        <v>0</v>
      </c>
      <c r="W1700" s="6">
        <f t="shared" si="121"/>
        <v>0</v>
      </c>
      <c r="X1700" s="6">
        <f t="shared" si="113"/>
        <v>0</v>
      </c>
      <c r="Y1700" s="1">
        <f t="shared" si="119"/>
        <v>1</v>
      </c>
      <c r="Z1700" s="1">
        <f>IF(COUNTIF($Y$6:Y1700,Y1700)=1,Y1700,Y1700+COUNTIF($Y$5:Y1699,Y1700))</f>
        <v>695</v>
      </c>
      <c r="AD1700" s="1" t="str">
        <f t="shared" si="120"/>
        <v/>
      </c>
      <c r="BA1700" s="1">
        <f>IF(W1700&lt;=Leltar_iv!$Y$1,I1700,0)</f>
        <v>0</v>
      </c>
    </row>
    <row r="1701" spans="1:53" s="1" customFormat="1" x14ac:dyDescent="0.25">
      <c r="A1701" s="18">
        <f>IF(COUNTIF($Y$6:Y1701,Y1701)=1,Y1701,Y1701+COUNTIF($Y$5:Y1700,Y1701))</f>
        <v>696</v>
      </c>
      <c r="B1701" s="1">
        <f>IF(AND(Kisero_iv!$N$2=C1701,Kisero_iv!$K$5=$B$3,SUM(I1701:L1705)&lt;&gt;0,$B$4=YEAR(W1701)),B1700+1,0)</f>
        <v>0</v>
      </c>
      <c r="C1701" s="1">
        <f t="shared" si="114"/>
        <v>696</v>
      </c>
      <c r="D1701" s="102" t="str">
        <f t="shared" si="115"/>
        <v/>
      </c>
      <c r="E1701" s="44"/>
      <c r="F1701" s="45"/>
      <c r="G1701" s="45"/>
      <c r="H1701" s="45"/>
      <c r="I1701" s="46"/>
      <c r="J1701" s="111" t="str">
        <f>IF(AND(G1701&lt;&gt;"",ISERROR(VLOOKUP(G1701,Keszlet!$C$5:$H$200,6,FALSE))=FALSE),VLOOKUP(G1701,Keszlet!$C$5:$H$200,6,FALSE),"")</f>
        <v/>
      </c>
      <c r="K1701" s="106" t="str">
        <f>IF(AND(G1701&lt;&gt;"",ISERROR(VLOOKUP(G1701,Keszlet!$C$5:$G$200,5,FALSE))=FALSE),VLOOKUP(G1701,Keszlet!$C$5:$G$200,5,FALSE),"")</f>
        <v/>
      </c>
      <c r="L1701" s="106" t="str">
        <f t="shared" si="116"/>
        <v/>
      </c>
      <c r="M1701" s="115" t="str">
        <f>IF(ISERROR(VLOOKUP(G1701,Keszlet!$C$5:$I$200,7,FALSE))=TRUE,"",IF(AND(J1700&lt;&gt;"",J1702=""),VLOOKUP(G1701,Keszlet!$C$5:$I$200,7,FALSE),""))</f>
        <v/>
      </c>
      <c r="Q1701" s="1">
        <f>VLOOKUP(G1701,Keszlet!$C$5:$E$205,3,FALSE)</f>
        <v>0</v>
      </c>
      <c r="T1701" s="1" t="str">
        <f t="shared" si="117"/>
        <v/>
      </c>
      <c r="U1701" s="1">
        <f t="shared" si="118"/>
        <v>0</v>
      </c>
      <c r="W1701" s="6">
        <f t="shared" si="121"/>
        <v>0</v>
      </c>
      <c r="X1701" s="6">
        <f t="shared" si="113"/>
        <v>0</v>
      </c>
      <c r="Y1701" s="1">
        <f t="shared" si="119"/>
        <v>1</v>
      </c>
      <c r="Z1701" s="1">
        <f>IF(COUNTIF($Y$6:Y1701,Y1701)=1,Y1701,Y1701+COUNTIF($Y$5:Y1700,Y1701))</f>
        <v>696</v>
      </c>
      <c r="AD1701" s="1" t="str">
        <f t="shared" si="120"/>
        <v/>
      </c>
      <c r="BA1701" s="1">
        <f>IF(W1701&lt;=Leltar_iv!$Y$1,I1701,0)</f>
        <v>0</v>
      </c>
    </row>
    <row r="1702" spans="1:53" s="1" customFormat="1" x14ac:dyDescent="0.25">
      <c r="A1702" s="18">
        <f>IF(COUNTIF($Y$6:Y1702,Y1702)=1,Y1702,Y1702+COUNTIF($Y$5:Y1701,Y1702))</f>
        <v>697</v>
      </c>
      <c r="B1702" s="1">
        <f>IF(AND(Kisero_iv!$N$2=C1702,Kisero_iv!$K$5=$B$3,SUM(I1702:L1706)&lt;&gt;0,$B$4=YEAR(W1702)),B1701+1,0)</f>
        <v>0</v>
      </c>
      <c r="C1702" s="1">
        <f t="shared" si="114"/>
        <v>697</v>
      </c>
      <c r="D1702" s="102" t="str">
        <f t="shared" si="115"/>
        <v/>
      </c>
      <c r="E1702" s="44"/>
      <c r="F1702" s="45"/>
      <c r="G1702" s="45"/>
      <c r="H1702" s="45"/>
      <c r="I1702" s="46"/>
      <c r="J1702" s="111" t="str">
        <f>IF(AND(G1702&lt;&gt;"",ISERROR(VLOOKUP(G1702,Keszlet!$C$5:$H$200,6,FALSE))=FALSE),VLOOKUP(G1702,Keszlet!$C$5:$H$200,6,FALSE),"")</f>
        <v/>
      </c>
      <c r="K1702" s="106" t="str">
        <f>IF(AND(G1702&lt;&gt;"",ISERROR(VLOOKUP(G1702,Keszlet!$C$5:$G$200,5,FALSE))=FALSE),VLOOKUP(G1702,Keszlet!$C$5:$G$200,5,FALSE),"")</f>
        <v/>
      </c>
      <c r="L1702" s="106" t="str">
        <f t="shared" si="116"/>
        <v/>
      </c>
      <c r="M1702" s="115" t="str">
        <f>IF(ISERROR(VLOOKUP(G1702,Keszlet!$C$5:$I$200,7,FALSE))=TRUE,"",IF(AND(J1701&lt;&gt;"",J1703=""),VLOOKUP(G1702,Keszlet!$C$5:$I$200,7,FALSE),""))</f>
        <v/>
      </c>
      <c r="Q1702" s="1">
        <f>VLOOKUP(G1702,Keszlet!$C$5:$E$205,3,FALSE)</f>
        <v>0</v>
      </c>
      <c r="T1702" s="1" t="str">
        <f t="shared" si="117"/>
        <v/>
      </c>
      <c r="U1702" s="1">
        <f t="shared" si="118"/>
        <v>0</v>
      </c>
      <c r="W1702" s="6">
        <f t="shared" si="121"/>
        <v>0</v>
      </c>
      <c r="X1702" s="6">
        <f t="shared" si="113"/>
        <v>0</v>
      </c>
      <c r="Y1702" s="1">
        <f t="shared" si="119"/>
        <v>1</v>
      </c>
      <c r="Z1702" s="1">
        <f>IF(COUNTIF($Y$6:Y1702,Y1702)=1,Y1702,Y1702+COUNTIF($Y$5:Y1701,Y1702))</f>
        <v>697</v>
      </c>
      <c r="AD1702" s="1" t="str">
        <f t="shared" si="120"/>
        <v/>
      </c>
      <c r="BA1702" s="1">
        <f>IF(W1702&lt;=Leltar_iv!$Y$1,I1702,0)</f>
        <v>0</v>
      </c>
    </row>
    <row r="1703" spans="1:53" s="1" customFormat="1" x14ac:dyDescent="0.25">
      <c r="A1703" s="18">
        <f>IF(COUNTIF($Y$6:Y1703,Y1703)=1,Y1703,Y1703+COUNTIF($Y$5:Y1702,Y1703))</f>
        <v>698</v>
      </c>
      <c r="B1703" s="1">
        <f>IF(AND(Kisero_iv!$N$2=C1703,Kisero_iv!$K$5=$B$3,SUM(I1703:L1707)&lt;&gt;0,$B$4=YEAR(W1703)),B1702+1,0)</f>
        <v>0</v>
      </c>
      <c r="C1703" s="1">
        <f t="shared" si="114"/>
        <v>698</v>
      </c>
      <c r="D1703" s="102" t="str">
        <f t="shared" si="115"/>
        <v/>
      </c>
      <c r="E1703" s="44"/>
      <c r="F1703" s="45"/>
      <c r="G1703" s="45"/>
      <c r="H1703" s="45"/>
      <c r="I1703" s="46"/>
      <c r="J1703" s="111" t="str">
        <f>IF(AND(G1703&lt;&gt;"",ISERROR(VLOOKUP(G1703,Keszlet!$C$5:$H$200,6,FALSE))=FALSE),VLOOKUP(G1703,Keszlet!$C$5:$H$200,6,FALSE),"")</f>
        <v/>
      </c>
      <c r="K1703" s="106" t="str">
        <f>IF(AND(G1703&lt;&gt;"",ISERROR(VLOOKUP(G1703,Keszlet!$C$5:$G$200,5,FALSE))=FALSE),VLOOKUP(G1703,Keszlet!$C$5:$G$200,5,FALSE),"")</f>
        <v/>
      </c>
      <c r="L1703" s="106" t="str">
        <f t="shared" si="116"/>
        <v/>
      </c>
      <c r="M1703" s="115" t="str">
        <f>IF(ISERROR(VLOOKUP(G1703,Keszlet!$C$5:$I$200,7,FALSE))=TRUE,"",IF(AND(J1702&lt;&gt;"",J1704=""),VLOOKUP(G1703,Keszlet!$C$5:$I$200,7,FALSE),""))</f>
        <v/>
      </c>
      <c r="Q1703" s="1">
        <f>VLOOKUP(G1703,Keszlet!$C$5:$E$205,3,FALSE)</f>
        <v>0</v>
      </c>
      <c r="T1703" s="1" t="str">
        <f t="shared" si="117"/>
        <v/>
      </c>
      <c r="U1703" s="1">
        <f t="shared" si="118"/>
        <v>0</v>
      </c>
      <c r="W1703" s="6">
        <f t="shared" si="121"/>
        <v>0</v>
      </c>
      <c r="X1703" s="6">
        <f t="shared" si="113"/>
        <v>0</v>
      </c>
      <c r="Y1703" s="1">
        <f t="shared" si="119"/>
        <v>1</v>
      </c>
      <c r="Z1703" s="1">
        <f>IF(COUNTIF($Y$6:Y1703,Y1703)=1,Y1703,Y1703+COUNTIF($Y$5:Y1702,Y1703))</f>
        <v>698</v>
      </c>
      <c r="AD1703" s="1" t="str">
        <f t="shared" si="120"/>
        <v/>
      </c>
      <c r="BA1703" s="1">
        <f>IF(W1703&lt;=Leltar_iv!$Y$1,I1703,0)</f>
        <v>0</v>
      </c>
    </row>
    <row r="1704" spans="1:53" s="1" customFormat="1" x14ac:dyDescent="0.25">
      <c r="A1704" s="18">
        <f>IF(COUNTIF($Y$6:Y1704,Y1704)=1,Y1704,Y1704+COUNTIF($Y$5:Y1703,Y1704))</f>
        <v>699</v>
      </c>
      <c r="B1704" s="1">
        <f>IF(AND(Kisero_iv!$N$2=C1704,Kisero_iv!$K$5=$B$3,SUM(I1704:L1708)&lt;&gt;0,$B$4=YEAR(W1704)),B1703+1,0)</f>
        <v>0</v>
      </c>
      <c r="C1704" s="1">
        <f t="shared" si="114"/>
        <v>699</v>
      </c>
      <c r="D1704" s="102" t="str">
        <f t="shared" si="115"/>
        <v/>
      </c>
      <c r="E1704" s="44"/>
      <c r="F1704" s="45"/>
      <c r="G1704" s="45"/>
      <c r="H1704" s="45"/>
      <c r="I1704" s="46"/>
      <c r="J1704" s="111" t="str">
        <f>IF(AND(G1704&lt;&gt;"",ISERROR(VLOOKUP(G1704,Keszlet!$C$5:$H$200,6,FALSE))=FALSE),VLOOKUP(G1704,Keszlet!$C$5:$H$200,6,FALSE),"")</f>
        <v/>
      </c>
      <c r="K1704" s="106" t="str">
        <f>IF(AND(G1704&lt;&gt;"",ISERROR(VLOOKUP(G1704,Keszlet!$C$5:$G$200,5,FALSE))=FALSE),VLOOKUP(G1704,Keszlet!$C$5:$G$200,5,FALSE),"")</f>
        <v/>
      </c>
      <c r="L1704" s="106" t="str">
        <f t="shared" si="116"/>
        <v/>
      </c>
      <c r="M1704" s="115" t="str">
        <f>IF(ISERROR(VLOOKUP(G1704,Keszlet!$C$5:$I$200,7,FALSE))=TRUE,"",IF(AND(J1703&lt;&gt;"",J1705=""),VLOOKUP(G1704,Keszlet!$C$5:$I$200,7,FALSE),""))</f>
        <v/>
      </c>
      <c r="Q1704" s="1">
        <f>VLOOKUP(G1704,Keszlet!$C$5:$E$205,3,FALSE)</f>
        <v>0</v>
      </c>
      <c r="T1704" s="1" t="str">
        <f t="shared" si="117"/>
        <v/>
      </c>
      <c r="U1704" s="1">
        <f t="shared" si="118"/>
        <v>0</v>
      </c>
      <c r="W1704" s="6">
        <f t="shared" si="121"/>
        <v>0</v>
      </c>
      <c r="X1704" s="6">
        <f t="shared" si="113"/>
        <v>0</v>
      </c>
      <c r="Y1704" s="1">
        <f t="shared" si="119"/>
        <v>1</v>
      </c>
      <c r="Z1704" s="1">
        <f>IF(COUNTIF($Y$6:Y1704,Y1704)=1,Y1704,Y1704+COUNTIF($Y$5:Y1703,Y1704))</f>
        <v>699</v>
      </c>
      <c r="AD1704" s="1" t="str">
        <f t="shared" si="120"/>
        <v/>
      </c>
      <c r="BA1704" s="1">
        <f>IF(W1704&lt;=Leltar_iv!$Y$1,I1704,0)</f>
        <v>0</v>
      </c>
    </row>
    <row r="1705" spans="1:53" s="1" customFormat="1" x14ac:dyDescent="0.25">
      <c r="A1705" s="18">
        <f>IF(COUNTIF($Y$6:Y1705,Y1705)=1,Y1705,Y1705+COUNTIF($Y$5:Y1704,Y1705))</f>
        <v>700</v>
      </c>
      <c r="B1705" s="1">
        <f>IF(AND(Kisero_iv!$N$2=C1705,Kisero_iv!$K$5=$B$3,SUM(I1705:L1709)&lt;&gt;0,$B$4=YEAR(W1705)),B1704+1,0)</f>
        <v>0</v>
      </c>
      <c r="C1705" s="1">
        <f t="shared" si="114"/>
        <v>700</v>
      </c>
      <c r="D1705" s="102" t="str">
        <f t="shared" si="115"/>
        <v/>
      </c>
      <c r="E1705" s="44"/>
      <c r="F1705" s="45"/>
      <c r="G1705" s="45"/>
      <c r="H1705" s="45"/>
      <c r="I1705" s="46"/>
      <c r="J1705" s="111" t="str">
        <f>IF(AND(G1705&lt;&gt;"",ISERROR(VLOOKUP(G1705,Keszlet!$C$5:$H$200,6,FALSE))=FALSE),VLOOKUP(G1705,Keszlet!$C$5:$H$200,6,FALSE),"")</f>
        <v/>
      </c>
      <c r="K1705" s="106" t="str">
        <f>IF(AND(G1705&lt;&gt;"",ISERROR(VLOOKUP(G1705,Keszlet!$C$5:$G$200,5,FALSE))=FALSE),VLOOKUP(G1705,Keszlet!$C$5:$G$200,5,FALSE),"")</f>
        <v/>
      </c>
      <c r="L1705" s="106" t="str">
        <f t="shared" si="116"/>
        <v/>
      </c>
      <c r="M1705" s="115" t="str">
        <f>IF(ISERROR(VLOOKUP(G1705,Keszlet!$C$5:$I$200,7,FALSE))=TRUE,"",IF(AND(J1704&lt;&gt;"",J1706=""),VLOOKUP(G1705,Keszlet!$C$5:$I$200,7,FALSE),""))</f>
        <v/>
      </c>
      <c r="Q1705" s="1">
        <f>VLOOKUP(G1705,Keszlet!$C$5:$E$205,3,FALSE)</f>
        <v>0</v>
      </c>
      <c r="T1705" s="1" t="str">
        <f t="shared" si="117"/>
        <v/>
      </c>
      <c r="U1705" s="1">
        <f t="shared" si="118"/>
        <v>0</v>
      </c>
      <c r="W1705" s="6">
        <f t="shared" si="121"/>
        <v>0</v>
      </c>
      <c r="X1705" s="6">
        <f t="shared" si="113"/>
        <v>0</v>
      </c>
      <c r="Y1705" s="1">
        <f t="shared" si="119"/>
        <v>1</v>
      </c>
      <c r="Z1705" s="1">
        <f>IF(COUNTIF($Y$6:Y1705,Y1705)=1,Y1705,Y1705+COUNTIF($Y$5:Y1704,Y1705))</f>
        <v>700</v>
      </c>
      <c r="AD1705" s="1" t="str">
        <f t="shared" si="120"/>
        <v/>
      </c>
      <c r="BA1705" s="1">
        <f>IF(W1705&lt;=Leltar_iv!$Y$1,I1705,0)</f>
        <v>0</v>
      </c>
    </row>
    <row r="1706" spans="1:53" s="1" customFormat="1" x14ac:dyDescent="0.25">
      <c r="A1706" s="18">
        <f>IF(COUNTIF($Y$6:Y1706,Y1706)=1,Y1706,Y1706+COUNTIF($Y$5:Y1705,Y1706))</f>
        <v>701</v>
      </c>
      <c r="B1706" s="1">
        <f>IF(AND(Kisero_iv!$N$2=C1706,Kisero_iv!$K$5=$B$3,SUM(I1706:L1710)&lt;&gt;0,$B$4=YEAR(W1706)),B1705+1,0)</f>
        <v>0</v>
      </c>
      <c r="C1706" s="1">
        <f t="shared" si="114"/>
        <v>701</v>
      </c>
      <c r="D1706" s="102" t="str">
        <f t="shared" si="115"/>
        <v/>
      </c>
      <c r="E1706" s="44"/>
      <c r="F1706" s="45"/>
      <c r="G1706" s="45"/>
      <c r="H1706" s="45"/>
      <c r="I1706" s="46"/>
      <c r="J1706" s="111" t="str">
        <f>IF(AND(G1706&lt;&gt;"",ISERROR(VLOOKUP(G1706,Keszlet!$C$5:$H$200,6,FALSE))=FALSE),VLOOKUP(G1706,Keszlet!$C$5:$H$200,6,FALSE),"")</f>
        <v/>
      </c>
      <c r="K1706" s="106" t="str">
        <f>IF(AND(G1706&lt;&gt;"",ISERROR(VLOOKUP(G1706,Keszlet!$C$5:$G$200,5,FALSE))=FALSE),VLOOKUP(G1706,Keszlet!$C$5:$G$200,5,FALSE),"")</f>
        <v/>
      </c>
      <c r="L1706" s="106" t="str">
        <f t="shared" si="116"/>
        <v/>
      </c>
      <c r="M1706" s="115" t="str">
        <f>IF(ISERROR(VLOOKUP(G1706,Keszlet!$C$5:$I$200,7,FALSE))=TRUE,"",IF(AND(J1705&lt;&gt;"",J1707=""),VLOOKUP(G1706,Keszlet!$C$5:$I$200,7,FALSE),""))</f>
        <v/>
      </c>
      <c r="Q1706" s="1">
        <f>VLOOKUP(G1706,Keszlet!$C$5:$E$205,3,FALSE)</f>
        <v>0</v>
      </c>
      <c r="T1706" s="1" t="str">
        <f t="shared" si="117"/>
        <v/>
      </c>
      <c r="U1706" s="1">
        <f t="shared" si="118"/>
        <v>0</v>
      </c>
      <c r="W1706" s="6">
        <f t="shared" si="121"/>
        <v>0</v>
      </c>
      <c r="X1706" s="6">
        <f t="shared" si="113"/>
        <v>0</v>
      </c>
      <c r="Y1706" s="1">
        <f t="shared" si="119"/>
        <v>1</v>
      </c>
      <c r="Z1706" s="1">
        <f>IF(COUNTIF($Y$6:Y1706,Y1706)=1,Y1706,Y1706+COUNTIF($Y$5:Y1705,Y1706))</f>
        <v>701</v>
      </c>
      <c r="AD1706" s="1" t="str">
        <f t="shared" si="120"/>
        <v/>
      </c>
      <c r="BA1706" s="1">
        <f>IF(W1706&lt;=Leltar_iv!$Y$1,I1706,0)</f>
        <v>0</v>
      </c>
    </row>
    <row r="1707" spans="1:53" s="1" customFormat="1" x14ac:dyDescent="0.25">
      <c r="A1707" s="18">
        <f>IF(COUNTIF($Y$6:Y1707,Y1707)=1,Y1707,Y1707+COUNTIF($Y$5:Y1706,Y1707))</f>
        <v>702</v>
      </c>
      <c r="B1707" s="1">
        <f>IF(AND(Kisero_iv!$N$2=C1707,Kisero_iv!$K$5=$B$3,SUM(I1707:L1711)&lt;&gt;0,$B$4=YEAR(W1707)),B1706+1,0)</f>
        <v>0</v>
      </c>
      <c r="C1707" s="1">
        <f t="shared" si="114"/>
        <v>702</v>
      </c>
      <c r="D1707" s="102" t="str">
        <f t="shared" si="115"/>
        <v/>
      </c>
      <c r="E1707" s="44"/>
      <c r="F1707" s="45"/>
      <c r="G1707" s="45"/>
      <c r="H1707" s="45"/>
      <c r="I1707" s="46"/>
      <c r="J1707" s="111" t="str">
        <f>IF(AND(G1707&lt;&gt;"",ISERROR(VLOOKUP(G1707,Keszlet!$C$5:$H$200,6,FALSE))=FALSE),VLOOKUP(G1707,Keszlet!$C$5:$H$200,6,FALSE),"")</f>
        <v/>
      </c>
      <c r="K1707" s="106" t="str">
        <f>IF(AND(G1707&lt;&gt;"",ISERROR(VLOOKUP(G1707,Keszlet!$C$5:$G$200,5,FALSE))=FALSE),VLOOKUP(G1707,Keszlet!$C$5:$G$200,5,FALSE),"")</f>
        <v/>
      </c>
      <c r="L1707" s="106" t="str">
        <f t="shared" si="116"/>
        <v/>
      </c>
      <c r="M1707" s="115" t="str">
        <f>IF(ISERROR(VLOOKUP(G1707,Keszlet!$C$5:$I$200,7,FALSE))=TRUE,"",IF(AND(J1706&lt;&gt;"",J1708=""),VLOOKUP(G1707,Keszlet!$C$5:$I$200,7,FALSE),""))</f>
        <v/>
      </c>
      <c r="Q1707" s="1">
        <f>VLOOKUP(G1707,Keszlet!$C$5:$E$205,3,FALSE)</f>
        <v>0</v>
      </c>
      <c r="T1707" s="1" t="str">
        <f t="shared" si="117"/>
        <v/>
      </c>
      <c r="U1707" s="1">
        <f t="shared" si="118"/>
        <v>0</v>
      </c>
      <c r="W1707" s="6">
        <f t="shared" si="121"/>
        <v>0</v>
      </c>
      <c r="X1707" s="6">
        <f t="shared" si="113"/>
        <v>0</v>
      </c>
      <c r="Y1707" s="1">
        <f t="shared" si="119"/>
        <v>1</v>
      </c>
      <c r="Z1707" s="1">
        <f>IF(COUNTIF($Y$6:Y1707,Y1707)=1,Y1707,Y1707+COUNTIF($Y$5:Y1706,Y1707))</f>
        <v>702</v>
      </c>
      <c r="AD1707" s="1" t="str">
        <f t="shared" si="120"/>
        <v/>
      </c>
      <c r="BA1707" s="1">
        <f>IF(W1707&lt;=Leltar_iv!$Y$1,I1707,0)</f>
        <v>0</v>
      </c>
    </row>
    <row r="1708" spans="1:53" s="1" customFormat="1" x14ac:dyDescent="0.25">
      <c r="A1708" s="18">
        <f>IF(COUNTIF($Y$6:Y1708,Y1708)=1,Y1708,Y1708+COUNTIF($Y$5:Y1707,Y1708))</f>
        <v>703</v>
      </c>
      <c r="B1708" s="1">
        <f>IF(AND(Kisero_iv!$N$2=C1708,Kisero_iv!$K$5=$B$3,SUM(I1708:L1712)&lt;&gt;0,$B$4=YEAR(W1708)),B1707+1,0)</f>
        <v>0</v>
      </c>
      <c r="C1708" s="1">
        <f t="shared" si="114"/>
        <v>703</v>
      </c>
      <c r="D1708" s="102" t="str">
        <f t="shared" si="115"/>
        <v/>
      </c>
      <c r="E1708" s="44"/>
      <c r="F1708" s="45"/>
      <c r="G1708" s="45"/>
      <c r="H1708" s="45"/>
      <c r="I1708" s="46"/>
      <c r="J1708" s="111" t="str">
        <f>IF(AND(G1708&lt;&gt;"",ISERROR(VLOOKUP(G1708,Keszlet!$C$5:$H$200,6,FALSE))=FALSE),VLOOKUP(G1708,Keszlet!$C$5:$H$200,6,FALSE),"")</f>
        <v/>
      </c>
      <c r="K1708" s="106" t="str">
        <f>IF(AND(G1708&lt;&gt;"",ISERROR(VLOOKUP(G1708,Keszlet!$C$5:$G$200,5,FALSE))=FALSE),VLOOKUP(G1708,Keszlet!$C$5:$G$200,5,FALSE),"")</f>
        <v/>
      </c>
      <c r="L1708" s="106" t="str">
        <f t="shared" si="116"/>
        <v/>
      </c>
      <c r="M1708" s="115" t="str">
        <f>IF(ISERROR(VLOOKUP(G1708,Keszlet!$C$5:$I$200,7,FALSE))=TRUE,"",IF(AND(J1707&lt;&gt;"",J1709=""),VLOOKUP(G1708,Keszlet!$C$5:$I$200,7,FALSE),""))</f>
        <v/>
      </c>
      <c r="Q1708" s="1">
        <f>VLOOKUP(G1708,Keszlet!$C$5:$E$205,3,FALSE)</f>
        <v>0</v>
      </c>
      <c r="T1708" s="1" t="str">
        <f t="shared" si="117"/>
        <v/>
      </c>
      <c r="U1708" s="1">
        <f t="shared" si="118"/>
        <v>0</v>
      </c>
      <c r="W1708" s="6">
        <f t="shared" si="121"/>
        <v>0</v>
      </c>
      <c r="X1708" s="6">
        <f t="shared" si="113"/>
        <v>0</v>
      </c>
      <c r="Y1708" s="1">
        <f t="shared" si="119"/>
        <v>1</v>
      </c>
      <c r="Z1708" s="1">
        <f>IF(COUNTIF($Y$6:Y1708,Y1708)=1,Y1708,Y1708+COUNTIF($Y$5:Y1707,Y1708))</f>
        <v>703</v>
      </c>
      <c r="AD1708" s="1" t="str">
        <f t="shared" si="120"/>
        <v/>
      </c>
      <c r="BA1708" s="1">
        <f>IF(W1708&lt;=Leltar_iv!$Y$1,I1708,0)</f>
        <v>0</v>
      </c>
    </row>
    <row r="1709" spans="1:53" s="1" customFormat="1" x14ac:dyDescent="0.25">
      <c r="A1709" s="18">
        <f>IF(COUNTIF($Y$6:Y1709,Y1709)=1,Y1709,Y1709+COUNTIF($Y$5:Y1708,Y1709))</f>
        <v>704</v>
      </c>
      <c r="B1709" s="1">
        <f>IF(AND(Kisero_iv!$N$2=C1709,Kisero_iv!$K$5=$B$3,SUM(I1709:L1713)&lt;&gt;0,$B$4=YEAR(W1709)),B1708+1,0)</f>
        <v>0</v>
      </c>
      <c r="C1709" s="1">
        <f t="shared" si="114"/>
        <v>704</v>
      </c>
      <c r="D1709" s="102" t="str">
        <f t="shared" si="115"/>
        <v/>
      </c>
      <c r="E1709" s="44"/>
      <c r="F1709" s="45"/>
      <c r="G1709" s="45"/>
      <c r="H1709" s="45"/>
      <c r="I1709" s="46"/>
      <c r="J1709" s="111" t="str">
        <f>IF(AND(G1709&lt;&gt;"",ISERROR(VLOOKUP(G1709,Keszlet!$C$5:$H$200,6,FALSE))=FALSE),VLOOKUP(G1709,Keszlet!$C$5:$H$200,6,FALSE),"")</f>
        <v/>
      </c>
      <c r="K1709" s="106" t="str">
        <f>IF(AND(G1709&lt;&gt;"",ISERROR(VLOOKUP(G1709,Keszlet!$C$5:$G$200,5,FALSE))=FALSE),VLOOKUP(G1709,Keszlet!$C$5:$G$200,5,FALSE),"")</f>
        <v/>
      </c>
      <c r="L1709" s="106" t="str">
        <f t="shared" si="116"/>
        <v/>
      </c>
      <c r="M1709" s="115" t="str">
        <f>IF(ISERROR(VLOOKUP(G1709,Keszlet!$C$5:$I$200,7,FALSE))=TRUE,"",IF(AND(J1708&lt;&gt;"",J1710=""),VLOOKUP(G1709,Keszlet!$C$5:$I$200,7,FALSE),""))</f>
        <v/>
      </c>
      <c r="Q1709" s="1">
        <f>VLOOKUP(G1709,Keszlet!$C$5:$E$205,3,FALSE)</f>
        <v>0</v>
      </c>
      <c r="T1709" s="1" t="str">
        <f t="shared" si="117"/>
        <v/>
      </c>
      <c r="U1709" s="1">
        <f t="shared" si="118"/>
        <v>0</v>
      </c>
      <c r="W1709" s="6">
        <f t="shared" si="121"/>
        <v>0</v>
      </c>
      <c r="X1709" s="6">
        <f t="shared" si="113"/>
        <v>0</v>
      </c>
      <c r="Y1709" s="1">
        <f t="shared" si="119"/>
        <v>1</v>
      </c>
      <c r="Z1709" s="1">
        <f>IF(COUNTIF($Y$6:Y1709,Y1709)=1,Y1709,Y1709+COUNTIF($Y$5:Y1708,Y1709))</f>
        <v>704</v>
      </c>
      <c r="AD1709" s="1" t="str">
        <f t="shared" si="120"/>
        <v/>
      </c>
      <c r="BA1709" s="1">
        <f>IF(W1709&lt;=Leltar_iv!$Y$1,I1709,0)</f>
        <v>0</v>
      </c>
    </row>
    <row r="1710" spans="1:53" s="1" customFormat="1" x14ac:dyDescent="0.25">
      <c r="A1710" s="18">
        <f>IF(COUNTIF($Y$6:Y1710,Y1710)=1,Y1710,Y1710+COUNTIF($Y$5:Y1709,Y1710))</f>
        <v>705</v>
      </c>
      <c r="B1710" s="1">
        <f>IF(AND(Kisero_iv!$N$2=C1710,Kisero_iv!$K$5=$B$3,SUM(I1710:L1714)&lt;&gt;0,$B$4=YEAR(W1710)),B1709+1,0)</f>
        <v>0</v>
      </c>
      <c r="C1710" s="1">
        <f t="shared" si="114"/>
        <v>705</v>
      </c>
      <c r="D1710" s="102" t="str">
        <f t="shared" si="115"/>
        <v/>
      </c>
      <c r="E1710" s="44"/>
      <c r="F1710" s="45"/>
      <c r="G1710" s="45"/>
      <c r="H1710" s="45"/>
      <c r="I1710" s="46"/>
      <c r="J1710" s="111" t="str">
        <f>IF(AND(G1710&lt;&gt;"",ISERROR(VLOOKUP(G1710,Keszlet!$C$5:$H$200,6,FALSE))=FALSE),VLOOKUP(G1710,Keszlet!$C$5:$H$200,6,FALSE),"")</f>
        <v/>
      </c>
      <c r="K1710" s="106" t="str">
        <f>IF(AND(G1710&lt;&gt;"",ISERROR(VLOOKUP(G1710,Keszlet!$C$5:$G$200,5,FALSE))=FALSE),VLOOKUP(G1710,Keszlet!$C$5:$G$200,5,FALSE),"")</f>
        <v/>
      </c>
      <c r="L1710" s="106" t="str">
        <f t="shared" si="116"/>
        <v/>
      </c>
      <c r="M1710" s="115" t="str">
        <f>IF(ISERROR(VLOOKUP(G1710,Keszlet!$C$5:$I$200,7,FALSE))=TRUE,"",IF(AND(J1709&lt;&gt;"",J1711=""),VLOOKUP(G1710,Keszlet!$C$5:$I$200,7,FALSE),""))</f>
        <v/>
      </c>
      <c r="Q1710" s="1">
        <f>VLOOKUP(G1710,Keszlet!$C$5:$E$205,3,FALSE)</f>
        <v>0</v>
      </c>
      <c r="T1710" s="1" t="str">
        <f t="shared" si="117"/>
        <v/>
      </c>
      <c r="U1710" s="1">
        <f t="shared" si="118"/>
        <v>0</v>
      </c>
      <c r="W1710" s="6">
        <f t="shared" si="121"/>
        <v>0</v>
      </c>
      <c r="X1710" s="6">
        <f t="shared" ref="X1710:X1773" si="122">IF(G1710=q,W1710,$X$1)</f>
        <v>0</v>
      </c>
      <c r="Y1710" s="1">
        <f t="shared" si="119"/>
        <v>1</v>
      </c>
      <c r="Z1710" s="1">
        <f>IF(COUNTIF($Y$6:Y1710,Y1710)=1,Y1710,Y1710+COUNTIF($Y$5:Y1709,Y1710))</f>
        <v>705</v>
      </c>
      <c r="AD1710" s="1" t="str">
        <f t="shared" si="120"/>
        <v/>
      </c>
      <c r="BA1710" s="1">
        <f>IF(W1710&lt;=Leltar_iv!$Y$1,I1710,0)</f>
        <v>0</v>
      </c>
    </row>
    <row r="1711" spans="1:53" s="1" customFormat="1" x14ac:dyDescent="0.25">
      <c r="A1711" s="18">
        <f>IF(COUNTIF($Y$6:Y1711,Y1711)=1,Y1711,Y1711+COUNTIF($Y$5:Y1710,Y1711))</f>
        <v>706</v>
      </c>
      <c r="B1711" s="1">
        <f>IF(AND(Kisero_iv!$N$2=C1711,Kisero_iv!$K$5=$B$3,SUM(I1711:L1715)&lt;&gt;0,$B$4=YEAR(W1711)),B1710+1,0)</f>
        <v>0</v>
      </c>
      <c r="C1711" s="1">
        <f t="shared" ref="C1711:C1774" si="123">IF(YEAR(W1710)&lt;&gt;YEAR(W1711),1,IF(T1711&lt;&gt;0,C1710+1,C1710))</f>
        <v>706</v>
      </c>
      <c r="D1711" s="102" t="str">
        <f t="shared" ref="D1711:D1774" si="124">IF(AND(OR(C1710&lt;&gt;C1711,C1711=1),SUM(L1711:L1731)&lt;&gt;0),YEAR(W1711)&amp;"/"&amp;C1711,"")</f>
        <v/>
      </c>
      <c r="E1711" s="44"/>
      <c r="F1711" s="45"/>
      <c r="G1711" s="45"/>
      <c r="H1711" s="45"/>
      <c r="I1711" s="46"/>
      <c r="J1711" s="111" t="str">
        <f>IF(AND(G1711&lt;&gt;"",ISERROR(VLOOKUP(G1711,Keszlet!$C$5:$H$200,6,FALSE))=FALSE),VLOOKUP(G1711,Keszlet!$C$5:$H$200,6,FALSE),"")</f>
        <v/>
      </c>
      <c r="K1711" s="106" t="str">
        <f>IF(AND(G1711&lt;&gt;"",ISERROR(VLOOKUP(G1711,Keszlet!$C$5:$G$200,5,FALSE))=FALSE),VLOOKUP(G1711,Keszlet!$C$5:$G$200,5,FALSE),"")</f>
        <v/>
      </c>
      <c r="L1711" s="106" t="str">
        <f t="shared" ref="L1711:L1774" si="125">IF(AND(G1711&lt;&gt;0,K1711&lt;&gt;""),I1711*K1711,"")</f>
        <v/>
      </c>
      <c r="M1711" s="115" t="str">
        <f>IF(ISERROR(VLOOKUP(G1711,Keszlet!$C$5:$I$200,7,FALSE))=TRUE,"",IF(AND(J1710&lt;&gt;"",J1712=""),VLOOKUP(G1711,Keszlet!$C$5:$I$200,7,FALSE),""))</f>
        <v/>
      </c>
      <c r="Q1711" s="1">
        <f>VLOOKUP(G1711,Keszlet!$C$5:$E$205,3,FALSE)</f>
        <v>0</v>
      </c>
      <c r="T1711" s="1" t="str">
        <f t="shared" ref="T1711:T1774" si="126">IF(OR(E1711&lt;&gt;0,COUNTIF(T1702:T1710,0)=9,F1711&lt;&gt;0,SUM(L1711:L1731)=0),E1711&amp;F1711,0)</f>
        <v/>
      </c>
      <c r="U1711" s="1">
        <f t="shared" ref="U1711:U1774" si="127">IF(F1711&lt;&gt;"",F1711,U1710)</f>
        <v>0</v>
      </c>
      <c r="W1711" s="6">
        <f t="shared" si="121"/>
        <v>0</v>
      </c>
      <c r="X1711" s="6">
        <f t="shared" si="122"/>
        <v>0</v>
      </c>
      <c r="Y1711" s="1">
        <f t="shared" ref="Y1711:Y1774" si="128">RANK(X1711,$X$6:$X$10000,1)</f>
        <v>1</v>
      </c>
      <c r="Z1711" s="1">
        <f>IF(COUNTIF($Y$6:Y1711,Y1711)=1,Y1711,Y1711+COUNTIF($Y$5:Y1710,Y1711))</f>
        <v>706</v>
      </c>
      <c r="AD1711" s="1" t="str">
        <f t="shared" ref="AD1711:AD1774" si="129">IF(AND(OR(C1710&lt;&gt;C1711,YEAR(W1711)&lt;&gt;YEAR(W1710)),SUM(L1711:L1731)&lt;&gt;0,$B$4=YEAR(W1711)),C1711,"")</f>
        <v/>
      </c>
      <c r="BA1711" s="1">
        <f>IF(W1711&lt;=Leltar_iv!$Y$1,I1711,0)</f>
        <v>0</v>
      </c>
    </row>
    <row r="1712" spans="1:53" s="1" customFormat="1" x14ac:dyDescent="0.25">
      <c r="A1712" s="18">
        <f>IF(COUNTIF($Y$6:Y1712,Y1712)=1,Y1712,Y1712+COUNTIF($Y$5:Y1711,Y1712))</f>
        <v>707</v>
      </c>
      <c r="B1712" s="1">
        <f>IF(AND(Kisero_iv!$N$2=C1712,Kisero_iv!$K$5=$B$3,SUM(I1712:L1716)&lt;&gt;0,$B$4=YEAR(W1712)),B1711+1,0)</f>
        <v>0</v>
      </c>
      <c r="C1712" s="1">
        <f t="shared" si="123"/>
        <v>707</v>
      </c>
      <c r="D1712" s="102" t="str">
        <f t="shared" si="124"/>
        <v/>
      </c>
      <c r="E1712" s="44"/>
      <c r="F1712" s="45"/>
      <c r="G1712" s="45"/>
      <c r="H1712" s="45"/>
      <c r="I1712" s="46"/>
      <c r="J1712" s="111" t="str">
        <f>IF(AND(G1712&lt;&gt;"",ISERROR(VLOOKUP(G1712,Keszlet!$C$5:$H$200,6,FALSE))=FALSE),VLOOKUP(G1712,Keszlet!$C$5:$H$200,6,FALSE),"")</f>
        <v/>
      </c>
      <c r="K1712" s="106" t="str">
        <f>IF(AND(G1712&lt;&gt;"",ISERROR(VLOOKUP(G1712,Keszlet!$C$5:$G$200,5,FALSE))=FALSE),VLOOKUP(G1712,Keszlet!$C$5:$G$200,5,FALSE),"")</f>
        <v/>
      </c>
      <c r="L1712" s="106" t="str">
        <f t="shared" si="125"/>
        <v/>
      </c>
      <c r="M1712" s="115" t="str">
        <f>IF(ISERROR(VLOOKUP(G1712,Keszlet!$C$5:$I$200,7,FALSE))=TRUE,"",IF(AND(J1711&lt;&gt;"",J1713=""),VLOOKUP(G1712,Keszlet!$C$5:$I$200,7,FALSE),""))</f>
        <v/>
      </c>
      <c r="Q1712" s="1">
        <f>VLOOKUP(G1712,Keszlet!$C$5:$E$205,3,FALSE)</f>
        <v>0</v>
      </c>
      <c r="T1712" s="1" t="str">
        <f t="shared" si="126"/>
        <v/>
      </c>
      <c r="U1712" s="1">
        <f t="shared" si="127"/>
        <v>0</v>
      </c>
      <c r="W1712" s="6">
        <f t="shared" si="121"/>
        <v>0</v>
      </c>
      <c r="X1712" s="6">
        <f t="shared" si="122"/>
        <v>0</v>
      </c>
      <c r="Y1712" s="1">
        <f t="shared" si="128"/>
        <v>1</v>
      </c>
      <c r="Z1712" s="1">
        <f>IF(COUNTIF($Y$6:Y1712,Y1712)=1,Y1712,Y1712+COUNTIF($Y$5:Y1711,Y1712))</f>
        <v>707</v>
      </c>
      <c r="AD1712" s="1" t="str">
        <f t="shared" si="129"/>
        <v/>
      </c>
      <c r="BA1712" s="1">
        <f>IF(W1712&lt;=Leltar_iv!$Y$1,I1712,0)</f>
        <v>0</v>
      </c>
    </row>
    <row r="1713" spans="1:53" s="1" customFormat="1" x14ac:dyDescent="0.25">
      <c r="A1713" s="18">
        <f>IF(COUNTIF($Y$6:Y1713,Y1713)=1,Y1713,Y1713+COUNTIF($Y$5:Y1712,Y1713))</f>
        <v>708</v>
      </c>
      <c r="B1713" s="1">
        <f>IF(AND(Kisero_iv!$N$2=C1713,Kisero_iv!$K$5=$B$3,SUM(I1713:L1717)&lt;&gt;0,$B$4=YEAR(W1713)),B1712+1,0)</f>
        <v>0</v>
      </c>
      <c r="C1713" s="1">
        <f t="shared" si="123"/>
        <v>708</v>
      </c>
      <c r="D1713" s="102" t="str">
        <f t="shared" si="124"/>
        <v/>
      </c>
      <c r="E1713" s="44"/>
      <c r="F1713" s="45"/>
      <c r="G1713" s="45"/>
      <c r="H1713" s="45"/>
      <c r="I1713" s="46"/>
      <c r="J1713" s="111" t="str">
        <f>IF(AND(G1713&lt;&gt;"",ISERROR(VLOOKUP(G1713,Keszlet!$C$5:$H$200,6,FALSE))=FALSE),VLOOKUP(G1713,Keszlet!$C$5:$H$200,6,FALSE),"")</f>
        <v/>
      </c>
      <c r="K1713" s="106" t="str">
        <f>IF(AND(G1713&lt;&gt;"",ISERROR(VLOOKUP(G1713,Keszlet!$C$5:$G$200,5,FALSE))=FALSE),VLOOKUP(G1713,Keszlet!$C$5:$G$200,5,FALSE),"")</f>
        <v/>
      </c>
      <c r="L1713" s="106" t="str">
        <f t="shared" si="125"/>
        <v/>
      </c>
      <c r="M1713" s="115" t="str">
        <f>IF(ISERROR(VLOOKUP(G1713,Keszlet!$C$5:$I$200,7,FALSE))=TRUE,"",IF(AND(J1712&lt;&gt;"",J1714=""),VLOOKUP(G1713,Keszlet!$C$5:$I$200,7,FALSE),""))</f>
        <v/>
      </c>
      <c r="Q1713" s="1">
        <f>VLOOKUP(G1713,Keszlet!$C$5:$E$205,3,FALSE)</f>
        <v>0</v>
      </c>
      <c r="T1713" s="1" t="str">
        <f t="shared" si="126"/>
        <v/>
      </c>
      <c r="U1713" s="1">
        <f t="shared" si="127"/>
        <v>0</v>
      </c>
      <c r="W1713" s="6">
        <f t="shared" ref="W1713:W1776" si="130">IF(E1713&lt;&gt;0,E1713,W1712)</f>
        <v>0</v>
      </c>
      <c r="X1713" s="6">
        <f t="shared" si="122"/>
        <v>0</v>
      </c>
      <c r="Y1713" s="1">
        <f t="shared" si="128"/>
        <v>1</v>
      </c>
      <c r="Z1713" s="1">
        <f>IF(COUNTIF($Y$6:Y1713,Y1713)=1,Y1713,Y1713+COUNTIF($Y$5:Y1712,Y1713))</f>
        <v>708</v>
      </c>
      <c r="AD1713" s="1" t="str">
        <f t="shared" si="129"/>
        <v/>
      </c>
      <c r="BA1713" s="1">
        <f>IF(W1713&lt;=Leltar_iv!$Y$1,I1713,0)</f>
        <v>0</v>
      </c>
    </row>
    <row r="1714" spans="1:53" s="1" customFormat="1" x14ac:dyDescent="0.25">
      <c r="A1714" s="18">
        <f>IF(COUNTIF($Y$6:Y1714,Y1714)=1,Y1714,Y1714+COUNTIF($Y$5:Y1713,Y1714))</f>
        <v>709</v>
      </c>
      <c r="B1714" s="1">
        <f>IF(AND(Kisero_iv!$N$2=C1714,Kisero_iv!$K$5=$B$3,SUM(I1714:L1718)&lt;&gt;0,$B$4=YEAR(W1714)),B1713+1,0)</f>
        <v>0</v>
      </c>
      <c r="C1714" s="1">
        <f t="shared" si="123"/>
        <v>709</v>
      </c>
      <c r="D1714" s="102" t="str">
        <f t="shared" si="124"/>
        <v/>
      </c>
      <c r="E1714" s="44"/>
      <c r="F1714" s="45"/>
      <c r="G1714" s="45"/>
      <c r="H1714" s="45"/>
      <c r="I1714" s="46"/>
      <c r="J1714" s="111" t="str">
        <f>IF(AND(G1714&lt;&gt;"",ISERROR(VLOOKUP(G1714,Keszlet!$C$5:$H$200,6,FALSE))=FALSE),VLOOKUP(G1714,Keszlet!$C$5:$H$200,6,FALSE),"")</f>
        <v/>
      </c>
      <c r="K1714" s="106" t="str">
        <f>IF(AND(G1714&lt;&gt;"",ISERROR(VLOOKUP(G1714,Keszlet!$C$5:$G$200,5,FALSE))=FALSE),VLOOKUP(G1714,Keszlet!$C$5:$G$200,5,FALSE),"")</f>
        <v/>
      </c>
      <c r="L1714" s="106" t="str">
        <f t="shared" si="125"/>
        <v/>
      </c>
      <c r="M1714" s="115" t="str">
        <f>IF(ISERROR(VLOOKUP(G1714,Keszlet!$C$5:$I$200,7,FALSE))=TRUE,"",IF(AND(J1713&lt;&gt;"",J1715=""),VLOOKUP(G1714,Keszlet!$C$5:$I$200,7,FALSE),""))</f>
        <v/>
      </c>
      <c r="Q1714" s="1">
        <f>VLOOKUP(G1714,Keszlet!$C$5:$E$205,3,FALSE)</f>
        <v>0</v>
      </c>
      <c r="T1714" s="1" t="str">
        <f t="shared" si="126"/>
        <v/>
      </c>
      <c r="U1714" s="1">
        <f t="shared" si="127"/>
        <v>0</v>
      </c>
      <c r="W1714" s="6">
        <f t="shared" si="130"/>
        <v>0</v>
      </c>
      <c r="X1714" s="6">
        <f t="shared" si="122"/>
        <v>0</v>
      </c>
      <c r="Y1714" s="1">
        <f t="shared" si="128"/>
        <v>1</v>
      </c>
      <c r="Z1714" s="1">
        <f>IF(COUNTIF($Y$6:Y1714,Y1714)=1,Y1714,Y1714+COUNTIF($Y$5:Y1713,Y1714))</f>
        <v>709</v>
      </c>
      <c r="AD1714" s="1" t="str">
        <f t="shared" si="129"/>
        <v/>
      </c>
      <c r="BA1714" s="1">
        <f>IF(W1714&lt;=Leltar_iv!$Y$1,I1714,0)</f>
        <v>0</v>
      </c>
    </row>
    <row r="1715" spans="1:53" s="1" customFormat="1" x14ac:dyDescent="0.25">
      <c r="A1715" s="18">
        <f>IF(COUNTIF($Y$6:Y1715,Y1715)=1,Y1715,Y1715+COUNTIF($Y$5:Y1714,Y1715))</f>
        <v>710</v>
      </c>
      <c r="B1715" s="1">
        <f>IF(AND(Kisero_iv!$N$2=C1715,Kisero_iv!$K$5=$B$3,SUM(I1715:L1719)&lt;&gt;0,$B$4=YEAR(W1715)),B1714+1,0)</f>
        <v>0</v>
      </c>
      <c r="C1715" s="1">
        <f t="shared" si="123"/>
        <v>710</v>
      </c>
      <c r="D1715" s="102" t="str">
        <f t="shared" si="124"/>
        <v/>
      </c>
      <c r="E1715" s="44"/>
      <c r="F1715" s="45"/>
      <c r="G1715" s="45"/>
      <c r="H1715" s="45"/>
      <c r="I1715" s="46"/>
      <c r="J1715" s="111" t="str">
        <f>IF(AND(G1715&lt;&gt;"",ISERROR(VLOOKUP(G1715,Keszlet!$C$5:$H$200,6,FALSE))=FALSE),VLOOKUP(G1715,Keszlet!$C$5:$H$200,6,FALSE),"")</f>
        <v/>
      </c>
      <c r="K1715" s="106" t="str">
        <f>IF(AND(G1715&lt;&gt;"",ISERROR(VLOOKUP(G1715,Keszlet!$C$5:$G$200,5,FALSE))=FALSE),VLOOKUP(G1715,Keszlet!$C$5:$G$200,5,FALSE),"")</f>
        <v/>
      </c>
      <c r="L1715" s="106" t="str">
        <f t="shared" si="125"/>
        <v/>
      </c>
      <c r="M1715" s="115" t="str">
        <f>IF(ISERROR(VLOOKUP(G1715,Keszlet!$C$5:$I$200,7,FALSE))=TRUE,"",IF(AND(J1714&lt;&gt;"",J1716=""),VLOOKUP(G1715,Keszlet!$C$5:$I$200,7,FALSE),""))</f>
        <v/>
      </c>
      <c r="Q1715" s="1">
        <f>VLOOKUP(G1715,Keszlet!$C$5:$E$205,3,FALSE)</f>
        <v>0</v>
      </c>
      <c r="T1715" s="1" t="str">
        <f t="shared" si="126"/>
        <v/>
      </c>
      <c r="U1715" s="1">
        <f t="shared" si="127"/>
        <v>0</v>
      </c>
      <c r="W1715" s="6">
        <f t="shared" si="130"/>
        <v>0</v>
      </c>
      <c r="X1715" s="6">
        <f t="shared" si="122"/>
        <v>0</v>
      </c>
      <c r="Y1715" s="1">
        <f t="shared" si="128"/>
        <v>1</v>
      </c>
      <c r="Z1715" s="1">
        <f>IF(COUNTIF($Y$6:Y1715,Y1715)=1,Y1715,Y1715+COUNTIF($Y$5:Y1714,Y1715))</f>
        <v>710</v>
      </c>
      <c r="AD1715" s="1" t="str">
        <f t="shared" si="129"/>
        <v/>
      </c>
      <c r="BA1715" s="1">
        <f>IF(W1715&lt;=Leltar_iv!$Y$1,I1715,0)</f>
        <v>0</v>
      </c>
    </row>
    <row r="1716" spans="1:53" s="1" customFormat="1" x14ac:dyDescent="0.25">
      <c r="A1716" s="18">
        <f>IF(COUNTIF($Y$6:Y1716,Y1716)=1,Y1716,Y1716+COUNTIF($Y$5:Y1715,Y1716))</f>
        <v>711</v>
      </c>
      <c r="B1716" s="1">
        <f>IF(AND(Kisero_iv!$N$2=C1716,Kisero_iv!$K$5=$B$3,SUM(I1716:L1720)&lt;&gt;0,$B$4=YEAR(W1716)),B1715+1,0)</f>
        <v>0</v>
      </c>
      <c r="C1716" s="1">
        <f t="shared" si="123"/>
        <v>711</v>
      </c>
      <c r="D1716" s="102" t="str">
        <f t="shared" si="124"/>
        <v/>
      </c>
      <c r="E1716" s="44"/>
      <c r="F1716" s="45"/>
      <c r="G1716" s="45"/>
      <c r="H1716" s="45"/>
      <c r="I1716" s="46"/>
      <c r="J1716" s="111" t="str">
        <f>IF(AND(G1716&lt;&gt;"",ISERROR(VLOOKUP(G1716,Keszlet!$C$5:$H$200,6,FALSE))=FALSE),VLOOKUP(G1716,Keszlet!$C$5:$H$200,6,FALSE),"")</f>
        <v/>
      </c>
      <c r="K1716" s="106" t="str">
        <f>IF(AND(G1716&lt;&gt;"",ISERROR(VLOOKUP(G1716,Keszlet!$C$5:$G$200,5,FALSE))=FALSE),VLOOKUP(G1716,Keszlet!$C$5:$G$200,5,FALSE),"")</f>
        <v/>
      </c>
      <c r="L1716" s="106" t="str">
        <f t="shared" si="125"/>
        <v/>
      </c>
      <c r="M1716" s="115" t="str">
        <f>IF(ISERROR(VLOOKUP(G1716,Keszlet!$C$5:$I$200,7,FALSE))=TRUE,"",IF(AND(J1715&lt;&gt;"",J1717=""),VLOOKUP(G1716,Keszlet!$C$5:$I$200,7,FALSE),""))</f>
        <v/>
      </c>
      <c r="Q1716" s="1">
        <f>VLOOKUP(G1716,Keszlet!$C$5:$E$205,3,FALSE)</f>
        <v>0</v>
      </c>
      <c r="T1716" s="1" t="str">
        <f t="shared" si="126"/>
        <v/>
      </c>
      <c r="U1716" s="1">
        <f t="shared" si="127"/>
        <v>0</v>
      </c>
      <c r="W1716" s="6">
        <f t="shared" si="130"/>
        <v>0</v>
      </c>
      <c r="X1716" s="6">
        <f t="shared" si="122"/>
        <v>0</v>
      </c>
      <c r="Y1716" s="1">
        <f t="shared" si="128"/>
        <v>1</v>
      </c>
      <c r="Z1716" s="1">
        <f>IF(COUNTIF($Y$6:Y1716,Y1716)=1,Y1716,Y1716+COUNTIF($Y$5:Y1715,Y1716))</f>
        <v>711</v>
      </c>
      <c r="AD1716" s="1" t="str">
        <f t="shared" si="129"/>
        <v/>
      </c>
      <c r="BA1716" s="1">
        <f>IF(W1716&lt;=Leltar_iv!$Y$1,I1716,0)</f>
        <v>0</v>
      </c>
    </row>
    <row r="1717" spans="1:53" s="1" customFormat="1" x14ac:dyDescent="0.25">
      <c r="A1717" s="18">
        <f>IF(COUNTIF($Y$6:Y1717,Y1717)=1,Y1717,Y1717+COUNTIF($Y$5:Y1716,Y1717))</f>
        <v>712</v>
      </c>
      <c r="B1717" s="1">
        <f>IF(AND(Kisero_iv!$N$2=C1717,Kisero_iv!$K$5=$B$3,SUM(I1717:L1721)&lt;&gt;0,$B$4=YEAR(W1717)),B1716+1,0)</f>
        <v>0</v>
      </c>
      <c r="C1717" s="1">
        <f t="shared" si="123"/>
        <v>712</v>
      </c>
      <c r="D1717" s="102" t="str">
        <f t="shared" si="124"/>
        <v/>
      </c>
      <c r="E1717" s="44"/>
      <c r="F1717" s="45"/>
      <c r="G1717" s="45"/>
      <c r="H1717" s="45"/>
      <c r="I1717" s="46"/>
      <c r="J1717" s="111" t="str">
        <f>IF(AND(G1717&lt;&gt;"",ISERROR(VLOOKUP(G1717,Keszlet!$C$5:$H$200,6,FALSE))=FALSE),VLOOKUP(G1717,Keszlet!$C$5:$H$200,6,FALSE),"")</f>
        <v/>
      </c>
      <c r="K1717" s="106" t="str">
        <f>IF(AND(G1717&lt;&gt;"",ISERROR(VLOOKUP(G1717,Keszlet!$C$5:$G$200,5,FALSE))=FALSE),VLOOKUP(G1717,Keszlet!$C$5:$G$200,5,FALSE),"")</f>
        <v/>
      </c>
      <c r="L1717" s="106" t="str">
        <f t="shared" si="125"/>
        <v/>
      </c>
      <c r="M1717" s="115" t="str">
        <f>IF(ISERROR(VLOOKUP(G1717,Keszlet!$C$5:$I$200,7,FALSE))=TRUE,"",IF(AND(J1716&lt;&gt;"",J1718=""),VLOOKUP(G1717,Keszlet!$C$5:$I$200,7,FALSE),""))</f>
        <v/>
      </c>
      <c r="Q1717" s="1">
        <f>VLOOKUP(G1717,Keszlet!$C$5:$E$205,3,FALSE)</f>
        <v>0</v>
      </c>
      <c r="T1717" s="1" t="str">
        <f t="shared" si="126"/>
        <v/>
      </c>
      <c r="U1717" s="1">
        <f t="shared" si="127"/>
        <v>0</v>
      </c>
      <c r="W1717" s="6">
        <f t="shared" si="130"/>
        <v>0</v>
      </c>
      <c r="X1717" s="6">
        <f t="shared" si="122"/>
        <v>0</v>
      </c>
      <c r="Y1717" s="1">
        <f t="shared" si="128"/>
        <v>1</v>
      </c>
      <c r="Z1717" s="1">
        <f>IF(COUNTIF($Y$6:Y1717,Y1717)=1,Y1717,Y1717+COUNTIF($Y$5:Y1716,Y1717))</f>
        <v>712</v>
      </c>
      <c r="AD1717" s="1" t="str">
        <f t="shared" si="129"/>
        <v/>
      </c>
      <c r="BA1717" s="1">
        <f>IF(W1717&lt;=Leltar_iv!$Y$1,I1717,0)</f>
        <v>0</v>
      </c>
    </row>
    <row r="1718" spans="1:53" s="1" customFormat="1" x14ac:dyDescent="0.25">
      <c r="A1718" s="18">
        <f>IF(COUNTIF($Y$6:Y1718,Y1718)=1,Y1718,Y1718+COUNTIF($Y$5:Y1717,Y1718))</f>
        <v>713</v>
      </c>
      <c r="B1718" s="1">
        <f>IF(AND(Kisero_iv!$N$2=C1718,Kisero_iv!$K$5=$B$3,SUM(I1718:L1722)&lt;&gt;0,$B$4=YEAR(W1718)),B1717+1,0)</f>
        <v>0</v>
      </c>
      <c r="C1718" s="1">
        <f t="shared" si="123"/>
        <v>713</v>
      </c>
      <c r="D1718" s="102" t="str">
        <f t="shared" si="124"/>
        <v/>
      </c>
      <c r="E1718" s="44"/>
      <c r="F1718" s="45"/>
      <c r="G1718" s="45"/>
      <c r="H1718" s="45"/>
      <c r="I1718" s="46"/>
      <c r="J1718" s="111" t="str">
        <f>IF(AND(G1718&lt;&gt;"",ISERROR(VLOOKUP(G1718,Keszlet!$C$5:$H$200,6,FALSE))=FALSE),VLOOKUP(G1718,Keszlet!$C$5:$H$200,6,FALSE),"")</f>
        <v/>
      </c>
      <c r="K1718" s="106" t="str">
        <f>IF(AND(G1718&lt;&gt;"",ISERROR(VLOOKUP(G1718,Keszlet!$C$5:$G$200,5,FALSE))=FALSE),VLOOKUP(G1718,Keszlet!$C$5:$G$200,5,FALSE),"")</f>
        <v/>
      </c>
      <c r="L1718" s="106" t="str">
        <f t="shared" si="125"/>
        <v/>
      </c>
      <c r="M1718" s="115" t="str">
        <f>IF(ISERROR(VLOOKUP(G1718,Keszlet!$C$5:$I$200,7,FALSE))=TRUE,"",IF(AND(J1717&lt;&gt;"",J1719=""),VLOOKUP(G1718,Keszlet!$C$5:$I$200,7,FALSE),""))</f>
        <v/>
      </c>
      <c r="Q1718" s="1">
        <f>VLOOKUP(G1718,Keszlet!$C$5:$E$205,3,FALSE)</f>
        <v>0</v>
      </c>
      <c r="T1718" s="1" t="str">
        <f t="shared" si="126"/>
        <v/>
      </c>
      <c r="U1718" s="1">
        <f t="shared" si="127"/>
        <v>0</v>
      </c>
      <c r="W1718" s="6">
        <f t="shared" si="130"/>
        <v>0</v>
      </c>
      <c r="X1718" s="6">
        <f t="shared" si="122"/>
        <v>0</v>
      </c>
      <c r="Y1718" s="1">
        <f t="shared" si="128"/>
        <v>1</v>
      </c>
      <c r="Z1718" s="1">
        <f>IF(COUNTIF($Y$6:Y1718,Y1718)=1,Y1718,Y1718+COUNTIF($Y$5:Y1717,Y1718))</f>
        <v>713</v>
      </c>
      <c r="AD1718" s="1" t="str">
        <f t="shared" si="129"/>
        <v/>
      </c>
      <c r="BA1718" s="1">
        <f>IF(W1718&lt;=Leltar_iv!$Y$1,I1718,0)</f>
        <v>0</v>
      </c>
    </row>
    <row r="1719" spans="1:53" s="1" customFormat="1" x14ac:dyDescent="0.25">
      <c r="A1719" s="18">
        <f>IF(COUNTIF($Y$6:Y1719,Y1719)=1,Y1719,Y1719+COUNTIF($Y$5:Y1718,Y1719))</f>
        <v>714</v>
      </c>
      <c r="B1719" s="1">
        <f>IF(AND(Kisero_iv!$N$2=C1719,Kisero_iv!$K$5=$B$3,SUM(I1719:L1723)&lt;&gt;0,$B$4=YEAR(W1719)),B1718+1,0)</f>
        <v>0</v>
      </c>
      <c r="C1719" s="1">
        <f t="shared" si="123"/>
        <v>714</v>
      </c>
      <c r="D1719" s="102" t="str">
        <f t="shared" si="124"/>
        <v/>
      </c>
      <c r="E1719" s="44"/>
      <c r="F1719" s="45"/>
      <c r="G1719" s="45"/>
      <c r="H1719" s="45"/>
      <c r="I1719" s="46"/>
      <c r="J1719" s="111" t="str">
        <f>IF(AND(G1719&lt;&gt;"",ISERROR(VLOOKUP(G1719,Keszlet!$C$5:$H$200,6,FALSE))=FALSE),VLOOKUP(G1719,Keszlet!$C$5:$H$200,6,FALSE),"")</f>
        <v/>
      </c>
      <c r="K1719" s="106" t="str">
        <f>IF(AND(G1719&lt;&gt;"",ISERROR(VLOOKUP(G1719,Keszlet!$C$5:$G$200,5,FALSE))=FALSE),VLOOKUP(G1719,Keszlet!$C$5:$G$200,5,FALSE),"")</f>
        <v/>
      </c>
      <c r="L1719" s="106" t="str">
        <f t="shared" si="125"/>
        <v/>
      </c>
      <c r="M1719" s="115" t="str">
        <f>IF(ISERROR(VLOOKUP(G1719,Keszlet!$C$5:$I$200,7,FALSE))=TRUE,"",IF(AND(J1718&lt;&gt;"",J1720=""),VLOOKUP(G1719,Keszlet!$C$5:$I$200,7,FALSE),""))</f>
        <v/>
      </c>
      <c r="Q1719" s="1">
        <f>VLOOKUP(G1719,Keszlet!$C$5:$E$205,3,FALSE)</f>
        <v>0</v>
      </c>
      <c r="T1719" s="1" t="str">
        <f t="shared" si="126"/>
        <v/>
      </c>
      <c r="U1719" s="1">
        <f t="shared" si="127"/>
        <v>0</v>
      </c>
      <c r="W1719" s="6">
        <f t="shared" si="130"/>
        <v>0</v>
      </c>
      <c r="X1719" s="6">
        <f t="shared" si="122"/>
        <v>0</v>
      </c>
      <c r="Y1719" s="1">
        <f t="shared" si="128"/>
        <v>1</v>
      </c>
      <c r="Z1719" s="1">
        <f>IF(COUNTIF($Y$6:Y1719,Y1719)=1,Y1719,Y1719+COUNTIF($Y$5:Y1718,Y1719))</f>
        <v>714</v>
      </c>
      <c r="AD1719" s="1" t="str">
        <f t="shared" si="129"/>
        <v/>
      </c>
      <c r="BA1719" s="1">
        <f>IF(W1719&lt;=Leltar_iv!$Y$1,I1719,0)</f>
        <v>0</v>
      </c>
    </row>
    <row r="1720" spans="1:53" s="1" customFormat="1" x14ac:dyDescent="0.25">
      <c r="A1720" s="18">
        <f>IF(COUNTIF($Y$6:Y1720,Y1720)=1,Y1720,Y1720+COUNTIF($Y$5:Y1719,Y1720))</f>
        <v>715</v>
      </c>
      <c r="B1720" s="1">
        <f>IF(AND(Kisero_iv!$N$2=C1720,Kisero_iv!$K$5=$B$3,SUM(I1720:L1724)&lt;&gt;0,$B$4=YEAR(W1720)),B1719+1,0)</f>
        <v>0</v>
      </c>
      <c r="C1720" s="1">
        <f t="shared" si="123"/>
        <v>715</v>
      </c>
      <c r="D1720" s="102" t="str">
        <f t="shared" si="124"/>
        <v/>
      </c>
      <c r="E1720" s="44"/>
      <c r="F1720" s="45"/>
      <c r="G1720" s="45"/>
      <c r="H1720" s="45"/>
      <c r="I1720" s="46"/>
      <c r="J1720" s="111" t="str">
        <f>IF(AND(G1720&lt;&gt;"",ISERROR(VLOOKUP(G1720,Keszlet!$C$5:$H$200,6,FALSE))=FALSE),VLOOKUP(G1720,Keszlet!$C$5:$H$200,6,FALSE),"")</f>
        <v/>
      </c>
      <c r="K1720" s="106" t="str">
        <f>IF(AND(G1720&lt;&gt;"",ISERROR(VLOOKUP(G1720,Keszlet!$C$5:$G$200,5,FALSE))=FALSE),VLOOKUP(G1720,Keszlet!$C$5:$G$200,5,FALSE),"")</f>
        <v/>
      </c>
      <c r="L1720" s="106" t="str">
        <f t="shared" si="125"/>
        <v/>
      </c>
      <c r="M1720" s="115" t="str">
        <f>IF(ISERROR(VLOOKUP(G1720,Keszlet!$C$5:$I$200,7,FALSE))=TRUE,"",IF(AND(J1719&lt;&gt;"",J1721=""),VLOOKUP(G1720,Keszlet!$C$5:$I$200,7,FALSE),""))</f>
        <v/>
      </c>
      <c r="Q1720" s="1">
        <f>VLOOKUP(G1720,Keszlet!$C$5:$E$205,3,FALSE)</f>
        <v>0</v>
      </c>
      <c r="T1720" s="1" t="str">
        <f t="shared" si="126"/>
        <v/>
      </c>
      <c r="U1720" s="1">
        <f t="shared" si="127"/>
        <v>0</v>
      </c>
      <c r="W1720" s="6">
        <f t="shared" si="130"/>
        <v>0</v>
      </c>
      <c r="X1720" s="6">
        <f t="shared" si="122"/>
        <v>0</v>
      </c>
      <c r="Y1720" s="1">
        <f t="shared" si="128"/>
        <v>1</v>
      </c>
      <c r="Z1720" s="1">
        <f>IF(COUNTIF($Y$6:Y1720,Y1720)=1,Y1720,Y1720+COUNTIF($Y$5:Y1719,Y1720))</f>
        <v>715</v>
      </c>
      <c r="AD1720" s="1" t="str">
        <f t="shared" si="129"/>
        <v/>
      </c>
      <c r="BA1720" s="1">
        <f>IF(W1720&lt;=Leltar_iv!$Y$1,I1720,0)</f>
        <v>0</v>
      </c>
    </row>
    <row r="1721" spans="1:53" s="1" customFormat="1" x14ac:dyDescent="0.25">
      <c r="A1721" s="18">
        <f>IF(COUNTIF($Y$6:Y1721,Y1721)=1,Y1721,Y1721+COUNTIF($Y$5:Y1720,Y1721))</f>
        <v>716</v>
      </c>
      <c r="B1721" s="1">
        <f>IF(AND(Kisero_iv!$N$2=C1721,Kisero_iv!$K$5=$B$3,SUM(I1721:L1725)&lt;&gt;0,$B$4=YEAR(W1721)),B1720+1,0)</f>
        <v>0</v>
      </c>
      <c r="C1721" s="1">
        <f t="shared" si="123"/>
        <v>716</v>
      </c>
      <c r="D1721" s="102" t="str">
        <f t="shared" si="124"/>
        <v/>
      </c>
      <c r="E1721" s="44"/>
      <c r="F1721" s="45"/>
      <c r="G1721" s="45"/>
      <c r="H1721" s="45"/>
      <c r="I1721" s="46"/>
      <c r="J1721" s="111" t="str">
        <f>IF(AND(G1721&lt;&gt;"",ISERROR(VLOOKUP(G1721,Keszlet!$C$5:$H$200,6,FALSE))=FALSE),VLOOKUP(G1721,Keszlet!$C$5:$H$200,6,FALSE),"")</f>
        <v/>
      </c>
      <c r="K1721" s="106" t="str">
        <f>IF(AND(G1721&lt;&gt;"",ISERROR(VLOOKUP(G1721,Keszlet!$C$5:$G$200,5,FALSE))=FALSE),VLOOKUP(G1721,Keszlet!$C$5:$G$200,5,FALSE),"")</f>
        <v/>
      </c>
      <c r="L1721" s="106" t="str">
        <f t="shared" si="125"/>
        <v/>
      </c>
      <c r="M1721" s="115" t="str">
        <f>IF(ISERROR(VLOOKUP(G1721,Keszlet!$C$5:$I$200,7,FALSE))=TRUE,"",IF(AND(J1720&lt;&gt;"",J1722=""),VLOOKUP(G1721,Keszlet!$C$5:$I$200,7,FALSE),""))</f>
        <v/>
      </c>
      <c r="Q1721" s="1">
        <f>VLOOKUP(G1721,Keszlet!$C$5:$E$205,3,FALSE)</f>
        <v>0</v>
      </c>
      <c r="T1721" s="1" t="str">
        <f t="shared" si="126"/>
        <v/>
      </c>
      <c r="U1721" s="1">
        <f t="shared" si="127"/>
        <v>0</v>
      </c>
      <c r="W1721" s="6">
        <f t="shared" si="130"/>
        <v>0</v>
      </c>
      <c r="X1721" s="6">
        <f t="shared" si="122"/>
        <v>0</v>
      </c>
      <c r="Y1721" s="1">
        <f t="shared" si="128"/>
        <v>1</v>
      </c>
      <c r="Z1721" s="1">
        <f>IF(COUNTIF($Y$6:Y1721,Y1721)=1,Y1721,Y1721+COUNTIF($Y$5:Y1720,Y1721))</f>
        <v>716</v>
      </c>
      <c r="AD1721" s="1" t="str">
        <f t="shared" si="129"/>
        <v/>
      </c>
      <c r="BA1721" s="1">
        <f>IF(W1721&lt;=Leltar_iv!$Y$1,I1721,0)</f>
        <v>0</v>
      </c>
    </row>
    <row r="1722" spans="1:53" s="1" customFormat="1" x14ac:dyDescent="0.25">
      <c r="A1722" s="18">
        <f>IF(COUNTIF($Y$6:Y1722,Y1722)=1,Y1722,Y1722+COUNTIF($Y$5:Y1721,Y1722))</f>
        <v>717</v>
      </c>
      <c r="B1722" s="1">
        <f>IF(AND(Kisero_iv!$N$2=C1722,Kisero_iv!$K$5=$B$3,SUM(I1722:L1726)&lt;&gt;0,$B$4=YEAR(W1722)),B1721+1,0)</f>
        <v>0</v>
      </c>
      <c r="C1722" s="1">
        <f t="shared" si="123"/>
        <v>717</v>
      </c>
      <c r="D1722" s="102" t="str">
        <f t="shared" si="124"/>
        <v/>
      </c>
      <c r="E1722" s="44"/>
      <c r="F1722" s="45"/>
      <c r="G1722" s="45"/>
      <c r="H1722" s="45"/>
      <c r="I1722" s="46"/>
      <c r="J1722" s="111" t="str">
        <f>IF(AND(G1722&lt;&gt;"",ISERROR(VLOOKUP(G1722,Keszlet!$C$5:$H$200,6,FALSE))=FALSE),VLOOKUP(G1722,Keszlet!$C$5:$H$200,6,FALSE),"")</f>
        <v/>
      </c>
      <c r="K1722" s="106" t="str">
        <f>IF(AND(G1722&lt;&gt;"",ISERROR(VLOOKUP(G1722,Keszlet!$C$5:$G$200,5,FALSE))=FALSE),VLOOKUP(G1722,Keszlet!$C$5:$G$200,5,FALSE),"")</f>
        <v/>
      </c>
      <c r="L1722" s="106" t="str">
        <f t="shared" si="125"/>
        <v/>
      </c>
      <c r="M1722" s="115" t="str">
        <f>IF(ISERROR(VLOOKUP(G1722,Keszlet!$C$5:$I$200,7,FALSE))=TRUE,"",IF(AND(J1721&lt;&gt;"",J1723=""),VLOOKUP(G1722,Keszlet!$C$5:$I$200,7,FALSE),""))</f>
        <v/>
      </c>
      <c r="Q1722" s="1">
        <f>VLOOKUP(G1722,Keszlet!$C$5:$E$205,3,FALSE)</f>
        <v>0</v>
      </c>
      <c r="T1722" s="1" t="str">
        <f t="shared" si="126"/>
        <v/>
      </c>
      <c r="U1722" s="1">
        <f t="shared" si="127"/>
        <v>0</v>
      </c>
      <c r="W1722" s="6">
        <f t="shared" si="130"/>
        <v>0</v>
      </c>
      <c r="X1722" s="6">
        <f t="shared" si="122"/>
        <v>0</v>
      </c>
      <c r="Y1722" s="1">
        <f t="shared" si="128"/>
        <v>1</v>
      </c>
      <c r="Z1722" s="1">
        <f>IF(COUNTIF($Y$6:Y1722,Y1722)=1,Y1722,Y1722+COUNTIF($Y$5:Y1721,Y1722))</f>
        <v>717</v>
      </c>
      <c r="AD1722" s="1" t="str">
        <f t="shared" si="129"/>
        <v/>
      </c>
      <c r="BA1722" s="1">
        <f>IF(W1722&lt;=Leltar_iv!$Y$1,I1722,0)</f>
        <v>0</v>
      </c>
    </row>
    <row r="1723" spans="1:53" s="1" customFormat="1" x14ac:dyDescent="0.25">
      <c r="A1723" s="18">
        <f>IF(COUNTIF($Y$6:Y1723,Y1723)=1,Y1723,Y1723+COUNTIF($Y$5:Y1722,Y1723))</f>
        <v>718</v>
      </c>
      <c r="B1723" s="1">
        <f>IF(AND(Kisero_iv!$N$2=C1723,Kisero_iv!$K$5=$B$3,SUM(I1723:L1727)&lt;&gt;0,$B$4=YEAR(W1723)),B1722+1,0)</f>
        <v>0</v>
      </c>
      <c r="C1723" s="1">
        <f t="shared" si="123"/>
        <v>718</v>
      </c>
      <c r="D1723" s="102" t="str">
        <f t="shared" si="124"/>
        <v/>
      </c>
      <c r="E1723" s="44"/>
      <c r="F1723" s="45"/>
      <c r="G1723" s="45"/>
      <c r="H1723" s="45"/>
      <c r="I1723" s="46"/>
      <c r="J1723" s="111" t="str">
        <f>IF(AND(G1723&lt;&gt;"",ISERROR(VLOOKUP(G1723,Keszlet!$C$5:$H$200,6,FALSE))=FALSE),VLOOKUP(G1723,Keszlet!$C$5:$H$200,6,FALSE),"")</f>
        <v/>
      </c>
      <c r="K1723" s="106" t="str">
        <f>IF(AND(G1723&lt;&gt;"",ISERROR(VLOOKUP(G1723,Keszlet!$C$5:$G$200,5,FALSE))=FALSE),VLOOKUP(G1723,Keszlet!$C$5:$G$200,5,FALSE),"")</f>
        <v/>
      </c>
      <c r="L1723" s="106" t="str">
        <f t="shared" si="125"/>
        <v/>
      </c>
      <c r="M1723" s="115" t="str">
        <f>IF(ISERROR(VLOOKUP(G1723,Keszlet!$C$5:$I$200,7,FALSE))=TRUE,"",IF(AND(J1722&lt;&gt;"",J1724=""),VLOOKUP(G1723,Keszlet!$C$5:$I$200,7,FALSE),""))</f>
        <v/>
      </c>
      <c r="Q1723" s="1">
        <f>VLOOKUP(G1723,Keszlet!$C$5:$E$205,3,FALSE)</f>
        <v>0</v>
      </c>
      <c r="T1723" s="1" t="str">
        <f t="shared" si="126"/>
        <v/>
      </c>
      <c r="U1723" s="1">
        <f t="shared" si="127"/>
        <v>0</v>
      </c>
      <c r="W1723" s="6">
        <f t="shared" si="130"/>
        <v>0</v>
      </c>
      <c r="X1723" s="6">
        <f t="shared" si="122"/>
        <v>0</v>
      </c>
      <c r="Y1723" s="1">
        <f t="shared" si="128"/>
        <v>1</v>
      </c>
      <c r="Z1723" s="1">
        <f>IF(COUNTIF($Y$6:Y1723,Y1723)=1,Y1723,Y1723+COUNTIF($Y$5:Y1722,Y1723))</f>
        <v>718</v>
      </c>
      <c r="AD1723" s="1" t="str">
        <f t="shared" si="129"/>
        <v/>
      </c>
      <c r="BA1723" s="1">
        <f>IF(W1723&lt;=Leltar_iv!$Y$1,I1723,0)</f>
        <v>0</v>
      </c>
    </row>
    <row r="1724" spans="1:53" s="1" customFormat="1" x14ac:dyDescent="0.25">
      <c r="A1724" s="18">
        <f>IF(COUNTIF($Y$6:Y1724,Y1724)=1,Y1724,Y1724+COUNTIF($Y$5:Y1723,Y1724))</f>
        <v>719</v>
      </c>
      <c r="B1724" s="1">
        <f>IF(AND(Kisero_iv!$N$2=C1724,Kisero_iv!$K$5=$B$3,SUM(I1724:L1728)&lt;&gt;0,$B$4=YEAR(W1724)),B1723+1,0)</f>
        <v>0</v>
      </c>
      <c r="C1724" s="1">
        <f t="shared" si="123"/>
        <v>719</v>
      </c>
      <c r="D1724" s="102" t="str">
        <f t="shared" si="124"/>
        <v/>
      </c>
      <c r="E1724" s="44"/>
      <c r="F1724" s="45"/>
      <c r="G1724" s="45"/>
      <c r="H1724" s="45"/>
      <c r="I1724" s="46"/>
      <c r="J1724" s="111" t="str">
        <f>IF(AND(G1724&lt;&gt;"",ISERROR(VLOOKUP(G1724,Keszlet!$C$5:$H$200,6,FALSE))=FALSE),VLOOKUP(G1724,Keszlet!$C$5:$H$200,6,FALSE),"")</f>
        <v/>
      </c>
      <c r="K1724" s="106" t="str">
        <f>IF(AND(G1724&lt;&gt;"",ISERROR(VLOOKUP(G1724,Keszlet!$C$5:$G$200,5,FALSE))=FALSE),VLOOKUP(G1724,Keszlet!$C$5:$G$200,5,FALSE),"")</f>
        <v/>
      </c>
      <c r="L1724" s="106" t="str">
        <f t="shared" si="125"/>
        <v/>
      </c>
      <c r="M1724" s="115" t="str">
        <f>IF(ISERROR(VLOOKUP(G1724,Keszlet!$C$5:$I$200,7,FALSE))=TRUE,"",IF(AND(J1723&lt;&gt;"",J1725=""),VLOOKUP(G1724,Keszlet!$C$5:$I$200,7,FALSE),""))</f>
        <v/>
      </c>
      <c r="Q1724" s="1">
        <f>VLOOKUP(G1724,Keszlet!$C$5:$E$205,3,FALSE)</f>
        <v>0</v>
      </c>
      <c r="T1724" s="1" t="str">
        <f t="shared" si="126"/>
        <v/>
      </c>
      <c r="U1724" s="1">
        <f t="shared" si="127"/>
        <v>0</v>
      </c>
      <c r="W1724" s="6">
        <f t="shared" si="130"/>
        <v>0</v>
      </c>
      <c r="X1724" s="6">
        <f t="shared" si="122"/>
        <v>0</v>
      </c>
      <c r="Y1724" s="1">
        <f t="shared" si="128"/>
        <v>1</v>
      </c>
      <c r="Z1724" s="1">
        <f>IF(COUNTIF($Y$6:Y1724,Y1724)=1,Y1724,Y1724+COUNTIF($Y$5:Y1723,Y1724))</f>
        <v>719</v>
      </c>
      <c r="AD1724" s="1" t="str">
        <f t="shared" si="129"/>
        <v/>
      </c>
      <c r="BA1724" s="1">
        <f>IF(W1724&lt;=Leltar_iv!$Y$1,I1724,0)</f>
        <v>0</v>
      </c>
    </row>
    <row r="1725" spans="1:53" s="1" customFormat="1" x14ac:dyDescent="0.25">
      <c r="A1725" s="18">
        <f>IF(COUNTIF($Y$6:Y1725,Y1725)=1,Y1725,Y1725+COUNTIF($Y$5:Y1724,Y1725))</f>
        <v>720</v>
      </c>
      <c r="B1725" s="1">
        <f>IF(AND(Kisero_iv!$N$2=C1725,Kisero_iv!$K$5=$B$3,SUM(I1725:L1729)&lt;&gt;0,$B$4=YEAR(W1725)),B1724+1,0)</f>
        <v>0</v>
      </c>
      <c r="C1725" s="1">
        <f t="shared" si="123"/>
        <v>720</v>
      </c>
      <c r="D1725" s="102" t="str">
        <f t="shared" si="124"/>
        <v/>
      </c>
      <c r="E1725" s="44"/>
      <c r="F1725" s="45"/>
      <c r="G1725" s="45"/>
      <c r="H1725" s="45"/>
      <c r="I1725" s="46"/>
      <c r="J1725" s="111" t="str">
        <f>IF(AND(G1725&lt;&gt;"",ISERROR(VLOOKUP(G1725,Keszlet!$C$5:$H$200,6,FALSE))=FALSE),VLOOKUP(G1725,Keszlet!$C$5:$H$200,6,FALSE),"")</f>
        <v/>
      </c>
      <c r="K1725" s="106" t="str">
        <f>IF(AND(G1725&lt;&gt;"",ISERROR(VLOOKUP(G1725,Keszlet!$C$5:$G$200,5,FALSE))=FALSE),VLOOKUP(G1725,Keszlet!$C$5:$G$200,5,FALSE),"")</f>
        <v/>
      </c>
      <c r="L1725" s="106" t="str">
        <f t="shared" si="125"/>
        <v/>
      </c>
      <c r="M1725" s="115" t="str">
        <f>IF(ISERROR(VLOOKUP(G1725,Keszlet!$C$5:$I$200,7,FALSE))=TRUE,"",IF(AND(J1724&lt;&gt;"",J1726=""),VLOOKUP(G1725,Keszlet!$C$5:$I$200,7,FALSE),""))</f>
        <v/>
      </c>
      <c r="Q1725" s="1">
        <f>VLOOKUP(G1725,Keszlet!$C$5:$E$205,3,FALSE)</f>
        <v>0</v>
      </c>
      <c r="T1725" s="1" t="str">
        <f t="shared" si="126"/>
        <v/>
      </c>
      <c r="U1725" s="1">
        <f t="shared" si="127"/>
        <v>0</v>
      </c>
      <c r="W1725" s="6">
        <f t="shared" si="130"/>
        <v>0</v>
      </c>
      <c r="X1725" s="6">
        <f t="shared" si="122"/>
        <v>0</v>
      </c>
      <c r="Y1725" s="1">
        <f t="shared" si="128"/>
        <v>1</v>
      </c>
      <c r="Z1725" s="1">
        <f>IF(COUNTIF($Y$6:Y1725,Y1725)=1,Y1725,Y1725+COUNTIF($Y$5:Y1724,Y1725))</f>
        <v>720</v>
      </c>
      <c r="AD1725" s="1" t="str">
        <f t="shared" si="129"/>
        <v/>
      </c>
      <c r="BA1725" s="1">
        <f>IF(W1725&lt;=Leltar_iv!$Y$1,I1725,0)</f>
        <v>0</v>
      </c>
    </row>
    <row r="1726" spans="1:53" s="1" customFormat="1" x14ac:dyDescent="0.25">
      <c r="A1726" s="18">
        <f>IF(COUNTIF($Y$6:Y1726,Y1726)=1,Y1726,Y1726+COUNTIF($Y$5:Y1725,Y1726))</f>
        <v>721</v>
      </c>
      <c r="B1726" s="1">
        <f>IF(AND(Kisero_iv!$N$2=C1726,Kisero_iv!$K$5=$B$3,SUM(I1726:L1730)&lt;&gt;0,$B$4=YEAR(W1726)),B1725+1,0)</f>
        <v>0</v>
      </c>
      <c r="C1726" s="1">
        <f t="shared" si="123"/>
        <v>721</v>
      </c>
      <c r="D1726" s="102" t="str">
        <f t="shared" si="124"/>
        <v/>
      </c>
      <c r="E1726" s="44"/>
      <c r="F1726" s="45"/>
      <c r="G1726" s="45"/>
      <c r="H1726" s="45"/>
      <c r="I1726" s="46"/>
      <c r="J1726" s="111" t="str">
        <f>IF(AND(G1726&lt;&gt;"",ISERROR(VLOOKUP(G1726,Keszlet!$C$5:$H$200,6,FALSE))=FALSE),VLOOKUP(G1726,Keszlet!$C$5:$H$200,6,FALSE),"")</f>
        <v/>
      </c>
      <c r="K1726" s="106" t="str">
        <f>IF(AND(G1726&lt;&gt;"",ISERROR(VLOOKUP(G1726,Keszlet!$C$5:$G$200,5,FALSE))=FALSE),VLOOKUP(G1726,Keszlet!$C$5:$G$200,5,FALSE),"")</f>
        <v/>
      </c>
      <c r="L1726" s="106" t="str">
        <f t="shared" si="125"/>
        <v/>
      </c>
      <c r="M1726" s="115" t="str">
        <f>IF(ISERROR(VLOOKUP(G1726,Keszlet!$C$5:$I$200,7,FALSE))=TRUE,"",IF(AND(J1725&lt;&gt;"",J1727=""),VLOOKUP(G1726,Keszlet!$C$5:$I$200,7,FALSE),""))</f>
        <v/>
      </c>
      <c r="Q1726" s="1">
        <f>VLOOKUP(G1726,Keszlet!$C$5:$E$205,3,FALSE)</f>
        <v>0</v>
      </c>
      <c r="T1726" s="1" t="str">
        <f t="shared" si="126"/>
        <v/>
      </c>
      <c r="U1726" s="1">
        <f t="shared" si="127"/>
        <v>0</v>
      </c>
      <c r="W1726" s="6">
        <f t="shared" si="130"/>
        <v>0</v>
      </c>
      <c r="X1726" s="6">
        <f t="shared" si="122"/>
        <v>0</v>
      </c>
      <c r="Y1726" s="1">
        <f t="shared" si="128"/>
        <v>1</v>
      </c>
      <c r="Z1726" s="1">
        <f>IF(COUNTIF($Y$6:Y1726,Y1726)=1,Y1726,Y1726+COUNTIF($Y$5:Y1725,Y1726))</f>
        <v>721</v>
      </c>
      <c r="AD1726" s="1" t="str">
        <f t="shared" si="129"/>
        <v/>
      </c>
      <c r="BA1726" s="1">
        <f>IF(W1726&lt;=Leltar_iv!$Y$1,I1726,0)</f>
        <v>0</v>
      </c>
    </row>
    <row r="1727" spans="1:53" s="1" customFormat="1" x14ac:dyDescent="0.25">
      <c r="A1727" s="18">
        <f>IF(COUNTIF($Y$6:Y1727,Y1727)=1,Y1727,Y1727+COUNTIF($Y$5:Y1726,Y1727))</f>
        <v>722</v>
      </c>
      <c r="B1727" s="1">
        <f>IF(AND(Kisero_iv!$N$2=C1727,Kisero_iv!$K$5=$B$3,SUM(I1727:L1731)&lt;&gt;0,$B$4=YEAR(W1727)),B1726+1,0)</f>
        <v>0</v>
      </c>
      <c r="C1727" s="1">
        <f t="shared" si="123"/>
        <v>722</v>
      </c>
      <c r="D1727" s="102" t="str">
        <f t="shared" si="124"/>
        <v/>
      </c>
      <c r="E1727" s="44"/>
      <c r="F1727" s="45"/>
      <c r="G1727" s="45"/>
      <c r="H1727" s="45"/>
      <c r="I1727" s="46"/>
      <c r="J1727" s="111" t="str">
        <f>IF(AND(G1727&lt;&gt;"",ISERROR(VLOOKUP(G1727,Keszlet!$C$5:$H$200,6,FALSE))=FALSE),VLOOKUP(G1727,Keszlet!$C$5:$H$200,6,FALSE),"")</f>
        <v/>
      </c>
      <c r="K1727" s="106" t="str">
        <f>IF(AND(G1727&lt;&gt;"",ISERROR(VLOOKUP(G1727,Keszlet!$C$5:$G$200,5,FALSE))=FALSE),VLOOKUP(G1727,Keszlet!$C$5:$G$200,5,FALSE),"")</f>
        <v/>
      </c>
      <c r="L1727" s="106" t="str">
        <f t="shared" si="125"/>
        <v/>
      </c>
      <c r="M1727" s="115" t="str">
        <f>IF(ISERROR(VLOOKUP(G1727,Keszlet!$C$5:$I$200,7,FALSE))=TRUE,"",IF(AND(J1726&lt;&gt;"",J1728=""),VLOOKUP(G1727,Keszlet!$C$5:$I$200,7,FALSE),""))</f>
        <v/>
      </c>
      <c r="Q1727" s="1">
        <f>VLOOKUP(G1727,Keszlet!$C$5:$E$205,3,FALSE)</f>
        <v>0</v>
      </c>
      <c r="T1727" s="1" t="str">
        <f t="shared" si="126"/>
        <v/>
      </c>
      <c r="U1727" s="1">
        <f t="shared" si="127"/>
        <v>0</v>
      </c>
      <c r="W1727" s="6">
        <f t="shared" si="130"/>
        <v>0</v>
      </c>
      <c r="X1727" s="6">
        <f t="shared" si="122"/>
        <v>0</v>
      </c>
      <c r="Y1727" s="1">
        <f t="shared" si="128"/>
        <v>1</v>
      </c>
      <c r="Z1727" s="1">
        <f>IF(COUNTIF($Y$6:Y1727,Y1727)=1,Y1727,Y1727+COUNTIF($Y$5:Y1726,Y1727))</f>
        <v>722</v>
      </c>
      <c r="AD1727" s="1" t="str">
        <f t="shared" si="129"/>
        <v/>
      </c>
      <c r="BA1727" s="1">
        <f>IF(W1727&lt;=Leltar_iv!$Y$1,I1727,0)</f>
        <v>0</v>
      </c>
    </row>
    <row r="1728" spans="1:53" s="1" customFormat="1" x14ac:dyDescent="0.25">
      <c r="A1728" s="18">
        <f>IF(COUNTIF($Y$6:Y1728,Y1728)=1,Y1728,Y1728+COUNTIF($Y$5:Y1727,Y1728))</f>
        <v>723</v>
      </c>
      <c r="B1728" s="1">
        <f>IF(AND(Kisero_iv!$N$2=C1728,Kisero_iv!$K$5=$B$3,SUM(I1728:L1732)&lt;&gt;0,$B$4=YEAR(W1728)),B1727+1,0)</f>
        <v>0</v>
      </c>
      <c r="C1728" s="1">
        <f t="shared" si="123"/>
        <v>723</v>
      </c>
      <c r="D1728" s="102" t="str">
        <f t="shared" si="124"/>
        <v/>
      </c>
      <c r="E1728" s="44"/>
      <c r="F1728" s="45"/>
      <c r="G1728" s="45"/>
      <c r="H1728" s="45"/>
      <c r="I1728" s="46"/>
      <c r="J1728" s="111" t="str">
        <f>IF(AND(G1728&lt;&gt;"",ISERROR(VLOOKUP(G1728,Keszlet!$C$5:$H$200,6,FALSE))=FALSE),VLOOKUP(G1728,Keszlet!$C$5:$H$200,6,FALSE),"")</f>
        <v/>
      </c>
      <c r="K1728" s="106" t="str">
        <f>IF(AND(G1728&lt;&gt;"",ISERROR(VLOOKUP(G1728,Keszlet!$C$5:$G$200,5,FALSE))=FALSE),VLOOKUP(G1728,Keszlet!$C$5:$G$200,5,FALSE),"")</f>
        <v/>
      </c>
      <c r="L1728" s="106" t="str">
        <f t="shared" si="125"/>
        <v/>
      </c>
      <c r="M1728" s="115" t="str">
        <f>IF(ISERROR(VLOOKUP(G1728,Keszlet!$C$5:$I$200,7,FALSE))=TRUE,"",IF(AND(J1727&lt;&gt;"",J1729=""),VLOOKUP(G1728,Keszlet!$C$5:$I$200,7,FALSE),""))</f>
        <v/>
      </c>
      <c r="Q1728" s="1">
        <f>VLOOKUP(G1728,Keszlet!$C$5:$E$205,3,FALSE)</f>
        <v>0</v>
      </c>
      <c r="T1728" s="1" t="str">
        <f t="shared" si="126"/>
        <v/>
      </c>
      <c r="U1728" s="1">
        <f t="shared" si="127"/>
        <v>0</v>
      </c>
      <c r="W1728" s="6">
        <f t="shared" si="130"/>
        <v>0</v>
      </c>
      <c r="X1728" s="6">
        <f t="shared" si="122"/>
        <v>0</v>
      </c>
      <c r="Y1728" s="1">
        <f t="shared" si="128"/>
        <v>1</v>
      </c>
      <c r="Z1728" s="1">
        <f>IF(COUNTIF($Y$6:Y1728,Y1728)=1,Y1728,Y1728+COUNTIF($Y$5:Y1727,Y1728))</f>
        <v>723</v>
      </c>
      <c r="AD1728" s="1" t="str">
        <f t="shared" si="129"/>
        <v/>
      </c>
      <c r="BA1728" s="1">
        <f>IF(W1728&lt;=Leltar_iv!$Y$1,I1728,0)</f>
        <v>0</v>
      </c>
    </row>
    <row r="1729" spans="1:53" s="1" customFormat="1" x14ac:dyDescent="0.25">
      <c r="A1729" s="18">
        <f>IF(COUNTIF($Y$6:Y1729,Y1729)=1,Y1729,Y1729+COUNTIF($Y$5:Y1728,Y1729))</f>
        <v>724</v>
      </c>
      <c r="B1729" s="1">
        <f>IF(AND(Kisero_iv!$N$2=C1729,Kisero_iv!$K$5=$B$3,SUM(I1729:L1733)&lt;&gt;0,$B$4=YEAR(W1729)),B1728+1,0)</f>
        <v>0</v>
      </c>
      <c r="C1729" s="1">
        <f t="shared" si="123"/>
        <v>724</v>
      </c>
      <c r="D1729" s="102" t="str">
        <f t="shared" si="124"/>
        <v/>
      </c>
      <c r="E1729" s="44"/>
      <c r="F1729" s="45"/>
      <c r="G1729" s="45"/>
      <c r="H1729" s="45"/>
      <c r="I1729" s="46"/>
      <c r="J1729" s="111" t="str">
        <f>IF(AND(G1729&lt;&gt;"",ISERROR(VLOOKUP(G1729,Keszlet!$C$5:$H$200,6,FALSE))=FALSE),VLOOKUP(G1729,Keszlet!$C$5:$H$200,6,FALSE),"")</f>
        <v/>
      </c>
      <c r="K1729" s="106" t="str">
        <f>IF(AND(G1729&lt;&gt;"",ISERROR(VLOOKUP(G1729,Keszlet!$C$5:$G$200,5,FALSE))=FALSE),VLOOKUP(G1729,Keszlet!$C$5:$G$200,5,FALSE),"")</f>
        <v/>
      </c>
      <c r="L1729" s="106" t="str">
        <f t="shared" si="125"/>
        <v/>
      </c>
      <c r="M1729" s="115" t="str">
        <f>IF(ISERROR(VLOOKUP(G1729,Keszlet!$C$5:$I$200,7,FALSE))=TRUE,"",IF(AND(J1728&lt;&gt;"",J1730=""),VLOOKUP(G1729,Keszlet!$C$5:$I$200,7,FALSE),""))</f>
        <v/>
      </c>
      <c r="Q1729" s="1">
        <f>VLOOKUP(G1729,Keszlet!$C$5:$E$205,3,FALSE)</f>
        <v>0</v>
      </c>
      <c r="T1729" s="1" t="str">
        <f t="shared" si="126"/>
        <v/>
      </c>
      <c r="U1729" s="1">
        <f t="shared" si="127"/>
        <v>0</v>
      </c>
      <c r="W1729" s="6">
        <f t="shared" si="130"/>
        <v>0</v>
      </c>
      <c r="X1729" s="6">
        <f t="shared" si="122"/>
        <v>0</v>
      </c>
      <c r="Y1729" s="1">
        <f t="shared" si="128"/>
        <v>1</v>
      </c>
      <c r="Z1729" s="1">
        <f>IF(COUNTIF($Y$6:Y1729,Y1729)=1,Y1729,Y1729+COUNTIF($Y$5:Y1728,Y1729))</f>
        <v>724</v>
      </c>
      <c r="AD1729" s="1" t="str">
        <f t="shared" si="129"/>
        <v/>
      </c>
      <c r="BA1729" s="1">
        <f>IF(W1729&lt;=Leltar_iv!$Y$1,I1729,0)</f>
        <v>0</v>
      </c>
    </row>
    <row r="1730" spans="1:53" s="1" customFormat="1" x14ac:dyDescent="0.25">
      <c r="A1730" s="18">
        <f>IF(COUNTIF($Y$6:Y1730,Y1730)=1,Y1730,Y1730+COUNTIF($Y$5:Y1729,Y1730))</f>
        <v>725</v>
      </c>
      <c r="B1730" s="1">
        <f>IF(AND(Kisero_iv!$N$2=C1730,Kisero_iv!$K$5=$B$3,SUM(I1730:L1734)&lt;&gt;0,$B$4=YEAR(W1730)),B1729+1,0)</f>
        <v>0</v>
      </c>
      <c r="C1730" s="1">
        <f t="shared" si="123"/>
        <v>725</v>
      </c>
      <c r="D1730" s="102" t="str">
        <f t="shared" si="124"/>
        <v/>
      </c>
      <c r="E1730" s="44"/>
      <c r="F1730" s="45"/>
      <c r="G1730" s="45"/>
      <c r="H1730" s="45"/>
      <c r="I1730" s="46"/>
      <c r="J1730" s="111" t="str">
        <f>IF(AND(G1730&lt;&gt;"",ISERROR(VLOOKUP(G1730,Keszlet!$C$5:$H$200,6,FALSE))=FALSE),VLOOKUP(G1730,Keszlet!$C$5:$H$200,6,FALSE),"")</f>
        <v/>
      </c>
      <c r="K1730" s="106" t="str">
        <f>IF(AND(G1730&lt;&gt;"",ISERROR(VLOOKUP(G1730,Keszlet!$C$5:$G$200,5,FALSE))=FALSE),VLOOKUP(G1730,Keszlet!$C$5:$G$200,5,FALSE),"")</f>
        <v/>
      </c>
      <c r="L1730" s="106" t="str">
        <f t="shared" si="125"/>
        <v/>
      </c>
      <c r="M1730" s="115" t="str">
        <f>IF(ISERROR(VLOOKUP(G1730,Keszlet!$C$5:$I$200,7,FALSE))=TRUE,"",IF(AND(J1729&lt;&gt;"",J1731=""),VLOOKUP(G1730,Keszlet!$C$5:$I$200,7,FALSE),""))</f>
        <v/>
      </c>
      <c r="Q1730" s="1">
        <f>VLOOKUP(G1730,Keszlet!$C$5:$E$205,3,FALSE)</f>
        <v>0</v>
      </c>
      <c r="T1730" s="1" t="str">
        <f t="shared" si="126"/>
        <v/>
      </c>
      <c r="U1730" s="1">
        <f t="shared" si="127"/>
        <v>0</v>
      </c>
      <c r="W1730" s="6">
        <f t="shared" si="130"/>
        <v>0</v>
      </c>
      <c r="X1730" s="6">
        <f t="shared" si="122"/>
        <v>0</v>
      </c>
      <c r="Y1730" s="1">
        <f t="shared" si="128"/>
        <v>1</v>
      </c>
      <c r="Z1730" s="1">
        <f>IF(COUNTIF($Y$6:Y1730,Y1730)=1,Y1730,Y1730+COUNTIF($Y$5:Y1729,Y1730))</f>
        <v>725</v>
      </c>
      <c r="AD1730" s="1" t="str">
        <f t="shared" si="129"/>
        <v/>
      </c>
      <c r="BA1730" s="1">
        <f>IF(W1730&lt;=Leltar_iv!$Y$1,I1730,0)</f>
        <v>0</v>
      </c>
    </row>
    <row r="1731" spans="1:53" s="1" customFormat="1" x14ac:dyDescent="0.25">
      <c r="A1731" s="18">
        <f>IF(COUNTIF($Y$6:Y1731,Y1731)=1,Y1731,Y1731+COUNTIF($Y$5:Y1730,Y1731))</f>
        <v>726</v>
      </c>
      <c r="B1731" s="1">
        <f>IF(AND(Kisero_iv!$N$2=C1731,Kisero_iv!$K$5=$B$3,SUM(I1731:L1735)&lt;&gt;0,$B$4=YEAR(W1731)),B1730+1,0)</f>
        <v>0</v>
      </c>
      <c r="C1731" s="1">
        <f t="shared" si="123"/>
        <v>726</v>
      </c>
      <c r="D1731" s="102" t="str">
        <f t="shared" si="124"/>
        <v/>
      </c>
      <c r="E1731" s="44"/>
      <c r="F1731" s="45"/>
      <c r="G1731" s="45"/>
      <c r="H1731" s="45"/>
      <c r="I1731" s="46"/>
      <c r="J1731" s="111" t="str">
        <f>IF(AND(G1731&lt;&gt;"",ISERROR(VLOOKUP(G1731,Keszlet!$C$5:$H$200,6,FALSE))=FALSE),VLOOKUP(G1731,Keszlet!$C$5:$H$200,6,FALSE),"")</f>
        <v/>
      </c>
      <c r="K1731" s="106" t="str">
        <f>IF(AND(G1731&lt;&gt;"",ISERROR(VLOOKUP(G1731,Keszlet!$C$5:$G$200,5,FALSE))=FALSE),VLOOKUP(G1731,Keszlet!$C$5:$G$200,5,FALSE),"")</f>
        <v/>
      </c>
      <c r="L1731" s="106" t="str">
        <f t="shared" si="125"/>
        <v/>
      </c>
      <c r="M1731" s="115" t="str">
        <f>IF(ISERROR(VLOOKUP(G1731,Keszlet!$C$5:$I$200,7,FALSE))=TRUE,"",IF(AND(J1730&lt;&gt;"",J1732=""),VLOOKUP(G1731,Keszlet!$C$5:$I$200,7,FALSE),""))</f>
        <v/>
      </c>
      <c r="Q1731" s="1">
        <f>VLOOKUP(G1731,Keszlet!$C$5:$E$205,3,FALSE)</f>
        <v>0</v>
      </c>
      <c r="T1731" s="1" t="str">
        <f t="shared" si="126"/>
        <v/>
      </c>
      <c r="U1731" s="1">
        <f t="shared" si="127"/>
        <v>0</v>
      </c>
      <c r="W1731" s="6">
        <f t="shared" si="130"/>
        <v>0</v>
      </c>
      <c r="X1731" s="6">
        <f t="shared" si="122"/>
        <v>0</v>
      </c>
      <c r="Y1731" s="1">
        <f t="shared" si="128"/>
        <v>1</v>
      </c>
      <c r="Z1731" s="1">
        <f>IF(COUNTIF($Y$6:Y1731,Y1731)=1,Y1731,Y1731+COUNTIF($Y$5:Y1730,Y1731))</f>
        <v>726</v>
      </c>
      <c r="AD1731" s="1" t="str">
        <f t="shared" si="129"/>
        <v/>
      </c>
      <c r="BA1731" s="1">
        <f>IF(W1731&lt;=Leltar_iv!$Y$1,I1731,0)</f>
        <v>0</v>
      </c>
    </row>
    <row r="1732" spans="1:53" s="1" customFormat="1" x14ac:dyDescent="0.25">
      <c r="A1732" s="18">
        <f>IF(COUNTIF($Y$6:Y1732,Y1732)=1,Y1732,Y1732+COUNTIF($Y$5:Y1731,Y1732))</f>
        <v>727</v>
      </c>
      <c r="B1732" s="1">
        <f>IF(AND(Kisero_iv!$N$2=C1732,Kisero_iv!$K$5=$B$3,SUM(I1732:L1736)&lt;&gt;0,$B$4=YEAR(W1732)),B1731+1,0)</f>
        <v>0</v>
      </c>
      <c r="C1732" s="1">
        <f t="shared" si="123"/>
        <v>727</v>
      </c>
      <c r="D1732" s="102" t="str">
        <f t="shared" si="124"/>
        <v/>
      </c>
      <c r="E1732" s="44"/>
      <c r="F1732" s="45"/>
      <c r="G1732" s="45"/>
      <c r="H1732" s="45"/>
      <c r="I1732" s="46"/>
      <c r="J1732" s="111" t="str">
        <f>IF(AND(G1732&lt;&gt;"",ISERROR(VLOOKUP(G1732,Keszlet!$C$5:$H$200,6,FALSE))=FALSE),VLOOKUP(G1732,Keszlet!$C$5:$H$200,6,FALSE),"")</f>
        <v/>
      </c>
      <c r="K1732" s="106" t="str">
        <f>IF(AND(G1732&lt;&gt;"",ISERROR(VLOOKUP(G1732,Keszlet!$C$5:$G$200,5,FALSE))=FALSE),VLOOKUP(G1732,Keszlet!$C$5:$G$200,5,FALSE),"")</f>
        <v/>
      </c>
      <c r="L1732" s="106" t="str">
        <f t="shared" si="125"/>
        <v/>
      </c>
      <c r="M1732" s="115" t="str">
        <f>IF(ISERROR(VLOOKUP(G1732,Keszlet!$C$5:$I$200,7,FALSE))=TRUE,"",IF(AND(J1731&lt;&gt;"",J1733=""),VLOOKUP(G1732,Keszlet!$C$5:$I$200,7,FALSE),""))</f>
        <v/>
      </c>
      <c r="Q1732" s="1">
        <f>VLOOKUP(G1732,Keszlet!$C$5:$E$205,3,FALSE)</f>
        <v>0</v>
      </c>
      <c r="T1732" s="1" t="str">
        <f t="shared" si="126"/>
        <v/>
      </c>
      <c r="U1732" s="1">
        <f t="shared" si="127"/>
        <v>0</v>
      </c>
      <c r="W1732" s="6">
        <f t="shared" si="130"/>
        <v>0</v>
      </c>
      <c r="X1732" s="6">
        <f t="shared" si="122"/>
        <v>0</v>
      </c>
      <c r="Y1732" s="1">
        <f t="shared" si="128"/>
        <v>1</v>
      </c>
      <c r="Z1732" s="1">
        <f>IF(COUNTIF($Y$6:Y1732,Y1732)=1,Y1732,Y1732+COUNTIF($Y$5:Y1731,Y1732))</f>
        <v>727</v>
      </c>
      <c r="AD1732" s="1" t="str">
        <f t="shared" si="129"/>
        <v/>
      </c>
      <c r="BA1732" s="1">
        <f>IF(W1732&lt;=Leltar_iv!$Y$1,I1732,0)</f>
        <v>0</v>
      </c>
    </row>
    <row r="1733" spans="1:53" s="1" customFormat="1" x14ac:dyDescent="0.25">
      <c r="A1733" s="18">
        <f>IF(COUNTIF($Y$6:Y1733,Y1733)=1,Y1733,Y1733+COUNTIF($Y$5:Y1732,Y1733))</f>
        <v>728</v>
      </c>
      <c r="B1733" s="1">
        <f>IF(AND(Kisero_iv!$N$2=C1733,Kisero_iv!$K$5=$B$3,SUM(I1733:L1737)&lt;&gt;0,$B$4=YEAR(W1733)),B1732+1,0)</f>
        <v>0</v>
      </c>
      <c r="C1733" s="1">
        <f t="shared" si="123"/>
        <v>728</v>
      </c>
      <c r="D1733" s="102" t="str">
        <f t="shared" si="124"/>
        <v/>
      </c>
      <c r="E1733" s="44"/>
      <c r="F1733" s="45"/>
      <c r="G1733" s="45"/>
      <c r="H1733" s="45"/>
      <c r="I1733" s="46"/>
      <c r="J1733" s="111" t="str">
        <f>IF(AND(G1733&lt;&gt;"",ISERROR(VLOOKUP(G1733,Keszlet!$C$5:$H$200,6,FALSE))=FALSE),VLOOKUP(G1733,Keszlet!$C$5:$H$200,6,FALSE),"")</f>
        <v/>
      </c>
      <c r="K1733" s="106" t="str">
        <f>IF(AND(G1733&lt;&gt;"",ISERROR(VLOOKUP(G1733,Keszlet!$C$5:$G$200,5,FALSE))=FALSE),VLOOKUP(G1733,Keszlet!$C$5:$G$200,5,FALSE),"")</f>
        <v/>
      </c>
      <c r="L1733" s="106" t="str">
        <f t="shared" si="125"/>
        <v/>
      </c>
      <c r="M1733" s="115" t="str">
        <f>IF(ISERROR(VLOOKUP(G1733,Keszlet!$C$5:$I$200,7,FALSE))=TRUE,"",IF(AND(J1732&lt;&gt;"",J1734=""),VLOOKUP(G1733,Keszlet!$C$5:$I$200,7,FALSE),""))</f>
        <v/>
      </c>
      <c r="Q1733" s="1">
        <f>VLOOKUP(G1733,Keszlet!$C$5:$E$205,3,FALSE)</f>
        <v>0</v>
      </c>
      <c r="T1733" s="1" t="str">
        <f t="shared" si="126"/>
        <v/>
      </c>
      <c r="U1733" s="1">
        <f t="shared" si="127"/>
        <v>0</v>
      </c>
      <c r="W1733" s="6">
        <f t="shared" si="130"/>
        <v>0</v>
      </c>
      <c r="X1733" s="6">
        <f t="shared" si="122"/>
        <v>0</v>
      </c>
      <c r="Y1733" s="1">
        <f t="shared" si="128"/>
        <v>1</v>
      </c>
      <c r="Z1733" s="1">
        <f>IF(COUNTIF($Y$6:Y1733,Y1733)=1,Y1733,Y1733+COUNTIF($Y$5:Y1732,Y1733))</f>
        <v>728</v>
      </c>
      <c r="AD1733" s="1" t="str">
        <f t="shared" si="129"/>
        <v/>
      </c>
      <c r="BA1733" s="1">
        <f>IF(W1733&lt;=Leltar_iv!$Y$1,I1733,0)</f>
        <v>0</v>
      </c>
    </row>
    <row r="1734" spans="1:53" s="1" customFormat="1" x14ac:dyDescent="0.25">
      <c r="A1734" s="18">
        <f>IF(COUNTIF($Y$6:Y1734,Y1734)=1,Y1734,Y1734+COUNTIF($Y$5:Y1733,Y1734))</f>
        <v>729</v>
      </c>
      <c r="B1734" s="1">
        <f>IF(AND(Kisero_iv!$N$2=C1734,Kisero_iv!$K$5=$B$3,SUM(I1734:L1738)&lt;&gt;0,$B$4=YEAR(W1734)),B1733+1,0)</f>
        <v>0</v>
      </c>
      <c r="C1734" s="1">
        <f t="shared" si="123"/>
        <v>729</v>
      </c>
      <c r="D1734" s="102" t="str">
        <f t="shared" si="124"/>
        <v/>
      </c>
      <c r="E1734" s="44"/>
      <c r="F1734" s="45"/>
      <c r="G1734" s="45"/>
      <c r="H1734" s="45"/>
      <c r="I1734" s="46"/>
      <c r="J1734" s="111" t="str">
        <f>IF(AND(G1734&lt;&gt;"",ISERROR(VLOOKUP(G1734,Keszlet!$C$5:$H$200,6,FALSE))=FALSE),VLOOKUP(G1734,Keszlet!$C$5:$H$200,6,FALSE),"")</f>
        <v/>
      </c>
      <c r="K1734" s="106" t="str">
        <f>IF(AND(G1734&lt;&gt;"",ISERROR(VLOOKUP(G1734,Keszlet!$C$5:$G$200,5,FALSE))=FALSE),VLOOKUP(G1734,Keszlet!$C$5:$G$200,5,FALSE),"")</f>
        <v/>
      </c>
      <c r="L1734" s="106" t="str">
        <f t="shared" si="125"/>
        <v/>
      </c>
      <c r="M1734" s="115" t="str">
        <f>IF(ISERROR(VLOOKUP(G1734,Keszlet!$C$5:$I$200,7,FALSE))=TRUE,"",IF(AND(J1733&lt;&gt;"",J1735=""),VLOOKUP(G1734,Keszlet!$C$5:$I$200,7,FALSE),""))</f>
        <v/>
      </c>
      <c r="Q1734" s="1">
        <f>VLOOKUP(G1734,Keszlet!$C$5:$E$205,3,FALSE)</f>
        <v>0</v>
      </c>
      <c r="T1734" s="1" t="str">
        <f t="shared" si="126"/>
        <v/>
      </c>
      <c r="U1734" s="1">
        <f t="shared" si="127"/>
        <v>0</v>
      </c>
      <c r="W1734" s="6">
        <f t="shared" si="130"/>
        <v>0</v>
      </c>
      <c r="X1734" s="6">
        <f t="shared" si="122"/>
        <v>0</v>
      </c>
      <c r="Y1734" s="1">
        <f t="shared" si="128"/>
        <v>1</v>
      </c>
      <c r="Z1734" s="1">
        <f>IF(COUNTIF($Y$6:Y1734,Y1734)=1,Y1734,Y1734+COUNTIF($Y$5:Y1733,Y1734))</f>
        <v>729</v>
      </c>
      <c r="AD1734" s="1" t="str">
        <f t="shared" si="129"/>
        <v/>
      </c>
      <c r="BA1734" s="1">
        <f>IF(W1734&lt;=Leltar_iv!$Y$1,I1734,0)</f>
        <v>0</v>
      </c>
    </row>
    <row r="1735" spans="1:53" s="1" customFormat="1" x14ac:dyDescent="0.25">
      <c r="A1735" s="18">
        <f>IF(COUNTIF($Y$6:Y1735,Y1735)=1,Y1735,Y1735+COUNTIF($Y$5:Y1734,Y1735))</f>
        <v>730</v>
      </c>
      <c r="B1735" s="1">
        <f>IF(AND(Kisero_iv!$N$2=C1735,Kisero_iv!$K$5=$B$3,SUM(I1735:L1739)&lt;&gt;0,$B$4=YEAR(W1735)),B1734+1,0)</f>
        <v>0</v>
      </c>
      <c r="C1735" s="1">
        <f t="shared" si="123"/>
        <v>730</v>
      </c>
      <c r="D1735" s="102" t="str">
        <f t="shared" si="124"/>
        <v/>
      </c>
      <c r="E1735" s="44"/>
      <c r="F1735" s="45"/>
      <c r="G1735" s="45"/>
      <c r="H1735" s="45"/>
      <c r="I1735" s="46"/>
      <c r="J1735" s="111" t="str">
        <f>IF(AND(G1735&lt;&gt;"",ISERROR(VLOOKUP(G1735,Keszlet!$C$5:$H$200,6,FALSE))=FALSE),VLOOKUP(G1735,Keszlet!$C$5:$H$200,6,FALSE),"")</f>
        <v/>
      </c>
      <c r="K1735" s="106" t="str">
        <f>IF(AND(G1735&lt;&gt;"",ISERROR(VLOOKUP(G1735,Keszlet!$C$5:$G$200,5,FALSE))=FALSE),VLOOKUP(G1735,Keszlet!$C$5:$G$200,5,FALSE),"")</f>
        <v/>
      </c>
      <c r="L1735" s="106" t="str">
        <f t="shared" si="125"/>
        <v/>
      </c>
      <c r="M1735" s="115" t="str">
        <f>IF(ISERROR(VLOOKUP(G1735,Keszlet!$C$5:$I$200,7,FALSE))=TRUE,"",IF(AND(J1734&lt;&gt;"",J1736=""),VLOOKUP(G1735,Keszlet!$C$5:$I$200,7,FALSE),""))</f>
        <v/>
      </c>
      <c r="Q1735" s="1">
        <f>VLOOKUP(G1735,Keszlet!$C$5:$E$205,3,FALSE)</f>
        <v>0</v>
      </c>
      <c r="T1735" s="1" t="str">
        <f t="shared" si="126"/>
        <v/>
      </c>
      <c r="U1735" s="1">
        <f t="shared" si="127"/>
        <v>0</v>
      </c>
      <c r="W1735" s="6">
        <f t="shared" si="130"/>
        <v>0</v>
      </c>
      <c r="X1735" s="6">
        <f t="shared" si="122"/>
        <v>0</v>
      </c>
      <c r="Y1735" s="1">
        <f t="shared" si="128"/>
        <v>1</v>
      </c>
      <c r="Z1735" s="1">
        <f>IF(COUNTIF($Y$6:Y1735,Y1735)=1,Y1735,Y1735+COUNTIF($Y$5:Y1734,Y1735))</f>
        <v>730</v>
      </c>
      <c r="AD1735" s="1" t="str">
        <f t="shared" si="129"/>
        <v/>
      </c>
      <c r="BA1735" s="1">
        <f>IF(W1735&lt;=Leltar_iv!$Y$1,I1735,0)</f>
        <v>0</v>
      </c>
    </row>
    <row r="1736" spans="1:53" s="1" customFormat="1" x14ac:dyDescent="0.25">
      <c r="A1736" s="18">
        <f>IF(COUNTIF($Y$6:Y1736,Y1736)=1,Y1736,Y1736+COUNTIF($Y$5:Y1735,Y1736))</f>
        <v>731</v>
      </c>
      <c r="B1736" s="1">
        <f>IF(AND(Kisero_iv!$N$2=C1736,Kisero_iv!$K$5=$B$3,SUM(I1736:L1740)&lt;&gt;0,$B$4=YEAR(W1736)),B1735+1,0)</f>
        <v>0</v>
      </c>
      <c r="C1736" s="1">
        <f t="shared" si="123"/>
        <v>731</v>
      </c>
      <c r="D1736" s="102" t="str">
        <f t="shared" si="124"/>
        <v/>
      </c>
      <c r="E1736" s="44"/>
      <c r="F1736" s="45"/>
      <c r="G1736" s="45"/>
      <c r="H1736" s="45"/>
      <c r="I1736" s="46"/>
      <c r="J1736" s="111" t="str">
        <f>IF(AND(G1736&lt;&gt;"",ISERROR(VLOOKUP(G1736,Keszlet!$C$5:$H$200,6,FALSE))=FALSE),VLOOKUP(G1736,Keszlet!$C$5:$H$200,6,FALSE),"")</f>
        <v/>
      </c>
      <c r="K1736" s="106" t="str">
        <f>IF(AND(G1736&lt;&gt;"",ISERROR(VLOOKUP(G1736,Keszlet!$C$5:$G$200,5,FALSE))=FALSE),VLOOKUP(G1736,Keszlet!$C$5:$G$200,5,FALSE),"")</f>
        <v/>
      </c>
      <c r="L1736" s="106" t="str">
        <f t="shared" si="125"/>
        <v/>
      </c>
      <c r="M1736" s="115" t="str">
        <f>IF(ISERROR(VLOOKUP(G1736,Keszlet!$C$5:$I$200,7,FALSE))=TRUE,"",IF(AND(J1735&lt;&gt;"",J1737=""),VLOOKUP(G1736,Keszlet!$C$5:$I$200,7,FALSE),""))</f>
        <v/>
      </c>
      <c r="Q1736" s="1">
        <f>VLOOKUP(G1736,Keszlet!$C$5:$E$205,3,FALSE)</f>
        <v>0</v>
      </c>
      <c r="T1736" s="1" t="str">
        <f t="shared" si="126"/>
        <v/>
      </c>
      <c r="U1736" s="1">
        <f t="shared" si="127"/>
        <v>0</v>
      </c>
      <c r="W1736" s="6">
        <f t="shared" si="130"/>
        <v>0</v>
      </c>
      <c r="X1736" s="6">
        <f t="shared" si="122"/>
        <v>0</v>
      </c>
      <c r="Y1736" s="1">
        <f t="shared" si="128"/>
        <v>1</v>
      </c>
      <c r="Z1736" s="1">
        <f>IF(COUNTIF($Y$6:Y1736,Y1736)=1,Y1736,Y1736+COUNTIF($Y$5:Y1735,Y1736))</f>
        <v>731</v>
      </c>
      <c r="AD1736" s="1" t="str">
        <f t="shared" si="129"/>
        <v/>
      </c>
      <c r="BA1736" s="1">
        <f>IF(W1736&lt;=Leltar_iv!$Y$1,I1736,0)</f>
        <v>0</v>
      </c>
    </row>
    <row r="1737" spans="1:53" s="1" customFormat="1" x14ac:dyDescent="0.25">
      <c r="A1737" s="18">
        <f>IF(COUNTIF($Y$6:Y1737,Y1737)=1,Y1737,Y1737+COUNTIF($Y$5:Y1736,Y1737))</f>
        <v>732</v>
      </c>
      <c r="B1737" s="1">
        <f>IF(AND(Kisero_iv!$N$2=C1737,Kisero_iv!$K$5=$B$3,SUM(I1737:L1741)&lt;&gt;0,$B$4=YEAR(W1737)),B1736+1,0)</f>
        <v>0</v>
      </c>
      <c r="C1737" s="1">
        <f t="shared" si="123"/>
        <v>732</v>
      </c>
      <c r="D1737" s="102" t="str">
        <f t="shared" si="124"/>
        <v/>
      </c>
      <c r="E1737" s="44"/>
      <c r="F1737" s="45"/>
      <c r="G1737" s="45"/>
      <c r="H1737" s="45"/>
      <c r="I1737" s="46"/>
      <c r="J1737" s="111" t="str">
        <f>IF(AND(G1737&lt;&gt;"",ISERROR(VLOOKUP(G1737,Keszlet!$C$5:$H$200,6,FALSE))=FALSE),VLOOKUP(G1737,Keszlet!$C$5:$H$200,6,FALSE),"")</f>
        <v/>
      </c>
      <c r="K1737" s="106" t="str">
        <f>IF(AND(G1737&lt;&gt;"",ISERROR(VLOOKUP(G1737,Keszlet!$C$5:$G$200,5,FALSE))=FALSE),VLOOKUP(G1737,Keszlet!$C$5:$G$200,5,FALSE),"")</f>
        <v/>
      </c>
      <c r="L1737" s="106" t="str">
        <f t="shared" si="125"/>
        <v/>
      </c>
      <c r="M1737" s="115" t="str">
        <f>IF(ISERROR(VLOOKUP(G1737,Keszlet!$C$5:$I$200,7,FALSE))=TRUE,"",IF(AND(J1736&lt;&gt;"",J1738=""),VLOOKUP(G1737,Keszlet!$C$5:$I$200,7,FALSE),""))</f>
        <v/>
      </c>
      <c r="Q1737" s="1">
        <f>VLOOKUP(G1737,Keszlet!$C$5:$E$205,3,FALSE)</f>
        <v>0</v>
      </c>
      <c r="T1737" s="1" t="str">
        <f t="shared" si="126"/>
        <v/>
      </c>
      <c r="U1737" s="1">
        <f t="shared" si="127"/>
        <v>0</v>
      </c>
      <c r="W1737" s="6">
        <f t="shared" si="130"/>
        <v>0</v>
      </c>
      <c r="X1737" s="6">
        <f t="shared" si="122"/>
        <v>0</v>
      </c>
      <c r="Y1737" s="1">
        <f t="shared" si="128"/>
        <v>1</v>
      </c>
      <c r="Z1737" s="1">
        <f>IF(COUNTIF($Y$6:Y1737,Y1737)=1,Y1737,Y1737+COUNTIF($Y$5:Y1736,Y1737))</f>
        <v>732</v>
      </c>
      <c r="AD1737" s="1" t="str">
        <f t="shared" si="129"/>
        <v/>
      </c>
      <c r="BA1737" s="1">
        <f>IF(W1737&lt;=Leltar_iv!$Y$1,I1737,0)</f>
        <v>0</v>
      </c>
    </row>
    <row r="1738" spans="1:53" s="1" customFormat="1" x14ac:dyDescent="0.25">
      <c r="A1738" s="18">
        <f>IF(COUNTIF($Y$6:Y1738,Y1738)=1,Y1738,Y1738+COUNTIF($Y$5:Y1737,Y1738))</f>
        <v>733</v>
      </c>
      <c r="B1738" s="1">
        <f>IF(AND(Kisero_iv!$N$2=C1738,Kisero_iv!$K$5=$B$3,SUM(I1738:L1742)&lt;&gt;0,$B$4=YEAR(W1738)),B1737+1,0)</f>
        <v>0</v>
      </c>
      <c r="C1738" s="1">
        <f t="shared" si="123"/>
        <v>733</v>
      </c>
      <c r="D1738" s="102" t="str">
        <f t="shared" si="124"/>
        <v/>
      </c>
      <c r="E1738" s="44"/>
      <c r="F1738" s="45"/>
      <c r="G1738" s="45"/>
      <c r="H1738" s="45"/>
      <c r="I1738" s="46"/>
      <c r="J1738" s="111" t="str">
        <f>IF(AND(G1738&lt;&gt;"",ISERROR(VLOOKUP(G1738,Keszlet!$C$5:$H$200,6,FALSE))=FALSE),VLOOKUP(G1738,Keszlet!$C$5:$H$200,6,FALSE),"")</f>
        <v/>
      </c>
      <c r="K1738" s="106" t="str">
        <f>IF(AND(G1738&lt;&gt;"",ISERROR(VLOOKUP(G1738,Keszlet!$C$5:$G$200,5,FALSE))=FALSE),VLOOKUP(G1738,Keszlet!$C$5:$G$200,5,FALSE),"")</f>
        <v/>
      </c>
      <c r="L1738" s="106" t="str">
        <f t="shared" si="125"/>
        <v/>
      </c>
      <c r="M1738" s="115" t="str">
        <f>IF(ISERROR(VLOOKUP(G1738,Keszlet!$C$5:$I$200,7,FALSE))=TRUE,"",IF(AND(J1737&lt;&gt;"",J1739=""),VLOOKUP(G1738,Keszlet!$C$5:$I$200,7,FALSE),""))</f>
        <v/>
      </c>
      <c r="Q1738" s="1">
        <f>VLOOKUP(G1738,Keszlet!$C$5:$E$205,3,FALSE)</f>
        <v>0</v>
      </c>
      <c r="T1738" s="1" t="str">
        <f t="shared" si="126"/>
        <v/>
      </c>
      <c r="U1738" s="1">
        <f t="shared" si="127"/>
        <v>0</v>
      </c>
      <c r="W1738" s="6">
        <f t="shared" si="130"/>
        <v>0</v>
      </c>
      <c r="X1738" s="6">
        <f t="shared" si="122"/>
        <v>0</v>
      </c>
      <c r="Y1738" s="1">
        <f t="shared" si="128"/>
        <v>1</v>
      </c>
      <c r="Z1738" s="1">
        <f>IF(COUNTIF($Y$6:Y1738,Y1738)=1,Y1738,Y1738+COUNTIF($Y$5:Y1737,Y1738))</f>
        <v>733</v>
      </c>
      <c r="AD1738" s="1" t="str">
        <f t="shared" si="129"/>
        <v/>
      </c>
      <c r="BA1738" s="1">
        <f>IF(W1738&lt;=Leltar_iv!$Y$1,I1738,0)</f>
        <v>0</v>
      </c>
    </row>
    <row r="1739" spans="1:53" s="1" customFormat="1" x14ac:dyDescent="0.25">
      <c r="A1739" s="18">
        <f>IF(COUNTIF($Y$6:Y1739,Y1739)=1,Y1739,Y1739+COUNTIF($Y$5:Y1738,Y1739))</f>
        <v>734</v>
      </c>
      <c r="B1739" s="1">
        <f>IF(AND(Kisero_iv!$N$2=C1739,Kisero_iv!$K$5=$B$3,SUM(I1739:L1743)&lt;&gt;0,$B$4=YEAR(W1739)),B1738+1,0)</f>
        <v>0</v>
      </c>
      <c r="C1739" s="1">
        <f t="shared" si="123"/>
        <v>734</v>
      </c>
      <c r="D1739" s="102" t="str">
        <f t="shared" si="124"/>
        <v/>
      </c>
      <c r="E1739" s="44"/>
      <c r="F1739" s="45"/>
      <c r="G1739" s="45"/>
      <c r="H1739" s="45"/>
      <c r="I1739" s="46"/>
      <c r="J1739" s="111" t="str">
        <f>IF(AND(G1739&lt;&gt;"",ISERROR(VLOOKUP(G1739,Keszlet!$C$5:$H$200,6,FALSE))=FALSE),VLOOKUP(G1739,Keszlet!$C$5:$H$200,6,FALSE),"")</f>
        <v/>
      </c>
      <c r="K1739" s="106" t="str">
        <f>IF(AND(G1739&lt;&gt;"",ISERROR(VLOOKUP(G1739,Keszlet!$C$5:$G$200,5,FALSE))=FALSE),VLOOKUP(G1739,Keszlet!$C$5:$G$200,5,FALSE),"")</f>
        <v/>
      </c>
      <c r="L1739" s="106" t="str">
        <f t="shared" si="125"/>
        <v/>
      </c>
      <c r="M1739" s="115" t="str">
        <f>IF(ISERROR(VLOOKUP(G1739,Keszlet!$C$5:$I$200,7,FALSE))=TRUE,"",IF(AND(J1738&lt;&gt;"",J1740=""),VLOOKUP(G1739,Keszlet!$C$5:$I$200,7,FALSE),""))</f>
        <v/>
      </c>
      <c r="Q1739" s="1">
        <f>VLOOKUP(G1739,Keszlet!$C$5:$E$205,3,FALSE)</f>
        <v>0</v>
      </c>
      <c r="T1739" s="1" t="str">
        <f t="shared" si="126"/>
        <v/>
      </c>
      <c r="U1739" s="1">
        <f t="shared" si="127"/>
        <v>0</v>
      </c>
      <c r="W1739" s="6">
        <f t="shared" si="130"/>
        <v>0</v>
      </c>
      <c r="X1739" s="6">
        <f t="shared" si="122"/>
        <v>0</v>
      </c>
      <c r="Y1739" s="1">
        <f t="shared" si="128"/>
        <v>1</v>
      </c>
      <c r="Z1739" s="1">
        <f>IF(COUNTIF($Y$6:Y1739,Y1739)=1,Y1739,Y1739+COUNTIF($Y$5:Y1738,Y1739))</f>
        <v>734</v>
      </c>
      <c r="AD1739" s="1" t="str">
        <f t="shared" si="129"/>
        <v/>
      </c>
      <c r="BA1739" s="1">
        <f>IF(W1739&lt;=Leltar_iv!$Y$1,I1739,0)</f>
        <v>0</v>
      </c>
    </row>
    <row r="1740" spans="1:53" s="1" customFormat="1" x14ac:dyDescent="0.25">
      <c r="A1740" s="18">
        <f>IF(COUNTIF($Y$6:Y1740,Y1740)=1,Y1740,Y1740+COUNTIF($Y$5:Y1739,Y1740))</f>
        <v>735</v>
      </c>
      <c r="B1740" s="1">
        <f>IF(AND(Kisero_iv!$N$2=C1740,Kisero_iv!$K$5=$B$3,SUM(I1740:L1744)&lt;&gt;0,$B$4=YEAR(W1740)),B1739+1,0)</f>
        <v>0</v>
      </c>
      <c r="C1740" s="1">
        <f t="shared" si="123"/>
        <v>735</v>
      </c>
      <c r="D1740" s="102" t="str">
        <f t="shared" si="124"/>
        <v/>
      </c>
      <c r="E1740" s="44"/>
      <c r="F1740" s="45"/>
      <c r="G1740" s="45"/>
      <c r="H1740" s="45"/>
      <c r="I1740" s="46"/>
      <c r="J1740" s="111" t="str">
        <f>IF(AND(G1740&lt;&gt;"",ISERROR(VLOOKUP(G1740,Keszlet!$C$5:$H$200,6,FALSE))=FALSE),VLOOKUP(G1740,Keszlet!$C$5:$H$200,6,FALSE),"")</f>
        <v/>
      </c>
      <c r="K1740" s="106" t="str">
        <f>IF(AND(G1740&lt;&gt;"",ISERROR(VLOOKUP(G1740,Keszlet!$C$5:$G$200,5,FALSE))=FALSE),VLOOKUP(G1740,Keszlet!$C$5:$G$200,5,FALSE),"")</f>
        <v/>
      </c>
      <c r="L1740" s="106" t="str">
        <f t="shared" si="125"/>
        <v/>
      </c>
      <c r="M1740" s="115" t="str">
        <f>IF(ISERROR(VLOOKUP(G1740,Keszlet!$C$5:$I$200,7,FALSE))=TRUE,"",IF(AND(J1739&lt;&gt;"",J1741=""),VLOOKUP(G1740,Keszlet!$C$5:$I$200,7,FALSE),""))</f>
        <v/>
      </c>
      <c r="Q1740" s="1">
        <f>VLOOKUP(G1740,Keszlet!$C$5:$E$205,3,FALSE)</f>
        <v>0</v>
      </c>
      <c r="T1740" s="1" t="str">
        <f t="shared" si="126"/>
        <v/>
      </c>
      <c r="U1740" s="1">
        <f t="shared" si="127"/>
        <v>0</v>
      </c>
      <c r="W1740" s="6">
        <f t="shared" si="130"/>
        <v>0</v>
      </c>
      <c r="X1740" s="6">
        <f t="shared" si="122"/>
        <v>0</v>
      </c>
      <c r="Y1740" s="1">
        <f t="shared" si="128"/>
        <v>1</v>
      </c>
      <c r="Z1740" s="1">
        <f>IF(COUNTIF($Y$6:Y1740,Y1740)=1,Y1740,Y1740+COUNTIF($Y$5:Y1739,Y1740))</f>
        <v>735</v>
      </c>
      <c r="AD1740" s="1" t="str">
        <f t="shared" si="129"/>
        <v/>
      </c>
      <c r="BA1740" s="1">
        <f>IF(W1740&lt;=Leltar_iv!$Y$1,I1740,0)</f>
        <v>0</v>
      </c>
    </row>
    <row r="1741" spans="1:53" s="1" customFormat="1" x14ac:dyDescent="0.25">
      <c r="A1741" s="18">
        <f>IF(COUNTIF($Y$6:Y1741,Y1741)=1,Y1741,Y1741+COUNTIF($Y$5:Y1740,Y1741))</f>
        <v>736</v>
      </c>
      <c r="B1741" s="1">
        <f>IF(AND(Kisero_iv!$N$2=C1741,Kisero_iv!$K$5=$B$3,SUM(I1741:L1745)&lt;&gt;0,$B$4=YEAR(W1741)),B1740+1,0)</f>
        <v>0</v>
      </c>
      <c r="C1741" s="1">
        <f t="shared" si="123"/>
        <v>736</v>
      </c>
      <c r="D1741" s="102" t="str">
        <f t="shared" si="124"/>
        <v/>
      </c>
      <c r="E1741" s="44"/>
      <c r="F1741" s="45"/>
      <c r="G1741" s="45"/>
      <c r="H1741" s="45"/>
      <c r="I1741" s="46"/>
      <c r="J1741" s="111" t="str">
        <f>IF(AND(G1741&lt;&gt;"",ISERROR(VLOOKUP(G1741,Keszlet!$C$5:$H$200,6,FALSE))=FALSE),VLOOKUP(G1741,Keszlet!$C$5:$H$200,6,FALSE),"")</f>
        <v/>
      </c>
      <c r="K1741" s="106" t="str">
        <f>IF(AND(G1741&lt;&gt;"",ISERROR(VLOOKUP(G1741,Keszlet!$C$5:$G$200,5,FALSE))=FALSE),VLOOKUP(G1741,Keszlet!$C$5:$G$200,5,FALSE),"")</f>
        <v/>
      </c>
      <c r="L1741" s="106" t="str">
        <f t="shared" si="125"/>
        <v/>
      </c>
      <c r="M1741" s="115" t="str">
        <f>IF(ISERROR(VLOOKUP(G1741,Keszlet!$C$5:$I$200,7,FALSE))=TRUE,"",IF(AND(J1740&lt;&gt;"",J1742=""),VLOOKUP(G1741,Keszlet!$C$5:$I$200,7,FALSE),""))</f>
        <v/>
      </c>
      <c r="Q1741" s="1">
        <f>VLOOKUP(G1741,Keszlet!$C$5:$E$205,3,FALSE)</f>
        <v>0</v>
      </c>
      <c r="T1741" s="1" t="str">
        <f t="shared" si="126"/>
        <v/>
      </c>
      <c r="U1741" s="1">
        <f t="shared" si="127"/>
        <v>0</v>
      </c>
      <c r="W1741" s="6">
        <f t="shared" si="130"/>
        <v>0</v>
      </c>
      <c r="X1741" s="6">
        <f t="shared" si="122"/>
        <v>0</v>
      </c>
      <c r="Y1741" s="1">
        <f t="shared" si="128"/>
        <v>1</v>
      </c>
      <c r="Z1741" s="1">
        <f>IF(COUNTIF($Y$6:Y1741,Y1741)=1,Y1741,Y1741+COUNTIF($Y$5:Y1740,Y1741))</f>
        <v>736</v>
      </c>
      <c r="AD1741" s="1" t="str">
        <f t="shared" si="129"/>
        <v/>
      </c>
      <c r="BA1741" s="1">
        <f>IF(W1741&lt;=Leltar_iv!$Y$1,I1741,0)</f>
        <v>0</v>
      </c>
    </row>
    <row r="1742" spans="1:53" s="1" customFormat="1" x14ac:dyDescent="0.25">
      <c r="A1742" s="18">
        <f>IF(COUNTIF($Y$6:Y1742,Y1742)=1,Y1742,Y1742+COUNTIF($Y$5:Y1741,Y1742))</f>
        <v>737</v>
      </c>
      <c r="B1742" s="1">
        <f>IF(AND(Kisero_iv!$N$2=C1742,Kisero_iv!$K$5=$B$3,SUM(I1742:L1746)&lt;&gt;0,$B$4=YEAR(W1742)),B1741+1,0)</f>
        <v>0</v>
      </c>
      <c r="C1742" s="1">
        <f t="shared" si="123"/>
        <v>737</v>
      </c>
      <c r="D1742" s="102" t="str">
        <f t="shared" si="124"/>
        <v/>
      </c>
      <c r="E1742" s="44"/>
      <c r="F1742" s="45"/>
      <c r="G1742" s="45"/>
      <c r="H1742" s="45"/>
      <c r="I1742" s="46"/>
      <c r="J1742" s="111" t="str">
        <f>IF(AND(G1742&lt;&gt;"",ISERROR(VLOOKUP(G1742,Keszlet!$C$5:$H$200,6,FALSE))=FALSE),VLOOKUP(G1742,Keszlet!$C$5:$H$200,6,FALSE),"")</f>
        <v/>
      </c>
      <c r="K1742" s="106" t="str">
        <f>IF(AND(G1742&lt;&gt;"",ISERROR(VLOOKUP(G1742,Keszlet!$C$5:$G$200,5,FALSE))=FALSE),VLOOKUP(G1742,Keszlet!$C$5:$G$200,5,FALSE),"")</f>
        <v/>
      </c>
      <c r="L1742" s="106" t="str">
        <f t="shared" si="125"/>
        <v/>
      </c>
      <c r="M1742" s="115" t="str">
        <f>IF(ISERROR(VLOOKUP(G1742,Keszlet!$C$5:$I$200,7,FALSE))=TRUE,"",IF(AND(J1741&lt;&gt;"",J1743=""),VLOOKUP(G1742,Keszlet!$C$5:$I$200,7,FALSE),""))</f>
        <v/>
      </c>
      <c r="Q1742" s="1">
        <f>VLOOKUP(G1742,Keszlet!$C$5:$E$205,3,FALSE)</f>
        <v>0</v>
      </c>
      <c r="T1742" s="1" t="str">
        <f t="shared" si="126"/>
        <v/>
      </c>
      <c r="U1742" s="1">
        <f t="shared" si="127"/>
        <v>0</v>
      </c>
      <c r="W1742" s="6">
        <f t="shared" si="130"/>
        <v>0</v>
      </c>
      <c r="X1742" s="6">
        <f t="shared" si="122"/>
        <v>0</v>
      </c>
      <c r="Y1742" s="1">
        <f t="shared" si="128"/>
        <v>1</v>
      </c>
      <c r="Z1742" s="1">
        <f>IF(COUNTIF($Y$6:Y1742,Y1742)=1,Y1742,Y1742+COUNTIF($Y$5:Y1741,Y1742))</f>
        <v>737</v>
      </c>
      <c r="AD1742" s="1" t="str">
        <f t="shared" si="129"/>
        <v/>
      </c>
      <c r="BA1742" s="1">
        <f>IF(W1742&lt;=Leltar_iv!$Y$1,I1742,0)</f>
        <v>0</v>
      </c>
    </row>
    <row r="1743" spans="1:53" s="1" customFormat="1" x14ac:dyDescent="0.25">
      <c r="A1743" s="18">
        <f>IF(COUNTIF($Y$6:Y1743,Y1743)=1,Y1743,Y1743+COUNTIF($Y$5:Y1742,Y1743))</f>
        <v>738</v>
      </c>
      <c r="B1743" s="1">
        <f>IF(AND(Kisero_iv!$N$2=C1743,Kisero_iv!$K$5=$B$3,SUM(I1743:L1747)&lt;&gt;0,$B$4=YEAR(W1743)),B1742+1,0)</f>
        <v>0</v>
      </c>
      <c r="C1743" s="1">
        <f t="shared" si="123"/>
        <v>738</v>
      </c>
      <c r="D1743" s="102" t="str">
        <f t="shared" si="124"/>
        <v/>
      </c>
      <c r="E1743" s="44"/>
      <c r="F1743" s="45"/>
      <c r="G1743" s="45"/>
      <c r="H1743" s="45"/>
      <c r="I1743" s="46"/>
      <c r="J1743" s="111" t="str">
        <f>IF(AND(G1743&lt;&gt;"",ISERROR(VLOOKUP(G1743,Keszlet!$C$5:$H$200,6,FALSE))=FALSE),VLOOKUP(G1743,Keszlet!$C$5:$H$200,6,FALSE),"")</f>
        <v/>
      </c>
      <c r="K1743" s="106" t="str">
        <f>IF(AND(G1743&lt;&gt;"",ISERROR(VLOOKUP(G1743,Keszlet!$C$5:$G$200,5,FALSE))=FALSE),VLOOKUP(G1743,Keszlet!$C$5:$G$200,5,FALSE),"")</f>
        <v/>
      </c>
      <c r="L1743" s="106" t="str">
        <f t="shared" si="125"/>
        <v/>
      </c>
      <c r="M1743" s="115" t="str">
        <f>IF(ISERROR(VLOOKUP(G1743,Keszlet!$C$5:$I$200,7,FALSE))=TRUE,"",IF(AND(J1742&lt;&gt;"",J1744=""),VLOOKUP(G1743,Keszlet!$C$5:$I$200,7,FALSE),""))</f>
        <v/>
      </c>
      <c r="Q1743" s="1">
        <f>VLOOKUP(G1743,Keszlet!$C$5:$E$205,3,FALSE)</f>
        <v>0</v>
      </c>
      <c r="T1743" s="1" t="str">
        <f t="shared" si="126"/>
        <v/>
      </c>
      <c r="U1743" s="1">
        <f t="shared" si="127"/>
        <v>0</v>
      </c>
      <c r="W1743" s="6">
        <f t="shared" si="130"/>
        <v>0</v>
      </c>
      <c r="X1743" s="6">
        <f t="shared" si="122"/>
        <v>0</v>
      </c>
      <c r="Y1743" s="1">
        <f t="shared" si="128"/>
        <v>1</v>
      </c>
      <c r="Z1743" s="1">
        <f>IF(COUNTIF($Y$6:Y1743,Y1743)=1,Y1743,Y1743+COUNTIF($Y$5:Y1742,Y1743))</f>
        <v>738</v>
      </c>
      <c r="AD1743" s="1" t="str">
        <f t="shared" si="129"/>
        <v/>
      </c>
      <c r="BA1743" s="1">
        <f>IF(W1743&lt;=Leltar_iv!$Y$1,I1743,0)</f>
        <v>0</v>
      </c>
    </row>
    <row r="1744" spans="1:53" s="1" customFormat="1" x14ac:dyDescent="0.25">
      <c r="A1744" s="18">
        <f>IF(COUNTIF($Y$6:Y1744,Y1744)=1,Y1744,Y1744+COUNTIF($Y$5:Y1743,Y1744))</f>
        <v>739</v>
      </c>
      <c r="B1744" s="1">
        <f>IF(AND(Kisero_iv!$N$2=C1744,Kisero_iv!$K$5=$B$3,SUM(I1744:L1748)&lt;&gt;0,$B$4=YEAR(W1744)),B1743+1,0)</f>
        <v>0</v>
      </c>
      <c r="C1744" s="1">
        <f t="shared" si="123"/>
        <v>739</v>
      </c>
      <c r="D1744" s="102" t="str">
        <f t="shared" si="124"/>
        <v/>
      </c>
      <c r="E1744" s="44"/>
      <c r="F1744" s="45"/>
      <c r="G1744" s="45"/>
      <c r="H1744" s="45"/>
      <c r="I1744" s="46"/>
      <c r="J1744" s="111" t="str">
        <f>IF(AND(G1744&lt;&gt;"",ISERROR(VLOOKUP(G1744,Keszlet!$C$5:$H$200,6,FALSE))=FALSE),VLOOKUP(G1744,Keszlet!$C$5:$H$200,6,FALSE),"")</f>
        <v/>
      </c>
      <c r="K1744" s="106" t="str">
        <f>IF(AND(G1744&lt;&gt;"",ISERROR(VLOOKUP(G1744,Keszlet!$C$5:$G$200,5,FALSE))=FALSE),VLOOKUP(G1744,Keszlet!$C$5:$G$200,5,FALSE),"")</f>
        <v/>
      </c>
      <c r="L1744" s="106" t="str">
        <f t="shared" si="125"/>
        <v/>
      </c>
      <c r="M1744" s="115" t="str">
        <f>IF(ISERROR(VLOOKUP(G1744,Keszlet!$C$5:$I$200,7,FALSE))=TRUE,"",IF(AND(J1743&lt;&gt;"",J1745=""),VLOOKUP(G1744,Keszlet!$C$5:$I$200,7,FALSE),""))</f>
        <v/>
      </c>
      <c r="Q1744" s="1">
        <f>VLOOKUP(G1744,Keszlet!$C$5:$E$205,3,FALSE)</f>
        <v>0</v>
      </c>
      <c r="T1744" s="1" t="str">
        <f t="shared" si="126"/>
        <v/>
      </c>
      <c r="U1744" s="1">
        <f t="shared" si="127"/>
        <v>0</v>
      </c>
      <c r="W1744" s="6">
        <f t="shared" si="130"/>
        <v>0</v>
      </c>
      <c r="X1744" s="6">
        <f t="shared" si="122"/>
        <v>0</v>
      </c>
      <c r="Y1744" s="1">
        <f t="shared" si="128"/>
        <v>1</v>
      </c>
      <c r="Z1744" s="1">
        <f>IF(COUNTIF($Y$6:Y1744,Y1744)=1,Y1744,Y1744+COUNTIF($Y$5:Y1743,Y1744))</f>
        <v>739</v>
      </c>
      <c r="AD1744" s="1" t="str">
        <f t="shared" si="129"/>
        <v/>
      </c>
      <c r="BA1744" s="1">
        <f>IF(W1744&lt;=Leltar_iv!$Y$1,I1744,0)</f>
        <v>0</v>
      </c>
    </row>
    <row r="1745" spans="1:53" s="1" customFormat="1" x14ac:dyDescent="0.25">
      <c r="A1745" s="18">
        <f>IF(COUNTIF($Y$6:Y1745,Y1745)=1,Y1745,Y1745+COUNTIF($Y$5:Y1744,Y1745))</f>
        <v>740</v>
      </c>
      <c r="B1745" s="1">
        <f>IF(AND(Kisero_iv!$N$2=C1745,Kisero_iv!$K$5=$B$3,SUM(I1745:L1749)&lt;&gt;0,$B$4=YEAR(W1745)),B1744+1,0)</f>
        <v>0</v>
      </c>
      <c r="C1745" s="1">
        <f t="shared" si="123"/>
        <v>740</v>
      </c>
      <c r="D1745" s="102" t="str">
        <f t="shared" si="124"/>
        <v/>
      </c>
      <c r="E1745" s="44"/>
      <c r="F1745" s="45"/>
      <c r="G1745" s="45"/>
      <c r="H1745" s="45"/>
      <c r="I1745" s="46"/>
      <c r="J1745" s="111" t="str">
        <f>IF(AND(G1745&lt;&gt;"",ISERROR(VLOOKUP(G1745,Keszlet!$C$5:$H$200,6,FALSE))=FALSE),VLOOKUP(G1745,Keszlet!$C$5:$H$200,6,FALSE),"")</f>
        <v/>
      </c>
      <c r="K1745" s="106" t="str">
        <f>IF(AND(G1745&lt;&gt;"",ISERROR(VLOOKUP(G1745,Keszlet!$C$5:$G$200,5,FALSE))=FALSE),VLOOKUP(G1745,Keszlet!$C$5:$G$200,5,FALSE),"")</f>
        <v/>
      </c>
      <c r="L1745" s="106" t="str">
        <f t="shared" si="125"/>
        <v/>
      </c>
      <c r="M1745" s="115" t="str">
        <f>IF(ISERROR(VLOOKUP(G1745,Keszlet!$C$5:$I$200,7,FALSE))=TRUE,"",IF(AND(J1744&lt;&gt;"",J1746=""),VLOOKUP(G1745,Keszlet!$C$5:$I$200,7,FALSE),""))</f>
        <v/>
      </c>
      <c r="Q1745" s="1">
        <f>VLOOKUP(G1745,Keszlet!$C$5:$E$205,3,FALSE)</f>
        <v>0</v>
      </c>
      <c r="T1745" s="1" t="str">
        <f t="shared" si="126"/>
        <v/>
      </c>
      <c r="U1745" s="1">
        <f t="shared" si="127"/>
        <v>0</v>
      </c>
      <c r="W1745" s="6">
        <f t="shared" si="130"/>
        <v>0</v>
      </c>
      <c r="X1745" s="6">
        <f t="shared" si="122"/>
        <v>0</v>
      </c>
      <c r="Y1745" s="1">
        <f t="shared" si="128"/>
        <v>1</v>
      </c>
      <c r="Z1745" s="1">
        <f>IF(COUNTIF($Y$6:Y1745,Y1745)=1,Y1745,Y1745+COUNTIF($Y$5:Y1744,Y1745))</f>
        <v>740</v>
      </c>
      <c r="AD1745" s="1" t="str">
        <f t="shared" si="129"/>
        <v/>
      </c>
      <c r="BA1745" s="1">
        <f>IF(W1745&lt;=Leltar_iv!$Y$1,I1745,0)</f>
        <v>0</v>
      </c>
    </row>
    <row r="1746" spans="1:53" s="1" customFormat="1" x14ac:dyDescent="0.25">
      <c r="A1746" s="18">
        <f>IF(COUNTIF($Y$6:Y1746,Y1746)=1,Y1746,Y1746+COUNTIF($Y$5:Y1745,Y1746))</f>
        <v>741</v>
      </c>
      <c r="B1746" s="1">
        <f>IF(AND(Kisero_iv!$N$2=C1746,Kisero_iv!$K$5=$B$3,SUM(I1746:L1750)&lt;&gt;0,$B$4=YEAR(W1746)),B1745+1,0)</f>
        <v>0</v>
      </c>
      <c r="C1746" s="1">
        <f t="shared" si="123"/>
        <v>741</v>
      </c>
      <c r="D1746" s="102" t="str">
        <f t="shared" si="124"/>
        <v/>
      </c>
      <c r="E1746" s="44"/>
      <c r="F1746" s="45"/>
      <c r="G1746" s="45"/>
      <c r="H1746" s="45"/>
      <c r="I1746" s="46"/>
      <c r="J1746" s="111" t="str">
        <f>IF(AND(G1746&lt;&gt;"",ISERROR(VLOOKUP(G1746,Keszlet!$C$5:$H$200,6,FALSE))=FALSE),VLOOKUP(G1746,Keszlet!$C$5:$H$200,6,FALSE),"")</f>
        <v/>
      </c>
      <c r="K1746" s="106" t="str">
        <f>IF(AND(G1746&lt;&gt;"",ISERROR(VLOOKUP(G1746,Keszlet!$C$5:$G$200,5,FALSE))=FALSE),VLOOKUP(G1746,Keszlet!$C$5:$G$200,5,FALSE),"")</f>
        <v/>
      </c>
      <c r="L1746" s="106" t="str">
        <f t="shared" si="125"/>
        <v/>
      </c>
      <c r="M1746" s="115" t="str">
        <f>IF(ISERROR(VLOOKUP(G1746,Keszlet!$C$5:$I$200,7,FALSE))=TRUE,"",IF(AND(J1745&lt;&gt;"",J1747=""),VLOOKUP(G1746,Keszlet!$C$5:$I$200,7,FALSE),""))</f>
        <v/>
      </c>
      <c r="Q1746" s="1">
        <f>VLOOKUP(G1746,Keszlet!$C$5:$E$205,3,FALSE)</f>
        <v>0</v>
      </c>
      <c r="T1746" s="1" t="str">
        <f t="shared" si="126"/>
        <v/>
      </c>
      <c r="U1746" s="1">
        <f t="shared" si="127"/>
        <v>0</v>
      </c>
      <c r="W1746" s="6">
        <f t="shared" si="130"/>
        <v>0</v>
      </c>
      <c r="X1746" s="6">
        <f t="shared" si="122"/>
        <v>0</v>
      </c>
      <c r="Y1746" s="1">
        <f t="shared" si="128"/>
        <v>1</v>
      </c>
      <c r="Z1746" s="1">
        <f>IF(COUNTIF($Y$6:Y1746,Y1746)=1,Y1746,Y1746+COUNTIF($Y$5:Y1745,Y1746))</f>
        <v>741</v>
      </c>
      <c r="AD1746" s="1" t="str">
        <f t="shared" si="129"/>
        <v/>
      </c>
      <c r="BA1746" s="1">
        <f>IF(W1746&lt;=Leltar_iv!$Y$1,I1746,0)</f>
        <v>0</v>
      </c>
    </row>
    <row r="1747" spans="1:53" s="1" customFormat="1" x14ac:dyDescent="0.25">
      <c r="A1747" s="18">
        <f>IF(COUNTIF($Y$6:Y1747,Y1747)=1,Y1747,Y1747+COUNTIF($Y$5:Y1746,Y1747))</f>
        <v>742</v>
      </c>
      <c r="B1747" s="1">
        <f>IF(AND(Kisero_iv!$N$2=C1747,Kisero_iv!$K$5=$B$3,SUM(I1747:L1751)&lt;&gt;0,$B$4=YEAR(W1747)),B1746+1,0)</f>
        <v>0</v>
      </c>
      <c r="C1747" s="1">
        <f t="shared" si="123"/>
        <v>742</v>
      </c>
      <c r="D1747" s="102" t="str">
        <f t="shared" si="124"/>
        <v/>
      </c>
      <c r="E1747" s="44"/>
      <c r="F1747" s="45"/>
      <c r="G1747" s="45"/>
      <c r="H1747" s="45"/>
      <c r="I1747" s="46"/>
      <c r="J1747" s="111" t="str">
        <f>IF(AND(G1747&lt;&gt;"",ISERROR(VLOOKUP(G1747,Keszlet!$C$5:$H$200,6,FALSE))=FALSE),VLOOKUP(G1747,Keszlet!$C$5:$H$200,6,FALSE),"")</f>
        <v/>
      </c>
      <c r="K1747" s="106" t="str">
        <f>IF(AND(G1747&lt;&gt;"",ISERROR(VLOOKUP(G1747,Keszlet!$C$5:$G$200,5,FALSE))=FALSE),VLOOKUP(G1747,Keszlet!$C$5:$G$200,5,FALSE),"")</f>
        <v/>
      </c>
      <c r="L1747" s="106" t="str">
        <f t="shared" si="125"/>
        <v/>
      </c>
      <c r="M1747" s="115" t="str">
        <f>IF(ISERROR(VLOOKUP(G1747,Keszlet!$C$5:$I$200,7,FALSE))=TRUE,"",IF(AND(J1746&lt;&gt;"",J1748=""),VLOOKUP(G1747,Keszlet!$C$5:$I$200,7,FALSE),""))</f>
        <v/>
      </c>
      <c r="Q1747" s="1">
        <f>VLOOKUP(G1747,Keszlet!$C$5:$E$205,3,FALSE)</f>
        <v>0</v>
      </c>
      <c r="T1747" s="1" t="str">
        <f t="shared" si="126"/>
        <v/>
      </c>
      <c r="U1747" s="1">
        <f t="shared" si="127"/>
        <v>0</v>
      </c>
      <c r="W1747" s="6">
        <f t="shared" si="130"/>
        <v>0</v>
      </c>
      <c r="X1747" s="6">
        <f t="shared" si="122"/>
        <v>0</v>
      </c>
      <c r="Y1747" s="1">
        <f t="shared" si="128"/>
        <v>1</v>
      </c>
      <c r="Z1747" s="1">
        <f>IF(COUNTIF($Y$6:Y1747,Y1747)=1,Y1747,Y1747+COUNTIF($Y$5:Y1746,Y1747))</f>
        <v>742</v>
      </c>
      <c r="AD1747" s="1" t="str">
        <f t="shared" si="129"/>
        <v/>
      </c>
      <c r="BA1747" s="1">
        <f>IF(W1747&lt;=Leltar_iv!$Y$1,I1747,0)</f>
        <v>0</v>
      </c>
    </row>
    <row r="1748" spans="1:53" s="1" customFormat="1" x14ac:dyDescent="0.25">
      <c r="A1748" s="18">
        <f>IF(COUNTIF($Y$6:Y1748,Y1748)=1,Y1748,Y1748+COUNTIF($Y$5:Y1747,Y1748))</f>
        <v>743</v>
      </c>
      <c r="B1748" s="1">
        <f>IF(AND(Kisero_iv!$N$2=C1748,Kisero_iv!$K$5=$B$3,SUM(I1748:L1752)&lt;&gt;0,$B$4=YEAR(W1748)),B1747+1,0)</f>
        <v>0</v>
      </c>
      <c r="C1748" s="1">
        <f t="shared" si="123"/>
        <v>743</v>
      </c>
      <c r="D1748" s="102" t="str">
        <f t="shared" si="124"/>
        <v/>
      </c>
      <c r="E1748" s="44"/>
      <c r="F1748" s="45"/>
      <c r="G1748" s="45"/>
      <c r="H1748" s="45"/>
      <c r="I1748" s="46"/>
      <c r="J1748" s="111" t="str">
        <f>IF(AND(G1748&lt;&gt;"",ISERROR(VLOOKUP(G1748,Keszlet!$C$5:$H$200,6,FALSE))=FALSE),VLOOKUP(G1748,Keszlet!$C$5:$H$200,6,FALSE),"")</f>
        <v/>
      </c>
      <c r="K1748" s="106" t="str">
        <f>IF(AND(G1748&lt;&gt;"",ISERROR(VLOOKUP(G1748,Keszlet!$C$5:$G$200,5,FALSE))=FALSE),VLOOKUP(G1748,Keszlet!$C$5:$G$200,5,FALSE),"")</f>
        <v/>
      </c>
      <c r="L1748" s="106" t="str">
        <f t="shared" si="125"/>
        <v/>
      </c>
      <c r="M1748" s="115" t="str">
        <f>IF(ISERROR(VLOOKUP(G1748,Keszlet!$C$5:$I$200,7,FALSE))=TRUE,"",IF(AND(J1747&lt;&gt;"",J1749=""),VLOOKUP(G1748,Keszlet!$C$5:$I$200,7,FALSE),""))</f>
        <v/>
      </c>
      <c r="Q1748" s="1">
        <f>VLOOKUP(G1748,Keszlet!$C$5:$E$205,3,FALSE)</f>
        <v>0</v>
      </c>
      <c r="T1748" s="1" t="str">
        <f t="shared" si="126"/>
        <v/>
      </c>
      <c r="U1748" s="1">
        <f t="shared" si="127"/>
        <v>0</v>
      </c>
      <c r="W1748" s="6">
        <f t="shared" si="130"/>
        <v>0</v>
      </c>
      <c r="X1748" s="6">
        <f t="shared" si="122"/>
        <v>0</v>
      </c>
      <c r="Y1748" s="1">
        <f t="shared" si="128"/>
        <v>1</v>
      </c>
      <c r="Z1748" s="1">
        <f>IF(COUNTIF($Y$6:Y1748,Y1748)=1,Y1748,Y1748+COUNTIF($Y$5:Y1747,Y1748))</f>
        <v>743</v>
      </c>
      <c r="AD1748" s="1" t="str">
        <f t="shared" si="129"/>
        <v/>
      </c>
      <c r="BA1748" s="1">
        <f>IF(W1748&lt;=Leltar_iv!$Y$1,I1748,0)</f>
        <v>0</v>
      </c>
    </row>
    <row r="1749" spans="1:53" s="1" customFormat="1" x14ac:dyDescent="0.25">
      <c r="A1749" s="18">
        <f>IF(COUNTIF($Y$6:Y1749,Y1749)=1,Y1749,Y1749+COUNTIF($Y$5:Y1748,Y1749))</f>
        <v>744</v>
      </c>
      <c r="B1749" s="1">
        <f>IF(AND(Kisero_iv!$N$2=C1749,Kisero_iv!$K$5=$B$3,SUM(I1749:L1753)&lt;&gt;0,$B$4=YEAR(W1749)),B1748+1,0)</f>
        <v>0</v>
      </c>
      <c r="C1749" s="1">
        <f t="shared" si="123"/>
        <v>744</v>
      </c>
      <c r="D1749" s="102" t="str">
        <f t="shared" si="124"/>
        <v/>
      </c>
      <c r="E1749" s="44"/>
      <c r="F1749" s="45"/>
      <c r="G1749" s="45"/>
      <c r="H1749" s="45"/>
      <c r="I1749" s="46"/>
      <c r="J1749" s="111" t="str">
        <f>IF(AND(G1749&lt;&gt;"",ISERROR(VLOOKUP(G1749,Keszlet!$C$5:$H$200,6,FALSE))=FALSE),VLOOKUP(G1749,Keszlet!$C$5:$H$200,6,FALSE),"")</f>
        <v/>
      </c>
      <c r="K1749" s="106" t="str">
        <f>IF(AND(G1749&lt;&gt;"",ISERROR(VLOOKUP(G1749,Keszlet!$C$5:$G$200,5,FALSE))=FALSE),VLOOKUP(G1749,Keszlet!$C$5:$G$200,5,FALSE),"")</f>
        <v/>
      </c>
      <c r="L1749" s="106" t="str">
        <f t="shared" si="125"/>
        <v/>
      </c>
      <c r="M1749" s="115" t="str">
        <f>IF(ISERROR(VLOOKUP(G1749,Keszlet!$C$5:$I$200,7,FALSE))=TRUE,"",IF(AND(J1748&lt;&gt;"",J1750=""),VLOOKUP(G1749,Keszlet!$C$5:$I$200,7,FALSE),""))</f>
        <v/>
      </c>
      <c r="Q1749" s="1">
        <f>VLOOKUP(G1749,Keszlet!$C$5:$E$205,3,FALSE)</f>
        <v>0</v>
      </c>
      <c r="T1749" s="1" t="str">
        <f t="shared" si="126"/>
        <v/>
      </c>
      <c r="U1749" s="1">
        <f t="shared" si="127"/>
        <v>0</v>
      </c>
      <c r="W1749" s="6">
        <f t="shared" si="130"/>
        <v>0</v>
      </c>
      <c r="X1749" s="6">
        <f t="shared" si="122"/>
        <v>0</v>
      </c>
      <c r="Y1749" s="1">
        <f t="shared" si="128"/>
        <v>1</v>
      </c>
      <c r="Z1749" s="1">
        <f>IF(COUNTIF($Y$6:Y1749,Y1749)=1,Y1749,Y1749+COUNTIF($Y$5:Y1748,Y1749))</f>
        <v>744</v>
      </c>
      <c r="AD1749" s="1" t="str">
        <f t="shared" si="129"/>
        <v/>
      </c>
      <c r="BA1749" s="1">
        <f>IF(W1749&lt;=Leltar_iv!$Y$1,I1749,0)</f>
        <v>0</v>
      </c>
    </row>
    <row r="1750" spans="1:53" s="1" customFormat="1" x14ac:dyDescent="0.25">
      <c r="A1750" s="18">
        <f>IF(COUNTIF($Y$6:Y1750,Y1750)=1,Y1750,Y1750+COUNTIF($Y$5:Y1749,Y1750))</f>
        <v>745</v>
      </c>
      <c r="B1750" s="1">
        <f>IF(AND(Kisero_iv!$N$2=C1750,Kisero_iv!$K$5=$B$3,SUM(I1750:L1754)&lt;&gt;0,$B$4=YEAR(W1750)),B1749+1,0)</f>
        <v>0</v>
      </c>
      <c r="C1750" s="1">
        <f t="shared" si="123"/>
        <v>745</v>
      </c>
      <c r="D1750" s="102" t="str">
        <f t="shared" si="124"/>
        <v/>
      </c>
      <c r="E1750" s="44"/>
      <c r="F1750" s="45"/>
      <c r="G1750" s="45"/>
      <c r="H1750" s="45"/>
      <c r="I1750" s="46"/>
      <c r="J1750" s="111" t="str">
        <f>IF(AND(G1750&lt;&gt;"",ISERROR(VLOOKUP(G1750,Keszlet!$C$5:$H$200,6,FALSE))=FALSE),VLOOKUP(G1750,Keszlet!$C$5:$H$200,6,FALSE),"")</f>
        <v/>
      </c>
      <c r="K1750" s="106" t="str">
        <f>IF(AND(G1750&lt;&gt;"",ISERROR(VLOOKUP(G1750,Keszlet!$C$5:$G$200,5,FALSE))=FALSE),VLOOKUP(G1750,Keszlet!$C$5:$G$200,5,FALSE),"")</f>
        <v/>
      </c>
      <c r="L1750" s="106" t="str">
        <f t="shared" si="125"/>
        <v/>
      </c>
      <c r="M1750" s="115" t="str">
        <f>IF(ISERROR(VLOOKUP(G1750,Keszlet!$C$5:$I$200,7,FALSE))=TRUE,"",IF(AND(J1749&lt;&gt;"",J1751=""),VLOOKUP(G1750,Keszlet!$C$5:$I$200,7,FALSE),""))</f>
        <v/>
      </c>
      <c r="Q1750" s="1">
        <f>VLOOKUP(G1750,Keszlet!$C$5:$E$205,3,FALSE)</f>
        <v>0</v>
      </c>
      <c r="T1750" s="1" t="str">
        <f t="shared" si="126"/>
        <v/>
      </c>
      <c r="U1750" s="1">
        <f t="shared" si="127"/>
        <v>0</v>
      </c>
      <c r="W1750" s="6">
        <f t="shared" si="130"/>
        <v>0</v>
      </c>
      <c r="X1750" s="6">
        <f t="shared" si="122"/>
        <v>0</v>
      </c>
      <c r="Y1750" s="1">
        <f t="shared" si="128"/>
        <v>1</v>
      </c>
      <c r="Z1750" s="1">
        <f>IF(COUNTIF($Y$6:Y1750,Y1750)=1,Y1750,Y1750+COUNTIF($Y$5:Y1749,Y1750))</f>
        <v>745</v>
      </c>
      <c r="AD1750" s="1" t="str">
        <f t="shared" si="129"/>
        <v/>
      </c>
      <c r="BA1750" s="1">
        <f>IF(W1750&lt;=Leltar_iv!$Y$1,I1750,0)</f>
        <v>0</v>
      </c>
    </row>
    <row r="1751" spans="1:53" s="1" customFormat="1" x14ac:dyDescent="0.25">
      <c r="A1751" s="18">
        <f>IF(COUNTIF($Y$6:Y1751,Y1751)=1,Y1751,Y1751+COUNTIF($Y$5:Y1750,Y1751))</f>
        <v>746</v>
      </c>
      <c r="B1751" s="1">
        <f>IF(AND(Kisero_iv!$N$2=C1751,Kisero_iv!$K$5=$B$3,SUM(I1751:L1755)&lt;&gt;0,$B$4=YEAR(W1751)),B1750+1,0)</f>
        <v>0</v>
      </c>
      <c r="C1751" s="1">
        <f t="shared" si="123"/>
        <v>746</v>
      </c>
      <c r="D1751" s="102" t="str">
        <f t="shared" si="124"/>
        <v/>
      </c>
      <c r="E1751" s="44"/>
      <c r="F1751" s="45"/>
      <c r="G1751" s="45"/>
      <c r="H1751" s="45"/>
      <c r="I1751" s="46"/>
      <c r="J1751" s="111" t="str">
        <f>IF(AND(G1751&lt;&gt;"",ISERROR(VLOOKUP(G1751,Keszlet!$C$5:$H$200,6,FALSE))=FALSE),VLOOKUP(G1751,Keszlet!$C$5:$H$200,6,FALSE),"")</f>
        <v/>
      </c>
      <c r="K1751" s="106" t="str">
        <f>IF(AND(G1751&lt;&gt;"",ISERROR(VLOOKUP(G1751,Keszlet!$C$5:$G$200,5,FALSE))=FALSE),VLOOKUP(G1751,Keszlet!$C$5:$G$200,5,FALSE),"")</f>
        <v/>
      </c>
      <c r="L1751" s="106" t="str">
        <f t="shared" si="125"/>
        <v/>
      </c>
      <c r="M1751" s="115" t="str">
        <f>IF(ISERROR(VLOOKUP(G1751,Keszlet!$C$5:$I$200,7,FALSE))=TRUE,"",IF(AND(J1750&lt;&gt;"",J1752=""),VLOOKUP(G1751,Keszlet!$C$5:$I$200,7,FALSE),""))</f>
        <v/>
      </c>
      <c r="Q1751" s="1">
        <f>VLOOKUP(G1751,Keszlet!$C$5:$E$205,3,FALSE)</f>
        <v>0</v>
      </c>
      <c r="T1751" s="1" t="str">
        <f t="shared" si="126"/>
        <v/>
      </c>
      <c r="U1751" s="1">
        <f t="shared" si="127"/>
        <v>0</v>
      </c>
      <c r="W1751" s="6">
        <f t="shared" si="130"/>
        <v>0</v>
      </c>
      <c r="X1751" s="6">
        <f t="shared" si="122"/>
        <v>0</v>
      </c>
      <c r="Y1751" s="1">
        <f t="shared" si="128"/>
        <v>1</v>
      </c>
      <c r="Z1751" s="1">
        <f>IF(COUNTIF($Y$6:Y1751,Y1751)=1,Y1751,Y1751+COUNTIF($Y$5:Y1750,Y1751))</f>
        <v>746</v>
      </c>
      <c r="AD1751" s="1" t="str">
        <f t="shared" si="129"/>
        <v/>
      </c>
      <c r="BA1751" s="1">
        <f>IF(W1751&lt;=Leltar_iv!$Y$1,I1751,0)</f>
        <v>0</v>
      </c>
    </row>
    <row r="1752" spans="1:53" s="1" customFormat="1" x14ac:dyDescent="0.25">
      <c r="A1752" s="18">
        <f>IF(COUNTIF($Y$6:Y1752,Y1752)=1,Y1752,Y1752+COUNTIF($Y$5:Y1751,Y1752))</f>
        <v>747</v>
      </c>
      <c r="B1752" s="1">
        <f>IF(AND(Kisero_iv!$N$2=C1752,Kisero_iv!$K$5=$B$3,SUM(I1752:L1756)&lt;&gt;0,$B$4=YEAR(W1752)),B1751+1,0)</f>
        <v>0</v>
      </c>
      <c r="C1752" s="1">
        <f t="shared" si="123"/>
        <v>747</v>
      </c>
      <c r="D1752" s="102" t="str">
        <f t="shared" si="124"/>
        <v/>
      </c>
      <c r="E1752" s="44"/>
      <c r="F1752" s="45"/>
      <c r="G1752" s="45"/>
      <c r="H1752" s="45"/>
      <c r="I1752" s="46"/>
      <c r="J1752" s="111" t="str">
        <f>IF(AND(G1752&lt;&gt;"",ISERROR(VLOOKUP(G1752,Keszlet!$C$5:$H$200,6,FALSE))=FALSE),VLOOKUP(G1752,Keszlet!$C$5:$H$200,6,FALSE),"")</f>
        <v/>
      </c>
      <c r="K1752" s="106" t="str">
        <f>IF(AND(G1752&lt;&gt;"",ISERROR(VLOOKUP(G1752,Keszlet!$C$5:$G$200,5,FALSE))=FALSE),VLOOKUP(G1752,Keszlet!$C$5:$G$200,5,FALSE),"")</f>
        <v/>
      </c>
      <c r="L1752" s="106" t="str">
        <f t="shared" si="125"/>
        <v/>
      </c>
      <c r="M1752" s="115" t="str">
        <f>IF(ISERROR(VLOOKUP(G1752,Keszlet!$C$5:$I$200,7,FALSE))=TRUE,"",IF(AND(J1751&lt;&gt;"",J1753=""),VLOOKUP(G1752,Keszlet!$C$5:$I$200,7,FALSE),""))</f>
        <v/>
      </c>
      <c r="Q1752" s="1">
        <f>VLOOKUP(G1752,Keszlet!$C$5:$E$205,3,FALSE)</f>
        <v>0</v>
      </c>
      <c r="T1752" s="1" t="str">
        <f t="shared" si="126"/>
        <v/>
      </c>
      <c r="U1752" s="1">
        <f t="shared" si="127"/>
        <v>0</v>
      </c>
      <c r="W1752" s="6">
        <f t="shared" si="130"/>
        <v>0</v>
      </c>
      <c r="X1752" s="6">
        <f t="shared" si="122"/>
        <v>0</v>
      </c>
      <c r="Y1752" s="1">
        <f t="shared" si="128"/>
        <v>1</v>
      </c>
      <c r="Z1752" s="1">
        <f>IF(COUNTIF($Y$6:Y1752,Y1752)=1,Y1752,Y1752+COUNTIF($Y$5:Y1751,Y1752))</f>
        <v>747</v>
      </c>
      <c r="AD1752" s="1" t="str">
        <f t="shared" si="129"/>
        <v/>
      </c>
      <c r="BA1752" s="1">
        <f>IF(W1752&lt;=Leltar_iv!$Y$1,I1752,0)</f>
        <v>0</v>
      </c>
    </row>
    <row r="1753" spans="1:53" s="1" customFormat="1" x14ac:dyDescent="0.25">
      <c r="A1753" s="18">
        <f>IF(COUNTIF($Y$6:Y1753,Y1753)=1,Y1753,Y1753+COUNTIF($Y$5:Y1752,Y1753))</f>
        <v>748</v>
      </c>
      <c r="B1753" s="1">
        <f>IF(AND(Kisero_iv!$N$2=C1753,Kisero_iv!$K$5=$B$3,SUM(I1753:L1757)&lt;&gt;0,$B$4=YEAR(W1753)),B1752+1,0)</f>
        <v>0</v>
      </c>
      <c r="C1753" s="1">
        <f t="shared" si="123"/>
        <v>748</v>
      </c>
      <c r="D1753" s="102" t="str">
        <f t="shared" si="124"/>
        <v/>
      </c>
      <c r="E1753" s="44"/>
      <c r="F1753" s="45"/>
      <c r="G1753" s="45"/>
      <c r="H1753" s="45"/>
      <c r="I1753" s="46"/>
      <c r="J1753" s="111" t="str">
        <f>IF(AND(G1753&lt;&gt;"",ISERROR(VLOOKUP(G1753,Keszlet!$C$5:$H$200,6,FALSE))=FALSE),VLOOKUP(G1753,Keszlet!$C$5:$H$200,6,FALSE),"")</f>
        <v/>
      </c>
      <c r="K1753" s="106" t="str">
        <f>IF(AND(G1753&lt;&gt;"",ISERROR(VLOOKUP(G1753,Keszlet!$C$5:$G$200,5,FALSE))=FALSE),VLOOKUP(G1753,Keszlet!$C$5:$G$200,5,FALSE),"")</f>
        <v/>
      </c>
      <c r="L1753" s="106" t="str">
        <f t="shared" si="125"/>
        <v/>
      </c>
      <c r="M1753" s="115" t="str">
        <f>IF(ISERROR(VLOOKUP(G1753,Keszlet!$C$5:$I$200,7,FALSE))=TRUE,"",IF(AND(J1752&lt;&gt;"",J1754=""),VLOOKUP(G1753,Keszlet!$C$5:$I$200,7,FALSE),""))</f>
        <v/>
      </c>
      <c r="Q1753" s="1">
        <f>VLOOKUP(G1753,Keszlet!$C$5:$E$205,3,FALSE)</f>
        <v>0</v>
      </c>
      <c r="T1753" s="1" t="str">
        <f t="shared" si="126"/>
        <v/>
      </c>
      <c r="U1753" s="1">
        <f t="shared" si="127"/>
        <v>0</v>
      </c>
      <c r="W1753" s="6">
        <f t="shared" si="130"/>
        <v>0</v>
      </c>
      <c r="X1753" s="6">
        <f t="shared" si="122"/>
        <v>0</v>
      </c>
      <c r="Y1753" s="1">
        <f t="shared" si="128"/>
        <v>1</v>
      </c>
      <c r="Z1753" s="1">
        <f>IF(COUNTIF($Y$6:Y1753,Y1753)=1,Y1753,Y1753+COUNTIF($Y$5:Y1752,Y1753))</f>
        <v>748</v>
      </c>
      <c r="AD1753" s="1" t="str">
        <f t="shared" si="129"/>
        <v/>
      </c>
      <c r="BA1753" s="1">
        <f>IF(W1753&lt;=Leltar_iv!$Y$1,I1753,0)</f>
        <v>0</v>
      </c>
    </row>
    <row r="1754" spans="1:53" s="1" customFormat="1" x14ac:dyDescent="0.25">
      <c r="A1754" s="18">
        <f>IF(COUNTIF($Y$6:Y1754,Y1754)=1,Y1754,Y1754+COUNTIF($Y$5:Y1753,Y1754))</f>
        <v>749</v>
      </c>
      <c r="B1754" s="1">
        <f>IF(AND(Kisero_iv!$N$2=C1754,Kisero_iv!$K$5=$B$3,SUM(I1754:L1758)&lt;&gt;0,$B$4=YEAR(W1754)),B1753+1,0)</f>
        <v>0</v>
      </c>
      <c r="C1754" s="1">
        <f t="shared" si="123"/>
        <v>749</v>
      </c>
      <c r="D1754" s="102" t="str">
        <f t="shared" si="124"/>
        <v/>
      </c>
      <c r="E1754" s="44"/>
      <c r="F1754" s="45"/>
      <c r="G1754" s="45"/>
      <c r="H1754" s="45"/>
      <c r="I1754" s="46"/>
      <c r="J1754" s="111" t="str">
        <f>IF(AND(G1754&lt;&gt;"",ISERROR(VLOOKUP(G1754,Keszlet!$C$5:$H$200,6,FALSE))=FALSE),VLOOKUP(G1754,Keszlet!$C$5:$H$200,6,FALSE),"")</f>
        <v/>
      </c>
      <c r="K1754" s="106" t="str">
        <f>IF(AND(G1754&lt;&gt;"",ISERROR(VLOOKUP(G1754,Keszlet!$C$5:$G$200,5,FALSE))=FALSE),VLOOKUP(G1754,Keszlet!$C$5:$G$200,5,FALSE),"")</f>
        <v/>
      </c>
      <c r="L1754" s="106" t="str">
        <f t="shared" si="125"/>
        <v/>
      </c>
      <c r="M1754" s="115" t="str">
        <f>IF(ISERROR(VLOOKUP(G1754,Keszlet!$C$5:$I$200,7,FALSE))=TRUE,"",IF(AND(J1753&lt;&gt;"",J1755=""),VLOOKUP(G1754,Keszlet!$C$5:$I$200,7,FALSE),""))</f>
        <v/>
      </c>
      <c r="Q1754" s="1">
        <f>VLOOKUP(G1754,Keszlet!$C$5:$E$205,3,FALSE)</f>
        <v>0</v>
      </c>
      <c r="T1754" s="1" t="str">
        <f t="shared" si="126"/>
        <v/>
      </c>
      <c r="U1754" s="1">
        <f t="shared" si="127"/>
        <v>0</v>
      </c>
      <c r="W1754" s="6">
        <f t="shared" si="130"/>
        <v>0</v>
      </c>
      <c r="X1754" s="6">
        <f t="shared" si="122"/>
        <v>0</v>
      </c>
      <c r="Y1754" s="1">
        <f t="shared" si="128"/>
        <v>1</v>
      </c>
      <c r="Z1754" s="1">
        <f>IF(COUNTIF($Y$6:Y1754,Y1754)=1,Y1754,Y1754+COUNTIF($Y$5:Y1753,Y1754))</f>
        <v>749</v>
      </c>
      <c r="AD1754" s="1" t="str">
        <f t="shared" si="129"/>
        <v/>
      </c>
      <c r="BA1754" s="1">
        <f>IF(W1754&lt;=Leltar_iv!$Y$1,I1754,0)</f>
        <v>0</v>
      </c>
    </row>
    <row r="1755" spans="1:53" s="1" customFormat="1" x14ac:dyDescent="0.25">
      <c r="A1755" s="18">
        <f>IF(COUNTIF($Y$6:Y1755,Y1755)=1,Y1755,Y1755+COUNTIF($Y$5:Y1754,Y1755))</f>
        <v>750</v>
      </c>
      <c r="B1755" s="1">
        <f>IF(AND(Kisero_iv!$N$2=C1755,Kisero_iv!$K$5=$B$3,SUM(I1755:L1759)&lt;&gt;0,$B$4=YEAR(W1755)),B1754+1,0)</f>
        <v>0</v>
      </c>
      <c r="C1755" s="1">
        <f t="shared" si="123"/>
        <v>750</v>
      </c>
      <c r="D1755" s="102" t="str">
        <f t="shared" si="124"/>
        <v/>
      </c>
      <c r="E1755" s="44"/>
      <c r="F1755" s="45"/>
      <c r="G1755" s="45"/>
      <c r="H1755" s="45"/>
      <c r="I1755" s="46"/>
      <c r="J1755" s="111" t="str">
        <f>IF(AND(G1755&lt;&gt;"",ISERROR(VLOOKUP(G1755,Keszlet!$C$5:$H$200,6,FALSE))=FALSE),VLOOKUP(G1755,Keszlet!$C$5:$H$200,6,FALSE),"")</f>
        <v/>
      </c>
      <c r="K1755" s="106" t="str">
        <f>IF(AND(G1755&lt;&gt;"",ISERROR(VLOOKUP(G1755,Keszlet!$C$5:$G$200,5,FALSE))=FALSE),VLOOKUP(G1755,Keszlet!$C$5:$G$200,5,FALSE),"")</f>
        <v/>
      </c>
      <c r="L1755" s="106" t="str">
        <f t="shared" si="125"/>
        <v/>
      </c>
      <c r="M1755" s="115" t="str">
        <f>IF(ISERROR(VLOOKUP(G1755,Keszlet!$C$5:$I$200,7,FALSE))=TRUE,"",IF(AND(J1754&lt;&gt;"",J1756=""),VLOOKUP(G1755,Keszlet!$C$5:$I$200,7,FALSE),""))</f>
        <v/>
      </c>
      <c r="Q1755" s="1">
        <f>VLOOKUP(G1755,Keszlet!$C$5:$E$205,3,FALSE)</f>
        <v>0</v>
      </c>
      <c r="T1755" s="1" t="str">
        <f t="shared" si="126"/>
        <v/>
      </c>
      <c r="U1755" s="1">
        <f t="shared" si="127"/>
        <v>0</v>
      </c>
      <c r="W1755" s="6">
        <f t="shared" si="130"/>
        <v>0</v>
      </c>
      <c r="X1755" s="6">
        <f t="shared" si="122"/>
        <v>0</v>
      </c>
      <c r="Y1755" s="1">
        <f t="shared" si="128"/>
        <v>1</v>
      </c>
      <c r="Z1755" s="1">
        <f>IF(COUNTIF($Y$6:Y1755,Y1755)=1,Y1755,Y1755+COUNTIF($Y$5:Y1754,Y1755))</f>
        <v>750</v>
      </c>
      <c r="AD1755" s="1" t="str">
        <f t="shared" si="129"/>
        <v/>
      </c>
      <c r="BA1755" s="1">
        <f>IF(W1755&lt;=Leltar_iv!$Y$1,I1755,0)</f>
        <v>0</v>
      </c>
    </row>
    <row r="1756" spans="1:53" s="1" customFormat="1" x14ac:dyDescent="0.25">
      <c r="A1756" s="18">
        <f>IF(COUNTIF($Y$6:Y1756,Y1756)=1,Y1756,Y1756+COUNTIF($Y$5:Y1755,Y1756))</f>
        <v>751</v>
      </c>
      <c r="B1756" s="1">
        <f>IF(AND(Kisero_iv!$N$2=C1756,Kisero_iv!$K$5=$B$3,SUM(I1756:L1760)&lt;&gt;0,$B$4=YEAR(W1756)),B1755+1,0)</f>
        <v>0</v>
      </c>
      <c r="C1756" s="1">
        <f t="shared" si="123"/>
        <v>751</v>
      </c>
      <c r="D1756" s="102" t="str">
        <f t="shared" si="124"/>
        <v/>
      </c>
      <c r="E1756" s="44"/>
      <c r="F1756" s="45"/>
      <c r="G1756" s="45"/>
      <c r="H1756" s="45"/>
      <c r="I1756" s="46"/>
      <c r="J1756" s="111" t="str">
        <f>IF(AND(G1756&lt;&gt;"",ISERROR(VLOOKUP(G1756,Keszlet!$C$5:$H$200,6,FALSE))=FALSE),VLOOKUP(G1756,Keszlet!$C$5:$H$200,6,FALSE),"")</f>
        <v/>
      </c>
      <c r="K1756" s="106" t="str">
        <f>IF(AND(G1756&lt;&gt;"",ISERROR(VLOOKUP(G1756,Keszlet!$C$5:$G$200,5,FALSE))=FALSE),VLOOKUP(G1756,Keszlet!$C$5:$G$200,5,FALSE),"")</f>
        <v/>
      </c>
      <c r="L1756" s="106" t="str">
        <f t="shared" si="125"/>
        <v/>
      </c>
      <c r="M1756" s="115" t="str">
        <f>IF(ISERROR(VLOOKUP(G1756,Keszlet!$C$5:$I$200,7,FALSE))=TRUE,"",IF(AND(J1755&lt;&gt;"",J1757=""),VLOOKUP(G1756,Keszlet!$C$5:$I$200,7,FALSE),""))</f>
        <v/>
      </c>
      <c r="Q1756" s="1">
        <f>VLOOKUP(G1756,Keszlet!$C$5:$E$205,3,FALSE)</f>
        <v>0</v>
      </c>
      <c r="T1756" s="1" t="str">
        <f t="shared" si="126"/>
        <v/>
      </c>
      <c r="U1756" s="1">
        <f t="shared" si="127"/>
        <v>0</v>
      </c>
      <c r="W1756" s="6">
        <f t="shared" si="130"/>
        <v>0</v>
      </c>
      <c r="X1756" s="6">
        <f t="shared" si="122"/>
        <v>0</v>
      </c>
      <c r="Y1756" s="1">
        <f t="shared" si="128"/>
        <v>1</v>
      </c>
      <c r="Z1756" s="1">
        <f>IF(COUNTIF($Y$6:Y1756,Y1756)=1,Y1756,Y1756+COUNTIF($Y$5:Y1755,Y1756))</f>
        <v>751</v>
      </c>
      <c r="AD1756" s="1" t="str">
        <f t="shared" si="129"/>
        <v/>
      </c>
      <c r="BA1756" s="1">
        <f>IF(W1756&lt;=Leltar_iv!$Y$1,I1756,0)</f>
        <v>0</v>
      </c>
    </row>
    <row r="1757" spans="1:53" s="1" customFormat="1" x14ac:dyDescent="0.25">
      <c r="A1757" s="18">
        <f>IF(COUNTIF($Y$6:Y1757,Y1757)=1,Y1757,Y1757+COUNTIF($Y$5:Y1756,Y1757))</f>
        <v>752</v>
      </c>
      <c r="B1757" s="1">
        <f>IF(AND(Kisero_iv!$N$2=C1757,Kisero_iv!$K$5=$B$3,SUM(I1757:L1761)&lt;&gt;0,$B$4=YEAR(W1757)),B1756+1,0)</f>
        <v>0</v>
      </c>
      <c r="C1757" s="1">
        <f t="shared" si="123"/>
        <v>752</v>
      </c>
      <c r="D1757" s="102" t="str">
        <f t="shared" si="124"/>
        <v/>
      </c>
      <c r="E1757" s="44"/>
      <c r="F1757" s="45"/>
      <c r="G1757" s="45"/>
      <c r="H1757" s="45"/>
      <c r="I1757" s="46"/>
      <c r="J1757" s="111" t="str">
        <f>IF(AND(G1757&lt;&gt;"",ISERROR(VLOOKUP(G1757,Keszlet!$C$5:$H$200,6,FALSE))=FALSE),VLOOKUP(G1757,Keszlet!$C$5:$H$200,6,FALSE),"")</f>
        <v/>
      </c>
      <c r="K1757" s="106" t="str">
        <f>IF(AND(G1757&lt;&gt;"",ISERROR(VLOOKUP(G1757,Keszlet!$C$5:$G$200,5,FALSE))=FALSE),VLOOKUP(G1757,Keszlet!$C$5:$G$200,5,FALSE),"")</f>
        <v/>
      </c>
      <c r="L1757" s="106" t="str">
        <f t="shared" si="125"/>
        <v/>
      </c>
      <c r="M1757" s="115" t="str">
        <f>IF(ISERROR(VLOOKUP(G1757,Keszlet!$C$5:$I$200,7,FALSE))=TRUE,"",IF(AND(J1756&lt;&gt;"",J1758=""),VLOOKUP(G1757,Keszlet!$C$5:$I$200,7,FALSE),""))</f>
        <v/>
      </c>
      <c r="Q1757" s="1">
        <f>VLOOKUP(G1757,Keszlet!$C$5:$E$205,3,FALSE)</f>
        <v>0</v>
      </c>
      <c r="T1757" s="1" t="str">
        <f t="shared" si="126"/>
        <v/>
      </c>
      <c r="U1757" s="1">
        <f t="shared" si="127"/>
        <v>0</v>
      </c>
      <c r="W1757" s="6">
        <f t="shared" si="130"/>
        <v>0</v>
      </c>
      <c r="X1757" s="6">
        <f t="shared" si="122"/>
        <v>0</v>
      </c>
      <c r="Y1757" s="1">
        <f t="shared" si="128"/>
        <v>1</v>
      </c>
      <c r="Z1757" s="1">
        <f>IF(COUNTIF($Y$6:Y1757,Y1757)=1,Y1757,Y1757+COUNTIF($Y$5:Y1756,Y1757))</f>
        <v>752</v>
      </c>
      <c r="AD1757" s="1" t="str">
        <f t="shared" si="129"/>
        <v/>
      </c>
      <c r="BA1757" s="1">
        <f>IF(W1757&lt;=Leltar_iv!$Y$1,I1757,0)</f>
        <v>0</v>
      </c>
    </row>
    <row r="1758" spans="1:53" s="1" customFormat="1" x14ac:dyDescent="0.25">
      <c r="A1758" s="18">
        <f>IF(COUNTIF($Y$6:Y1758,Y1758)=1,Y1758,Y1758+COUNTIF($Y$5:Y1757,Y1758))</f>
        <v>753</v>
      </c>
      <c r="B1758" s="1">
        <f>IF(AND(Kisero_iv!$N$2=C1758,Kisero_iv!$K$5=$B$3,SUM(I1758:L1762)&lt;&gt;0,$B$4=YEAR(W1758)),B1757+1,0)</f>
        <v>0</v>
      </c>
      <c r="C1758" s="1">
        <f t="shared" si="123"/>
        <v>753</v>
      </c>
      <c r="D1758" s="102" t="str">
        <f t="shared" si="124"/>
        <v/>
      </c>
      <c r="E1758" s="44"/>
      <c r="F1758" s="45"/>
      <c r="G1758" s="45"/>
      <c r="H1758" s="45"/>
      <c r="I1758" s="46"/>
      <c r="J1758" s="111" t="str">
        <f>IF(AND(G1758&lt;&gt;"",ISERROR(VLOOKUP(G1758,Keszlet!$C$5:$H$200,6,FALSE))=FALSE),VLOOKUP(G1758,Keszlet!$C$5:$H$200,6,FALSE),"")</f>
        <v/>
      </c>
      <c r="K1758" s="106" t="str">
        <f>IF(AND(G1758&lt;&gt;"",ISERROR(VLOOKUP(G1758,Keszlet!$C$5:$G$200,5,FALSE))=FALSE),VLOOKUP(G1758,Keszlet!$C$5:$G$200,5,FALSE),"")</f>
        <v/>
      </c>
      <c r="L1758" s="106" t="str">
        <f t="shared" si="125"/>
        <v/>
      </c>
      <c r="M1758" s="115" t="str">
        <f>IF(ISERROR(VLOOKUP(G1758,Keszlet!$C$5:$I$200,7,FALSE))=TRUE,"",IF(AND(J1757&lt;&gt;"",J1759=""),VLOOKUP(G1758,Keszlet!$C$5:$I$200,7,FALSE),""))</f>
        <v/>
      </c>
      <c r="Q1758" s="1">
        <f>VLOOKUP(G1758,Keszlet!$C$5:$E$205,3,FALSE)</f>
        <v>0</v>
      </c>
      <c r="T1758" s="1" t="str">
        <f t="shared" si="126"/>
        <v/>
      </c>
      <c r="U1758" s="1">
        <f t="shared" si="127"/>
        <v>0</v>
      </c>
      <c r="W1758" s="6">
        <f t="shared" si="130"/>
        <v>0</v>
      </c>
      <c r="X1758" s="6">
        <f t="shared" si="122"/>
        <v>0</v>
      </c>
      <c r="Y1758" s="1">
        <f t="shared" si="128"/>
        <v>1</v>
      </c>
      <c r="Z1758" s="1">
        <f>IF(COUNTIF($Y$6:Y1758,Y1758)=1,Y1758,Y1758+COUNTIF($Y$5:Y1757,Y1758))</f>
        <v>753</v>
      </c>
      <c r="AD1758" s="1" t="str">
        <f t="shared" si="129"/>
        <v/>
      </c>
      <c r="BA1758" s="1">
        <f>IF(W1758&lt;=Leltar_iv!$Y$1,I1758,0)</f>
        <v>0</v>
      </c>
    </row>
    <row r="1759" spans="1:53" s="1" customFormat="1" x14ac:dyDescent="0.25">
      <c r="A1759" s="18">
        <f>IF(COUNTIF($Y$6:Y1759,Y1759)=1,Y1759,Y1759+COUNTIF($Y$5:Y1758,Y1759))</f>
        <v>754</v>
      </c>
      <c r="B1759" s="1">
        <f>IF(AND(Kisero_iv!$N$2=C1759,Kisero_iv!$K$5=$B$3,SUM(I1759:L1763)&lt;&gt;0,$B$4=YEAR(W1759)),B1758+1,0)</f>
        <v>0</v>
      </c>
      <c r="C1759" s="1">
        <f t="shared" si="123"/>
        <v>754</v>
      </c>
      <c r="D1759" s="102" t="str">
        <f t="shared" si="124"/>
        <v/>
      </c>
      <c r="E1759" s="44"/>
      <c r="F1759" s="45"/>
      <c r="G1759" s="45"/>
      <c r="H1759" s="45"/>
      <c r="I1759" s="46"/>
      <c r="J1759" s="111" t="str">
        <f>IF(AND(G1759&lt;&gt;"",ISERROR(VLOOKUP(G1759,Keszlet!$C$5:$H$200,6,FALSE))=FALSE),VLOOKUP(G1759,Keszlet!$C$5:$H$200,6,FALSE),"")</f>
        <v/>
      </c>
      <c r="K1759" s="106" t="str">
        <f>IF(AND(G1759&lt;&gt;"",ISERROR(VLOOKUP(G1759,Keszlet!$C$5:$G$200,5,FALSE))=FALSE),VLOOKUP(G1759,Keszlet!$C$5:$G$200,5,FALSE),"")</f>
        <v/>
      </c>
      <c r="L1759" s="106" t="str">
        <f t="shared" si="125"/>
        <v/>
      </c>
      <c r="M1759" s="115" t="str">
        <f>IF(ISERROR(VLOOKUP(G1759,Keszlet!$C$5:$I$200,7,FALSE))=TRUE,"",IF(AND(J1758&lt;&gt;"",J1760=""),VLOOKUP(G1759,Keszlet!$C$5:$I$200,7,FALSE),""))</f>
        <v/>
      </c>
      <c r="Q1759" s="1">
        <f>VLOOKUP(G1759,Keszlet!$C$5:$E$205,3,FALSE)</f>
        <v>0</v>
      </c>
      <c r="T1759" s="1" t="str">
        <f t="shared" si="126"/>
        <v/>
      </c>
      <c r="U1759" s="1">
        <f t="shared" si="127"/>
        <v>0</v>
      </c>
      <c r="W1759" s="6">
        <f t="shared" si="130"/>
        <v>0</v>
      </c>
      <c r="X1759" s="6">
        <f t="shared" si="122"/>
        <v>0</v>
      </c>
      <c r="Y1759" s="1">
        <f t="shared" si="128"/>
        <v>1</v>
      </c>
      <c r="Z1759" s="1">
        <f>IF(COUNTIF($Y$6:Y1759,Y1759)=1,Y1759,Y1759+COUNTIF($Y$5:Y1758,Y1759))</f>
        <v>754</v>
      </c>
      <c r="AD1759" s="1" t="str">
        <f t="shared" si="129"/>
        <v/>
      </c>
      <c r="BA1759" s="1">
        <f>IF(W1759&lt;=Leltar_iv!$Y$1,I1759,0)</f>
        <v>0</v>
      </c>
    </row>
    <row r="1760" spans="1:53" s="1" customFormat="1" x14ac:dyDescent="0.25">
      <c r="A1760" s="18">
        <f>IF(COUNTIF($Y$6:Y1760,Y1760)=1,Y1760,Y1760+COUNTIF($Y$5:Y1759,Y1760))</f>
        <v>755</v>
      </c>
      <c r="B1760" s="1">
        <f>IF(AND(Kisero_iv!$N$2=C1760,Kisero_iv!$K$5=$B$3,SUM(I1760:L1764)&lt;&gt;0,$B$4=YEAR(W1760)),B1759+1,0)</f>
        <v>0</v>
      </c>
      <c r="C1760" s="1">
        <f t="shared" si="123"/>
        <v>755</v>
      </c>
      <c r="D1760" s="102" t="str">
        <f t="shared" si="124"/>
        <v/>
      </c>
      <c r="E1760" s="44"/>
      <c r="F1760" s="45"/>
      <c r="G1760" s="45"/>
      <c r="H1760" s="45"/>
      <c r="I1760" s="46"/>
      <c r="J1760" s="111" t="str">
        <f>IF(AND(G1760&lt;&gt;"",ISERROR(VLOOKUP(G1760,Keszlet!$C$5:$H$200,6,FALSE))=FALSE),VLOOKUP(G1760,Keszlet!$C$5:$H$200,6,FALSE),"")</f>
        <v/>
      </c>
      <c r="K1760" s="106" t="str">
        <f>IF(AND(G1760&lt;&gt;"",ISERROR(VLOOKUP(G1760,Keszlet!$C$5:$G$200,5,FALSE))=FALSE),VLOOKUP(G1760,Keszlet!$C$5:$G$200,5,FALSE),"")</f>
        <v/>
      </c>
      <c r="L1760" s="106" t="str">
        <f t="shared" si="125"/>
        <v/>
      </c>
      <c r="M1760" s="115" t="str">
        <f>IF(ISERROR(VLOOKUP(G1760,Keszlet!$C$5:$I$200,7,FALSE))=TRUE,"",IF(AND(J1759&lt;&gt;"",J1761=""),VLOOKUP(G1760,Keszlet!$C$5:$I$200,7,FALSE),""))</f>
        <v/>
      </c>
      <c r="Q1760" s="1">
        <f>VLOOKUP(G1760,Keszlet!$C$5:$E$205,3,FALSE)</f>
        <v>0</v>
      </c>
      <c r="T1760" s="1" t="str">
        <f t="shared" si="126"/>
        <v/>
      </c>
      <c r="U1760" s="1">
        <f t="shared" si="127"/>
        <v>0</v>
      </c>
      <c r="W1760" s="6">
        <f t="shared" si="130"/>
        <v>0</v>
      </c>
      <c r="X1760" s="6">
        <f t="shared" si="122"/>
        <v>0</v>
      </c>
      <c r="Y1760" s="1">
        <f t="shared" si="128"/>
        <v>1</v>
      </c>
      <c r="Z1760" s="1">
        <f>IF(COUNTIF($Y$6:Y1760,Y1760)=1,Y1760,Y1760+COUNTIF($Y$5:Y1759,Y1760))</f>
        <v>755</v>
      </c>
      <c r="AD1760" s="1" t="str">
        <f t="shared" si="129"/>
        <v/>
      </c>
      <c r="BA1760" s="1">
        <f>IF(W1760&lt;=Leltar_iv!$Y$1,I1760,0)</f>
        <v>0</v>
      </c>
    </row>
    <row r="1761" spans="1:53" s="1" customFormat="1" x14ac:dyDescent="0.25">
      <c r="A1761" s="18">
        <f>IF(COUNTIF($Y$6:Y1761,Y1761)=1,Y1761,Y1761+COUNTIF($Y$5:Y1760,Y1761))</f>
        <v>756</v>
      </c>
      <c r="B1761" s="1">
        <f>IF(AND(Kisero_iv!$N$2=C1761,Kisero_iv!$K$5=$B$3,SUM(I1761:L1765)&lt;&gt;0,$B$4=YEAR(W1761)),B1760+1,0)</f>
        <v>0</v>
      </c>
      <c r="C1761" s="1">
        <f t="shared" si="123"/>
        <v>756</v>
      </c>
      <c r="D1761" s="102" t="str">
        <f t="shared" si="124"/>
        <v/>
      </c>
      <c r="E1761" s="44"/>
      <c r="F1761" s="45"/>
      <c r="G1761" s="45"/>
      <c r="H1761" s="45"/>
      <c r="I1761" s="46"/>
      <c r="J1761" s="111" t="str">
        <f>IF(AND(G1761&lt;&gt;"",ISERROR(VLOOKUP(G1761,Keszlet!$C$5:$H$200,6,FALSE))=FALSE),VLOOKUP(G1761,Keszlet!$C$5:$H$200,6,FALSE),"")</f>
        <v/>
      </c>
      <c r="K1761" s="106" t="str">
        <f>IF(AND(G1761&lt;&gt;"",ISERROR(VLOOKUP(G1761,Keszlet!$C$5:$G$200,5,FALSE))=FALSE),VLOOKUP(G1761,Keszlet!$C$5:$G$200,5,FALSE),"")</f>
        <v/>
      </c>
      <c r="L1761" s="106" t="str">
        <f t="shared" si="125"/>
        <v/>
      </c>
      <c r="M1761" s="115" t="str">
        <f>IF(ISERROR(VLOOKUP(G1761,Keszlet!$C$5:$I$200,7,FALSE))=TRUE,"",IF(AND(J1760&lt;&gt;"",J1762=""),VLOOKUP(G1761,Keszlet!$C$5:$I$200,7,FALSE),""))</f>
        <v/>
      </c>
      <c r="Q1761" s="1">
        <f>VLOOKUP(G1761,Keszlet!$C$5:$E$205,3,FALSE)</f>
        <v>0</v>
      </c>
      <c r="T1761" s="1" t="str">
        <f t="shared" si="126"/>
        <v/>
      </c>
      <c r="U1761" s="1">
        <f t="shared" si="127"/>
        <v>0</v>
      </c>
      <c r="W1761" s="6">
        <f t="shared" si="130"/>
        <v>0</v>
      </c>
      <c r="X1761" s="6">
        <f t="shared" si="122"/>
        <v>0</v>
      </c>
      <c r="Y1761" s="1">
        <f t="shared" si="128"/>
        <v>1</v>
      </c>
      <c r="Z1761" s="1">
        <f>IF(COUNTIF($Y$6:Y1761,Y1761)=1,Y1761,Y1761+COUNTIF($Y$5:Y1760,Y1761))</f>
        <v>756</v>
      </c>
      <c r="AD1761" s="1" t="str">
        <f t="shared" si="129"/>
        <v/>
      </c>
      <c r="BA1761" s="1">
        <f>IF(W1761&lt;=Leltar_iv!$Y$1,I1761,0)</f>
        <v>0</v>
      </c>
    </row>
    <row r="1762" spans="1:53" s="1" customFormat="1" x14ac:dyDescent="0.25">
      <c r="A1762" s="18">
        <f>IF(COUNTIF($Y$6:Y1762,Y1762)=1,Y1762,Y1762+COUNTIF($Y$5:Y1761,Y1762))</f>
        <v>757</v>
      </c>
      <c r="B1762" s="1">
        <f>IF(AND(Kisero_iv!$N$2=C1762,Kisero_iv!$K$5=$B$3,SUM(I1762:L1766)&lt;&gt;0,$B$4=YEAR(W1762)),B1761+1,0)</f>
        <v>0</v>
      </c>
      <c r="C1762" s="1">
        <f t="shared" si="123"/>
        <v>757</v>
      </c>
      <c r="D1762" s="102" t="str">
        <f t="shared" si="124"/>
        <v/>
      </c>
      <c r="E1762" s="44"/>
      <c r="F1762" s="45"/>
      <c r="G1762" s="45"/>
      <c r="H1762" s="45"/>
      <c r="I1762" s="46"/>
      <c r="J1762" s="111" t="str">
        <f>IF(AND(G1762&lt;&gt;"",ISERROR(VLOOKUP(G1762,Keszlet!$C$5:$H$200,6,FALSE))=FALSE),VLOOKUP(G1762,Keszlet!$C$5:$H$200,6,FALSE),"")</f>
        <v/>
      </c>
      <c r="K1762" s="106" t="str">
        <f>IF(AND(G1762&lt;&gt;"",ISERROR(VLOOKUP(G1762,Keszlet!$C$5:$G$200,5,FALSE))=FALSE),VLOOKUP(G1762,Keszlet!$C$5:$G$200,5,FALSE),"")</f>
        <v/>
      </c>
      <c r="L1762" s="106" t="str">
        <f t="shared" si="125"/>
        <v/>
      </c>
      <c r="M1762" s="115" t="str">
        <f>IF(ISERROR(VLOOKUP(G1762,Keszlet!$C$5:$I$200,7,FALSE))=TRUE,"",IF(AND(J1761&lt;&gt;"",J1763=""),VLOOKUP(G1762,Keszlet!$C$5:$I$200,7,FALSE),""))</f>
        <v/>
      </c>
      <c r="Q1762" s="1">
        <f>VLOOKUP(G1762,Keszlet!$C$5:$E$205,3,FALSE)</f>
        <v>0</v>
      </c>
      <c r="T1762" s="1" t="str">
        <f t="shared" si="126"/>
        <v/>
      </c>
      <c r="U1762" s="1">
        <f t="shared" si="127"/>
        <v>0</v>
      </c>
      <c r="W1762" s="6">
        <f t="shared" si="130"/>
        <v>0</v>
      </c>
      <c r="X1762" s="6">
        <f t="shared" si="122"/>
        <v>0</v>
      </c>
      <c r="Y1762" s="1">
        <f t="shared" si="128"/>
        <v>1</v>
      </c>
      <c r="Z1762" s="1">
        <f>IF(COUNTIF($Y$6:Y1762,Y1762)=1,Y1762,Y1762+COUNTIF($Y$5:Y1761,Y1762))</f>
        <v>757</v>
      </c>
      <c r="AD1762" s="1" t="str">
        <f t="shared" si="129"/>
        <v/>
      </c>
      <c r="BA1762" s="1">
        <f>IF(W1762&lt;=Leltar_iv!$Y$1,I1762,0)</f>
        <v>0</v>
      </c>
    </row>
    <row r="1763" spans="1:53" s="1" customFormat="1" x14ac:dyDescent="0.25">
      <c r="A1763" s="18">
        <f>IF(COUNTIF($Y$6:Y1763,Y1763)=1,Y1763,Y1763+COUNTIF($Y$5:Y1762,Y1763))</f>
        <v>758</v>
      </c>
      <c r="B1763" s="1">
        <f>IF(AND(Kisero_iv!$N$2=C1763,Kisero_iv!$K$5=$B$3,SUM(I1763:L1767)&lt;&gt;0,$B$4=YEAR(W1763)),B1762+1,0)</f>
        <v>0</v>
      </c>
      <c r="C1763" s="1">
        <f t="shared" si="123"/>
        <v>758</v>
      </c>
      <c r="D1763" s="102" t="str">
        <f t="shared" si="124"/>
        <v/>
      </c>
      <c r="E1763" s="44"/>
      <c r="F1763" s="45"/>
      <c r="G1763" s="45"/>
      <c r="H1763" s="45"/>
      <c r="I1763" s="46"/>
      <c r="J1763" s="111" t="str">
        <f>IF(AND(G1763&lt;&gt;"",ISERROR(VLOOKUP(G1763,Keszlet!$C$5:$H$200,6,FALSE))=FALSE),VLOOKUP(G1763,Keszlet!$C$5:$H$200,6,FALSE),"")</f>
        <v/>
      </c>
      <c r="K1763" s="106" t="str">
        <f>IF(AND(G1763&lt;&gt;"",ISERROR(VLOOKUP(G1763,Keszlet!$C$5:$G$200,5,FALSE))=FALSE),VLOOKUP(G1763,Keszlet!$C$5:$G$200,5,FALSE),"")</f>
        <v/>
      </c>
      <c r="L1763" s="106" t="str">
        <f t="shared" si="125"/>
        <v/>
      </c>
      <c r="M1763" s="115" t="str">
        <f>IF(ISERROR(VLOOKUP(G1763,Keszlet!$C$5:$I$200,7,FALSE))=TRUE,"",IF(AND(J1762&lt;&gt;"",J1764=""),VLOOKUP(G1763,Keszlet!$C$5:$I$200,7,FALSE),""))</f>
        <v/>
      </c>
      <c r="Q1763" s="1">
        <f>VLOOKUP(G1763,Keszlet!$C$5:$E$205,3,FALSE)</f>
        <v>0</v>
      </c>
      <c r="T1763" s="1" t="str">
        <f t="shared" si="126"/>
        <v/>
      </c>
      <c r="U1763" s="1">
        <f t="shared" si="127"/>
        <v>0</v>
      </c>
      <c r="W1763" s="6">
        <f t="shared" si="130"/>
        <v>0</v>
      </c>
      <c r="X1763" s="6">
        <f t="shared" si="122"/>
        <v>0</v>
      </c>
      <c r="Y1763" s="1">
        <f t="shared" si="128"/>
        <v>1</v>
      </c>
      <c r="Z1763" s="1">
        <f>IF(COUNTIF($Y$6:Y1763,Y1763)=1,Y1763,Y1763+COUNTIF($Y$5:Y1762,Y1763))</f>
        <v>758</v>
      </c>
      <c r="AD1763" s="1" t="str">
        <f t="shared" si="129"/>
        <v/>
      </c>
      <c r="BA1763" s="1">
        <f>IF(W1763&lt;=Leltar_iv!$Y$1,I1763,0)</f>
        <v>0</v>
      </c>
    </row>
    <row r="1764" spans="1:53" s="1" customFormat="1" x14ac:dyDescent="0.25">
      <c r="A1764" s="18">
        <f>IF(COUNTIF($Y$6:Y1764,Y1764)=1,Y1764,Y1764+COUNTIF($Y$5:Y1763,Y1764))</f>
        <v>759</v>
      </c>
      <c r="B1764" s="1">
        <f>IF(AND(Kisero_iv!$N$2=C1764,Kisero_iv!$K$5=$B$3,SUM(I1764:L1768)&lt;&gt;0,$B$4=YEAR(W1764)),B1763+1,0)</f>
        <v>0</v>
      </c>
      <c r="C1764" s="1">
        <f t="shared" si="123"/>
        <v>759</v>
      </c>
      <c r="D1764" s="102" t="str">
        <f t="shared" si="124"/>
        <v/>
      </c>
      <c r="E1764" s="44"/>
      <c r="F1764" s="45"/>
      <c r="G1764" s="45"/>
      <c r="H1764" s="45"/>
      <c r="I1764" s="46"/>
      <c r="J1764" s="111" t="str">
        <f>IF(AND(G1764&lt;&gt;"",ISERROR(VLOOKUP(G1764,Keszlet!$C$5:$H$200,6,FALSE))=FALSE),VLOOKUP(G1764,Keszlet!$C$5:$H$200,6,FALSE),"")</f>
        <v/>
      </c>
      <c r="K1764" s="106" t="str">
        <f>IF(AND(G1764&lt;&gt;"",ISERROR(VLOOKUP(G1764,Keszlet!$C$5:$G$200,5,FALSE))=FALSE),VLOOKUP(G1764,Keszlet!$C$5:$G$200,5,FALSE),"")</f>
        <v/>
      </c>
      <c r="L1764" s="106" t="str">
        <f t="shared" si="125"/>
        <v/>
      </c>
      <c r="M1764" s="115" t="str">
        <f>IF(ISERROR(VLOOKUP(G1764,Keszlet!$C$5:$I$200,7,FALSE))=TRUE,"",IF(AND(J1763&lt;&gt;"",J1765=""),VLOOKUP(G1764,Keszlet!$C$5:$I$200,7,FALSE),""))</f>
        <v/>
      </c>
      <c r="Q1764" s="1">
        <f>VLOOKUP(G1764,Keszlet!$C$5:$E$205,3,FALSE)</f>
        <v>0</v>
      </c>
      <c r="T1764" s="1" t="str">
        <f t="shared" si="126"/>
        <v/>
      </c>
      <c r="U1764" s="1">
        <f t="shared" si="127"/>
        <v>0</v>
      </c>
      <c r="W1764" s="6">
        <f t="shared" si="130"/>
        <v>0</v>
      </c>
      <c r="X1764" s="6">
        <f t="shared" si="122"/>
        <v>0</v>
      </c>
      <c r="Y1764" s="1">
        <f t="shared" si="128"/>
        <v>1</v>
      </c>
      <c r="Z1764" s="1">
        <f>IF(COUNTIF($Y$6:Y1764,Y1764)=1,Y1764,Y1764+COUNTIF($Y$5:Y1763,Y1764))</f>
        <v>759</v>
      </c>
      <c r="AD1764" s="1" t="str">
        <f t="shared" si="129"/>
        <v/>
      </c>
      <c r="BA1764" s="1">
        <f>IF(W1764&lt;=Leltar_iv!$Y$1,I1764,0)</f>
        <v>0</v>
      </c>
    </row>
    <row r="1765" spans="1:53" s="1" customFormat="1" x14ac:dyDescent="0.25">
      <c r="A1765" s="18">
        <f>IF(COUNTIF($Y$6:Y1765,Y1765)=1,Y1765,Y1765+COUNTIF($Y$5:Y1764,Y1765))</f>
        <v>760</v>
      </c>
      <c r="B1765" s="1">
        <f>IF(AND(Kisero_iv!$N$2=C1765,Kisero_iv!$K$5=$B$3,SUM(I1765:L1769)&lt;&gt;0,$B$4=YEAR(W1765)),B1764+1,0)</f>
        <v>0</v>
      </c>
      <c r="C1765" s="1">
        <f t="shared" si="123"/>
        <v>760</v>
      </c>
      <c r="D1765" s="102" t="str">
        <f t="shared" si="124"/>
        <v/>
      </c>
      <c r="E1765" s="44"/>
      <c r="F1765" s="45"/>
      <c r="G1765" s="45"/>
      <c r="H1765" s="45"/>
      <c r="I1765" s="46"/>
      <c r="J1765" s="111" t="str">
        <f>IF(AND(G1765&lt;&gt;"",ISERROR(VLOOKUP(G1765,Keszlet!$C$5:$H$200,6,FALSE))=FALSE),VLOOKUP(G1765,Keszlet!$C$5:$H$200,6,FALSE),"")</f>
        <v/>
      </c>
      <c r="K1765" s="106" t="str">
        <f>IF(AND(G1765&lt;&gt;"",ISERROR(VLOOKUP(G1765,Keszlet!$C$5:$G$200,5,FALSE))=FALSE),VLOOKUP(G1765,Keszlet!$C$5:$G$200,5,FALSE),"")</f>
        <v/>
      </c>
      <c r="L1765" s="106" t="str">
        <f t="shared" si="125"/>
        <v/>
      </c>
      <c r="M1765" s="115" t="str">
        <f>IF(ISERROR(VLOOKUP(G1765,Keszlet!$C$5:$I$200,7,FALSE))=TRUE,"",IF(AND(J1764&lt;&gt;"",J1766=""),VLOOKUP(G1765,Keszlet!$C$5:$I$200,7,FALSE),""))</f>
        <v/>
      </c>
      <c r="Q1765" s="1">
        <f>VLOOKUP(G1765,Keszlet!$C$5:$E$205,3,FALSE)</f>
        <v>0</v>
      </c>
      <c r="T1765" s="1" t="str">
        <f t="shared" si="126"/>
        <v/>
      </c>
      <c r="U1765" s="1">
        <f t="shared" si="127"/>
        <v>0</v>
      </c>
      <c r="W1765" s="6">
        <f t="shared" si="130"/>
        <v>0</v>
      </c>
      <c r="X1765" s="6">
        <f t="shared" si="122"/>
        <v>0</v>
      </c>
      <c r="Y1765" s="1">
        <f t="shared" si="128"/>
        <v>1</v>
      </c>
      <c r="Z1765" s="1">
        <f>IF(COUNTIF($Y$6:Y1765,Y1765)=1,Y1765,Y1765+COUNTIF($Y$5:Y1764,Y1765))</f>
        <v>760</v>
      </c>
      <c r="AD1765" s="1" t="str">
        <f t="shared" si="129"/>
        <v/>
      </c>
      <c r="BA1765" s="1">
        <f>IF(W1765&lt;=Leltar_iv!$Y$1,I1765,0)</f>
        <v>0</v>
      </c>
    </row>
    <row r="1766" spans="1:53" s="1" customFormat="1" x14ac:dyDescent="0.25">
      <c r="A1766" s="18">
        <f>IF(COUNTIF($Y$6:Y1766,Y1766)=1,Y1766,Y1766+COUNTIF($Y$5:Y1765,Y1766))</f>
        <v>761</v>
      </c>
      <c r="B1766" s="1">
        <f>IF(AND(Kisero_iv!$N$2=C1766,Kisero_iv!$K$5=$B$3,SUM(I1766:L1770)&lt;&gt;0,$B$4=YEAR(W1766)),B1765+1,0)</f>
        <v>0</v>
      </c>
      <c r="C1766" s="1">
        <f t="shared" si="123"/>
        <v>761</v>
      </c>
      <c r="D1766" s="102" t="str">
        <f t="shared" si="124"/>
        <v/>
      </c>
      <c r="E1766" s="44"/>
      <c r="F1766" s="45"/>
      <c r="G1766" s="45"/>
      <c r="H1766" s="45"/>
      <c r="I1766" s="46"/>
      <c r="J1766" s="111" t="str">
        <f>IF(AND(G1766&lt;&gt;"",ISERROR(VLOOKUP(G1766,Keszlet!$C$5:$H$200,6,FALSE))=FALSE),VLOOKUP(G1766,Keszlet!$C$5:$H$200,6,FALSE),"")</f>
        <v/>
      </c>
      <c r="K1766" s="106" t="str">
        <f>IF(AND(G1766&lt;&gt;"",ISERROR(VLOOKUP(G1766,Keszlet!$C$5:$G$200,5,FALSE))=FALSE),VLOOKUP(G1766,Keszlet!$C$5:$G$200,5,FALSE),"")</f>
        <v/>
      </c>
      <c r="L1766" s="106" t="str">
        <f t="shared" si="125"/>
        <v/>
      </c>
      <c r="M1766" s="115" t="str">
        <f>IF(ISERROR(VLOOKUP(G1766,Keszlet!$C$5:$I$200,7,FALSE))=TRUE,"",IF(AND(J1765&lt;&gt;"",J1767=""),VLOOKUP(G1766,Keszlet!$C$5:$I$200,7,FALSE),""))</f>
        <v/>
      </c>
      <c r="Q1766" s="1">
        <f>VLOOKUP(G1766,Keszlet!$C$5:$E$205,3,FALSE)</f>
        <v>0</v>
      </c>
      <c r="T1766" s="1" t="str">
        <f t="shared" si="126"/>
        <v/>
      </c>
      <c r="U1766" s="1">
        <f t="shared" si="127"/>
        <v>0</v>
      </c>
      <c r="W1766" s="6">
        <f t="shared" si="130"/>
        <v>0</v>
      </c>
      <c r="X1766" s="6">
        <f t="shared" si="122"/>
        <v>0</v>
      </c>
      <c r="Y1766" s="1">
        <f t="shared" si="128"/>
        <v>1</v>
      </c>
      <c r="Z1766" s="1">
        <f>IF(COUNTIF($Y$6:Y1766,Y1766)=1,Y1766,Y1766+COUNTIF($Y$5:Y1765,Y1766))</f>
        <v>761</v>
      </c>
      <c r="AD1766" s="1" t="str">
        <f t="shared" si="129"/>
        <v/>
      </c>
      <c r="BA1766" s="1">
        <f>IF(W1766&lt;=Leltar_iv!$Y$1,I1766,0)</f>
        <v>0</v>
      </c>
    </row>
    <row r="1767" spans="1:53" s="1" customFormat="1" x14ac:dyDescent="0.25">
      <c r="A1767" s="18">
        <f>IF(COUNTIF($Y$6:Y1767,Y1767)=1,Y1767,Y1767+COUNTIF($Y$5:Y1766,Y1767))</f>
        <v>762</v>
      </c>
      <c r="B1767" s="1">
        <f>IF(AND(Kisero_iv!$N$2=C1767,Kisero_iv!$K$5=$B$3,SUM(I1767:L1771)&lt;&gt;0,$B$4=YEAR(W1767)),B1766+1,0)</f>
        <v>0</v>
      </c>
      <c r="C1767" s="1">
        <f t="shared" si="123"/>
        <v>762</v>
      </c>
      <c r="D1767" s="102" t="str">
        <f t="shared" si="124"/>
        <v/>
      </c>
      <c r="E1767" s="44"/>
      <c r="F1767" s="45"/>
      <c r="G1767" s="45"/>
      <c r="H1767" s="45"/>
      <c r="I1767" s="46"/>
      <c r="J1767" s="111" t="str">
        <f>IF(AND(G1767&lt;&gt;"",ISERROR(VLOOKUP(G1767,Keszlet!$C$5:$H$200,6,FALSE))=FALSE),VLOOKUP(G1767,Keszlet!$C$5:$H$200,6,FALSE),"")</f>
        <v/>
      </c>
      <c r="K1767" s="106" t="str">
        <f>IF(AND(G1767&lt;&gt;"",ISERROR(VLOOKUP(G1767,Keszlet!$C$5:$G$200,5,FALSE))=FALSE),VLOOKUP(G1767,Keszlet!$C$5:$G$200,5,FALSE),"")</f>
        <v/>
      </c>
      <c r="L1767" s="106" t="str">
        <f t="shared" si="125"/>
        <v/>
      </c>
      <c r="M1767" s="115" t="str">
        <f>IF(ISERROR(VLOOKUP(G1767,Keszlet!$C$5:$I$200,7,FALSE))=TRUE,"",IF(AND(J1766&lt;&gt;"",J1768=""),VLOOKUP(G1767,Keszlet!$C$5:$I$200,7,FALSE),""))</f>
        <v/>
      </c>
      <c r="Q1767" s="1">
        <f>VLOOKUP(G1767,Keszlet!$C$5:$E$205,3,FALSE)</f>
        <v>0</v>
      </c>
      <c r="T1767" s="1" t="str">
        <f t="shared" si="126"/>
        <v/>
      </c>
      <c r="U1767" s="1">
        <f t="shared" si="127"/>
        <v>0</v>
      </c>
      <c r="W1767" s="6">
        <f t="shared" si="130"/>
        <v>0</v>
      </c>
      <c r="X1767" s="6">
        <f t="shared" si="122"/>
        <v>0</v>
      </c>
      <c r="Y1767" s="1">
        <f t="shared" si="128"/>
        <v>1</v>
      </c>
      <c r="Z1767" s="1">
        <f>IF(COUNTIF($Y$6:Y1767,Y1767)=1,Y1767,Y1767+COUNTIF($Y$5:Y1766,Y1767))</f>
        <v>762</v>
      </c>
      <c r="AD1767" s="1" t="str">
        <f t="shared" si="129"/>
        <v/>
      </c>
      <c r="BA1767" s="1">
        <f>IF(W1767&lt;=Leltar_iv!$Y$1,I1767,0)</f>
        <v>0</v>
      </c>
    </row>
    <row r="1768" spans="1:53" s="1" customFormat="1" x14ac:dyDescent="0.25">
      <c r="A1768" s="18">
        <f>IF(COUNTIF($Y$6:Y1768,Y1768)=1,Y1768,Y1768+COUNTIF($Y$5:Y1767,Y1768))</f>
        <v>763</v>
      </c>
      <c r="B1768" s="1">
        <f>IF(AND(Kisero_iv!$N$2=C1768,Kisero_iv!$K$5=$B$3,SUM(I1768:L1772)&lt;&gt;0,$B$4=YEAR(W1768)),B1767+1,0)</f>
        <v>0</v>
      </c>
      <c r="C1768" s="1">
        <f t="shared" si="123"/>
        <v>763</v>
      </c>
      <c r="D1768" s="102" t="str">
        <f t="shared" si="124"/>
        <v/>
      </c>
      <c r="E1768" s="44"/>
      <c r="F1768" s="45"/>
      <c r="G1768" s="45"/>
      <c r="H1768" s="45"/>
      <c r="I1768" s="46"/>
      <c r="J1768" s="111" t="str">
        <f>IF(AND(G1768&lt;&gt;"",ISERROR(VLOOKUP(G1768,Keszlet!$C$5:$H$200,6,FALSE))=FALSE),VLOOKUP(G1768,Keszlet!$C$5:$H$200,6,FALSE),"")</f>
        <v/>
      </c>
      <c r="K1768" s="106" t="str">
        <f>IF(AND(G1768&lt;&gt;"",ISERROR(VLOOKUP(G1768,Keszlet!$C$5:$G$200,5,FALSE))=FALSE),VLOOKUP(G1768,Keszlet!$C$5:$G$200,5,FALSE),"")</f>
        <v/>
      </c>
      <c r="L1768" s="106" t="str">
        <f t="shared" si="125"/>
        <v/>
      </c>
      <c r="M1768" s="115" t="str">
        <f>IF(ISERROR(VLOOKUP(G1768,Keszlet!$C$5:$I$200,7,FALSE))=TRUE,"",IF(AND(J1767&lt;&gt;"",J1769=""),VLOOKUP(G1768,Keszlet!$C$5:$I$200,7,FALSE),""))</f>
        <v/>
      </c>
      <c r="Q1768" s="1">
        <f>VLOOKUP(G1768,Keszlet!$C$5:$E$205,3,FALSE)</f>
        <v>0</v>
      </c>
      <c r="T1768" s="1" t="str">
        <f t="shared" si="126"/>
        <v/>
      </c>
      <c r="U1768" s="1">
        <f t="shared" si="127"/>
        <v>0</v>
      </c>
      <c r="W1768" s="6">
        <f t="shared" si="130"/>
        <v>0</v>
      </c>
      <c r="X1768" s="6">
        <f t="shared" si="122"/>
        <v>0</v>
      </c>
      <c r="Y1768" s="1">
        <f t="shared" si="128"/>
        <v>1</v>
      </c>
      <c r="Z1768" s="1">
        <f>IF(COUNTIF($Y$6:Y1768,Y1768)=1,Y1768,Y1768+COUNTIF($Y$5:Y1767,Y1768))</f>
        <v>763</v>
      </c>
      <c r="AD1768" s="1" t="str">
        <f t="shared" si="129"/>
        <v/>
      </c>
      <c r="BA1768" s="1">
        <f>IF(W1768&lt;=Leltar_iv!$Y$1,I1768,0)</f>
        <v>0</v>
      </c>
    </row>
    <row r="1769" spans="1:53" s="1" customFormat="1" x14ac:dyDescent="0.25">
      <c r="A1769" s="18">
        <f>IF(COUNTIF($Y$6:Y1769,Y1769)=1,Y1769,Y1769+COUNTIF($Y$5:Y1768,Y1769))</f>
        <v>764</v>
      </c>
      <c r="B1769" s="1">
        <f>IF(AND(Kisero_iv!$N$2=C1769,Kisero_iv!$K$5=$B$3,SUM(I1769:L1773)&lt;&gt;0,$B$4=YEAR(W1769)),B1768+1,0)</f>
        <v>0</v>
      </c>
      <c r="C1769" s="1">
        <f t="shared" si="123"/>
        <v>764</v>
      </c>
      <c r="D1769" s="102" t="str">
        <f t="shared" si="124"/>
        <v/>
      </c>
      <c r="E1769" s="44"/>
      <c r="F1769" s="45"/>
      <c r="G1769" s="45"/>
      <c r="H1769" s="45"/>
      <c r="I1769" s="46"/>
      <c r="J1769" s="111" t="str">
        <f>IF(AND(G1769&lt;&gt;"",ISERROR(VLOOKUP(G1769,Keszlet!$C$5:$H$200,6,FALSE))=FALSE),VLOOKUP(G1769,Keszlet!$C$5:$H$200,6,FALSE),"")</f>
        <v/>
      </c>
      <c r="K1769" s="106" t="str">
        <f>IF(AND(G1769&lt;&gt;"",ISERROR(VLOOKUP(G1769,Keszlet!$C$5:$G$200,5,FALSE))=FALSE),VLOOKUP(G1769,Keszlet!$C$5:$G$200,5,FALSE),"")</f>
        <v/>
      </c>
      <c r="L1769" s="106" t="str">
        <f t="shared" si="125"/>
        <v/>
      </c>
      <c r="M1769" s="115" t="str">
        <f>IF(ISERROR(VLOOKUP(G1769,Keszlet!$C$5:$I$200,7,FALSE))=TRUE,"",IF(AND(J1768&lt;&gt;"",J1770=""),VLOOKUP(G1769,Keszlet!$C$5:$I$200,7,FALSE),""))</f>
        <v/>
      </c>
      <c r="Q1769" s="1">
        <f>VLOOKUP(G1769,Keszlet!$C$5:$E$205,3,FALSE)</f>
        <v>0</v>
      </c>
      <c r="T1769" s="1" t="str">
        <f t="shared" si="126"/>
        <v/>
      </c>
      <c r="U1769" s="1">
        <f t="shared" si="127"/>
        <v>0</v>
      </c>
      <c r="W1769" s="6">
        <f t="shared" si="130"/>
        <v>0</v>
      </c>
      <c r="X1769" s="6">
        <f t="shared" si="122"/>
        <v>0</v>
      </c>
      <c r="Y1769" s="1">
        <f t="shared" si="128"/>
        <v>1</v>
      </c>
      <c r="Z1769" s="1">
        <f>IF(COUNTIF($Y$6:Y1769,Y1769)=1,Y1769,Y1769+COUNTIF($Y$5:Y1768,Y1769))</f>
        <v>764</v>
      </c>
      <c r="AD1769" s="1" t="str">
        <f t="shared" si="129"/>
        <v/>
      </c>
      <c r="BA1769" s="1">
        <f>IF(W1769&lt;=Leltar_iv!$Y$1,I1769,0)</f>
        <v>0</v>
      </c>
    </row>
    <row r="1770" spans="1:53" s="1" customFormat="1" x14ac:dyDescent="0.25">
      <c r="A1770" s="18">
        <f>IF(COUNTIF($Y$6:Y1770,Y1770)=1,Y1770,Y1770+COUNTIF($Y$5:Y1769,Y1770))</f>
        <v>765</v>
      </c>
      <c r="B1770" s="1">
        <f>IF(AND(Kisero_iv!$N$2=C1770,Kisero_iv!$K$5=$B$3,SUM(I1770:L1774)&lt;&gt;0,$B$4=YEAR(W1770)),B1769+1,0)</f>
        <v>0</v>
      </c>
      <c r="C1770" s="1">
        <f t="shared" si="123"/>
        <v>765</v>
      </c>
      <c r="D1770" s="102" t="str">
        <f t="shared" si="124"/>
        <v/>
      </c>
      <c r="E1770" s="44"/>
      <c r="F1770" s="45"/>
      <c r="G1770" s="45"/>
      <c r="H1770" s="45"/>
      <c r="I1770" s="46"/>
      <c r="J1770" s="111" t="str">
        <f>IF(AND(G1770&lt;&gt;"",ISERROR(VLOOKUP(G1770,Keszlet!$C$5:$H$200,6,FALSE))=FALSE),VLOOKUP(G1770,Keszlet!$C$5:$H$200,6,FALSE),"")</f>
        <v/>
      </c>
      <c r="K1770" s="106" t="str">
        <f>IF(AND(G1770&lt;&gt;"",ISERROR(VLOOKUP(G1770,Keszlet!$C$5:$G$200,5,FALSE))=FALSE),VLOOKUP(G1770,Keszlet!$C$5:$G$200,5,FALSE),"")</f>
        <v/>
      </c>
      <c r="L1770" s="106" t="str">
        <f t="shared" si="125"/>
        <v/>
      </c>
      <c r="M1770" s="115" t="str">
        <f>IF(ISERROR(VLOOKUP(G1770,Keszlet!$C$5:$I$200,7,FALSE))=TRUE,"",IF(AND(J1769&lt;&gt;"",J1771=""),VLOOKUP(G1770,Keszlet!$C$5:$I$200,7,FALSE),""))</f>
        <v/>
      </c>
      <c r="Q1770" s="1">
        <f>VLOOKUP(G1770,Keszlet!$C$5:$E$205,3,FALSE)</f>
        <v>0</v>
      </c>
      <c r="T1770" s="1" t="str">
        <f t="shared" si="126"/>
        <v/>
      </c>
      <c r="U1770" s="1">
        <f t="shared" si="127"/>
        <v>0</v>
      </c>
      <c r="W1770" s="6">
        <f t="shared" si="130"/>
        <v>0</v>
      </c>
      <c r="X1770" s="6">
        <f t="shared" si="122"/>
        <v>0</v>
      </c>
      <c r="Y1770" s="1">
        <f t="shared" si="128"/>
        <v>1</v>
      </c>
      <c r="Z1770" s="1">
        <f>IF(COUNTIF($Y$6:Y1770,Y1770)=1,Y1770,Y1770+COUNTIF($Y$5:Y1769,Y1770))</f>
        <v>765</v>
      </c>
      <c r="AD1770" s="1" t="str">
        <f t="shared" si="129"/>
        <v/>
      </c>
      <c r="BA1770" s="1">
        <f>IF(W1770&lt;=Leltar_iv!$Y$1,I1770,0)</f>
        <v>0</v>
      </c>
    </row>
    <row r="1771" spans="1:53" s="1" customFormat="1" x14ac:dyDescent="0.25">
      <c r="A1771" s="18">
        <f>IF(COUNTIF($Y$6:Y1771,Y1771)=1,Y1771,Y1771+COUNTIF($Y$5:Y1770,Y1771))</f>
        <v>766</v>
      </c>
      <c r="B1771" s="1">
        <f>IF(AND(Kisero_iv!$N$2=C1771,Kisero_iv!$K$5=$B$3,SUM(I1771:L1775)&lt;&gt;0,$B$4=YEAR(W1771)),B1770+1,0)</f>
        <v>0</v>
      </c>
      <c r="C1771" s="1">
        <f t="shared" si="123"/>
        <v>766</v>
      </c>
      <c r="D1771" s="102" t="str">
        <f t="shared" si="124"/>
        <v/>
      </c>
      <c r="E1771" s="44"/>
      <c r="F1771" s="45"/>
      <c r="G1771" s="45"/>
      <c r="H1771" s="45"/>
      <c r="I1771" s="46"/>
      <c r="J1771" s="111" t="str">
        <f>IF(AND(G1771&lt;&gt;"",ISERROR(VLOOKUP(G1771,Keszlet!$C$5:$H$200,6,FALSE))=FALSE),VLOOKUP(G1771,Keszlet!$C$5:$H$200,6,FALSE),"")</f>
        <v/>
      </c>
      <c r="K1771" s="106" t="str">
        <f>IF(AND(G1771&lt;&gt;"",ISERROR(VLOOKUP(G1771,Keszlet!$C$5:$G$200,5,FALSE))=FALSE),VLOOKUP(G1771,Keszlet!$C$5:$G$200,5,FALSE),"")</f>
        <v/>
      </c>
      <c r="L1771" s="106" t="str">
        <f t="shared" si="125"/>
        <v/>
      </c>
      <c r="M1771" s="115" t="str">
        <f>IF(ISERROR(VLOOKUP(G1771,Keszlet!$C$5:$I$200,7,FALSE))=TRUE,"",IF(AND(J1770&lt;&gt;"",J1772=""),VLOOKUP(G1771,Keszlet!$C$5:$I$200,7,FALSE),""))</f>
        <v/>
      </c>
      <c r="Q1771" s="1">
        <f>VLOOKUP(G1771,Keszlet!$C$5:$E$205,3,FALSE)</f>
        <v>0</v>
      </c>
      <c r="T1771" s="1" t="str">
        <f t="shared" si="126"/>
        <v/>
      </c>
      <c r="U1771" s="1">
        <f t="shared" si="127"/>
        <v>0</v>
      </c>
      <c r="W1771" s="6">
        <f t="shared" si="130"/>
        <v>0</v>
      </c>
      <c r="X1771" s="6">
        <f t="shared" si="122"/>
        <v>0</v>
      </c>
      <c r="Y1771" s="1">
        <f t="shared" si="128"/>
        <v>1</v>
      </c>
      <c r="Z1771" s="1">
        <f>IF(COUNTIF($Y$6:Y1771,Y1771)=1,Y1771,Y1771+COUNTIF($Y$5:Y1770,Y1771))</f>
        <v>766</v>
      </c>
      <c r="AD1771" s="1" t="str">
        <f t="shared" si="129"/>
        <v/>
      </c>
      <c r="BA1771" s="1">
        <f>IF(W1771&lt;=Leltar_iv!$Y$1,I1771,0)</f>
        <v>0</v>
      </c>
    </row>
    <row r="1772" spans="1:53" s="1" customFormat="1" x14ac:dyDescent="0.25">
      <c r="A1772" s="18">
        <f>IF(COUNTIF($Y$6:Y1772,Y1772)=1,Y1772,Y1772+COUNTIF($Y$5:Y1771,Y1772))</f>
        <v>767</v>
      </c>
      <c r="B1772" s="1">
        <f>IF(AND(Kisero_iv!$N$2=C1772,Kisero_iv!$K$5=$B$3,SUM(I1772:L1776)&lt;&gt;0,$B$4=YEAR(W1772)),B1771+1,0)</f>
        <v>0</v>
      </c>
      <c r="C1772" s="1">
        <f t="shared" si="123"/>
        <v>767</v>
      </c>
      <c r="D1772" s="102" t="str">
        <f t="shared" si="124"/>
        <v/>
      </c>
      <c r="E1772" s="44"/>
      <c r="F1772" s="45"/>
      <c r="G1772" s="45"/>
      <c r="H1772" s="45"/>
      <c r="I1772" s="46"/>
      <c r="J1772" s="111" t="str">
        <f>IF(AND(G1772&lt;&gt;"",ISERROR(VLOOKUP(G1772,Keszlet!$C$5:$H$200,6,FALSE))=FALSE),VLOOKUP(G1772,Keszlet!$C$5:$H$200,6,FALSE),"")</f>
        <v/>
      </c>
      <c r="K1772" s="106" t="str">
        <f>IF(AND(G1772&lt;&gt;"",ISERROR(VLOOKUP(G1772,Keszlet!$C$5:$G$200,5,FALSE))=FALSE),VLOOKUP(G1772,Keszlet!$C$5:$G$200,5,FALSE),"")</f>
        <v/>
      </c>
      <c r="L1772" s="106" t="str">
        <f t="shared" si="125"/>
        <v/>
      </c>
      <c r="M1772" s="115" t="str">
        <f>IF(ISERROR(VLOOKUP(G1772,Keszlet!$C$5:$I$200,7,FALSE))=TRUE,"",IF(AND(J1771&lt;&gt;"",J1773=""),VLOOKUP(G1772,Keszlet!$C$5:$I$200,7,FALSE),""))</f>
        <v/>
      </c>
      <c r="Q1772" s="1">
        <f>VLOOKUP(G1772,Keszlet!$C$5:$E$205,3,FALSE)</f>
        <v>0</v>
      </c>
      <c r="T1772" s="1" t="str">
        <f t="shared" si="126"/>
        <v/>
      </c>
      <c r="U1772" s="1">
        <f t="shared" si="127"/>
        <v>0</v>
      </c>
      <c r="W1772" s="6">
        <f t="shared" si="130"/>
        <v>0</v>
      </c>
      <c r="X1772" s="6">
        <f t="shared" si="122"/>
        <v>0</v>
      </c>
      <c r="Y1772" s="1">
        <f t="shared" si="128"/>
        <v>1</v>
      </c>
      <c r="Z1772" s="1">
        <f>IF(COUNTIF($Y$6:Y1772,Y1772)=1,Y1772,Y1772+COUNTIF($Y$5:Y1771,Y1772))</f>
        <v>767</v>
      </c>
      <c r="AD1772" s="1" t="str">
        <f t="shared" si="129"/>
        <v/>
      </c>
      <c r="BA1772" s="1">
        <f>IF(W1772&lt;=Leltar_iv!$Y$1,I1772,0)</f>
        <v>0</v>
      </c>
    </row>
    <row r="1773" spans="1:53" s="1" customFormat="1" x14ac:dyDescent="0.25">
      <c r="A1773" s="18">
        <f>IF(COUNTIF($Y$6:Y1773,Y1773)=1,Y1773,Y1773+COUNTIF($Y$5:Y1772,Y1773))</f>
        <v>768</v>
      </c>
      <c r="B1773" s="1">
        <f>IF(AND(Kisero_iv!$N$2=C1773,Kisero_iv!$K$5=$B$3,SUM(I1773:L1777)&lt;&gt;0,$B$4=YEAR(W1773)),B1772+1,0)</f>
        <v>0</v>
      </c>
      <c r="C1773" s="1">
        <f t="shared" si="123"/>
        <v>768</v>
      </c>
      <c r="D1773" s="102" t="str">
        <f t="shared" si="124"/>
        <v/>
      </c>
      <c r="E1773" s="44"/>
      <c r="F1773" s="45"/>
      <c r="G1773" s="45"/>
      <c r="H1773" s="45"/>
      <c r="I1773" s="46"/>
      <c r="J1773" s="111" t="str">
        <f>IF(AND(G1773&lt;&gt;"",ISERROR(VLOOKUP(G1773,Keszlet!$C$5:$H$200,6,FALSE))=FALSE),VLOOKUP(G1773,Keszlet!$C$5:$H$200,6,FALSE),"")</f>
        <v/>
      </c>
      <c r="K1773" s="106" t="str">
        <f>IF(AND(G1773&lt;&gt;"",ISERROR(VLOOKUP(G1773,Keszlet!$C$5:$G$200,5,FALSE))=FALSE),VLOOKUP(G1773,Keszlet!$C$5:$G$200,5,FALSE),"")</f>
        <v/>
      </c>
      <c r="L1773" s="106" t="str">
        <f t="shared" si="125"/>
        <v/>
      </c>
      <c r="M1773" s="115" t="str">
        <f>IF(ISERROR(VLOOKUP(G1773,Keszlet!$C$5:$I$200,7,FALSE))=TRUE,"",IF(AND(J1772&lt;&gt;"",J1774=""),VLOOKUP(G1773,Keszlet!$C$5:$I$200,7,FALSE),""))</f>
        <v/>
      </c>
      <c r="Q1773" s="1">
        <f>VLOOKUP(G1773,Keszlet!$C$5:$E$205,3,FALSE)</f>
        <v>0</v>
      </c>
      <c r="T1773" s="1" t="str">
        <f t="shared" si="126"/>
        <v/>
      </c>
      <c r="U1773" s="1">
        <f t="shared" si="127"/>
        <v>0</v>
      </c>
      <c r="W1773" s="6">
        <f t="shared" si="130"/>
        <v>0</v>
      </c>
      <c r="X1773" s="6">
        <f t="shared" si="122"/>
        <v>0</v>
      </c>
      <c r="Y1773" s="1">
        <f t="shared" si="128"/>
        <v>1</v>
      </c>
      <c r="Z1773" s="1">
        <f>IF(COUNTIF($Y$6:Y1773,Y1773)=1,Y1773,Y1773+COUNTIF($Y$5:Y1772,Y1773))</f>
        <v>768</v>
      </c>
      <c r="AD1773" s="1" t="str">
        <f t="shared" si="129"/>
        <v/>
      </c>
      <c r="BA1773" s="1">
        <f>IF(W1773&lt;=Leltar_iv!$Y$1,I1773,0)</f>
        <v>0</v>
      </c>
    </row>
    <row r="1774" spans="1:53" s="1" customFormat="1" x14ac:dyDescent="0.25">
      <c r="A1774" s="18">
        <f>IF(COUNTIF($Y$6:Y1774,Y1774)=1,Y1774,Y1774+COUNTIF($Y$5:Y1773,Y1774))</f>
        <v>769</v>
      </c>
      <c r="B1774" s="1">
        <f>IF(AND(Kisero_iv!$N$2=C1774,Kisero_iv!$K$5=$B$3,SUM(I1774:L1778)&lt;&gt;0,$B$4=YEAR(W1774)),B1773+1,0)</f>
        <v>0</v>
      </c>
      <c r="C1774" s="1">
        <f t="shared" si="123"/>
        <v>769</v>
      </c>
      <c r="D1774" s="102" t="str">
        <f t="shared" si="124"/>
        <v/>
      </c>
      <c r="E1774" s="44"/>
      <c r="F1774" s="45"/>
      <c r="G1774" s="45"/>
      <c r="H1774" s="45"/>
      <c r="I1774" s="46"/>
      <c r="J1774" s="111" t="str">
        <f>IF(AND(G1774&lt;&gt;"",ISERROR(VLOOKUP(G1774,Keszlet!$C$5:$H$200,6,FALSE))=FALSE),VLOOKUP(G1774,Keszlet!$C$5:$H$200,6,FALSE),"")</f>
        <v/>
      </c>
      <c r="K1774" s="106" t="str">
        <f>IF(AND(G1774&lt;&gt;"",ISERROR(VLOOKUP(G1774,Keszlet!$C$5:$G$200,5,FALSE))=FALSE),VLOOKUP(G1774,Keszlet!$C$5:$G$200,5,FALSE),"")</f>
        <v/>
      </c>
      <c r="L1774" s="106" t="str">
        <f t="shared" si="125"/>
        <v/>
      </c>
      <c r="M1774" s="115" t="str">
        <f>IF(ISERROR(VLOOKUP(G1774,Keszlet!$C$5:$I$200,7,FALSE))=TRUE,"",IF(AND(J1773&lt;&gt;"",J1775=""),VLOOKUP(G1774,Keszlet!$C$5:$I$200,7,FALSE),""))</f>
        <v/>
      </c>
      <c r="Q1774" s="1">
        <f>VLOOKUP(G1774,Keszlet!$C$5:$E$205,3,FALSE)</f>
        <v>0</v>
      </c>
      <c r="T1774" s="1" t="str">
        <f t="shared" si="126"/>
        <v/>
      </c>
      <c r="U1774" s="1">
        <f t="shared" si="127"/>
        <v>0</v>
      </c>
      <c r="W1774" s="6">
        <f t="shared" si="130"/>
        <v>0</v>
      </c>
      <c r="X1774" s="6">
        <f t="shared" ref="X1774:X1837" si="131">IF(G1774=q,W1774,$X$1)</f>
        <v>0</v>
      </c>
      <c r="Y1774" s="1">
        <f t="shared" si="128"/>
        <v>1</v>
      </c>
      <c r="Z1774" s="1">
        <f>IF(COUNTIF($Y$6:Y1774,Y1774)=1,Y1774,Y1774+COUNTIF($Y$5:Y1773,Y1774))</f>
        <v>769</v>
      </c>
      <c r="AD1774" s="1" t="str">
        <f t="shared" si="129"/>
        <v/>
      </c>
      <c r="BA1774" s="1">
        <f>IF(W1774&lt;=Leltar_iv!$Y$1,I1774,0)</f>
        <v>0</v>
      </c>
    </row>
    <row r="1775" spans="1:53" s="1" customFormat="1" x14ac:dyDescent="0.25">
      <c r="A1775" s="18">
        <f>IF(COUNTIF($Y$6:Y1775,Y1775)=1,Y1775,Y1775+COUNTIF($Y$5:Y1774,Y1775))</f>
        <v>770</v>
      </c>
      <c r="B1775" s="1">
        <f>IF(AND(Kisero_iv!$N$2=C1775,Kisero_iv!$K$5=$B$3,SUM(I1775:L1779)&lt;&gt;0,$B$4=YEAR(W1775)),B1774+1,0)</f>
        <v>0</v>
      </c>
      <c r="C1775" s="1">
        <f t="shared" ref="C1775:C1838" si="132">IF(YEAR(W1774)&lt;&gt;YEAR(W1775),1,IF(T1775&lt;&gt;0,C1774+1,C1774))</f>
        <v>770</v>
      </c>
      <c r="D1775" s="102" t="str">
        <f t="shared" ref="D1775:D1838" si="133">IF(AND(OR(C1774&lt;&gt;C1775,C1775=1),SUM(L1775:L1795)&lt;&gt;0),YEAR(W1775)&amp;"/"&amp;C1775,"")</f>
        <v/>
      </c>
      <c r="E1775" s="44"/>
      <c r="F1775" s="45"/>
      <c r="G1775" s="45"/>
      <c r="H1775" s="45"/>
      <c r="I1775" s="46"/>
      <c r="J1775" s="111" t="str">
        <f>IF(AND(G1775&lt;&gt;"",ISERROR(VLOOKUP(G1775,Keszlet!$C$5:$H$200,6,FALSE))=FALSE),VLOOKUP(G1775,Keszlet!$C$5:$H$200,6,FALSE),"")</f>
        <v/>
      </c>
      <c r="K1775" s="106" t="str">
        <f>IF(AND(G1775&lt;&gt;"",ISERROR(VLOOKUP(G1775,Keszlet!$C$5:$G$200,5,FALSE))=FALSE),VLOOKUP(G1775,Keszlet!$C$5:$G$200,5,FALSE),"")</f>
        <v/>
      </c>
      <c r="L1775" s="106" t="str">
        <f t="shared" ref="L1775:L1838" si="134">IF(AND(G1775&lt;&gt;0,K1775&lt;&gt;""),I1775*K1775,"")</f>
        <v/>
      </c>
      <c r="M1775" s="115" t="str">
        <f>IF(ISERROR(VLOOKUP(G1775,Keszlet!$C$5:$I$200,7,FALSE))=TRUE,"",IF(AND(J1774&lt;&gt;"",J1776=""),VLOOKUP(G1775,Keszlet!$C$5:$I$200,7,FALSE),""))</f>
        <v/>
      </c>
      <c r="Q1775" s="1">
        <f>VLOOKUP(G1775,Keszlet!$C$5:$E$205,3,FALSE)</f>
        <v>0</v>
      </c>
      <c r="T1775" s="1" t="str">
        <f t="shared" ref="T1775:T1838" si="135">IF(OR(E1775&lt;&gt;0,COUNTIF(T1766:T1774,0)=9,F1775&lt;&gt;0,SUM(L1775:L1795)=0),E1775&amp;F1775,0)</f>
        <v/>
      </c>
      <c r="U1775" s="1">
        <f t="shared" ref="U1775:U1838" si="136">IF(F1775&lt;&gt;"",F1775,U1774)</f>
        <v>0</v>
      </c>
      <c r="W1775" s="6">
        <f t="shared" si="130"/>
        <v>0</v>
      </c>
      <c r="X1775" s="6">
        <f t="shared" si="131"/>
        <v>0</v>
      </c>
      <c r="Y1775" s="1">
        <f t="shared" ref="Y1775:Y1838" si="137">RANK(X1775,$X$6:$X$10000,1)</f>
        <v>1</v>
      </c>
      <c r="Z1775" s="1">
        <f>IF(COUNTIF($Y$6:Y1775,Y1775)=1,Y1775,Y1775+COUNTIF($Y$5:Y1774,Y1775))</f>
        <v>770</v>
      </c>
      <c r="AD1775" s="1" t="str">
        <f t="shared" ref="AD1775:AD1838" si="138">IF(AND(OR(C1774&lt;&gt;C1775,YEAR(W1775)&lt;&gt;YEAR(W1774)),SUM(L1775:L1795)&lt;&gt;0,$B$4=YEAR(W1775)),C1775,"")</f>
        <v/>
      </c>
      <c r="BA1775" s="1">
        <f>IF(W1775&lt;=Leltar_iv!$Y$1,I1775,0)</f>
        <v>0</v>
      </c>
    </row>
    <row r="1776" spans="1:53" s="1" customFormat="1" x14ac:dyDescent="0.25">
      <c r="A1776" s="18">
        <f>IF(COUNTIF($Y$6:Y1776,Y1776)=1,Y1776,Y1776+COUNTIF($Y$5:Y1775,Y1776))</f>
        <v>771</v>
      </c>
      <c r="B1776" s="1">
        <f>IF(AND(Kisero_iv!$N$2=C1776,Kisero_iv!$K$5=$B$3,SUM(I1776:L1780)&lt;&gt;0,$B$4=YEAR(W1776)),B1775+1,0)</f>
        <v>0</v>
      </c>
      <c r="C1776" s="1">
        <f t="shared" si="132"/>
        <v>771</v>
      </c>
      <c r="D1776" s="102" t="str">
        <f t="shared" si="133"/>
        <v/>
      </c>
      <c r="E1776" s="44"/>
      <c r="F1776" s="45"/>
      <c r="G1776" s="45"/>
      <c r="H1776" s="45"/>
      <c r="I1776" s="46"/>
      <c r="J1776" s="111" t="str">
        <f>IF(AND(G1776&lt;&gt;"",ISERROR(VLOOKUP(G1776,Keszlet!$C$5:$H$200,6,FALSE))=FALSE),VLOOKUP(G1776,Keszlet!$C$5:$H$200,6,FALSE),"")</f>
        <v/>
      </c>
      <c r="K1776" s="106" t="str">
        <f>IF(AND(G1776&lt;&gt;"",ISERROR(VLOOKUP(G1776,Keszlet!$C$5:$G$200,5,FALSE))=FALSE),VLOOKUP(G1776,Keszlet!$C$5:$G$200,5,FALSE),"")</f>
        <v/>
      </c>
      <c r="L1776" s="106" t="str">
        <f t="shared" si="134"/>
        <v/>
      </c>
      <c r="M1776" s="115" t="str">
        <f>IF(ISERROR(VLOOKUP(G1776,Keszlet!$C$5:$I$200,7,FALSE))=TRUE,"",IF(AND(J1775&lt;&gt;"",J1777=""),VLOOKUP(G1776,Keszlet!$C$5:$I$200,7,FALSE),""))</f>
        <v/>
      </c>
      <c r="Q1776" s="1">
        <f>VLOOKUP(G1776,Keszlet!$C$5:$E$205,3,FALSE)</f>
        <v>0</v>
      </c>
      <c r="T1776" s="1" t="str">
        <f t="shared" si="135"/>
        <v/>
      </c>
      <c r="U1776" s="1">
        <f t="shared" si="136"/>
        <v>0</v>
      </c>
      <c r="W1776" s="6">
        <f t="shared" si="130"/>
        <v>0</v>
      </c>
      <c r="X1776" s="6">
        <f t="shared" si="131"/>
        <v>0</v>
      </c>
      <c r="Y1776" s="1">
        <f t="shared" si="137"/>
        <v>1</v>
      </c>
      <c r="Z1776" s="1">
        <f>IF(COUNTIF($Y$6:Y1776,Y1776)=1,Y1776,Y1776+COUNTIF($Y$5:Y1775,Y1776))</f>
        <v>771</v>
      </c>
      <c r="AD1776" s="1" t="str">
        <f t="shared" si="138"/>
        <v/>
      </c>
      <c r="BA1776" s="1">
        <f>IF(W1776&lt;=Leltar_iv!$Y$1,I1776,0)</f>
        <v>0</v>
      </c>
    </row>
    <row r="1777" spans="1:53" s="1" customFormat="1" x14ac:dyDescent="0.25">
      <c r="A1777" s="18">
        <f>IF(COUNTIF($Y$6:Y1777,Y1777)=1,Y1777,Y1777+COUNTIF($Y$5:Y1776,Y1777))</f>
        <v>772</v>
      </c>
      <c r="B1777" s="1">
        <f>IF(AND(Kisero_iv!$N$2=C1777,Kisero_iv!$K$5=$B$3,SUM(I1777:L1781)&lt;&gt;0,$B$4=YEAR(W1777)),B1776+1,0)</f>
        <v>0</v>
      </c>
      <c r="C1777" s="1">
        <f t="shared" si="132"/>
        <v>772</v>
      </c>
      <c r="D1777" s="102" t="str">
        <f t="shared" si="133"/>
        <v/>
      </c>
      <c r="E1777" s="44"/>
      <c r="F1777" s="45"/>
      <c r="G1777" s="45"/>
      <c r="H1777" s="45"/>
      <c r="I1777" s="46"/>
      <c r="J1777" s="111" t="str">
        <f>IF(AND(G1777&lt;&gt;"",ISERROR(VLOOKUP(G1777,Keszlet!$C$5:$H$200,6,FALSE))=FALSE),VLOOKUP(G1777,Keszlet!$C$5:$H$200,6,FALSE),"")</f>
        <v/>
      </c>
      <c r="K1777" s="106" t="str">
        <f>IF(AND(G1777&lt;&gt;"",ISERROR(VLOOKUP(G1777,Keszlet!$C$5:$G$200,5,FALSE))=FALSE),VLOOKUP(G1777,Keszlet!$C$5:$G$200,5,FALSE),"")</f>
        <v/>
      </c>
      <c r="L1777" s="106" t="str">
        <f t="shared" si="134"/>
        <v/>
      </c>
      <c r="M1777" s="115" t="str">
        <f>IF(ISERROR(VLOOKUP(G1777,Keszlet!$C$5:$I$200,7,FALSE))=TRUE,"",IF(AND(J1776&lt;&gt;"",J1778=""),VLOOKUP(G1777,Keszlet!$C$5:$I$200,7,FALSE),""))</f>
        <v/>
      </c>
      <c r="Q1777" s="1">
        <f>VLOOKUP(G1777,Keszlet!$C$5:$E$205,3,FALSE)</f>
        <v>0</v>
      </c>
      <c r="T1777" s="1" t="str">
        <f t="shared" si="135"/>
        <v/>
      </c>
      <c r="U1777" s="1">
        <f t="shared" si="136"/>
        <v>0</v>
      </c>
      <c r="W1777" s="6">
        <f t="shared" ref="W1777:W1840" si="139">IF(E1777&lt;&gt;0,E1777,W1776)</f>
        <v>0</v>
      </c>
      <c r="X1777" s="6">
        <f t="shared" si="131"/>
        <v>0</v>
      </c>
      <c r="Y1777" s="1">
        <f t="shared" si="137"/>
        <v>1</v>
      </c>
      <c r="Z1777" s="1">
        <f>IF(COUNTIF($Y$6:Y1777,Y1777)=1,Y1777,Y1777+COUNTIF($Y$5:Y1776,Y1777))</f>
        <v>772</v>
      </c>
      <c r="AD1777" s="1" t="str">
        <f t="shared" si="138"/>
        <v/>
      </c>
      <c r="BA1777" s="1">
        <f>IF(W1777&lt;=Leltar_iv!$Y$1,I1777,0)</f>
        <v>0</v>
      </c>
    </row>
    <row r="1778" spans="1:53" s="1" customFormat="1" x14ac:dyDescent="0.25">
      <c r="A1778" s="18">
        <f>IF(COUNTIF($Y$6:Y1778,Y1778)=1,Y1778,Y1778+COUNTIF($Y$5:Y1777,Y1778))</f>
        <v>773</v>
      </c>
      <c r="B1778" s="1">
        <f>IF(AND(Kisero_iv!$N$2=C1778,Kisero_iv!$K$5=$B$3,SUM(I1778:L1782)&lt;&gt;0,$B$4=YEAR(W1778)),B1777+1,0)</f>
        <v>0</v>
      </c>
      <c r="C1778" s="1">
        <f t="shared" si="132"/>
        <v>773</v>
      </c>
      <c r="D1778" s="102" t="str">
        <f t="shared" si="133"/>
        <v/>
      </c>
      <c r="E1778" s="44"/>
      <c r="F1778" s="45"/>
      <c r="G1778" s="45"/>
      <c r="H1778" s="45"/>
      <c r="I1778" s="46"/>
      <c r="J1778" s="111" t="str">
        <f>IF(AND(G1778&lt;&gt;"",ISERROR(VLOOKUP(G1778,Keszlet!$C$5:$H$200,6,FALSE))=FALSE),VLOOKUP(G1778,Keszlet!$C$5:$H$200,6,FALSE),"")</f>
        <v/>
      </c>
      <c r="K1778" s="106" t="str">
        <f>IF(AND(G1778&lt;&gt;"",ISERROR(VLOOKUP(G1778,Keszlet!$C$5:$G$200,5,FALSE))=FALSE),VLOOKUP(G1778,Keszlet!$C$5:$G$200,5,FALSE),"")</f>
        <v/>
      </c>
      <c r="L1778" s="106" t="str">
        <f t="shared" si="134"/>
        <v/>
      </c>
      <c r="M1778" s="115" t="str">
        <f>IF(ISERROR(VLOOKUP(G1778,Keszlet!$C$5:$I$200,7,FALSE))=TRUE,"",IF(AND(J1777&lt;&gt;"",J1779=""),VLOOKUP(G1778,Keszlet!$C$5:$I$200,7,FALSE),""))</f>
        <v/>
      </c>
      <c r="Q1778" s="1">
        <f>VLOOKUP(G1778,Keszlet!$C$5:$E$205,3,FALSE)</f>
        <v>0</v>
      </c>
      <c r="T1778" s="1" t="str">
        <f t="shared" si="135"/>
        <v/>
      </c>
      <c r="U1778" s="1">
        <f t="shared" si="136"/>
        <v>0</v>
      </c>
      <c r="W1778" s="6">
        <f t="shared" si="139"/>
        <v>0</v>
      </c>
      <c r="X1778" s="6">
        <f t="shared" si="131"/>
        <v>0</v>
      </c>
      <c r="Y1778" s="1">
        <f t="shared" si="137"/>
        <v>1</v>
      </c>
      <c r="Z1778" s="1">
        <f>IF(COUNTIF($Y$6:Y1778,Y1778)=1,Y1778,Y1778+COUNTIF($Y$5:Y1777,Y1778))</f>
        <v>773</v>
      </c>
      <c r="AD1778" s="1" t="str">
        <f t="shared" si="138"/>
        <v/>
      </c>
      <c r="BA1778" s="1">
        <f>IF(W1778&lt;=Leltar_iv!$Y$1,I1778,0)</f>
        <v>0</v>
      </c>
    </row>
    <row r="1779" spans="1:53" s="1" customFormat="1" x14ac:dyDescent="0.25">
      <c r="A1779" s="18">
        <f>IF(COUNTIF($Y$6:Y1779,Y1779)=1,Y1779,Y1779+COUNTIF($Y$5:Y1778,Y1779))</f>
        <v>774</v>
      </c>
      <c r="B1779" s="1">
        <f>IF(AND(Kisero_iv!$N$2=C1779,Kisero_iv!$K$5=$B$3,SUM(I1779:L1783)&lt;&gt;0,$B$4=YEAR(W1779)),B1778+1,0)</f>
        <v>0</v>
      </c>
      <c r="C1779" s="1">
        <f t="shared" si="132"/>
        <v>774</v>
      </c>
      <c r="D1779" s="102" t="str">
        <f t="shared" si="133"/>
        <v/>
      </c>
      <c r="E1779" s="44"/>
      <c r="F1779" s="45"/>
      <c r="G1779" s="45"/>
      <c r="H1779" s="45"/>
      <c r="I1779" s="46"/>
      <c r="J1779" s="111" t="str">
        <f>IF(AND(G1779&lt;&gt;"",ISERROR(VLOOKUP(G1779,Keszlet!$C$5:$H$200,6,FALSE))=FALSE),VLOOKUP(G1779,Keszlet!$C$5:$H$200,6,FALSE),"")</f>
        <v/>
      </c>
      <c r="K1779" s="106" t="str">
        <f>IF(AND(G1779&lt;&gt;"",ISERROR(VLOOKUP(G1779,Keszlet!$C$5:$G$200,5,FALSE))=FALSE),VLOOKUP(G1779,Keszlet!$C$5:$G$200,5,FALSE),"")</f>
        <v/>
      </c>
      <c r="L1779" s="106" t="str">
        <f t="shared" si="134"/>
        <v/>
      </c>
      <c r="M1779" s="115" t="str">
        <f>IF(ISERROR(VLOOKUP(G1779,Keszlet!$C$5:$I$200,7,FALSE))=TRUE,"",IF(AND(J1778&lt;&gt;"",J1780=""),VLOOKUP(G1779,Keszlet!$C$5:$I$200,7,FALSE),""))</f>
        <v/>
      </c>
      <c r="Q1779" s="1">
        <f>VLOOKUP(G1779,Keszlet!$C$5:$E$205,3,FALSE)</f>
        <v>0</v>
      </c>
      <c r="T1779" s="1" t="str">
        <f t="shared" si="135"/>
        <v/>
      </c>
      <c r="U1779" s="1">
        <f t="shared" si="136"/>
        <v>0</v>
      </c>
      <c r="W1779" s="6">
        <f t="shared" si="139"/>
        <v>0</v>
      </c>
      <c r="X1779" s="6">
        <f t="shared" si="131"/>
        <v>0</v>
      </c>
      <c r="Y1779" s="1">
        <f t="shared" si="137"/>
        <v>1</v>
      </c>
      <c r="Z1779" s="1">
        <f>IF(COUNTIF($Y$6:Y1779,Y1779)=1,Y1779,Y1779+COUNTIF($Y$5:Y1778,Y1779))</f>
        <v>774</v>
      </c>
      <c r="AD1779" s="1" t="str">
        <f t="shared" si="138"/>
        <v/>
      </c>
      <c r="BA1779" s="1">
        <f>IF(W1779&lt;=Leltar_iv!$Y$1,I1779,0)</f>
        <v>0</v>
      </c>
    </row>
    <row r="1780" spans="1:53" s="1" customFormat="1" x14ac:dyDescent="0.25">
      <c r="A1780" s="18">
        <f>IF(COUNTIF($Y$6:Y1780,Y1780)=1,Y1780,Y1780+COUNTIF($Y$5:Y1779,Y1780))</f>
        <v>775</v>
      </c>
      <c r="B1780" s="1">
        <f>IF(AND(Kisero_iv!$N$2=C1780,Kisero_iv!$K$5=$B$3,SUM(I1780:L1784)&lt;&gt;0,$B$4=YEAR(W1780)),B1779+1,0)</f>
        <v>0</v>
      </c>
      <c r="C1780" s="1">
        <f t="shared" si="132"/>
        <v>775</v>
      </c>
      <c r="D1780" s="102" t="str">
        <f t="shared" si="133"/>
        <v/>
      </c>
      <c r="E1780" s="44"/>
      <c r="F1780" s="45"/>
      <c r="G1780" s="45"/>
      <c r="H1780" s="45"/>
      <c r="I1780" s="46"/>
      <c r="J1780" s="111" t="str">
        <f>IF(AND(G1780&lt;&gt;"",ISERROR(VLOOKUP(G1780,Keszlet!$C$5:$H$200,6,FALSE))=FALSE),VLOOKUP(G1780,Keszlet!$C$5:$H$200,6,FALSE),"")</f>
        <v/>
      </c>
      <c r="K1780" s="106" t="str">
        <f>IF(AND(G1780&lt;&gt;"",ISERROR(VLOOKUP(G1780,Keszlet!$C$5:$G$200,5,FALSE))=FALSE),VLOOKUP(G1780,Keszlet!$C$5:$G$200,5,FALSE),"")</f>
        <v/>
      </c>
      <c r="L1780" s="106" t="str">
        <f t="shared" si="134"/>
        <v/>
      </c>
      <c r="M1780" s="115" t="str">
        <f>IF(ISERROR(VLOOKUP(G1780,Keszlet!$C$5:$I$200,7,FALSE))=TRUE,"",IF(AND(J1779&lt;&gt;"",J1781=""),VLOOKUP(G1780,Keszlet!$C$5:$I$200,7,FALSE),""))</f>
        <v/>
      </c>
      <c r="Q1780" s="1">
        <f>VLOOKUP(G1780,Keszlet!$C$5:$E$205,3,FALSE)</f>
        <v>0</v>
      </c>
      <c r="T1780" s="1" t="str">
        <f t="shared" si="135"/>
        <v/>
      </c>
      <c r="U1780" s="1">
        <f t="shared" si="136"/>
        <v>0</v>
      </c>
      <c r="W1780" s="6">
        <f t="shared" si="139"/>
        <v>0</v>
      </c>
      <c r="X1780" s="6">
        <f t="shared" si="131"/>
        <v>0</v>
      </c>
      <c r="Y1780" s="1">
        <f t="shared" si="137"/>
        <v>1</v>
      </c>
      <c r="Z1780" s="1">
        <f>IF(COUNTIF($Y$6:Y1780,Y1780)=1,Y1780,Y1780+COUNTIF($Y$5:Y1779,Y1780))</f>
        <v>775</v>
      </c>
      <c r="AD1780" s="1" t="str">
        <f t="shared" si="138"/>
        <v/>
      </c>
      <c r="BA1780" s="1">
        <f>IF(W1780&lt;=Leltar_iv!$Y$1,I1780,0)</f>
        <v>0</v>
      </c>
    </row>
    <row r="1781" spans="1:53" s="1" customFormat="1" x14ac:dyDescent="0.25">
      <c r="A1781" s="18">
        <f>IF(COUNTIF($Y$6:Y1781,Y1781)=1,Y1781,Y1781+COUNTIF($Y$5:Y1780,Y1781))</f>
        <v>776</v>
      </c>
      <c r="B1781" s="1">
        <f>IF(AND(Kisero_iv!$N$2=C1781,Kisero_iv!$K$5=$B$3,SUM(I1781:L1785)&lt;&gt;0,$B$4=YEAR(W1781)),B1780+1,0)</f>
        <v>0</v>
      </c>
      <c r="C1781" s="1">
        <f t="shared" si="132"/>
        <v>776</v>
      </c>
      <c r="D1781" s="102" t="str">
        <f t="shared" si="133"/>
        <v/>
      </c>
      <c r="E1781" s="44"/>
      <c r="F1781" s="45"/>
      <c r="G1781" s="45"/>
      <c r="H1781" s="45"/>
      <c r="I1781" s="46"/>
      <c r="J1781" s="111" t="str">
        <f>IF(AND(G1781&lt;&gt;"",ISERROR(VLOOKUP(G1781,Keszlet!$C$5:$H$200,6,FALSE))=FALSE),VLOOKUP(G1781,Keszlet!$C$5:$H$200,6,FALSE),"")</f>
        <v/>
      </c>
      <c r="K1781" s="106" t="str">
        <f>IF(AND(G1781&lt;&gt;"",ISERROR(VLOOKUP(G1781,Keszlet!$C$5:$G$200,5,FALSE))=FALSE),VLOOKUP(G1781,Keszlet!$C$5:$G$200,5,FALSE),"")</f>
        <v/>
      </c>
      <c r="L1781" s="106" t="str">
        <f t="shared" si="134"/>
        <v/>
      </c>
      <c r="M1781" s="115" t="str">
        <f>IF(ISERROR(VLOOKUP(G1781,Keszlet!$C$5:$I$200,7,FALSE))=TRUE,"",IF(AND(J1780&lt;&gt;"",J1782=""),VLOOKUP(G1781,Keszlet!$C$5:$I$200,7,FALSE),""))</f>
        <v/>
      </c>
      <c r="Q1781" s="1">
        <f>VLOOKUP(G1781,Keszlet!$C$5:$E$205,3,FALSE)</f>
        <v>0</v>
      </c>
      <c r="T1781" s="1" t="str">
        <f t="shared" si="135"/>
        <v/>
      </c>
      <c r="U1781" s="1">
        <f t="shared" si="136"/>
        <v>0</v>
      </c>
      <c r="W1781" s="6">
        <f t="shared" si="139"/>
        <v>0</v>
      </c>
      <c r="X1781" s="6">
        <f t="shared" si="131"/>
        <v>0</v>
      </c>
      <c r="Y1781" s="1">
        <f t="shared" si="137"/>
        <v>1</v>
      </c>
      <c r="Z1781" s="1">
        <f>IF(COUNTIF($Y$6:Y1781,Y1781)=1,Y1781,Y1781+COUNTIF($Y$5:Y1780,Y1781))</f>
        <v>776</v>
      </c>
      <c r="AD1781" s="1" t="str">
        <f t="shared" si="138"/>
        <v/>
      </c>
      <c r="BA1781" s="1">
        <f>IF(W1781&lt;=Leltar_iv!$Y$1,I1781,0)</f>
        <v>0</v>
      </c>
    </row>
    <row r="1782" spans="1:53" s="1" customFormat="1" x14ac:dyDescent="0.25">
      <c r="A1782" s="18">
        <f>IF(COUNTIF($Y$6:Y1782,Y1782)=1,Y1782,Y1782+COUNTIF($Y$5:Y1781,Y1782))</f>
        <v>777</v>
      </c>
      <c r="B1782" s="1">
        <f>IF(AND(Kisero_iv!$N$2=C1782,Kisero_iv!$K$5=$B$3,SUM(I1782:L1786)&lt;&gt;0,$B$4=YEAR(W1782)),B1781+1,0)</f>
        <v>0</v>
      </c>
      <c r="C1782" s="1">
        <f t="shared" si="132"/>
        <v>777</v>
      </c>
      <c r="D1782" s="102" t="str">
        <f t="shared" si="133"/>
        <v/>
      </c>
      <c r="E1782" s="44"/>
      <c r="F1782" s="45"/>
      <c r="G1782" s="45"/>
      <c r="H1782" s="45"/>
      <c r="I1782" s="46"/>
      <c r="J1782" s="111" t="str">
        <f>IF(AND(G1782&lt;&gt;"",ISERROR(VLOOKUP(G1782,Keszlet!$C$5:$H$200,6,FALSE))=FALSE),VLOOKUP(G1782,Keszlet!$C$5:$H$200,6,FALSE),"")</f>
        <v/>
      </c>
      <c r="K1782" s="106" t="str">
        <f>IF(AND(G1782&lt;&gt;"",ISERROR(VLOOKUP(G1782,Keszlet!$C$5:$G$200,5,FALSE))=FALSE),VLOOKUP(G1782,Keszlet!$C$5:$G$200,5,FALSE),"")</f>
        <v/>
      </c>
      <c r="L1782" s="106" t="str">
        <f t="shared" si="134"/>
        <v/>
      </c>
      <c r="M1782" s="115" t="str">
        <f>IF(ISERROR(VLOOKUP(G1782,Keszlet!$C$5:$I$200,7,FALSE))=TRUE,"",IF(AND(J1781&lt;&gt;"",J1783=""),VLOOKUP(G1782,Keszlet!$C$5:$I$200,7,FALSE),""))</f>
        <v/>
      </c>
      <c r="Q1782" s="1">
        <f>VLOOKUP(G1782,Keszlet!$C$5:$E$205,3,FALSE)</f>
        <v>0</v>
      </c>
      <c r="T1782" s="1" t="str">
        <f t="shared" si="135"/>
        <v/>
      </c>
      <c r="U1782" s="1">
        <f t="shared" si="136"/>
        <v>0</v>
      </c>
      <c r="W1782" s="6">
        <f t="shared" si="139"/>
        <v>0</v>
      </c>
      <c r="X1782" s="6">
        <f t="shared" si="131"/>
        <v>0</v>
      </c>
      <c r="Y1782" s="1">
        <f t="shared" si="137"/>
        <v>1</v>
      </c>
      <c r="Z1782" s="1">
        <f>IF(COUNTIF($Y$6:Y1782,Y1782)=1,Y1782,Y1782+COUNTIF($Y$5:Y1781,Y1782))</f>
        <v>777</v>
      </c>
      <c r="AD1782" s="1" t="str">
        <f t="shared" si="138"/>
        <v/>
      </c>
      <c r="BA1782" s="1">
        <f>IF(W1782&lt;=Leltar_iv!$Y$1,I1782,0)</f>
        <v>0</v>
      </c>
    </row>
    <row r="1783" spans="1:53" s="1" customFormat="1" x14ac:dyDescent="0.25">
      <c r="A1783" s="18">
        <f>IF(COUNTIF($Y$6:Y1783,Y1783)=1,Y1783,Y1783+COUNTIF($Y$5:Y1782,Y1783))</f>
        <v>778</v>
      </c>
      <c r="B1783" s="1">
        <f>IF(AND(Kisero_iv!$N$2=C1783,Kisero_iv!$K$5=$B$3,SUM(I1783:L1787)&lt;&gt;0,$B$4=YEAR(W1783)),B1782+1,0)</f>
        <v>0</v>
      </c>
      <c r="C1783" s="1">
        <f t="shared" si="132"/>
        <v>778</v>
      </c>
      <c r="D1783" s="102" t="str">
        <f t="shared" si="133"/>
        <v/>
      </c>
      <c r="E1783" s="44"/>
      <c r="F1783" s="45"/>
      <c r="G1783" s="45"/>
      <c r="H1783" s="45"/>
      <c r="I1783" s="46"/>
      <c r="J1783" s="111" t="str">
        <f>IF(AND(G1783&lt;&gt;"",ISERROR(VLOOKUP(G1783,Keszlet!$C$5:$H$200,6,FALSE))=FALSE),VLOOKUP(G1783,Keszlet!$C$5:$H$200,6,FALSE),"")</f>
        <v/>
      </c>
      <c r="K1783" s="106" t="str">
        <f>IF(AND(G1783&lt;&gt;"",ISERROR(VLOOKUP(G1783,Keszlet!$C$5:$G$200,5,FALSE))=FALSE),VLOOKUP(G1783,Keszlet!$C$5:$G$200,5,FALSE),"")</f>
        <v/>
      </c>
      <c r="L1783" s="106" t="str">
        <f t="shared" si="134"/>
        <v/>
      </c>
      <c r="M1783" s="115" t="str">
        <f>IF(ISERROR(VLOOKUP(G1783,Keszlet!$C$5:$I$200,7,FALSE))=TRUE,"",IF(AND(J1782&lt;&gt;"",J1784=""),VLOOKUP(G1783,Keszlet!$C$5:$I$200,7,FALSE),""))</f>
        <v/>
      </c>
      <c r="Q1783" s="1">
        <f>VLOOKUP(G1783,Keszlet!$C$5:$E$205,3,FALSE)</f>
        <v>0</v>
      </c>
      <c r="T1783" s="1" t="str">
        <f t="shared" si="135"/>
        <v/>
      </c>
      <c r="U1783" s="1">
        <f t="shared" si="136"/>
        <v>0</v>
      </c>
      <c r="W1783" s="6">
        <f t="shared" si="139"/>
        <v>0</v>
      </c>
      <c r="X1783" s="6">
        <f t="shared" si="131"/>
        <v>0</v>
      </c>
      <c r="Y1783" s="1">
        <f t="shared" si="137"/>
        <v>1</v>
      </c>
      <c r="Z1783" s="1">
        <f>IF(COUNTIF($Y$6:Y1783,Y1783)=1,Y1783,Y1783+COUNTIF($Y$5:Y1782,Y1783))</f>
        <v>778</v>
      </c>
      <c r="AD1783" s="1" t="str">
        <f t="shared" si="138"/>
        <v/>
      </c>
      <c r="BA1783" s="1">
        <f>IF(W1783&lt;=Leltar_iv!$Y$1,I1783,0)</f>
        <v>0</v>
      </c>
    </row>
    <row r="1784" spans="1:53" s="1" customFormat="1" x14ac:dyDescent="0.25">
      <c r="A1784" s="18">
        <f>IF(COUNTIF($Y$6:Y1784,Y1784)=1,Y1784,Y1784+COUNTIF($Y$5:Y1783,Y1784))</f>
        <v>779</v>
      </c>
      <c r="B1784" s="1">
        <f>IF(AND(Kisero_iv!$N$2=C1784,Kisero_iv!$K$5=$B$3,SUM(I1784:L1788)&lt;&gt;0,$B$4=YEAR(W1784)),B1783+1,0)</f>
        <v>0</v>
      </c>
      <c r="C1784" s="1">
        <f t="shared" si="132"/>
        <v>779</v>
      </c>
      <c r="D1784" s="102" t="str">
        <f t="shared" si="133"/>
        <v/>
      </c>
      <c r="E1784" s="44"/>
      <c r="F1784" s="45"/>
      <c r="G1784" s="45"/>
      <c r="H1784" s="45"/>
      <c r="I1784" s="46"/>
      <c r="J1784" s="111" t="str">
        <f>IF(AND(G1784&lt;&gt;"",ISERROR(VLOOKUP(G1784,Keszlet!$C$5:$H$200,6,FALSE))=FALSE),VLOOKUP(G1784,Keszlet!$C$5:$H$200,6,FALSE),"")</f>
        <v/>
      </c>
      <c r="K1784" s="106" t="str">
        <f>IF(AND(G1784&lt;&gt;"",ISERROR(VLOOKUP(G1784,Keszlet!$C$5:$G$200,5,FALSE))=FALSE),VLOOKUP(G1784,Keszlet!$C$5:$G$200,5,FALSE),"")</f>
        <v/>
      </c>
      <c r="L1784" s="106" t="str">
        <f t="shared" si="134"/>
        <v/>
      </c>
      <c r="M1784" s="115" t="str">
        <f>IF(ISERROR(VLOOKUP(G1784,Keszlet!$C$5:$I$200,7,FALSE))=TRUE,"",IF(AND(J1783&lt;&gt;"",J1785=""),VLOOKUP(G1784,Keszlet!$C$5:$I$200,7,FALSE),""))</f>
        <v/>
      </c>
      <c r="Q1784" s="1">
        <f>VLOOKUP(G1784,Keszlet!$C$5:$E$205,3,FALSE)</f>
        <v>0</v>
      </c>
      <c r="T1784" s="1" t="str">
        <f t="shared" si="135"/>
        <v/>
      </c>
      <c r="U1784" s="1">
        <f t="shared" si="136"/>
        <v>0</v>
      </c>
      <c r="W1784" s="6">
        <f t="shared" si="139"/>
        <v>0</v>
      </c>
      <c r="X1784" s="6">
        <f t="shared" si="131"/>
        <v>0</v>
      </c>
      <c r="Y1784" s="1">
        <f t="shared" si="137"/>
        <v>1</v>
      </c>
      <c r="Z1784" s="1">
        <f>IF(COUNTIF($Y$6:Y1784,Y1784)=1,Y1784,Y1784+COUNTIF($Y$5:Y1783,Y1784))</f>
        <v>779</v>
      </c>
      <c r="AD1784" s="1" t="str">
        <f t="shared" si="138"/>
        <v/>
      </c>
      <c r="BA1784" s="1">
        <f>IF(W1784&lt;=Leltar_iv!$Y$1,I1784,0)</f>
        <v>0</v>
      </c>
    </row>
    <row r="1785" spans="1:53" s="1" customFormat="1" x14ac:dyDescent="0.25">
      <c r="A1785" s="18">
        <f>IF(COUNTIF($Y$6:Y1785,Y1785)=1,Y1785,Y1785+COUNTIF($Y$5:Y1784,Y1785))</f>
        <v>780</v>
      </c>
      <c r="B1785" s="1">
        <f>IF(AND(Kisero_iv!$N$2=C1785,Kisero_iv!$K$5=$B$3,SUM(I1785:L1789)&lt;&gt;0,$B$4=YEAR(W1785)),B1784+1,0)</f>
        <v>0</v>
      </c>
      <c r="C1785" s="1">
        <f t="shared" si="132"/>
        <v>780</v>
      </c>
      <c r="D1785" s="102" t="str">
        <f t="shared" si="133"/>
        <v/>
      </c>
      <c r="E1785" s="44"/>
      <c r="F1785" s="45"/>
      <c r="G1785" s="45"/>
      <c r="H1785" s="45"/>
      <c r="I1785" s="46"/>
      <c r="J1785" s="111" t="str">
        <f>IF(AND(G1785&lt;&gt;"",ISERROR(VLOOKUP(G1785,Keszlet!$C$5:$H$200,6,FALSE))=FALSE),VLOOKUP(G1785,Keszlet!$C$5:$H$200,6,FALSE),"")</f>
        <v/>
      </c>
      <c r="K1785" s="106" t="str">
        <f>IF(AND(G1785&lt;&gt;"",ISERROR(VLOOKUP(G1785,Keszlet!$C$5:$G$200,5,FALSE))=FALSE),VLOOKUP(G1785,Keszlet!$C$5:$G$200,5,FALSE),"")</f>
        <v/>
      </c>
      <c r="L1785" s="106" t="str">
        <f t="shared" si="134"/>
        <v/>
      </c>
      <c r="M1785" s="115" t="str">
        <f>IF(ISERROR(VLOOKUP(G1785,Keszlet!$C$5:$I$200,7,FALSE))=TRUE,"",IF(AND(J1784&lt;&gt;"",J1786=""),VLOOKUP(G1785,Keszlet!$C$5:$I$200,7,FALSE),""))</f>
        <v/>
      </c>
      <c r="Q1785" s="1">
        <f>VLOOKUP(G1785,Keszlet!$C$5:$E$205,3,FALSE)</f>
        <v>0</v>
      </c>
      <c r="T1785" s="1" t="str">
        <f t="shared" si="135"/>
        <v/>
      </c>
      <c r="U1785" s="1">
        <f t="shared" si="136"/>
        <v>0</v>
      </c>
      <c r="W1785" s="6">
        <f t="shared" si="139"/>
        <v>0</v>
      </c>
      <c r="X1785" s="6">
        <f t="shared" si="131"/>
        <v>0</v>
      </c>
      <c r="Y1785" s="1">
        <f t="shared" si="137"/>
        <v>1</v>
      </c>
      <c r="Z1785" s="1">
        <f>IF(COUNTIF($Y$6:Y1785,Y1785)=1,Y1785,Y1785+COUNTIF($Y$5:Y1784,Y1785))</f>
        <v>780</v>
      </c>
      <c r="AD1785" s="1" t="str">
        <f t="shared" si="138"/>
        <v/>
      </c>
      <c r="BA1785" s="1">
        <f>IF(W1785&lt;=Leltar_iv!$Y$1,I1785,0)</f>
        <v>0</v>
      </c>
    </row>
    <row r="1786" spans="1:53" s="1" customFormat="1" x14ac:dyDescent="0.25">
      <c r="A1786" s="18">
        <f>IF(COUNTIF($Y$6:Y1786,Y1786)=1,Y1786,Y1786+COUNTIF($Y$5:Y1785,Y1786))</f>
        <v>781</v>
      </c>
      <c r="B1786" s="1">
        <f>IF(AND(Kisero_iv!$N$2=C1786,Kisero_iv!$K$5=$B$3,SUM(I1786:L1790)&lt;&gt;0,$B$4=YEAR(W1786)),B1785+1,0)</f>
        <v>0</v>
      </c>
      <c r="C1786" s="1">
        <f t="shared" si="132"/>
        <v>781</v>
      </c>
      <c r="D1786" s="102" t="str">
        <f t="shared" si="133"/>
        <v/>
      </c>
      <c r="E1786" s="44"/>
      <c r="F1786" s="45"/>
      <c r="G1786" s="45"/>
      <c r="H1786" s="45"/>
      <c r="I1786" s="46"/>
      <c r="J1786" s="111" t="str">
        <f>IF(AND(G1786&lt;&gt;"",ISERROR(VLOOKUP(G1786,Keszlet!$C$5:$H$200,6,FALSE))=FALSE),VLOOKUP(G1786,Keszlet!$C$5:$H$200,6,FALSE),"")</f>
        <v/>
      </c>
      <c r="K1786" s="106" t="str">
        <f>IF(AND(G1786&lt;&gt;"",ISERROR(VLOOKUP(G1786,Keszlet!$C$5:$G$200,5,FALSE))=FALSE),VLOOKUP(G1786,Keszlet!$C$5:$G$200,5,FALSE),"")</f>
        <v/>
      </c>
      <c r="L1786" s="106" t="str">
        <f t="shared" si="134"/>
        <v/>
      </c>
      <c r="M1786" s="115" t="str">
        <f>IF(ISERROR(VLOOKUP(G1786,Keszlet!$C$5:$I$200,7,FALSE))=TRUE,"",IF(AND(J1785&lt;&gt;"",J1787=""),VLOOKUP(G1786,Keszlet!$C$5:$I$200,7,FALSE),""))</f>
        <v/>
      </c>
      <c r="Q1786" s="1">
        <f>VLOOKUP(G1786,Keszlet!$C$5:$E$205,3,FALSE)</f>
        <v>0</v>
      </c>
      <c r="T1786" s="1" t="str">
        <f t="shared" si="135"/>
        <v/>
      </c>
      <c r="U1786" s="1">
        <f t="shared" si="136"/>
        <v>0</v>
      </c>
      <c r="W1786" s="6">
        <f t="shared" si="139"/>
        <v>0</v>
      </c>
      <c r="X1786" s="6">
        <f t="shared" si="131"/>
        <v>0</v>
      </c>
      <c r="Y1786" s="1">
        <f t="shared" si="137"/>
        <v>1</v>
      </c>
      <c r="Z1786" s="1">
        <f>IF(COUNTIF($Y$6:Y1786,Y1786)=1,Y1786,Y1786+COUNTIF($Y$5:Y1785,Y1786))</f>
        <v>781</v>
      </c>
      <c r="AD1786" s="1" t="str">
        <f t="shared" si="138"/>
        <v/>
      </c>
      <c r="BA1786" s="1">
        <f>IF(W1786&lt;=Leltar_iv!$Y$1,I1786,0)</f>
        <v>0</v>
      </c>
    </row>
    <row r="1787" spans="1:53" s="1" customFormat="1" x14ac:dyDescent="0.25">
      <c r="A1787" s="18">
        <f>IF(COUNTIF($Y$6:Y1787,Y1787)=1,Y1787,Y1787+COUNTIF($Y$5:Y1786,Y1787))</f>
        <v>782</v>
      </c>
      <c r="B1787" s="1">
        <f>IF(AND(Kisero_iv!$N$2=C1787,Kisero_iv!$K$5=$B$3,SUM(I1787:L1791)&lt;&gt;0,$B$4=YEAR(W1787)),B1786+1,0)</f>
        <v>0</v>
      </c>
      <c r="C1787" s="1">
        <f t="shared" si="132"/>
        <v>782</v>
      </c>
      <c r="D1787" s="102" t="str">
        <f t="shared" si="133"/>
        <v/>
      </c>
      <c r="E1787" s="44"/>
      <c r="F1787" s="45"/>
      <c r="G1787" s="45"/>
      <c r="H1787" s="45"/>
      <c r="I1787" s="46"/>
      <c r="J1787" s="111" t="str">
        <f>IF(AND(G1787&lt;&gt;"",ISERROR(VLOOKUP(G1787,Keszlet!$C$5:$H$200,6,FALSE))=FALSE),VLOOKUP(G1787,Keszlet!$C$5:$H$200,6,FALSE),"")</f>
        <v/>
      </c>
      <c r="K1787" s="106" t="str">
        <f>IF(AND(G1787&lt;&gt;"",ISERROR(VLOOKUP(G1787,Keszlet!$C$5:$G$200,5,FALSE))=FALSE),VLOOKUP(G1787,Keszlet!$C$5:$G$200,5,FALSE),"")</f>
        <v/>
      </c>
      <c r="L1787" s="106" t="str">
        <f t="shared" si="134"/>
        <v/>
      </c>
      <c r="M1787" s="115" t="str">
        <f>IF(ISERROR(VLOOKUP(G1787,Keszlet!$C$5:$I$200,7,FALSE))=TRUE,"",IF(AND(J1786&lt;&gt;"",J1788=""),VLOOKUP(G1787,Keszlet!$C$5:$I$200,7,FALSE),""))</f>
        <v/>
      </c>
      <c r="Q1787" s="1">
        <f>VLOOKUP(G1787,Keszlet!$C$5:$E$205,3,FALSE)</f>
        <v>0</v>
      </c>
      <c r="T1787" s="1" t="str">
        <f t="shared" si="135"/>
        <v/>
      </c>
      <c r="U1787" s="1">
        <f t="shared" si="136"/>
        <v>0</v>
      </c>
      <c r="W1787" s="6">
        <f t="shared" si="139"/>
        <v>0</v>
      </c>
      <c r="X1787" s="6">
        <f t="shared" si="131"/>
        <v>0</v>
      </c>
      <c r="Y1787" s="1">
        <f t="shared" si="137"/>
        <v>1</v>
      </c>
      <c r="Z1787" s="1">
        <f>IF(COUNTIF($Y$6:Y1787,Y1787)=1,Y1787,Y1787+COUNTIF($Y$5:Y1786,Y1787))</f>
        <v>782</v>
      </c>
      <c r="AD1787" s="1" t="str">
        <f t="shared" si="138"/>
        <v/>
      </c>
      <c r="BA1787" s="1">
        <f>IF(W1787&lt;=Leltar_iv!$Y$1,I1787,0)</f>
        <v>0</v>
      </c>
    </row>
    <row r="1788" spans="1:53" s="1" customFormat="1" x14ac:dyDescent="0.25">
      <c r="A1788" s="18">
        <f>IF(COUNTIF($Y$6:Y1788,Y1788)=1,Y1788,Y1788+COUNTIF($Y$5:Y1787,Y1788))</f>
        <v>783</v>
      </c>
      <c r="B1788" s="1">
        <f>IF(AND(Kisero_iv!$N$2=C1788,Kisero_iv!$K$5=$B$3,SUM(I1788:L1792)&lt;&gt;0,$B$4=YEAR(W1788)),B1787+1,0)</f>
        <v>0</v>
      </c>
      <c r="C1788" s="1">
        <f t="shared" si="132"/>
        <v>783</v>
      </c>
      <c r="D1788" s="102" t="str">
        <f t="shared" si="133"/>
        <v/>
      </c>
      <c r="E1788" s="44"/>
      <c r="F1788" s="45"/>
      <c r="G1788" s="45"/>
      <c r="H1788" s="45"/>
      <c r="I1788" s="46"/>
      <c r="J1788" s="111" t="str">
        <f>IF(AND(G1788&lt;&gt;"",ISERROR(VLOOKUP(G1788,Keszlet!$C$5:$H$200,6,FALSE))=FALSE),VLOOKUP(G1788,Keszlet!$C$5:$H$200,6,FALSE),"")</f>
        <v/>
      </c>
      <c r="K1788" s="106" t="str">
        <f>IF(AND(G1788&lt;&gt;"",ISERROR(VLOOKUP(G1788,Keszlet!$C$5:$G$200,5,FALSE))=FALSE),VLOOKUP(G1788,Keszlet!$C$5:$G$200,5,FALSE),"")</f>
        <v/>
      </c>
      <c r="L1788" s="106" t="str">
        <f t="shared" si="134"/>
        <v/>
      </c>
      <c r="M1788" s="115" t="str">
        <f>IF(ISERROR(VLOOKUP(G1788,Keszlet!$C$5:$I$200,7,FALSE))=TRUE,"",IF(AND(J1787&lt;&gt;"",J1789=""),VLOOKUP(G1788,Keszlet!$C$5:$I$200,7,FALSE),""))</f>
        <v/>
      </c>
      <c r="Q1788" s="1">
        <f>VLOOKUP(G1788,Keszlet!$C$5:$E$205,3,FALSE)</f>
        <v>0</v>
      </c>
      <c r="T1788" s="1" t="str">
        <f t="shared" si="135"/>
        <v/>
      </c>
      <c r="U1788" s="1">
        <f t="shared" si="136"/>
        <v>0</v>
      </c>
      <c r="W1788" s="6">
        <f t="shared" si="139"/>
        <v>0</v>
      </c>
      <c r="X1788" s="6">
        <f t="shared" si="131"/>
        <v>0</v>
      </c>
      <c r="Y1788" s="1">
        <f t="shared" si="137"/>
        <v>1</v>
      </c>
      <c r="Z1788" s="1">
        <f>IF(COUNTIF($Y$6:Y1788,Y1788)=1,Y1788,Y1788+COUNTIF($Y$5:Y1787,Y1788))</f>
        <v>783</v>
      </c>
      <c r="AD1788" s="1" t="str">
        <f t="shared" si="138"/>
        <v/>
      </c>
      <c r="BA1788" s="1">
        <f>IF(W1788&lt;=Leltar_iv!$Y$1,I1788,0)</f>
        <v>0</v>
      </c>
    </row>
    <row r="1789" spans="1:53" s="1" customFormat="1" x14ac:dyDescent="0.25">
      <c r="A1789" s="18">
        <f>IF(COUNTIF($Y$6:Y1789,Y1789)=1,Y1789,Y1789+COUNTIF($Y$5:Y1788,Y1789))</f>
        <v>784</v>
      </c>
      <c r="B1789" s="1">
        <f>IF(AND(Kisero_iv!$N$2=C1789,Kisero_iv!$K$5=$B$3,SUM(I1789:L1793)&lt;&gt;0,$B$4=YEAR(W1789)),B1788+1,0)</f>
        <v>0</v>
      </c>
      <c r="C1789" s="1">
        <f t="shared" si="132"/>
        <v>784</v>
      </c>
      <c r="D1789" s="102" t="str">
        <f t="shared" si="133"/>
        <v/>
      </c>
      <c r="E1789" s="44"/>
      <c r="F1789" s="45"/>
      <c r="G1789" s="45"/>
      <c r="H1789" s="45"/>
      <c r="I1789" s="46"/>
      <c r="J1789" s="111" t="str">
        <f>IF(AND(G1789&lt;&gt;"",ISERROR(VLOOKUP(G1789,Keszlet!$C$5:$H$200,6,FALSE))=FALSE),VLOOKUP(G1789,Keszlet!$C$5:$H$200,6,FALSE),"")</f>
        <v/>
      </c>
      <c r="K1789" s="106" t="str">
        <f>IF(AND(G1789&lt;&gt;"",ISERROR(VLOOKUP(G1789,Keszlet!$C$5:$G$200,5,FALSE))=FALSE),VLOOKUP(G1789,Keszlet!$C$5:$G$200,5,FALSE),"")</f>
        <v/>
      </c>
      <c r="L1789" s="106" t="str">
        <f t="shared" si="134"/>
        <v/>
      </c>
      <c r="M1789" s="115" t="str">
        <f>IF(ISERROR(VLOOKUP(G1789,Keszlet!$C$5:$I$200,7,FALSE))=TRUE,"",IF(AND(J1788&lt;&gt;"",J1790=""),VLOOKUP(G1789,Keszlet!$C$5:$I$200,7,FALSE),""))</f>
        <v/>
      </c>
      <c r="Q1789" s="1">
        <f>VLOOKUP(G1789,Keszlet!$C$5:$E$205,3,FALSE)</f>
        <v>0</v>
      </c>
      <c r="T1789" s="1" t="str">
        <f t="shared" si="135"/>
        <v/>
      </c>
      <c r="U1789" s="1">
        <f t="shared" si="136"/>
        <v>0</v>
      </c>
      <c r="W1789" s="6">
        <f t="shared" si="139"/>
        <v>0</v>
      </c>
      <c r="X1789" s="6">
        <f t="shared" si="131"/>
        <v>0</v>
      </c>
      <c r="Y1789" s="1">
        <f t="shared" si="137"/>
        <v>1</v>
      </c>
      <c r="Z1789" s="1">
        <f>IF(COUNTIF($Y$6:Y1789,Y1789)=1,Y1789,Y1789+COUNTIF($Y$5:Y1788,Y1789))</f>
        <v>784</v>
      </c>
      <c r="AD1789" s="1" t="str">
        <f t="shared" si="138"/>
        <v/>
      </c>
      <c r="BA1789" s="1">
        <f>IF(W1789&lt;=Leltar_iv!$Y$1,I1789,0)</f>
        <v>0</v>
      </c>
    </row>
    <row r="1790" spans="1:53" s="1" customFormat="1" x14ac:dyDescent="0.25">
      <c r="A1790" s="18">
        <f>IF(COUNTIF($Y$6:Y1790,Y1790)=1,Y1790,Y1790+COUNTIF($Y$5:Y1789,Y1790))</f>
        <v>785</v>
      </c>
      <c r="B1790" s="1">
        <f>IF(AND(Kisero_iv!$N$2=C1790,Kisero_iv!$K$5=$B$3,SUM(I1790:L1794)&lt;&gt;0,$B$4=YEAR(W1790)),B1789+1,0)</f>
        <v>0</v>
      </c>
      <c r="C1790" s="1">
        <f t="shared" si="132"/>
        <v>785</v>
      </c>
      <c r="D1790" s="102" t="str">
        <f t="shared" si="133"/>
        <v/>
      </c>
      <c r="E1790" s="44"/>
      <c r="F1790" s="45"/>
      <c r="G1790" s="45"/>
      <c r="H1790" s="45"/>
      <c r="I1790" s="46"/>
      <c r="J1790" s="111" t="str">
        <f>IF(AND(G1790&lt;&gt;"",ISERROR(VLOOKUP(G1790,Keszlet!$C$5:$H$200,6,FALSE))=FALSE),VLOOKUP(G1790,Keszlet!$C$5:$H$200,6,FALSE),"")</f>
        <v/>
      </c>
      <c r="K1790" s="106" t="str">
        <f>IF(AND(G1790&lt;&gt;"",ISERROR(VLOOKUP(G1790,Keszlet!$C$5:$G$200,5,FALSE))=FALSE),VLOOKUP(G1790,Keszlet!$C$5:$G$200,5,FALSE),"")</f>
        <v/>
      </c>
      <c r="L1790" s="106" t="str">
        <f t="shared" si="134"/>
        <v/>
      </c>
      <c r="M1790" s="115" t="str">
        <f>IF(ISERROR(VLOOKUP(G1790,Keszlet!$C$5:$I$200,7,FALSE))=TRUE,"",IF(AND(J1789&lt;&gt;"",J1791=""),VLOOKUP(G1790,Keszlet!$C$5:$I$200,7,FALSE),""))</f>
        <v/>
      </c>
      <c r="Q1790" s="1">
        <f>VLOOKUP(G1790,Keszlet!$C$5:$E$205,3,FALSE)</f>
        <v>0</v>
      </c>
      <c r="T1790" s="1" t="str">
        <f t="shared" si="135"/>
        <v/>
      </c>
      <c r="U1790" s="1">
        <f t="shared" si="136"/>
        <v>0</v>
      </c>
      <c r="W1790" s="6">
        <f t="shared" si="139"/>
        <v>0</v>
      </c>
      <c r="X1790" s="6">
        <f t="shared" si="131"/>
        <v>0</v>
      </c>
      <c r="Y1790" s="1">
        <f t="shared" si="137"/>
        <v>1</v>
      </c>
      <c r="Z1790" s="1">
        <f>IF(COUNTIF($Y$6:Y1790,Y1790)=1,Y1790,Y1790+COUNTIF($Y$5:Y1789,Y1790))</f>
        <v>785</v>
      </c>
      <c r="AD1790" s="1" t="str">
        <f t="shared" si="138"/>
        <v/>
      </c>
      <c r="BA1790" s="1">
        <f>IF(W1790&lt;=Leltar_iv!$Y$1,I1790,0)</f>
        <v>0</v>
      </c>
    </row>
    <row r="1791" spans="1:53" s="1" customFormat="1" x14ac:dyDescent="0.25">
      <c r="A1791" s="18">
        <f>IF(COUNTIF($Y$6:Y1791,Y1791)=1,Y1791,Y1791+COUNTIF($Y$5:Y1790,Y1791))</f>
        <v>786</v>
      </c>
      <c r="B1791" s="1">
        <f>IF(AND(Kisero_iv!$N$2=C1791,Kisero_iv!$K$5=$B$3,SUM(I1791:L1795)&lt;&gt;0,$B$4=YEAR(W1791)),B1790+1,0)</f>
        <v>0</v>
      </c>
      <c r="C1791" s="1">
        <f t="shared" si="132"/>
        <v>786</v>
      </c>
      <c r="D1791" s="102" t="str">
        <f t="shared" si="133"/>
        <v/>
      </c>
      <c r="E1791" s="44"/>
      <c r="F1791" s="45"/>
      <c r="G1791" s="45"/>
      <c r="H1791" s="45"/>
      <c r="I1791" s="46"/>
      <c r="J1791" s="111" t="str">
        <f>IF(AND(G1791&lt;&gt;"",ISERROR(VLOOKUP(G1791,Keszlet!$C$5:$H$200,6,FALSE))=FALSE),VLOOKUP(G1791,Keszlet!$C$5:$H$200,6,FALSE),"")</f>
        <v/>
      </c>
      <c r="K1791" s="106" t="str">
        <f>IF(AND(G1791&lt;&gt;"",ISERROR(VLOOKUP(G1791,Keszlet!$C$5:$G$200,5,FALSE))=FALSE),VLOOKUP(G1791,Keszlet!$C$5:$G$200,5,FALSE),"")</f>
        <v/>
      </c>
      <c r="L1791" s="106" t="str">
        <f t="shared" si="134"/>
        <v/>
      </c>
      <c r="M1791" s="115" t="str">
        <f>IF(ISERROR(VLOOKUP(G1791,Keszlet!$C$5:$I$200,7,FALSE))=TRUE,"",IF(AND(J1790&lt;&gt;"",J1792=""),VLOOKUP(G1791,Keszlet!$C$5:$I$200,7,FALSE),""))</f>
        <v/>
      </c>
      <c r="Q1791" s="1">
        <f>VLOOKUP(G1791,Keszlet!$C$5:$E$205,3,FALSE)</f>
        <v>0</v>
      </c>
      <c r="T1791" s="1" t="str">
        <f t="shared" si="135"/>
        <v/>
      </c>
      <c r="U1791" s="1">
        <f t="shared" si="136"/>
        <v>0</v>
      </c>
      <c r="W1791" s="6">
        <f t="shared" si="139"/>
        <v>0</v>
      </c>
      <c r="X1791" s="6">
        <f t="shared" si="131"/>
        <v>0</v>
      </c>
      <c r="Y1791" s="1">
        <f t="shared" si="137"/>
        <v>1</v>
      </c>
      <c r="Z1791" s="1">
        <f>IF(COUNTIF($Y$6:Y1791,Y1791)=1,Y1791,Y1791+COUNTIF($Y$5:Y1790,Y1791))</f>
        <v>786</v>
      </c>
      <c r="AD1791" s="1" t="str">
        <f t="shared" si="138"/>
        <v/>
      </c>
      <c r="BA1791" s="1">
        <f>IF(W1791&lt;=Leltar_iv!$Y$1,I1791,0)</f>
        <v>0</v>
      </c>
    </row>
    <row r="1792" spans="1:53" s="1" customFormat="1" x14ac:dyDescent="0.25">
      <c r="A1792" s="18">
        <f>IF(COUNTIF($Y$6:Y1792,Y1792)=1,Y1792,Y1792+COUNTIF($Y$5:Y1791,Y1792))</f>
        <v>787</v>
      </c>
      <c r="B1792" s="1">
        <f>IF(AND(Kisero_iv!$N$2=C1792,Kisero_iv!$K$5=$B$3,SUM(I1792:L1796)&lt;&gt;0,$B$4=YEAR(W1792)),B1791+1,0)</f>
        <v>0</v>
      </c>
      <c r="C1792" s="1">
        <f t="shared" si="132"/>
        <v>787</v>
      </c>
      <c r="D1792" s="102" t="str">
        <f t="shared" si="133"/>
        <v/>
      </c>
      <c r="E1792" s="44"/>
      <c r="F1792" s="45"/>
      <c r="G1792" s="45"/>
      <c r="H1792" s="45"/>
      <c r="I1792" s="46"/>
      <c r="J1792" s="111" t="str">
        <f>IF(AND(G1792&lt;&gt;"",ISERROR(VLOOKUP(G1792,Keszlet!$C$5:$H$200,6,FALSE))=FALSE),VLOOKUP(G1792,Keszlet!$C$5:$H$200,6,FALSE),"")</f>
        <v/>
      </c>
      <c r="K1792" s="106" t="str">
        <f>IF(AND(G1792&lt;&gt;"",ISERROR(VLOOKUP(G1792,Keszlet!$C$5:$G$200,5,FALSE))=FALSE),VLOOKUP(G1792,Keszlet!$C$5:$G$200,5,FALSE),"")</f>
        <v/>
      </c>
      <c r="L1792" s="106" t="str">
        <f t="shared" si="134"/>
        <v/>
      </c>
      <c r="M1792" s="115" t="str">
        <f>IF(ISERROR(VLOOKUP(G1792,Keszlet!$C$5:$I$200,7,FALSE))=TRUE,"",IF(AND(J1791&lt;&gt;"",J1793=""),VLOOKUP(G1792,Keszlet!$C$5:$I$200,7,FALSE),""))</f>
        <v/>
      </c>
      <c r="Q1792" s="1">
        <f>VLOOKUP(G1792,Keszlet!$C$5:$E$205,3,FALSE)</f>
        <v>0</v>
      </c>
      <c r="T1792" s="1" t="str">
        <f t="shared" si="135"/>
        <v/>
      </c>
      <c r="U1792" s="1">
        <f t="shared" si="136"/>
        <v>0</v>
      </c>
      <c r="W1792" s="6">
        <f t="shared" si="139"/>
        <v>0</v>
      </c>
      <c r="X1792" s="6">
        <f t="shared" si="131"/>
        <v>0</v>
      </c>
      <c r="Y1792" s="1">
        <f t="shared" si="137"/>
        <v>1</v>
      </c>
      <c r="Z1792" s="1">
        <f>IF(COUNTIF($Y$6:Y1792,Y1792)=1,Y1792,Y1792+COUNTIF($Y$5:Y1791,Y1792))</f>
        <v>787</v>
      </c>
      <c r="AD1792" s="1" t="str">
        <f t="shared" si="138"/>
        <v/>
      </c>
      <c r="BA1792" s="1">
        <f>IF(W1792&lt;=Leltar_iv!$Y$1,I1792,0)</f>
        <v>0</v>
      </c>
    </row>
    <row r="1793" spans="1:53" s="1" customFormat="1" x14ac:dyDescent="0.25">
      <c r="A1793" s="18">
        <f>IF(COUNTIF($Y$6:Y1793,Y1793)=1,Y1793,Y1793+COUNTIF($Y$5:Y1792,Y1793))</f>
        <v>788</v>
      </c>
      <c r="B1793" s="1">
        <f>IF(AND(Kisero_iv!$N$2=C1793,Kisero_iv!$K$5=$B$3,SUM(I1793:L1797)&lt;&gt;0,$B$4=YEAR(W1793)),B1792+1,0)</f>
        <v>0</v>
      </c>
      <c r="C1793" s="1">
        <f t="shared" si="132"/>
        <v>788</v>
      </c>
      <c r="D1793" s="102" t="str">
        <f t="shared" si="133"/>
        <v/>
      </c>
      <c r="E1793" s="44"/>
      <c r="F1793" s="45"/>
      <c r="G1793" s="45"/>
      <c r="H1793" s="45"/>
      <c r="I1793" s="46"/>
      <c r="J1793" s="111" t="str">
        <f>IF(AND(G1793&lt;&gt;"",ISERROR(VLOOKUP(G1793,Keszlet!$C$5:$H$200,6,FALSE))=FALSE),VLOOKUP(G1793,Keszlet!$C$5:$H$200,6,FALSE),"")</f>
        <v/>
      </c>
      <c r="K1793" s="106" t="str">
        <f>IF(AND(G1793&lt;&gt;"",ISERROR(VLOOKUP(G1793,Keszlet!$C$5:$G$200,5,FALSE))=FALSE),VLOOKUP(G1793,Keszlet!$C$5:$G$200,5,FALSE),"")</f>
        <v/>
      </c>
      <c r="L1793" s="106" t="str">
        <f t="shared" si="134"/>
        <v/>
      </c>
      <c r="M1793" s="115" t="str">
        <f>IF(ISERROR(VLOOKUP(G1793,Keszlet!$C$5:$I$200,7,FALSE))=TRUE,"",IF(AND(J1792&lt;&gt;"",J1794=""),VLOOKUP(G1793,Keszlet!$C$5:$I$200,7,FALSE),""))</f>
        <v/>
      </c>
      <c r="Q1793" s="1">
        <f>VLOOKUP(G1793,Keszlet!$C$5:$E$205,3,FALSE)</f>
        <v>0</v>
      </c>
      <c r="T1793" s="1" t="str">
        <f t="shared" si="135"/>
        <v/>
      </c>
      <c r="U1793" s="1">
        <f t="shared" si="136"/>
        <v>0</v>
      </c>
      <c r="W1793" s="6">
        <f t="shared" si="139"/>
        <v>0</v>
      </c>
      <c r="X1793" s="6">
        <f t="shared" si="131"/>
        <v>0</v>
      </c>
      <c r="Y1793" s="1">
        <f t="shared" si="137"/>
        <v>1</v>
      </c>
      <c r="Z1793" s="1">
        <f>IF(COUNTIF($Y$6:Y1793,Y1793)=1,Y1793,Y1793+COUNTIF($Y$5:Y1792,Y1793))</f>
        <v>788</v>
      </c>
      <c r="AD1793" s="1" t="str">
        <f t="shared" si="138"/>
        <v/>
      </c>
      <c r="BA1793" s="1">
        <f>IF(W1793&lt;=Leltar_iv!$Y$1,I1793,0)</f>
        <v>0</v>
      </c>
    </row>
    <row r="1794" spans="1:53" s="1" customFormat="1" x14ac:dyDescent="0.25">
      <c r="A1794" s="18">
        <f>IF(COUNTIF($Y$6:Y1794,Y1794)=1,Y1794,Y1794+COUNTIF($Y$5:Y1793,Y1794))</f>
        <v>789</v>
      </c>
      <c r="B1794" s="1">
        <f>IF(AND(Kisero_iv!$N$2=C1794,Kisero_iv!$K$5=$B$3,SUM(I1794:L1798)&lt;&gt;0,$B$4=YEAR(W1794)),B1793+1,0)</f>
        <v>0</v>
      </c>
      <c r="C1794" s="1">
        <f t="shared" si="132"/>
        <v>789</v>
      </c>
      <c r="D1794" s="102" t="str">
        <f t="shared" si="133"/>
        <v/>
      </c>
      <c r="E1794" s="44"/>
      <c r="F1794" s="45"/>
      <c r="G1794" s="45"/>
      <c r="H1794" s="45"/>
      <c r="I1794" s="46"/>
      <c r="J1794" s="111" t="str">
        <f>IF(AND(G1794&lt;&gt;"",ISERROR(VLOOKUP(G1794,Keszlet!$C$5:$H$200,6,FALSE))=FALSE),VLOOKUP(G1794,Keszlet!$C$5:$H$200,6,FALSE),"")</f>
        <v/>
      </c>
      <c r="K1794" s="106" t="str">
        <f>IF(AND(G1794&lt;&gt;"",ISERROR(VLOOKUP(G1794,Keszlet!$C$5:$G$200,5,FALSE))=FALSE),VLOOKUP(G1794,Keszlet!$C$5:$G$200,5,FALSE),"")</f>
        <v/>
      </c>
      <c r="L1794" s="106" t="str">
        <f t="shared" si="134"/>
        <v/>
      </c>
      <c r="M1794" s="115" t="str">
        <f>IF(ISERROR(VLOOKUP(G1794,Keszlet!$C$5:$I$200,7,FALSE))=TRUE,"",IF(AND(J1793&lt;&gt;"",J1795=""),VLOOKUP(G1794,Keszlet!$C$5:$I$200,7,FALSE),""))</f>
        <v/>
      </c>
      <c r="Q1794" s="1">
        <f>VLOOKUP(G1794,Keszlet!$C$5:$E$205,3,FALSE)</f>
        <v>0</v>
      </c>
      <c r="T1794" s="1" t="str">
        <f t="shared" si="135"/>
        <v/>
      </c>
      <c r="U1794" s="1">
        <f t="shared" si="136"/>
        <v>0</v>
      </c>
      <c r="W1794" s="6">
        <f t="shared" si="139"/>
        <v>0</v>
      </c>
      <c r="X1794" s="6">
        <f t="shared" si="131"/>
        <v>0</v>
      </c>
      <c r="Y1794" s="1">
        <f t="shared" si="137"/>
        <v>1</v>
      </c>
      <c r="Z1794" s="1">
        <f>IF(COUNTIF($Y$6:Y1794,Y1794)=1,Y1794,Y1794+COUNTIF($Y$5:Y1793,Y1794))</f>
        <v>789</v>
      </c>
      <c r="AD1794" s="1" t="str">
        <f t="shared" si="138"/>
        <v/>
      </c>
      <c r="BA1794" s="1">
        <f>IF(W1794&lt;=Leltar_iv!$Y$1,I1794,0)</f>
        <v>0</v>
      </c>
    </row>
    <row r="1795" spans="1:53" s="1" customFormat="1" x14ac:dyDescent="0.25">
      <c r="A1795" s="18">
        <f>IF(COUNTIF($Y$6:Y1795,Y1795)=1,Y1795,Y1795+COUNTIF($Y$5:Y1794,Y1795))</f>
        <v>790</v>
      </c>
      <c r="B1795" s="1">
        <f>IF(AND(Kisero_iv!$N$2=C1795,Kisero_iv!$K$5=$B$3,SUM(I1795:L1799)&lt;&gt;0,$B$4=YEAR(W1795)),B1794+1,0)</f>
        <v>0</v>
      </c>
      <c r="C1795" s="1">
        <f t="shared" si="132"/>
        <v>790</v>
      </c>
      <c r="D1795" s="102" t="str">
        <f t="shared" si="133"/>
        <v/>
      </c>
      <c r="E1795" s="44"/>
      <c r="F1795" s="45"/>
      <c r="G1795" s="45"/>
      <c r="H1795" s="45"/>
      <c r="I1795" s="46"/>
      <c r="J1795" s="111" t="str">
        <f>IF(AND(G1795&lt;&gt;"",ISERROR(VLOOKUP(G1795,Keszlet!$C$5:$H$200,6,FALSE))=FALSE),VLOOKUP(G1795,Keszlet!$C$5:$H$200,6,FALSE),"")</f>
        <v/>
      </c>
      <c r="K1795" s="106" t="str">
        <f>IF(AND(G1795&lt;&gt;"",ISERROR(VLOOKUP(G1795,Keszlet!$C$5:$G$200,5,FALSE))=FALSE),VLOOKUP(G1795,Keszlet!$C$5:$G$200,5,FALSE),"")</f>
        <v/>
      </c>
      <c r="L1795" s="106" t="str">
        <f t="shared" si="134"/>
        <v/>
      </c>
      <c r="M1795" s="115" t="str">
        <f>IF(ISERROR(VLOOKUP(G1795,Keszlet!$C$5:$I$200,7,FALSE))=TRUE,"",IF(AND(J1794&lt;&gt;"",J1796=""),VLOOKUP(G1795,Keszlet!$C$5:$I$200,7,FALSE),""))</f>
        <v/>
      </c>
      <c r="Q1795" s="1">
        <f>VLOOKUP(G1795,Keszlet!$C$5:$E$205,3,FALSE)</f>
        <v>0</v>
      </c>
      <c r="T1795" s="1" t="str">
        <f t="shared" si="135"/>
        <v/>
      </c>
      <c r="U1795" s="1">
        <f t="shared" si="136"/>
        <v>0</v>
      </c>
      <c r="W1795" s="6">
        <f t="shared" si="139"/>
        <v>0</v>
      </c>
      <c r="X1795" s="6">
        <f t="shared" si="131"/>
        <v>0</v>
      </c>
      <c r="Y1795" s="1">
        <f t="shared" si="137"/>
        <v>1</v>
      </c>
      <c r="Z1795" s="1">
        <f>IF(COUNTIF($Y$6:Y1795,Y1795)=1,Y1795,Y1795+COUNTIF($Y$5:Y1794,Y1795))</f>
        <v>790</v>
      </c>
      <c r="AD1795" s="1" t="str">
        <f t="shared" si="138"/>
        <v/>
      </c>
      <c r="BA1795" s="1">
        <f>IF(W1795&lt;=Leltar_iv!$Y$1,I1795,0)</f>
        <v>0</v>
      </c>
    </row>
    <row r="1796" spans="1:53" s="1" customFormat="1" x14ac:dyDescent="0.25">
      <c r="A1796" s="18">
        <f>IF(COUNTIF($Y$6:Y1796,Y1796)=1,Y1796,Y1796+COUNTIF($Y$5:Y1795,Y1796))</f>
        <v>791</v>
      </c>
      <c r="B1796" s="1">
        <f>IF(AND(Kisero_iv!$N$2=C1796,Kisero_iv!$K$5=$B$3,SUM(I1796:L1800)&lt;&gt;0,$B$4=YEAR(W1796)),B1795+1,0)</f>
        <v>0</v>
      </c>
      <c r="C1796" s="1">
        <f t="shared" si="132"/>
        <v>791</v>
      </c>
      <c r="D1796" s="102" t="str">
        <f t="shared" si="133"/>
        <v/>
      </c>
      <c r="E1796" s="44"/>
      <c r="F1796" s="45"/>
      <c r="G1796" s="45"/>
      <c r="H1796" s="45"/>
      <c r="I1796" s="46"/>
      <c r="J1796" s="111" t="str">
        <f>IF(AND(G1796&lt;&gt;"",ISERROR(VLOOKUP(G1796,Keszlet!$C$5:$H$200,6,FALSE))=FALSE),VLOOKUP(G1796,Keszlet!$C$5:$H$200,6,FALSE),"")</f>
        <v/>
      </c>
      <c r="K1796" s="106" t="str">
        <f>IF(AND(G1796&lt;&gt;"",ISERROR(VLOOKUP(G1796,Keszlet!$C$5:$G$200,5,FALSE))=FALSE),VLOOKUP(G1796,Keszlet!$C$5:$G$200,5,FALSE),"")</f>
        <v/>
      </c>
      <c r="L1796" s="106" t="str">
        <f t="shared" si="134"/>
        <v/>
      </c>
      <c r="M1796" s="115" t="str">
        <f>IF(ISERROR(VLOOKUP(G1796,Keszlet!$C$5:$I$200,7,FALSE))=TRUE,"",IF(AND(J1795&lt;&gt;"",J1797=""),VLOOKUP(G1796,Keszlet!$C$5:$I$200,7,FALSE),""))</f>
        <v/>
      </c>
      <c r="Q1796" s="1">
        <f>VLOOKUP(G1796,Keszlet!$C$5:$E$205,3,FALSE)</f>
        <v>0</v>
      </c>
      <c r="T1796" s="1" t="str">
        <f t="shared" si="135"/>
        <v/>
      </c>
      <c r="U1796" s="1">
        <f t="shared" si="136"/>
        <v>0</v>
      </c>
      <c r="W1796" s="6">
        <f t="shared" si="139"/>
        <v>0</v>
      </c>
      <c r="X1796" s="6">
        <f t="shared" si="131"/>
        <v>0</v>
      </c>
      <c r="Y1796" s="1">
        <f t="shared" si="137"/>
        <v>1</v>
      </c>
      <c r="Z1796" s="1">
        <f>IF(COUNTIF($Y$6:Y1796,Y1796)=1,Y1796,Y1796+COUNTIF($Y$5:Y1795,Y1796))</f>
        <v>791</v>
      </c>
      <c r="AD1796" s="1" t="str">
        <f t="shared" si="138"/>
        <v/>
      </c>
      <c r="BA1796" s="1">
        <f>IF(W1796&lt;=Leltar_iv!$Y$1,I1796,0)</f>
        <v>0</v>
      </c>
    </row>
    <row r="1797" spans="1:53" s="1" customFormat="1" x14ac:dyDescent="0.25">
      <c r="A1797" s="18">
        <f>IF(COUNTIF($Y$6:Y1797,Y1797)=1,Y1797,Y1797+COUNTIF($Y$5:Y1796,Y1797))</f>
        <v>792</v>
      </c>
      <c r="B1797" s="1">
        <f>IF(AND(Kisero_iv!$N$2=C1797,Kisero_iv!$K$5=$B$3,SUM(I1797:L1801)&lt;&gt;0,$B$4=YEAR(W1797)),B1796+1,0)</f>
        <v>0</v>
      </c>
      <c r="C1797" s="1">
        <f t="shared" si="132"/>
        <v>792</v>
      </c>
      <c r="D1797" s="102" t="str">
        <f t="shared" si="133"/>
        <v/>
      </c>
      <c r="E1797" s="44"/>
      <c r="F1797" s="45"/>
      <c r="G1797" s="45"/>
      <c r="H1797" s="45"/>
      <c r="I1797" s="46"/>
      <c r="J1797" s="111" t="str">
        <f>IF(AND(G1797&lt;&gt;"",ISERROR(VLOOKUP(G1797,Keszlet!$C$5:$H$200,6,FALSE))=FALSE),VLOOKUP(G1797,Keszlet!$C$5:$H$200,6,FALSE),"")</f>
        <v/>
      </c>
      <c r="K1797" s="106" t="str">
        <f>IF(AND(G1797&lt;&gt;"",ISERROR(VLOOKUP(G1797,Keszlet!$C$5:$G$200,5,FALSE))=FALSE),VLOOKUP(G1797,Keszlet!$C$5:$G$200,5,FALSE),"")</f>
        <v/>
      </c>
      <c r="L1797" s="106" t="str">
        <f t="shared" si="134"/>
        <v/>
      </c>
      <c r="M1797" s="115" t="str">
        <f>IF(ISERROR(VLOOKUP(G1797,Keszlet!$C$5:$I$200,7,FALSE))=TRUE,"",IF(AND(J1796&lt;&gt;"",J1798=""),VLOOKUP(G1797,Keszlet!$C$5:$I$200,7,FALSE),""))</f>
        <v/>
      </c>
      <c r="Q1797" s="1">
        <f>VLOOKUP(G1797,Keszlet!$C$5:$E$205,3,FALSE)</f>
        <v>0</v>
      </c>
      <c r="T1797" s="1" t="str">
        <f t="shared" si="135"/>
        <v/>
      </c>
      <c r="U1797" s="1">
        <f t="shared" si="136"/>
        <v>0</v>
      </c>
      <c r="W1797" s="6">
        <f t="shared" si="139"/>
        <v>0</v>
      </c>
      <c r="X1797" s="6">
        <f t="shared" si="131"/>
        <v>0</v>
      </c>
      <c r="Y1797" s="1">
        <f t="shared" si="137"/>
        <v>1</v>
      </c>
      <c r="Z1797" s="1">
        <f>IF(COUNTIF($Y$6:Y1797,Y1797)=1,Y1797,Y1797+COUNTIF($Y$5:Y1796,Y1797))</f>
        <v>792</v>
      </c>
      <c r="AD1797" s="1" t="str">
        <f t="shared" si="138"/>
        <v/>
      </c>
      <c r="BA1797" s="1">
        <f>IF(W1797&lt;=Leltar_iv!$Y$1,I1797,0)</f>
        <v>0</v>
      </c>
    </row>
    <row r="1798" spans="1:53" s="1" customFormat="1" x14ac:dyDescent="0.25">
      <c r="A1798" s="18">
        <f>IF(COUNTIF($Y$6:Y1798,Y1798)=1,Y1798,Y1798+COUNTIF($Y$5:Y1797,Y1798))</f>
        <v>793</v>
      </c>
      <c r="B1798" s="1">
        <f>IF(AND(Kisero_iv!$N$2=C1798,Kisero_iv!$K$5=$B$3,SUM(I1798:L1802)&lt;&gt;0,$B$4=YEAR(W1798)),B1797+1,0)</f>
        <v>0</v>
      </c>
      <c r="C1798" s="1">
        <f t="shared" si="132"/>
        <v>793</v>
      </c>
      <c r="D1798" s="102" t="str">
        <f t="shared" si="133"/>
        <v/>
      </c>
      <c r="E1798" s="44"/>
      <c r="F1798" s="45"/>
      <c r="G1798" s="45"/>
      <c r="H1798" s="45"/>
      <c r="I1798" s="46"/>
      <c r="J1798" s="111" t="str">
        <f>IF(AND(G1798&lt;&gt;"",ISERROR(VLOOKUP(G1798,Keszlet!$C$5:$H$200,6,FALSE))=FALSE),VLOOKUP(G1798,Keszlet!$C$5:$H$200,6,FALSE),"")</f>
        <v/>
      </c>
      <c r="K1798" s="106" t="str">
        <f>IF(AND(G1798&lt;&gt;"",ISERROR(VLOOKUP(G1798,Keszlet!$C$5:$G$200,5,FALSE))=FALSE),VLOOKUP(G1798,Keszlet!$C$5:$G$200,5,FALSE),"")</f>
        <v/>
      </c>
      <c r="L1798" s="106" t="str">
        <f t="shared" si="134"/>
        <v/>
      </c>
      <c r="M1798" s="115" t="str">
        <f>IF(ISERROR(VLOOKUP(G1798,Keszlet!$C$5:$I$200,7,FALSE))=TRUE,"",IF(AND(J1797&lt;&gt;"",J1799=""),VLOOKUP(G1798,Keszlet!$C$5:$I$200,7,FALSE),""))</f>
        <v/>
      </c>
      <c r="Q1798" s="1">
        <f>VLOOKUP(G1798,Keszlet!$C$5:$E$205,3,FALSE)</f>
        <v>0</v>
      </c>
      <c r="T1798" s="1" t="str">
        <f t="shared" si="135"/>
        <v/>
      </c>
      <c r="U1798" s="1">
        <f t="shared" si="136"/>
        <v>0</v>
      </c>
      <c r="W1798" s="6">
        <f t="shared" si="139"/>
        <v>0</v>
      </c>
      <c r="X1798" s="6">
        <f t="shared" si="131"/>
        <v>0</v>
      </c>
      <c r="Y1798" s="1">
        <f t="shared" si="137"/>
        <v>1</v>
      </c>
      <c r="Z1798" s="1">
        <f>IF(COUNTIF($Y$6:Y1798,Y1798)=1,Y1798,Y1798+COUNTIF($Y$5:Y1797,Y1798))</f>
        <v>793</v>
      </c>
      <c r="AD1798" s="1" t="str">
        <f t="shared" si="138"/>
        <v/>
      </c>
      <c r="BA1798" s="1">
        <f>IF(W1798&lt;=Leltar_iv!$Y$1,I1798,0)</f>
        <v>0</v>
      </c>
    </row>
    <row r="1799" spans="1:53" s="1" customFormat="1" x14ac:dyDescent="0.25">
      <c r="A1799" s="18">
        <f>IF(COUNTIF($Y$6:Y1799,Y1799)=1,Y1799,Y1799+COUNTIF($Y$5:Y1798,Y1799))</f>
        <v>794</v>
      </c>
      <c r="B1799" s="1">
        <f>IF(AND(Kisero_iv!$N$2=C1799,Kisero_iv!$K$5=$B$3,SUM(I1799:L1803)&lt;&gt;0,$B$4=YEAR(W1799)),B1798+1,0)</f>
        <v>0</v>
      </c>
      <c r="C1799" s="1">
        <f t="shared" si="132"/>
        <v>794</v>
      </c>
      <c r="D1799" s="102" t="str">
        <f t="shared" si="133"/>
        <v/>
      </c>
      <c r="E1799" s="44"/>
      <c r="F1799" s="45"/>
      <c r="G1799" s="45"/>
      <c r="H1799" s="45"/>
      <c r="I1799" s="46"/>
      <c r="J1799" s="111" t="str">
        <f>IF(AND(G1799&lt;&gt;"",ISERROR(VLOOKUP(G1799,Keszlet!$C$5:$H$200,6,FALSE))=FALSE),VLOOKUP(G1799,Keszlet!$C$5:$H$200,6,FALSE),"")</f>
        <v/>
      </c>
      <c r="K1799" s="106" t="str">
        <f>IF(AND(G1799&lt;&gt;"",ISERROR(VLOOKUP(G1799,Keszlet!$C$5:$G$200,5,FALSE))=FALSE),VLOOKUP(G1799,Keszlet!$C$5:$G$200,5,FALSE),"")</f>
        <v/>
      </c>
      <c r="L1799" s="106" t="str">
        <f t="shared" si="134"/>
        <v/>
      </c>
      <c r="M1799" s="115" t="str">
        <f>IF(ISERROR(VLOOKUP(G1799,Keszlet!$C$5:$I$200,7,FALSE))=TRUE,"",IF(AND(J1798&lt;&gt;"",J1800=""),VLOOKUP(G1799,Keszlet!$C$5:$I$200,7,FALSE),""))</f>
        <v/>
      </c>
      <c r="Q1799" s="1">
        <f>VLOOKUP(G1799,Keszlet!$C$5:$E$205,3,FALSE)</f>
        <v>0</v>
      </c>
      <c r="T1799" s="1" t="str">
        <f t="shared" si="135"/>
        <v/>
      </c>
      <c r="U1799" s="1">
        <f t="shared" si="136"/>
        <v>0</v>
      </c>
      <c r="W1799" s="6">
        <f t="shared" si="139"/>
        <v>0</v>
      </c>
      <c r="X1799" s="6">
        <f t="shared" si="131"/>
        <v>0</v>
      </c>
      <c r="Y1799" s="1">
        <f t="shared" si="137"/>
        <v>1</v>
      </c>
      <c r="Z1799" s="1">
        <f>IF(COUNTIF($Y$6:Y1799,Y1799)=1,Y1799,Y1799+COUNTIF($Y$5:Y1798,Y1799))</f>
        <v>794</v>
      </c>
      <c r="AD1799" s="1" t="str">
        <f t="shared" si="138"/>
        <v/>
      </c>
      <c r="BA1799" s="1">
        <f>IF(W1799&lt;=Leltar_iv!$Y$1,I1799,0)</f>
        <v>0</v>
      </c>
    </row>
    <row r="1800" spans="1:53" s="1" customFormat="1" x14ac:dyDescent="0.25">
      <c r="A1800" s="18">
        <f>IF(COUNTIF($Y$6:Y1800,Y1800)=1,Y1800,Y1800+COUNTIF($Y$5:Y1799,Y1800))</f>
        <v>795</v>
      </c>
      <c r="B1800" s="1">
        <f>IF(AND(Kisero_iv!$N$2=C1800,Kisero_iv!$K$5=$B$3,SUM(I1800:L1804)&lt;&gt;0,$B$4=YEAR(W1800)),B1799+1,0)</f>
        <v>0</v>
      </c>
      <c r="C1800" s="1">
        <f t="shared" si="132"/>
        <v>795</v>
      </c>
      <c r="D1800" s="102" t="str">
        <f t="shared" si="133"/>
        <v/>
      </c>
      <c r="E1800" s="44"/>
      <c r="F1800" s="45"/>
      <c r="G1800" s="45"/>
      <c r="H1800" s="45"/>
      <c r="I1800" s="46"/>
      <c r="J1800" s="111" t="str">
        <f>IF(AND(G1800&lt;&gt;"",ISERROR(VLOOKUP(G1800,Keszlet!$C$5:$H$200,6,FALSE))=FALSE),VLOOKUP(G1800,Keszlet!$C$5:$H$200,6,FALSE),"")</f>
        <v/>
      </c>
      <c r="K1800" s="106" t="str">
        <f>IF(AND(G1800&lt;&gt;"",ISERROR(VLOOKUP(G1800,Keszlet!$C$5:$G$200,5,FALSE))=FALSE),VLOOKUP(G1800,Keszlet!$C$5:$G$200,5,FALSE),"")</f>
        <v/>
      </c>
      <c r="L1800" s="106" t="str">
        <f t="shared" si="134"/>
        <v/>
      </c>
      <c r="M1800" s="115" t="str">
        <f>IF(ISERROR(VLOOKUP(G1800,Keszlet!$C$5:$I$200,7,FALSE))=TRUE,"",IF(AND(J1799&lt;&gt;"",J1801=""),VLOOKUP(G1800,Keszlet!$C$5:$I$200,7,FALSE),""))</f>
        <v/>
      </c>
      <c r="Q1800" s="1">
        <f>VLOOKUP(G1800,Keszlet!$C$5:$E$205,3,FALSE)</f>
        <v>0</v>
      </c>
      <c r="T1800" s="1" t="str">
        <f t="shared" si="135"/>
        <v/>
      </c>
      <c r="U1800" s="1">
        <f t="shared" si="136"/>
        <v>0</v>
      </c>
      <c r="W1800" s="6">
        <f t="shared" si="139"/>
        <v>0</v>
      </c>
      <c r="X1800" s="6">
        <f t="shared" si="131"/>
        <v>0</v>
      </c>
      <c r="Y1800" s="1">
        <f t="shared" si="137"/>
        <v>1</v>
      </c>
      <c r="Z1800" s="1">
        <f>IF(COUNTIF($Y$6:Y1800,Y1800)=1,Y1800,Y1800+COUNTIF($Y$5:Y1799,Y1800))</f>
        <v>795</v>
      </c>
      <c r="AD1800" s="1" t="str">
        <f t="shared" si="138"/>
        <v/>
      </c>
      <c r="BA1800" s="1">
        <f>IF(W1800&lt;=Leltar_iv!$Y$1,I1800,0)</f>
        <v>0</v>
      </c>
    </row>
    <row r="1801" spans="1:53" s="1" customFormat="1" x14ac:dyDescent="0.25">
      <c r="A1801" s="18">
        <f>IF(COUNTIF($Y$6:Y1801,Y1801)=1,Y1801,Y1801+COUNTIF($Y$5:Y1800,Y1801))</f>
        <v>796</v>
      </c>
      <c r="B1801" s="1">
        <f>IF(AND(Kisero_iv!$N$2=C1801,Kisero_iv!$K$5=$B$3,SUM(I1801:L1805)&lt;&gt;0,$B$4=YEAR(W1801)),B1800+1,0)</f>
        <v>0</v>
      </c>
      <c r="C1801" s="1">
        <f t="shared" si="132"/>
        <v>796</v>
      </c>
      <c r="D1801" s="102" t="str">
        <f t="shared" si="133"/>
        <v/>
      </c>
      <c r="E1801" s="44"/>
      <c r="F1801" s="45"/>
      <c r="G1801" s="45"/>
      <c r="H1801" s="45"/>
      <c r="I1801" s="46"/>
      <c r="J1801" s="111" t="str">
        <f>IF(AND(G1801&lt;&gt;"",ISERROR(VLOOKUP(G1801,Keszlet!$C$5:$H$200,6,FALSE))=FALSE),VLOOKUP(G1801,Keszlet!$C$5:$H$200,6,FALSE),"")</f>
        <v/>
      </c>
      <c r="K1801" s="106" t="str">
        <f>IF(AND(G1801&lt;&gt;"",ISERROR(VLOOKUP(G1801,Keszlet!$C$5:$G$200,5,FALSE))=FALSE),VLOOKUP(G1801,Keszlet!$C$5:$G$200,5,FALSE),"")</f>
        <v/>
      </c>
      <c r="L1801" s="106" t="str">
        <f t="shared" si="134"/>
        <v/>
      </c>
      <c r="M1801" s="115" t="str">
        <f>IF(ISERROR(VLOOKUP(G1801,Keszlet!$C$5:$I$200,7,FALSE))=TRUE,"",IF(AND(J1800&lt;&gt;"",J1802=""),VLOOKUP(G1801,Keszlet!$C$5:$I$200,7,FALSE),""))</f>
        <v/>
      </c>
      <c r="Q1801" s="1">
        <f>VLOOKUP(G1801,Keszlet!$C$5:$E$205,3,FALSE)</f>
        <v>0</v>
      </c>
      <c r="T1801" s="1" t="str">
        <f t="shared" si="135"/>
        <v/>
      </c>
      <c r="U1801" s="1">
        <f t="shared" si="136"/>
        <v>0</v>
      </c>
      <c r="W1801" s="6">
        <f t="shared" si="139"/>
        <v>0</v>
      </c>
      <c r="X1801" s="6">
        <f t="shared" si="131"/>
        <v>0</v>
      </c>
      <c r="Y1801" s="1">
        <f t="shared" si="137"/>
        <v>1</v>
      </c>
      <c r="Z1801" s="1">
        <f>IF(COUNTIF($Y$6:Y1801,Y1801)=1,Y1801,Y1801+COUNTIF($Y$5:Y1800,Y1801))</f>
        <v>796</v>
      </c>
      <c r="AD1801" s="1" t="str">
        <f t="shared" si="138"/>
        <v/>
      </c>
      <c r="BA1801" s="1">
        <f>IF(W1801&lt;=Leltar_iv!$Y$1,I1801,0)</f>
        <v>0</v>
      </c>
    </row>
    <row r="1802" spans="1:53" s="1" customFormat="1" x14ac:dyDescent="0.25">
      <c r="A1802" s="18">
        <f>IF(COUNTIF($Y$6:Y1802,Y1802)=1,Y1802,Y1802+COUNTIF($Y$5:Y1801,Y1802))</f>
        <v>797</v>
      </c>
      <c r="B1802" s="1">
        <f>IF(AND(Kisero_iv!$N$2=C1802,Kisero_iv!$K$5=$B$3,SUM(I1802:L1806)&lt;&gt;0,$B$4=YEAR(W1802)),B1801+1,0)</f>
        <v>0</v>
      </c>
      <c r="C1802" s="1">
        <f t="shared" si="132"/>
        <v>797</v>
      </c>
      <c r="D1802" s="102" t="str">
        <f t="shared" si="133"/>
        <v/>
      </c>
      <c r="E1802" s="44"/>
      <c r="F1802" s="45"/>
      <c r="G1802" s="45"/>
      <c r="H1802" s="45"/>
      <c r="I1802" s="46"/>
      <c r="J1802" s="111" t="str">
        <f>IF(AND(G1802&lt;&gt;"",ISERROR(VLOOKUP(G1802,Keszlet!$C$5:$H$200,6,FALSE))=FALSE),VLOOKUP(G1802,Keszlet!$C$5:$H$200,6,FALSE),"")</f>
        <v/>
      </c>
      <c r="K1802" s="106" t="str">
        <f>IF(AND(G1802&lt;&gt;"",ISERROR(VLOOKUP(G1802,Keszlet!$C$5:$G$200,5,FALSE))=FALSE),VLOOKUP(G1802,Keszlet!$C$5:$G$200,5,FALSE),"")</f>
        <v/>
      </c>
      <c r="L1802" s="106" t="str">
        <f t="shared" si="134"/>
        <v/>
      </c>
      <c r="M1802" s="115" t="str">
        <f>IF(ISERROR(VLOOKUP(G1802,Keszlet!$C$5:$I$200,7,FALSE))=TRUE,"",IF(AND(J1801&lt;&gt;"",J1803=""),VLOOKUP(G1802,Keszlet!$C$5:$I$200,7,FALSE),""))</f>
        <v/>
      </c>
      <c r="Q1802" s="1">
        <f>VLOOKUP(G1802,Keszlet!$C$5:$E$205,3,FALSE)</f>
        <v>0</v>
      </c>
      <c r="T1802" s="1" t="str">
        <f t="shared" si="135"/>
        <v/>
      </c>
      <c r="U1802" s="1">
        <f t="shared" si="136"/>
        <v>0</v>
      </c>
      <c r="W1802" s="6">
        <f t="shared" si="139"/>
        <v>0</v>
      </c>
      <c r="X1802" s="6">
        <f t="shared" si="131"/>
        <v>0</v>
      </c>
      <c r="Y1802" s="1">
        <f t="shared" si="137"/>
        <v>1</v>
      </c>
      <c r="Z1802" s="1">
        <f>IF(COUNTIF($Y$6:Y1802,Y1802)=1,Y1802,Y1802+COUNTIF($Y$5:Y1801,Y1802))</f>
        <v>797</v>
      </c>
      <c r="AD1802" s="1" t="str">
        <f t="shared" si="138"/>
        <v/>
      </c>
      <c r="BA1802" s="1">
        <f>IF(W1802&lt;=Leltar_iv!$Y$1,I1802,0)</f>
        <v>0</v>
      </c>
    </row>
    <row r="1803" spans="1:53" s="1" customFormat="1" x14ac:dyDescent="0.25">
      <c r="A1803" s="18">
        <f>IF(COUNTIF($Y$6:Y1803,Y1803)=1,Y1803,Y1803+COUNTIF($Y$5:Y1802,Y1803))</f>
        <v>798</v>
      </c>
      <c r="B1803" s="1">
        <f>IF(AND(Kisero_iv!$N$2=C1803,Kisero_iv!$K$5=$B$3,SUM(I1803:L1807)&lt;&gt;0,$B$4=YEAR(W1803)),B1802+1,0)</f>
        <v>0</v>
      </c>
      <c r="C1803" s="1">
        <f t="shared" si="132"/>
        <v>798</v>
      </c>
      <c r="D1803" s="102" t="str">
        <f t="shared" si="133"/>
        <v/>
      </c>
      <c r="E1803" s="44"/>
      <c r="F1803" s="45"/>
      <c r="G1803" s="45"/>
      <c r="H1803" s="45"/>
      <c r="I1803" s="46"/>
      <c r="J1803" s="111" t="str">
        <f>IF(AND(G1803&lt;&gt;"",ISERROR(VLOOKUP(G1803,Keszlet!$C$5:$H$200,6,FALSE))=FALSE),VLOOKUP(G1803,Keszlet!$C$5:$H$200,6,FALSE),"")</f>
        <v/>
      </c>
      <c r="K1803" s="106" t="str">
        <f>IF(AND(G1803&lt;&gt;"",ISERROR(VLOOKUP(G1803,Keszlet!$C$5:$G$200,5,FALSE))=FALSE),VLOOKUP(G1803,Keszlet!$C$5:$G$200,5,FALSE),"")</f>
        <v/>
      </c>
      <c r="L1803" s="106" t="str">
        <f t="shared" si="134"/>
        <v/>
      </c>
      <c r="M1803" s="115" t="str">
        <f>IF(ISERROR(VLOOKUP(G1803,Keszlet!$C$5:$I$200,7,FALSE))=TRUE,"",IF(AND(J1802&lt;&gt;"",J1804=""),VLOOKUP(G1803,Keszlet!$C$5:$I$200,7,FALSE),""))</f>
        <v/>
      </c>
      <c r="Q1803" s="1">
        <f>VLOOKUP(G1803,Keszlet!$C$5:$E$205,3,FALSE)</f>
        <v>0</v>
      </c>
      <c r="T1803" s="1" t="str">
        <f t="shared" si="135"/>
        <v/>
      </c>
      <c r="U1803" s="1">
        <f t="shared" si="136"/>
        <v>0</v>
      </c>
      <c r="W1803" s="6">
        <f t="shared" si="139"/>
        <v>0</v>
      </c>
      <c r="X1803" s="6">
        <f t="shared" si="131"/>
        <v>0</v>
      </c>
      <c r="Y1803" s="1">
        <f t="shared" si="137"/>
        <v>1</v>
      </c>
      <c r="Z1803" s="1">
        <f>IF(COUNTIF($Y$6:Y1803,Y1803)=1,Y1803,Y1803+COUNTIF($Y$5:Y1802,Y1803))</f>
        <v>798</v>
      </c>
      <c r="AD1803" s="1" t="str">
        <f t="shared" si="138"/>
        <v/>
      </c>
      <c r="BA1803" s="1">
        <f>IF(W1803&lt;=Leltar_iv!$Y$1,I1803,0)</f>
        <v>0</v>
      </c>
    </row>
    <row r="1804" spans="1:53" s="1" customFormat="1" x14ac:dyDescent="0.25">
      <c r="A1804" s="18">
        <f>IF(COUNTIF($Y$6:Y1804,Y1804)=1,Y1804,Y1804+COUNTIF($Y$5:Y1803,Y1804))</f>
        <v>799</v>
      </c>
      <c r="B1804" s="1">
        <f>IF(AND(Kisero_iv!$N$2=C1804,Kisero_iv!$K$5=$B$3,SUM(I1804:L1808)&lt;&gt;0,$B$4=YEAR(W1804)),B1803+1,0)</f>
        <v>0</v>
      </c>
      <c r="C1804" s="1">
        <f t="shared" si="132"/>
        <v>799</v>
      </c>
      <c r="D1804" s="102" t="str">
        <f t="shared" si="133"/>
        <v/>
      </c>
      <c r="E1804" s="44"/>
      <c r="F1804" s="45"/>
      <c r="G1804" s="45"/>
      <c r="H1804" s="45"/>
      <c r="I1804" s="46"/>
      <c r="J1804" s="111" t="str">
        <f>IF(AND(G1804&lt;&gt;"",ISERROR(VLOOKUP(G1804,Keszlet!$C$5:$H$200,6,FALSE))=FALSE),VLOOKUP(G1804,Keszlet!$C$5:$H$200,6,FALSE),"")</f>
        <v/>
      </c>
      <c r="K1804" s="106" t="str">
        <f>IF(AND(G1804&lt;&gt;"",ISERROR(VLOOKUP(G1804,Keszlet!$C$5:$G$200,5,FALSE))=FALSE),VLOOKUP(G1804,Keszlet!$C$5:$G$200,5,FALSE),"")</f>
        <v/>
      </c>
      <c r="L1804" s="106" t="str">
        <f t="shared" si="134"/>
        <v/>
      </c>
      <c r="M1804" s="115" t="str">
        <f>IF(ISERROR(VLOOKUP(G1804,Keszlet!$C$5:$I$200,7,FALSE))=TRUE,"",IF(AND(J1803&lt;&gt;"",J1805=""),VLOOKUP(G1804,Keszlet!$C$5:$I$200,7,FALSE),""))</f>
        <v/>
      </c>
      <c r="Q1804" s="1">
        <f>VLOOKUP(G1804,Keszlet!$C$5:$E$205,3,FALSE)</f>
        <v>0</v>
      </c>
      <c r="T1804" s="1" t="str">
        <f t="shared" si="135"/>
        <v/>
      </c>
      <c r="U1804" s="1">
        <f t="shared" si="136"/>
        <v>0</v>
      </c>
      <c r="W1804" s="6">
        <f t="shared" si="139"/>
        <v>0</v>
      </c>
      <c r="X1804" s="6">
        <f t="shared" si="131"/>
        <v>0</v>
      </c>
      <c r="Y1804" s="1">
        <f t="shared" si="137"/>
        <v>1</v>
      </c>
      <c r="Z1804" s="1">
        <f>IF(COUNTIF($Y$6:Y1804,Y1804)=1,Y1804,Y1804+COUNTIF($Y$5:Y1803,Y1804))</f>
        <v>799</v>
      </c>
      <c r="AD1804" s="1" t="str">
        <f t="shared" si="138"/>
        <v/>
      </c>
      <c r="BA1804" s="1">
        <f>IF(W1804&lt;=Leltar_iv!$Y$1,I1804,0)</f>
        <v>0</v>
      </c>
    </row>
    <row r="1805" spans="1:53" s="1" customFormat="1" x14ac:dyDescent="0.25">
      <c r="A1805" s="18">
        <f>IF(COUNTIF($Y$6:Y1805,Y1805)=1,Y1805,Y1805+COUNTIF($Y$5:Y1804,Y1805))</f>
        <v>800</v>
      </c>
      <c r="B1805" s="1">
        <f>IF(AND(Kisero_iv!$N$2=C1805,Kisero_iv!$K$5=$B$3,SUM(I1805:L1809)&lt;&gt;0,$B$4=YEAR(W1805)),B1804+1,0)</f>
        <v>0</v>
      </c>
      <c r="C1805" s="1">
        <f t="shared" si="132"/>
        <v>800</v>
      </c>
      <c r="D1805" s="102" t="str">
        <f t="shared" si="133"/>
        <v/>
      </c>
      <c r="E1805" s="44"/>
      <c r="F1805" s="45"/>
      <c r="G1805" s="45"/>
      <c r="H1805" s="45"/>
      <c r="I1805" s="46"/>
      <c r="J1805" s="111" t="str">
        <f>IF(AND(G1805&lt;&gt;"",ISERROR(VLOOKUP(G1805,Keszlet!$C$5:$H$200,6,FALSE))=FALSE),VLOOKUP(G1805,Keszlet!$C$5:$H$200,6,FALSE),"")</f>
        <v/>
      </c>
      <c r="K1805" s="106" t="str">
        <f>IF(AND(G1805&lt;&gt;"",ISERROR(VLOOKUP(G1805,Keszlet!$C$5:$G$200,5,FALSE))=FALSE),VLOOKUP(G1805,Keszlet!$C$5:$G$200,5,FALSE),"")</f>
        <v/>
      </c>
      <c r="L1805" s="106" t="str">
        <f t="shared" si="134"/>
        <v/>
      </c>
      <c r="M1805" s="115" t="str">
        <f>IF(ISERROR(VLOOKUP(G1805,Keszlet!$C$5:$I$200,7,FALSE))=TRUE,"",IF(AND(J1804&lt;&gt;"",J1806=""),VLOOKUP(G1805,Keszlet!$C$5:$I$200,7,FALSE),""))</f>
        <v/>
      </c>
      <c r="Q1805" s="1">
        <f>VLOOKUP(G1805,Keszlet!$C$5:$E$205,3,FALSE)</f>
        <v>0</v>
      </c>
      <c r="T1805" s="1" t="str">
        <f t="shared" si="135"/>
        <v/>
      </c>
      <c r="U1805" s="1">
        <f t="shared" si="136"/>
        <v>0</v>
      </c>
      <c r="W1805" s="6">
        <f t="shared" si="139"/>
        <v>0</v>
      </c>
      <c r="X1805" s="6">
        <f t="shared" si="131"/>
        <v>0</v>
      </c>
      <c r="Y1805" s="1">
        <f t="shared" si="137"/>
        <v>1</v>
      </c>
      <c r="Z1805" s="1">
        <f>IF(COUNTIF($Y$6:Y1805,Y1805)=1,Y1805,Y1805+COUNTIF($Y$5:Y1804,Y1805))</f>
        <v>800</v>
      </c>
      <c r="AD1805" s="1" t="str">
        <f t="shared" si="138"/>
        <v/>
      </c>
      <c r="BA1805" s="1">
        <f>IF(W1805&lt;=Leltar_iv!$Y$1,I1805,0)</f>
        <v>0</v>
      </c>
    </row>
    <row r="1806" spans="1:53" s="1" customFormat="1" x14ac:dyDescent="0.25">
      <c r="A1806" s="18">
        <f>IF(COUNTIF($Y$6:Y1806,Y1806)=1,Y1806,Y1806+COUNTIF($Y$5:Y1805,Y1806))</f>
        <v>801</v>
      </c>
      <c r="B1806" s="1">
        <f>IF(AND(Kisero_iv!$N$2=C1806,Kisero_iv!$K$5=$B$3,SUM(I1806:L1810)&lt;&gt;0,$B$4=YEAR(W1806)),B1805+1,0)</f>
        <v>0</v>
      </c>
      <c r="C1806" s="1">
        <f t="shared" si="132"/>
        <v>801</v>
      </c>
      <c r="D1806" s="102" t="str">
        <f t="shared" si="133"/>
        <v/>
      </c>
      <c r="E1806" s="44"/>
      <c r="F1806" s="45"/>
      <c r="G1806" s="45"/>
      <c r="H1806" s="45"/>
      <c r="I1806" s="46"/>
      <c r="J1806" s="111" t="str">
        <f>IF(AND(G1806&lt;&gt;"",ISERROR(VLOOKUP(G1806,Keszlet!$C$5:$H$200,6,FALSE))=FALSE),VLOOKUP(G1806,Keszlet!$C$5:$H$200,6,FALSE),"")</f>
        <v/>
      </c>
      <c r="K1806" s="106" t="str">
        <f>IF(AND(G1806&lt;&gt;"",ISERROR(VLOOKUP(G1806,Keszlet!$C$5:$G$200,5,FALSE))=FALSE),VLOOKUP(G1806,Keszlet!$C$5:$G$200,5,FALSE),"")</f>
        <v/>
      </c>
      <c r="L1806" s="106" t="str">
        <f t="shared" si="134"/>
        <v/>
      </c>
      <c r="M1806" s="115" t="str">
        <f>IF(ISERROR(VLOOKUP(G1806,Keszlet!$C$5:$I$200,7,FALSE))=TRUE,"",IF(AND(J1805&lt;&gt;"",J1807=""),VLOOKUP(G1806,Keszlet!$C$5:$I$200,7,FALSE),""))</f>
        <v/>
      </c>
      <c r="Q1806" s="1">
        <f>VLOOKUP(G1806,Keszlet!$C$5:$E$205,3,FALSE)</f>
        <v>0</v>
      </c>
      <c r="T1806" s="1" t="str">
        <f t="shared" si="135"/>
        <v/>
      </c>
      <c r="U1806" s="1">
        <f t="shared" si="136"/>
        <v>0</v>
      </c>
      <c r="W1806" s="6">
        <f t="shared" si="139"/>
        <v>0</v>
      </c>
      <c r="X1806" s="6">
        <f t="shared" si="131"/>
        <v>0</v>
      </c>
      <c r="Y1806" s="1">
        <f t="shared" si="137"/>
        <v>1</v>
      </c>
      <c r="Z1806" s="1">
        <f>IF(COUNTIF($Y$6:Y1806,Y1806)=1,Y1806,Y1806+COUNTIF($Y$5:Y1805,Y1806))</f>
        <v>801</v>
      </c>
      <c r="AD1806" s="1" t="str">
        <f t="shared" si="138"/>
        <v/>
      </c>
      <c r="BA1806" s="1">
        <f>IF(W1806&lt;=Leltar_iv!$Y$1,I1806,0)</f>
        <v>0</v>
      </c>
    </row>
    <row r="1807" spans="1:53" s="1" customFormat="1" x14ac:dyDescent="0.25">
      <c r="A1807" s="18">
        <f>IF(COUNTIF($Y$6:Y1807,Y1807)=1,Y1807,Y1807+COUNTIF($Y$5:Y1806,Y1807))</f>
        <v>802</v>
      </c>
      <c r="B1807" s="1">
        <f>IF(AND(Kisero_iv!$N$2=C1807,Kisero_iv!$K$5=$B$3,SUM(I1807:L1811)&lt;&gt;0,$B$4=YEAR(W1807)),B1806+1,0)</f>
        <v>0</v>
      </c>
      <c r="C1807" s="1">
        <f t="shared" si="132"/>
        <v>802</v>
      </c>
      <c r="D1807" s="102" t="str">
        <f t="shared" si="133"/>
        <v/>
      </c>
      <c r="E1807" s="44"/>
      <c r="F1807" s="45"/>
      <c r="G1807" s="45"/>
      <c r="H1807" s="45"/>
      <c r="I1807" s="46"/>
      <c r="J1807" s="111" t="str">
        <f>IF(AND(G1807&lt;&gt;"",ISERROR(VLOOKUP(G1807,Keszlet!$C$5:$H$200,6,FALSE))=FALSE),VLOOKUP(G1807,Keszlet!$C$5:$H$200,6,FALSE),"")</f>
        <v/>
      </c>
      <c r="K1807" s="106" t="str">
        <f>IF(AND(G1807&lt;&gt;"",ISERROR(VLOOKUP(G1807,Keszlet!$C$5:$G$200,5,FALSE))=FALSE),VLOOKUP(G1807,Keszlet!$C$5:$G$200,5,FALSE),"")</f>
        <v/>
      </c>
      <c r="L1807" s="106" t="str">
        <f t="shared" si="134"/>
        <v/>
      </c>
      <c r="M1807" s="115" t="str">
        <f>IF(ISERROR(VLOOKUP(G1807,Keszlet!$C$5:$I$200,7,FALSE))=TRUE,"",IF(AND(J1806&lt;&gt;"",J1808=""),VLOOKUP(G1807,Keszlet!$C$5:$I$200,7,FALSE),""))</f>
        <v/>
      </c>
      <c r="Q1807" s="1">
        <f>VLOOKUP(G1807,Keszlet!$C$5:$E$205,3,FALSE)</f>
        <v>0</v>
      </c>
      <c r="T1807" s="1" t="str">
        <f t="shared" si="135"/>
        <v/>
      </c>
      <c r="U1807" s="1">
        <f t="shared" si="136"/>
        <v>0</v>
      </c>
      <c r="W1807" s="6">
        <f t="shared" si="139"/>
        <v>0</v>
      </c>
      <c r="X1807" s="6">
        <f t="shared" si="131"/>
        <v>0</v>
      </c>
      <c r="Y1807" s="1">
        <f t="shared" si="137"/>
        <v>1</v>
      </c>
      <c r="Z1807" s="1">
        <f>IF(COUNTIF($Y$6:Y1807,Y1807)=1,Y1807,Y1807+COUNTIF($Y$5:Y1806,Y1807))</f>
        <v>802</v>
      </c>
      <c r="AD1807" s="1" t="str">
        <f t="shared" si="138"/>
        <v/>
      </c>
      <c r="BA1807" s="1">
        <f>IF(W1807&lt;=Leltar_iv!$Y$1,I1807,0)</f>
        <v>0</v>
      </c>
    </row>
    <row r="1808" spans="1:53" s="1" customFormat="1" x14ac:dyDescent="0.25">
      <c r="A1808" s="18">
        <f>IF(COUNTIF($Y$6:Y1808,Y1808)=1,Y1808,Y1808+COUNTIF($Y$5:Y1807,Y1808))</f>
        <v>803</v>
      </c>
      <c r="B1808" s="1">
        <f>IF(AND(Kisero_iv!$N$2=C1808,Kisero_iv!$K$5=$B$3,SUM(I1808:L1812)&lt;&gt;0,$B$4=YEAR(W1808)),B1807+1,0)</f>
        <v>0</v>
      </c>
      <c r="C1808" s="1">
        <f t="shared" si="132"/>
        <v>803</v>
      </c>
      <c r="D1808" s="102" t="str">
        <f t="shared" si="133"/>
        <v/>
      </c>
      <c r="E1808" s="44"/>
      <c r="F1808" s="45"/>
      <c r="G1808" s="45"/>
      <c r="H1808" s="45"/>
      <c r="I1808" s="46"/>
      <c r="J1808" s="111" t="str">
        <f>IF(AND(G1808&lt;&gt;"",ISERROR(VLOOKUP(G1808,Keszlet!$C$5:$H$200,6,FALSE))=FALSE),VLOOKUP(G1808,Keszlet!$C$5:$H$200,6,FALSE),"")</f>
        <v/>
      </c>
      <c r="K1808" s="106" t="str">
        <f>IF(AND(G1808&lt;&gt;"",ISERROR(VLOOKUP(G1808,Keszlet!$C$5:$G$200,5,FALSE))=FALSE),VLOOKUP(G1808,Keszlet!$C$5:$G$200,5,FALSE),"")</f>
        <v/>
      </c>
      <c r="L1808" s="106" t="str">
        <f t="shared" si="134"/>
        <v/>
      </c>
      <c r="M1808" s="115" t="str">
        <f>IF(ISERROR(VLOOKUP(G1808,Keszlet!$C$5:$I$200,7,FALSE))=TRUE,"",IF(AND(J1807&lt;&gt;"",J1809=""),VLOOKUP(G1808,Keszlet!$C$5:$I$200,7,FALSE),""))</f>
        <v/>
      </c>
      <c r="Q1808" s="1">
        <f>VLOOKUP(G1808,Keszlet!$C$5:$E$205,3,FALSE)</f>
        <v>0</v>
      </c>
      <c r="T1808" s="1" t="str">
        <f t="shared" si="135"/>
        <v/>
      </c>
      <c r="U1808" s="1">
        <f t="shared" si="136"/>
        <v>0</v>
      </c>
      <c r="W1808" s="6">
        <f t="shared" si="139"/>
        <v>0</v>
      </c>
      <c r="X1808" s="6">
        <f t="shared" si="131"/>
        <v>0</v>
      </c>
      <c r="Y1808" s="1">
        <f t="shared" si="137"/>
        <v>1</v>
      </c>
      <c r="Z1808" s="1">
        <f>IF(COUNTIF($Y$6:Y1808,Y1808)=1,Y1808,Y1808+COUNTIF($Y$5:Y1807,Y1808))</f>
        <v>803</v>
      </c>
      <c r="AD1808" s="1" t="str">
        <f t="shared" si="138"/>
        <v/>
      </c>
      <c r="BA1808" s="1">
        <f>IF(W1808&lt;=Leltar_iv!$Y$1,I1808,0)</f>
        <v>0</v>
      </c>
    </row>
    <row r="1809" spans="1:53" s="1" customFormat="1" x14ac:dyDescent="0.25">
      <c r="A1809" s="18">
        <f>IF(COUNTIF($Y$6:Y1809,Y1809)=1,Y1809,Y1809+COUNTIF($Y$5:Y1808,Y1809))</f>
        <v>804</v>
      </c>
      <c r="B1809" s="1">
        <f>IF(AND(Kisero_iv!$N$2=C1809,Kisero_iv!$K$5=$B$3,SUM(I1809:L1813)&lt;&gt;0,$B$4=YEAR(W1809)),B1808+1,0)</f>
        <v>0</v>
      </c>
      <c r="C1809" s="1">
        <f t="shared" si="132"/>
        <v>804</v>
      </c>
      <c r="D1809" s="102" t="str">
        <f t="shared" si="133"/>
        <v/>
      </c>
      <c r="E1809" s="44"/>
      <c r="F1809" s="45"/>
      <c r="G1809" s="45"/>
      <c r="H1809" s="45"/>
      <c r="I1809" s="46"/>
      <c r="J1809" s="111" t="str">
        <f>IF(AND(G1809&lt;&gt;"",ISERROR(VLOOKUP(G1809,Keszlet!$C$5:$H$200,6,FALSE))=FALSE),VLOOKUP(G1809,Keszlet!$C$5:$H$200,6,FALSE),"")</f>
        <v/>
      </c>
      <c r="K1809" s="106" t="str">
        <f>IF(AND(G1809&lt;&gt;"",ISERROR(VLOOKUP(G1809,Keszlet!$C$5:$G$200,5,FALSE))=FALSE),VLOOKUP(G1809,Keszlet!$C$5:$G$200,5,FALSE),"")</f>
        <v/>
      </c>
      <c r="L1809" s="106" t="str">
        <f t="shared" si="134"/>
        <v/>
      </c>
      <c r="M1809" s="115" t="str">
        <f>IF(ISERROR(VLOOKUP(G1809,Keszlet!$C$5:$I$200,7,FALSE))=TRUE,"",IF(AND(J1808&lt;&gt;"",J1810=""),VLOOKUP(G1809,Keszlet!$C$5:$I$200,7,FALSE),""))</f>
        <v/>
      </c>
      <c r="Q1809" s="1">
        <f>VLOOKUP(G1809,Keszlet!$C$5:$E$205,3,FALSE)</f>
        <v>0</v>
      </c>
      <c r="T1809" s="1" t="str">
        <f t="shared" si="135"/>
        <v/>
      </c>
      <c r="U1809" s="1">
        <f t="shared" si="136"/>
        <v>0</v>
      </c>
      <c r="W1809" s="6">
        <f t="shared" si="139"/>
        <v>0</v>
      </c>
      <c r="X1809" s="6">
        <f t="shared" si="131"/>
        <v>0</v>
      </c>
      <c r="Y1809" s="1">
        <f t="shared" si="137"/>
        <v>1</v>
      </c>
      <c r="Z1809" s="1">
        <f>IF(COUNTIF($Y$6:Y1809,Y1809)=1,Y1809,Y1809+COUNTIF($Y$5:Y1808,Y1809))</f>
        <v>804</v>
      </c>
      <c r="AD1809" s="1" t="str">
        <f t="shared" si="138"/>
        <v/>
      </c>
      <c r="BA1809" s="1">
        <f>IF(W1809&lt;=Leltar_iv!$Y$1,I1809,0)</f>
        <v>0</v>
      </c>
    </row>
    <row r="1810" spans="1:53" s="1" customFormat="1" x14ac:dyDescent="0.25">
      <c r="A1810" s="18">
        <f>IF(COUNTIF($Y$6:Y1810,Y1810)=1,Y1810,Y1810+COUNTIF($Y$5:Y1809,Y1810))</f>
        <v>805</v>
      </c>
      <c r="B1810" s="1">
        <f>IF(AND(Kisero_iv!$N$2=C1810,Kisero_iv!$K$5=$B$3,SUM(I1810:L1814)&lt;&gt;0,$B$4=YEAR(W1810)),B1809+1,0)</f>
        <v>0</v>
      </c>
      <c r="C1810" s="1">
        <f t="shared" si="132"/>
        <v>805</v>
      </c>
      <c r="D1810" s="102" t="str">
        <f t="shared" si="133"/>
        <v/>
      </c>
      <c r="E1810" s="44"/>
      <c r="F1810" s="45"/>
      <c r="G1810" s="45"/>
      <c r="H1810" s="45"/>
      <c r="I1810" s="46"/>
      <c r="J1810" s="111" t="str">
        <f>IF(AND(G1810&lt;&gt;"",ISERROR(VLOOKUP(G1810,Keszlet!$C$5:$H$200,6,FALSE))=FALSE),VLOOKUP(G1810,Keszlet!$C$5:$H$200,6,FALSE),"")</f>
        <v/>
      </c>
      <c r="K1810" s="106" t="str">
        <f>IF(AND(G1810&lt;&gt;"",ISERROR(VLOOKUP(G1810,Keszlet!$C$5:$G$200,5,FALSE))=FALSE),VLOOKUP(G1810,Keszlet!$C$5:$G$200,5,FALSE),"")</f>
        <v/>
      </c>
      <c r="L1810" s="106" t="str">
        <f t="shared" si="134"/>
        <v/>
      </c>
      <c r="M1810" s="115" t="str">
        <f>IF(ISERROR(VLOOKUP(G1810,Keszlet!$C$5:$I$200,7,FALSE))=TRUE,"",IF(AND(J1809&lt;&gt;"",J1811=""),VLOOKUP(G1810,Keszlet!$C$5:$I$200,7,FALSE),""))</f>
        <v/>
      </c>
      <c r="Q1810" s="1">
        <f>VLOOKUP(G1810,Keszlet!$C$5:$E$205,3,FALSE)</f>
        <v>0</v>
      </c>
      <c r="T1810" s="1" t="str">
        <f t="shared" si="135"/>
        <v/>
      </c>
      <c r="U1810" s="1">
        <f t="shared" si="136"/>
        <v>0</v>
      </c>
      <c r="W1810" s="6">
        <f t="shared" si="139"/>
        <v>0</v>
      </c>
      <c r="X1810" s="6">
        <f t="shared" si="131"/>
        <v>0</v>
      </c>
      <c r="Y1810" s="1">
        <f t="shared" si="137"/>
        <v>1</v>
      </c>
      <c r="Z1810" s="1">
        <f>IF(COUNTIF($Y$6:Y1810,Y1810)=1,Y1810,Y1810+COUNTIF($Y$5:Y1809,Y1810))</f>
        <v>805</v>
      </c>
      <c r="AD1810" s="1" t="str">
        <f t="shared" si="138"/>
        <v/>
      </c>
      <c r="BA1810" s="1">
        <f>IF(W1810&lt;=Leltar_iv!$Y$1,I1810,0)</f>
        <v>0</v>
      </c>
    </row>
    <row r="1811" spans="1:53" s="1" customFormat="1" x14ac:dyDescent="0.25">
      <c r="A1811" s="18">
        <f>IF(COUNTIF($Y$6:Y1811,Y1811)=1,Y1811,Y1811+COUNTIF($Y$5:Y1810,Y1811))</f>
        <v>806</v>
      </c>
      <c r="B1811" s="1">
        <f>IF(AND(Kisero_iv!$N$2=C1811,Kisero_iv!$K$5=$B$3,SUM(I1811:L1815)&lt;&gt;0,$B$4=YEAR(W1811)),B1810+1,0)</f>
        <v>0</v>
      </c>
      <c r="C1811" s="1">
        <f t="shared" si="132"/>
        <v>806</v>
      </c>
      <c r="D1811" s="102" t="str">
        <f t="shared" si="133"/>
        <v/>
      </c>
      <c r="E1811" s="44"/>
      <c r="F1811" s="45"/>
      <c r="G1811" s="45"/>
      <c r="H1811" s="45"/>
      <c r="I1811" s="46"/>
      <c r="J1811" s="111" t="str">
        <f>IF(AND(G1811&lt;&gt;"",ISERROR(VLOOKUP(G1811,Keszlet!$C$5:$H$200,6,FALSE))=FALSE),VLOOKUP(G1811,Keszlet!$C$5:$H$200,6,FALSE),"")</f>
        <v/>
      </c>
      <c r="K1811" s="106" t="str">
        <f>IF(AND(G1811&lt;&gt;"",ISERROR(VLOOKUP(G1811,Keszlet!$C$5:$G$200,5,FALSE))=FALSE),VLOOKUP(G1811,Keszlet!$C$5:$G$200,5,FALSE),"")</f>
        <v/>
      </c>
      <c r="L1811" s="106" t="str">
        <f t="shared" si="134"/>
        <v/>
      </c>
      <c r="M1811" s="115" t="str">
        <f>IF(ISERROR(VLOOKUP(G1811,Keszlet!$C$5:$I$200,7,FALSE))=TRUE,"",IF(AND(J1810&lt;&gt;"",J1812=""),VLOOKUP(G1811,Keszlet!$C$5:$I$200,7,FALSE),""))</f>
        <v/>
      </c>
      <c r="Q1811" s="1">
        <f>VLOOKUP(G1811,Keszlet!$C$5:$E$205,3,FALSE)</f>
        <v>0</v>
      </c>
      <c r="T1811" s="1" t="str">
        <f t="shared" si="135"/>
        <v/>
      </c>
      <c r="U1811" s="1">
        <f t="shared" si="136"/>
        <v>0</v>
      </c>
      <c r="W1811" s="6">
        <f t="shared" si="139"/>
        <v>0</v>
      </c>
      <c r="X1811" s="6">
        <f t="shared" si="131"/>
        <v>0</v>
      </c>
      <c r="Y1811" s="1">
        <f t="shared" si="137"/>
        <v>1</v>
      </c>
      <c r="Z1811" s="1">
        <f>IF(COUNTIF($Y$6:Y1811,Y1811)=1,Y1811,Y1811+COUNTIF($Y$5:Y1810,Y1811))</f>
        <v>806</v>
      </c>
      <c r="AD1811" s="1" t="str">
        <f t="shared" si="138"/>
        <v/>
      </c>
      <c r="BA1811" s="1">
        <f>IF(W1811&lt;=Leltar_iv!$Y$1,I1811,0)</f>
        <v>0</v>
      </c>
    </row>
    <row r="1812" spans="1:53" s="1" customFormat="1" x14ac:dyDescent="0.25">
      <c r="A1812" s="18">
        <f>IF(COUNTIF($Y$6:Y1812,Y1812)=1,Y1812,Y1812+COUNTIF($Y$5:Y1811,Y1812))</f>
        <v>807</v>
      </c>
      <c r="B1812" s="1">
        <f>IF(AND(Kisero_iv!$N$2=C1812,Kisero_iv!$K$5=$B$3,SUM(I1812:L1816)&lt;&gt;0,$B$4=YEAR(W1812)),B1811+1,0)</f>
        <v>0</v>
      </c>
      <c r="C1812" s="1">
        <f t="shared" si="132"/>
        <v>807</v>
      </c>
      <c r="D1812" s="102" t="str">
        <f t="shared" si="133"/>
        <v/>
      </c>
      <c r="E1812" s="44"/>
      <c r="F1812" s="45"/>
      <c r="G1812" s="45"/>
      <c r="H1812" s="45"/>
      <c r="I1812" s="46"/>
      <c r="J1812" s="111" t="str">
        <f>IF(AND(G1812&lt;&gt;"",ISERROR(VLOOKUP(G1812,Keszlet!$C$5:$H$200,6,FALSE))=FALSE),VLOOKUP(G1812,Keszlet!$C$5:$H$200,6,FALSE),"")</f>
        <v/>
      </c>
      <c r="K1812" s="106" t="str">
        <f>IF(AND(G1812&lt;&gt;"",ISERROR(VLOOKUP(G1812,Keszlet!$C$5:$G$200,5,FALSE))=FALSE),VLOOKUP(G1812,Keszlet!$C$5:$G$200,5,FALSE),"")</f>
        <v/>
      </c>
      <c r="L1812" s="106" t="str">
        <f t="shared" si="134"/>
        <v/>
      </c>
      <c r="M1812" s="115" t="str">
        <f>IF(ISERROR(VLOOKUP(G1812,Keszlet!$C$5:$I$200,7,FALSE))=TRUE,"",IF(AND(J1811&lt;&gt;"",J1813=""),VLOOKUP(G1812,Keszlet!$C$5:$I$200,7,FALSE),""))</f>
        <v/>
      </c>
      <c r="Q1812" s="1">
        <f>VLOOKUP(G1812,Keszlet!$C$5:$E$205,3,FALSE)</f>
        <v>0</v>
      </c>
      <c r="T1812" s="1" t="str">
        <f t="shared" si="135"/>
        <v/>
      </c>
      <c r="U1812" s="1">
        <f t="shared" si="136"/>
        <v>0</v>
      </c>
      <c r="W1812" s="6">
        <f t="shared" si="139"/>
        <v>0</v>
      </c>
      <c r="X1812" s="6">
        <f t="shared" si="131"/>
        <v>0</v>
      </c>
      <c r="Y1812" s="1">
        <f t="shared" si="137"/>
        <v>1</v>
      </c>
      <c r="Z1812" s="1">
        <f>IF(COUNTIF($Y$6:Y1812,Y1812)=1,Y1812,Y1812+COUNTIF($Y$5:Y1811,Y1812))</f>
        <v>807</v>
      </c>
      <c r="AD1812" s="1" t="str">
        <f t="shared" si="138"/>
        <v/>
      </c>
      <c r="BA1812" s="1">
        <f>IF(W1812&lt;=Leltar_iv!$Y$1,I1812,0)</f>
        <v>0</v>
      </c>
    </row>
    <row r="1813" spans="1:53" s="1" customFormat="1" x14ac:dyDescent="0.25">
      <c r="A1813" s="18">
        <f>IF(COUNTIF($Y$6:Y1813,Y1813)=1,Y1813,Y1813+COUNTIF($Y$5:Y1812,Y1813))</f>
        <v>808</v>
      </c>
      <c r="B1813" s="1">
        <f>IF(AND(Kisero_iv!$N$2=C1813,Kisero_iv!$K$5=$B$3,SUM(I1813:L1817)&lt;&gt;0,$B$4=YEAR(W1813)),B1812+1,0)</f>
        <v>0</v>
      </c>
      <c r="C1813" s="1">
        <f t="shared" si="132"/>
        <v>808</v>
      </c>
      <c r="D1813" s="102" t="str">
        <f t="shared" si="133"/>
        <v/>
      </c>
      <c r="E1813" s="44"/>
      <c r="F1813" s="45"/>
      <c r="G1813" s="45"/>
      <c r="H1813" s="45"/>
      <c r="I1813" s="46"/>
      <c r="J1813" s="111" t="str">
        <f>IF(AND(G1813&lt;&gt;"",ISERROR(VLOOKUP(G1813,Keszlet!$C$5:$H$200,6,FALSE))=FALSE),VLOOKUP(G1813,Keszlet!$C$5:$H$200,6,FALSE),"")</f>
        <v/>
      </c>
      <c r="K1813" s="106" t="str">
        <f>IF(AND(G1813&lt;&gt;"",ISERROR(VLOOKUP(G1813,Keszlet!$C$5:$G$200,5,FALSE))=FALSE),VLOOKUP(G1813,Keszlet!$C$5:$G$200,5,FALSE),"")</f>
        <v/>
      </c>
      <c r="L1813" s="106" t="str">
        <f t="shared" si="134"/>
        <v/>
      </c>
      <c r="M1813" s="115" t="str">
        <f>IF(ISERROR(VLOOKUP(G1813,Keszlet!$C$5:$I$200,7,FALSE))=TRUE,"",IF(AND(J1812&lt;&gt;"",J1814=""),VLOOKUP(G1813,Keszlet!$C$5:$I$200,7,FALSE),""))</f>
        <v/>
      </c>
      <c r="Q1813" s="1">
        <f>VLOOKUP(G1813,Keszlet!$C$5:$E$205,3,FALSE)</f>
        <v>0</v>
      </c>
      <c r="T1813" s="1" t="str">
        <f t="shared" si="135"/>
        <v/>
      </c>
      <c r="U1813" s="1">
        <f t="shared" si="136"/>
        <v>0</v>
      </c>
      <c r="W1813" s="6">
        <f t="shared" si="139"/>
        <v>0</v>
      </c>
      <c r="X1813" s="6">
        <f t="shared" si="131"/>
        <v>0</v>
      </c>
      <c r="Y1813" s="1">
        <f t="shared" si="137"/>
        <v>1</v>
      </c>
      <c r="Z1813" s="1">
        <f>IF(COUNTIF($Y$6:Y1813,Y1813)=1,Y1813,Y1813+COUNTIF($Y$5:Y1812,Y1813))</f>
        <v>808</v>
      </c>
      <c r="AD1813" s="1" t="str">
        <f t="shared" si="138"/>
        <v/>
      </c>
      <c r="BA1813" s="1">
        <f>IF(W1813&lt;=Leltar_iv!$Y$1,I1813,0)</f>
        <v>0</v>
      </c>
    </row>
    <row r="1814" spans="1:53" s="1" customFormat="1" x14ac:dyDescent="0.25">
      <c r="A1814" s="18">
        <f>IF(COUNTIF($Y$6:Y1814,Y1814)=1,Y1814,Y1814+COUNTIF($Y$5:Y1813,Y1814))</f>
        <v>809</v>
      </c>
      <c r="B1814" s="1">
        <f>IF(AND(Kisero_iv!$N$2=C1814,Kisero_iv!$K$5=$B$3,SUM(I1814:L1818)&lt;&gt;0,$B$4=YEAR(W1814)),B1813+1,0)</f>
        <v>0</v>
      </c>
      <c r="C1814" s="1">
        <f t="shared" si="132"/>
        <v>809</v>
      </c>
      <c r="D1814" s="102" t="str">
        <f t="shared" si="133"/>
        <v/>
      </c>
      <c r="E1814" s="44"/>
      <c r="F1814" s="45"/>
      <c r="G1814" s="45"/>
      <c r="H1814" s="45"/>
      <c r="I1814" s="46"/>
      <c r="J1814" s="111" t="str">
        <f>IF(AND(G1814&lt;&gt;"",ISERROR(VLOOKUP(G1814,Keszlet!$C$5:$H$200,6,FALSE))=FALSE),VLOOKUP(G1814,Keszlet!$C$5:$H$200,6,FALSE),"")</f>
        <v/>
      </c>
      <c r="K1814" s="106" t="str">
        <f>IF(AND(G1814&lt;&gt;"",ISERROR(VLOOKUP(G1814,Keszlet!$C$5:$G$200,5,FALSE))=FALSE),VLOOKUP(G1814,Keszlet!$C$5:$G$200,5,FALSE),"")</f>
        <v/>
      </c>
      <c r="L1814" s="106" t="str">
        <f t="shared" si="134"/>
        <v/>
      </c>
      <c r="M1814" s="115" t="str">
        <f>IF(ISERROR(VLOOKUP(G1814,Keszlet!$C$5:$I$200,7,FALSE))=TRUE,"",IF(AND(J1813&lt;&gt;"",J1815=""),VLOOKUP(G1814,Keszlet!$C$5:$I$200,7,FALSE),""))</f>
        <v/>
      </c>
      <c r="Q1814" s="1">
        <f>VLOOKUP(G1814,Keszlet!$C$5:$E$205,3,FALSE)</f>
        <v>0</v>
      </c>
      <c r="T1814" s="1" t="str">
        <f t="shared" si="135"/>
        <v/>
      </c>
      <c r="U1814" s="1">
        <f t="shared" si="136"/>
        <v>0</v>
      </c>
      <c r="W1814" s="6">
        <f t="shared" si="139"/>
        <v>0</v>
      </c>
      <c r="X1814" s="6">
        <f t="shared" si="131"/>
        <v>0</v>
      </c>
      <c r="Y1814" s="1">
        <f t="shared" si="137"/>
        <v>1</v>
      </c>
      <c r="Z1814" s="1">
        <f>IF(COUNTIF($Y$6:Y1814,Y1814)=1,Y1814,Y1814+COUNTIF($Y$5:Y1813,Y1814))</f>
        <v>809</v>
      </c>
      <c r="AD1814" s="1" t="str">
        <f t="shared" si="138"/>
        <v/>
      </c>
      <c r="BA1814" s="1">
        <f>IF(W1814&lt;=Leltar_iv!$Y$1,I1814,0)</f>
        <v>0</v>
      </c>
    </row>
    <row r="1815" spans="1:53" s="1" customFormat="1" x14ac:dyDescent="0.25">
      <c r="A1815" s="18">
        <f>IF(COUNTIF($Y$6:Y1815,Y1815)=1,Y1815,Y1815+COUNTIF($Y$5:Y1814,Y1815))</f>
        <v>810</v>
      </c>
      <c r="B1815" s="1">
        <f>IF(AND(Kisero_iv!$N$2=C1815,Kisero_iv!$K$5=$B$3,SUM(I1815:L1819)&lt;&gt;0,$B$4=YEAR(W1815)),B1814+1,0)</f>
        <v>0</v>
      </c>
      <c r="C1815" s="1">
        <f t="shared" si="132"/>
        <v>810</v>
      </c>
      <c r="D1815" s="102" t="str">
        <f t="shared" si="133"/>
        <v/>
      </c>
      <c r="E1815" s="44"/>
      <c r="F1815" s="45"/>
      <c r="G1815" s="45"/>
      <c r="H1815" s="45"/>
      <c r="I1815" s="46"/>
      <c r="J1815" s="111" t="str">
        <f>IF(AND(G1815&lt;&gt;"",ISERROR(VLOOKUP(G1815,Keszlet!$C$5:$H$200,6,FALSE))=FALSE),VLOOKUP(G1815,Keszlet!$C$5:$H$200,6,FALSE),"")</f>
        <v/>
      </c>
      <c r="K1815" s="106" t="str">
        <f>IF(AND(G1815&lt;&gt;"",ISERROR(VLOOKUP(G1815,Keszlet!$C$5:$G$200,5,FALSE))=FALSE),VLOOKUP(G1815,Keszlet!$C$5:$G$200,5,FALSE),"")</f>
        <v/>
      </c>
      <c r="L1815" s="106" t="str">
        <f t="shared" si="134"/>
        <v/>
      </c>
      <c r="M1815" s="115" t="str">
        <f>IF(ISERROR(VLOOKUP(G1815,Keszlet!$C$5:$I$200,7,FALSE))=TRUE,"",IF(AND(J1814&lt;&gt;"",J1816=""),VLOOKUP(G1815,Keszlet!$C$5:$I$200,7,FALSE),""))</f>
        <v/>
      </c>
      <c r="Q1815" s="1">
        <f>VLOOKUP(G1815,Keszlet!$C$5:$E$205,3,FALSE)</f>
        <v>0</v>
      </c>
      <c r="T1815" s="1" t="str">
        <f t="shared" si="135"/>
        <v/>
      </c>
      <c r="U1815" s="1">
        <f t="shared" si="136"/>
        <v>0</v>
      </c>
      <c r="W1815" s="6">
        <f t="shared" si="139"/>
        <v>0</v>
      </c>
      <c r="X1815" s="6">
        <f t="shared" si="131"/>
        <v>0</v>
      </c>
      <c r="Y1815" s="1">
        <f t="shared" si="137"/>
        <v>1</v>
      </c>
      <c r="Z1815" s="1">
        <f>IF(COUNTIF($Y$6:Y1815,Y1815)=1,Y1815,Y1815+COUNTIF($Y$5:Y1814,Y1815))</f>
        <v>810</v>
      </c>
      <c r="AD1815" s="1" t="str">
        <f t="shared" si="138"/>
        <v/>
      </c>
      <c r="BA1815" s="1">
        <f>IF(W1815&lt;=Leltar_iv!$Y$1,I1815,0)</f>
        <v>0</v>
      </c>
    </row>
    <row r="1816" spans="1:53" s="1" customFormat="1" x14ac:dyDescent="0.25">
      <c r="A1816" s="18">
        <f>IF(COUNTIF($Y$6:Y1816,Y1816)=1,Y1816,Y1816+COUNTIF($Y$5:Y1815,Y1816))</f>
        <v>811</v>
      </c>
      <c r="B1816" s="1">
        <f>IF(AND(Kisero_iv!$N$2=C1816,Kisero_iv!$K$5=$B$3,SUM(I1816:L1820)&lt;&gt;0,$B$4=YEAR(W1816)),B1815+1,0)</f>
        <v>0</v>
      </c>
      <c r="C1816" s="1">
        <f t="shared" si="132"/>
        <v>811</v>
      </c>
      <c r="D1816" s="102" t="str">
        <f t="shared" si="133"/>
        <v/>
      </c>
      <c r="E1816" s="44"/>
      <c r="F1816" s="45"/>
      <c r="G1816" s="45"/>
      <c r="H1816" s="45"/>
      <c r="I1816" s="46"/>
      <c r="J1816" s="111" t="str">
        <f>IF(AND(G1816&lt;&gt;"",ISERROR(VLOOKUP(G1816,Keszlet!$C$5:$H$200,6,FALSE))=FALSE),VLOOKUP(G1816,Keszlet!$C$5:$H$200,6,FALSE),"")</f>
        <v/>
      </c>
      <c r="K1816" s="106" t="str">
        <f>IF(AND(G1816&lt;&gt;"",ISERROR(VLOOKUP(G1816,Keszlet!$C$5:$G$200,5,FALSE))=FALSE),VLOOKUP(G1816,Keszlet!$C$5:$G$200,5,FALSE),"")</f>
        <v/>
      </c>
      <c r="L1816" s="106" t="str">
        <f t="shared" si="134"/>
        <v/>
      </c>
      <c r="M1816" s="115" t="str">
        <f>IF(ISERROR(VLOOKUP(G1816,Keszlet!$C$5:$I$200,7,FALSE))=TRUE,"",IF(AND(J1815&lt;&gt;"",J1817=""),VLOOKUP(G1816,Keszlet!$C$5:$I$200,7,FALSE),""))</f>
        <v/>
      </c>
      <c r="Q1816" s="1">
        <f>VLOOKUP(G1816,Keszlet!$C$5:$E$205,3,FALSE)</f>
        <v>0</v>
      </c>
      <c r="T1816" s="1" t="str">
        <f t="shared" si="135"/>
        <v/>
      </c>
      <c r="U1816" s="1">
        <f t="shared" si="136"/>
        <v>0</v>
      </c>
      <c r="W1816" s="6">
        <f t="shared" si="139"/>
        <v>0</v>
      </c>
      <c r="X1816" s="6">
        <f t="shared" si="131"/>
        <v>0</v>
      </c>
      <c r="Y1816" s="1">
        <f t="shared" si="137"/>
        <v>1</v>
      </c>
      <c r="Z1816" s="1">
        <f>IF(COUNTIF($Y$6:Y1816,Y1816)=1,Y1816,Y1816+COUNTIF($Y$5:Y1815,Y1816))</f>
        <v>811</v>
      </c>
      <c r="AD1816" s="1" t="str">
        <f t="shared" si="138"/>
        <v/>
      </c>
      <c r="BA1816" s="1">
        <f>IF(W1816&lt;=Leltar_iv!$Y$1,I1816,0)</f>
        <v>0</v>
      </c>
    </row>
    <row r="1817" spans="1:53" s="1" customFormat="1" x14ac:dyDescent="0.25">
      <c r="A1817" s="18">
        <f>IF(COUNTIF($Y$6:Y1817,Y1817)=1,Y1817,Y1817+COUNTIF($Y$5:Y1816,Y1817))</f>
        <v>812</v>
      </c>
      <c r="B1817" s="1">
        <f>IF(AND(Kisero_iv!$N$2=C1817,Kisero_iv!$K$5=$B$3,SUM(I1817:L1821)&lt;&gt;0,$B$4=YEAR(W1817)),B1816+1,0)</f>
        <v>0</v>
      </c>
      <c r="C1817" s="1">
        <f t="shared" si="132"/>
        <v>812</v>
      </c>
      <c r="D1817" s="102" t="str">
        <f t="shared" si="133"/>
        <v/>
      </c>
      <c r="E1817" s="44"/>
      <c r="F1817" s="45"/>
      <c r="G1817" s="45"/>
      <c r="H1817" s="45"/>
      <c r="I1817" s="46"/>
      <c r="J1817" s="111" t="str">
        <f>IF(AND(G1817&lt;&gt;"",ISERROR(VLOOKUP(G1817,Keszlet!$C$5:$H$200,6,FALSE))=FALSE),VLOOKUP(G1817,Keszlet!$C$5:$H$200,6,FALSE),"")</f>
        <v/>
      </c>
      <c r="K1817" s="106" t="str">
        <f>IF(AND(G1817&lt;&gt;"",ISERROR(VLOOKUP(G1817,Keszlet!$C$5:$G$200,5,FALSE))=FALSE),VLOOKUP(G1817,Keszlet!$C$5:$G$200,5,FALSE),"")</f>
        <v/>
      </c>
      <c r="L1817" s="106" t="str">
        <f t="shared" si="134"/>
        <v/>
      </c>
      <c r="M1817" s="115" t="str">
        <f>IF(ISERROR(VLOOKUP(G1817,Keszlet!$C$5:$I$200,7,FALSE))=TRUE,"",IF(AND(J1816&lt;&gt;"",J1818=""),VLOOKUP(G1817,Keszlet!$C$5:$I$200,7,FALSE),""))</f>
        <v/>
      </c>
      <c r="Q1817" s="1">
        <f>VLOOKUP(G1817,Keszlet!$C$5:$E$205,3,FALSE)</f>
        <v>0</v>
      </c>
      <c r="T1817" s="1" t="str">
        <f t="shared" si="135"/>
        <v/>
      </c>
      <c r="U1817" s="1">
        <f t="shared" si="136"/>
        <v>0</v>
      </c>
      <c r="W1817" s="6">
        <f t="shared" si="139"/>
        <v>0</v>
      </c>
      <c r="X1817" s="6">
        <f t="shared" si="131"/>
        <v>0</v>
      </c>
      <c r="Y1817" s="1">
        <f t="shared" si="137"/>
        <v>1</v>
      </c>
      <c r="Z1817" s="1">
        <f>IF(COUNTIF($Y$6:Y1817,Y1817)=1,Y1817,Y1817+COUNTIF($Y$5:Y1816,Y1817))</f>
        <v>812</v>
      </c>
      <c r="AD1817" s="1" t="str">
        <f t="shared" si="138"/>
        <v/>
      </c>
      <c r="BA1817" s="1">
        <f>IF(W1817&lt;=Leltar_iv!$Y$1,I1817,0)</f>
        <v>0</v>
      </c>
    </row>
    <row r="1818" spans="1:53" s="1" customFormat="1" x14ac:dyDescent="0.25">
      <c r="A1818" s="18">
        <f>IF(COUNTIF($Y$6:Y1818,Y1818)=1,Y1818,Y1818+COUNTIF($Y$5:Y1817,Y1818))</f>
        <v>813</v>
      </c>
      <c r="B1818" s="1">
        <f>IF(AND(Kisero_iv!$N$2=C1818,Kisero_iv!$K$5=$B$3,SUM(I1818:L1822)&lt;&gt;0,$B$4=YEAR(W1818)),B1817+1,0)</f>
        <v>0</v>
      </c>
      <c r="C1818" s="1">
        <f t="shared" si="132"/>
        <v>813</v>
      </c>
      <c r="D1818" s="102" t="str">
        <f t="shared" si="133"/>
        <v/>
      </c>
      <c r="E1818" s="44"/>
      <c r="F1818" s="45"/>
      <c r="G1818" s="45"/>
      <c r="H1818" s="45"/>
      <c r="I1818" s="46"/>
      <c r="J1818" s="111" t="str">
        <f>IF(AND(G1818&lt;&gt;"",ISERROR(VLOOKUP(G1818,Keszlet!$C$5:$H$200,6,FALSE))=FALSE),VLOOKUP(G1818,Keszlet!$C$5:$H$200,6,FALSE),"")</f>
        <v/>
      </c>
      <c r="K1818" s="106" t="str">
        <f>IF(AND(G1818&lt;&gt;"",ISERROR(VLOOKUP(G1818,Keszlet!$C$5:$G$200,5,FALSE))=FALSE),VLOOKUP(G1818,Keszlet!$C$5:$G$200,5,FALSE),"")</f>
        <v/>
      </c>
      <c r="L1818" s="106" t="str">
        <f t="shared" si="134"/>
        <v/>
      </c>
      <c r="M1818" s="115" t="str">
        <f>IF(ISERROR(VLOOKUP(G1818,Keszlet!$C$5:$I$200,7,FALSE))=TRUE,"",IF(AND(J1817&lt;&gt;"",J1819=""),VLOOKUP(G1818,Keszlet!$C$5:$I$200,7,FALSE),""))</f>
        <v/>
      </c>
      <c r="Q1818" s="1">
        <f>VLOOKUP(G1818,Keszlet!$C$5:$E$205,3,FALSE)</f>
        <v>0</v>
      </c>
      <c r="T1818" s="1" t="str">
        <f t="shared" si="135"/>
        <v/>
      </c>
      <c r="U1818" s="1">
        <f t="shared" si="136"/>
        <v>0</v>
      </c>
      <c r="W1818" s="6">
        <f t="shared" si="139"/>
        <v>0</v>
      </c>
      <c r="X1818" s="6">
        <f t="shared" si="131"/>
        <v>0</v>
      </c>
      <c r="Y1818" s="1">
        <f t="shared" si="137"/>
        <v>1</v>
      </c>
      <c r="Z1818" s="1">
        <f>IF(COUNTIF($Y$6:Y1818,Y1818)=1,Y1818,Y1818+COUNTIF($Y$5:Y1817,Y1818))</f>
        <v>813</v>
      </c>
      <c r="AD1818" s="1" t="str">
        <f t="shared" si="138"/>
        <v/>
      </c>
      <c r="BA1818" s="1">
        <f>IF(W1818&lt;=Leltar_iv!$Y$1,I1818,0)</f>
        <v>0</v>
      </c>
    </row>
    <row r="1819" spans="1:53" s="1" customFormat="1" x14ac:dyDescent="0.25">
      <c r="A1819" s="18">
        <f>IF(COUNTIF($Y$6:Y1819,Y1819)=1,Y1819,Y1819+COUNTIF($Y$5:Y1818,Y1819))</f>
        <v>814</v>
      </c>
      <c r="B1819" s="1">
        <f>IF(AND(Kisero_iv!$N$2=C1819,Kisero_iv!$K$5=$B$3,SUM(I1819:L1823)&lt;&gt;0,$B$4=YEAR(W1819)),B1818+1,0)</f>
        <v>0</v>
      </c>
      <c r="C1819" s="1">
        <f t="shared" si="132"/>
        <v>814</v>
      </c>
      <c r="D1819" s="102" t="str">
        <f t="shared" si="133"/>
        <v/>
      </c>
      <c r="E1819" s="44"/>
      <c r="F1819" s="45"/>
      <c r="G1819" s="45"/>
      <c r="H1819" s="45"/>
      <c r="I1819" s="46"/>
      <c r="J1819" s="111" t="str">
        <f>IF(AND(G1819&lt;&gt;"",ISERROR(VLOOKUP(G1819,Keszlet!$C$5:$H$200,6,FALSE))=FALSE),VLOOKUP(G1819,Keszlet!$C$5:$H$200,6,FALSE),"")</f>
        <v/>
      </c>
      <c r="K1819" s="106" t="str">
        <f>IF(AND(G1819&lt;&gt;"",ISERROR(VLOOKUP(G1819,Keszlet!$C$5:$G$200,5,FALSE))=FALSE),VLOOKUP(G1819,Keszlet!$C$5:$G$200,5,FALSE),"")</f>
        <v/>
      </c>
      <c r="L1819" s="106" t="str">
        <f t="shared" si="134"/>
        <v/>
      </c>
      <c r="M1819" s="115" t="str">
        <f>IF(ISERROR(VLOOKUP(G1819,Keszlet!$C$5:$I$200,7,FALSE))=TRUE,"",IF(AND(J1818&lt;&gt;"",J1820=""),VLOOKUP(G1819,Keszlet!$C$5:$I$200,7,FALSE),""))</f>
        <v/>
      </c>
      <c r="Q1819" s="1">
        <f>VLOOKUP(G1819,Keszlet!$C$5:$E$205,3,FALSE)</f>
        <v>0</v>
      </c>
      <c r="T1819" s="1" t="str">
        <f t="shared" si="135"/>
        <v/>
      </c>
      <c r="U1819" s="1">
        <f t="shared" si="136"/>
        <v>0</v>
      </c>
      <c r="W1819" s="6">
        <f t="shared" si="139"/>
        <v>0</v>
      </c>
      <c r="X1819" s="6">
        <f t="shared" si="131"/>
        <v>0</v>
      </c>
      <c r="Y1819" s="1">
        <f t="shared" si="137"/>
        <v>1</v>
      </c>
      <c r="Z1819" s="1">
        <f>IF(COUNTIF($Y$6:Y1819,Y1819)=1,Y1819,Y1819+COUNTIF($Y$5:Y1818,Y1819))</f>
        <v>814</v>
      </c>
      <c r="AD1819" s="1" t="str">
        <f t="shared" si="138"/>
        <v/>
      </c>
      <c r="BA1819" s="1">
        <f>IF(W1819&lt;=Leltar_iv!$Y$1,I1819,0)</f>
        <v>0</v>
      </c>
    </row>
    <row r="1820" spans="1:53" s="1" customFormat="1" x14ac:dyDescent="0.25">
      <c r="A1820" s="18">
        <f>IF(COUNTIF($Y$6:Y1820,Y1820)=1,Y1820,Y1820+COUNTIF($Y$5:Y1819,Y1820))</f>
        <v>815</v>
      </c>
      <c r="B1820" s="1">
        <f>IF(AND(Kisero_iv!$N$2=C1820,Kisero_iv!$K$5=$B$3,SUM(I1820:L1824)&lt;&gt;0,$B$4=YEAR(W1820)),B1819+1,0)</f>
        <v>0</v>
      </c>
      <c r="C1820" s="1">
        <f t="shared" si="132"/>
        <v>815</v>
      </c>
      <c r="D1820" s="102" t="str">
        <f t="shared" si="133"/>
        <v/>
      </c>
      <c r="E1820" s="44"/>
      <c r="F1820" s="45"/>
      <c r="G1820" s="45"/>
      <c r="H1820" s="45"/>
      <c r="I1820" s="46"/>
      <c r="J1820" s="111" t="str">
        <f>IF(AND(G1820&lt;&gt;"",ISERROR(VLOOKUP(G1820,Keszlet!$C$5:$H$200,6,FALSE))=FALSE),VLOOKUP(G1820,Keszlet!$C$5:$H$200,6,FALSE),"")</f>
        <v/>
      </c>
      <c r="K1820" s="106" t="str">
        <f>IF(AND(G1820&lt;&gt;"",ISERROR(VLOOKUP(G1820,Keszlet!$C$5:$G$200,5,FALSE))=FALSE),VLOOKUP(G1820,Keszlet!$C$5:$G$200,5,FALSE),"")</f>
        <v/>
      </c>
      <c r="L1820" s="106" t="str">
        <f t="shared" si="134"/>
        <v/>
      </c>
      <c r="M1820" s="115" t="str">
        <f>IF(ISERROR(VLOOKUP(G1820,Keszlet!$C$5:$I$200,7,FALSE))=TRUE,"",IF(AND(J1819&lt;&gt;"",J1821=""),VLOOKUP(G1820,Keszlet!$C$5:$I$200,7,FALSE),""))</f>
        <v/>
      </c>
      <c r="Q1820" s="1">
        <f>VLOOKUP(G1820,Keszlet!$C$5:$E$205,3,FALSE)</f>
        <v>0</v>
      </c>
      <c r="T1820" s="1" t="str">
        <f t="shared" si="135"/>
        <v/>
      </c>
      <c r="U1820" s="1">
        <f t="shared" si="136"/>
        <v>0</v>
      </c>
      <c r="W1820" s="6">
        <f t="shared" si="139"/>
        <v>0</v>
      </c>
      <c r="X1820" s="6">
        <f t="shared" si="131"/>
        <v>0</v>
      </c>
      <c r="Y1820" s="1">
        <f t="shared" si="137"/>
        <v>1</v>
      </c>
      <c r="Z1820" s="1">
        <f>IF(COUNTIF($Y$6:Y1820,Y1820)=1,Y1820,Y1820+COUNTIF($Y$5:Y1819,Y1820))</f>
        <v>815</v>
      </c>
      <c r="AD1820" s="1" t="str">
        <f t="shared" si="138"/>
        <v/>
      </c>
      <c r="BA1820" s="1">
        <f>IF(W1820&lt;=Leltar_iv!$Y$1,I1820,0)</f>
        <v>0</v>
      </c>
    </row>
    <row r="1821" spans="1:53" s="1" customFormat="1" x14ac:dyDescent="0.25">
      <c r="A1821" s="18">
        <f>IF(COUNTIF($Y$6:Y1821,Y1821)=1,Y1821,Y1821+COUNTIF($Y$5:Y1820,Y1821))</f>
        <v>816</v>
      </c>
      <c r="B1821" s="1">
        <f>IF(AND(Kisero_iv!$N$2=C1821,Kisero_iv!$K$5=$B$3,SUM(I1821:L1825)&lt;&gt;0,$B$4=YEAR(W1821)),B1820+1,0)</f>
        <v>0</v>
      </c>
      <c r="C1821" s="1">
        <f t="shared" si="132"/>
        <v>816</v>
      </c>
      <c r="D1821" s="102" t="str">
        <f t="shared" si="133"/>
        <v/>
      </c>
      <c r="E1821" s="44"/>
      <c r="F1821" s="45"/>
      <c r="G1821" s="45"/>
      <c r="H1821" s="45"/>
      <c r="I1821" s="46"/>
      <c r="J1821" s="111" t="str">
        <f>IF(AND(G1821&lt;&gt;"",ISERROR(VLOOKUP(G1821,Keszlet!$C$5:$H$200,6,FALSE))=FALSE),VLOOKUP(G1821,Keszlet!$C$5:$H$200,6,FALSE),"")</f>
        <v/>
      </c>
      <c r="K1821" s="106" t="str">
        <f>IF(AND(G1821&lt;&gt;"",ISERROR(VLOOKUP(G1821,Keszlet!$C$5:$G$200,5,FALSE))=FALSE),VLOOKUP(G1821,Keszlet!$C$5:$G$200,5,FALSE),"")</f>
        <v/>
      </c>
      <c r="L1821" s="106" t="str">
        <f t="shared" si="134"/>
        <v/>
      </c>
      <c r="M1821" s="115" t="str">
        <f>IF(ISERROR(VLOOKUP(G1821,Keszlet!$C$5:$I$200,7,FALSE))=TRUE,"",IF(AND(J1820&lt;&gt;"",J1822=""),VLOOKUP(G1821,Keszlet!$C$5:$I$200,7,FALSE),""))</f>
        <v/>
      </c>
      <c r="Q1821" s="1">
        <f>VLOOKUP(G1821,Keszlet!$C$5:$E$205,3,FALSE)</f>
        <v>0</v>
      </c>
      <c r="T1821" s="1" t="str">
        <f t="shared" si="135"/>
        <v/>
      </c>
      <c r="U1821" s="1">
        <f t="shared" si="136"/>
        <v>0</v>
      </c>
      <c r="W1821" s="6">
        <f t="shared" si="139"/>
        <v>0</v>
      </c>
      <c r="X1821" s="6">
        <f t="shared" si="131"/>
        <v>0</v>
      </c>
      <c r="Y1821" s="1">
        <f t="shared" si="137"/>
        <v>1</v>
      </c>
      <c r="Z1821" s="1">
        <f>IF(COUNTIF($Y$6:Y1821,Y1821)=1,Y1821,Y1821+COUNTIF($Y$5:Y1820,Y1821))</f>
        <v>816</v>
      </c>
      <c r="AD1821" s="1" t="str">
        <f t="shared" si="138"/>
        <v/>
      </c>
      <c r="BA1821" s="1">
        <f>IF(W1821&lt;=Leltar_iv!$Y$1,I1821,0)</f>
        <v>0</v>
      </c>
    </row>
    <row r="1822" spans="1:53" s="1" customFormat="1" x14ac:dyDescent="0.25">
      <c r="A1822" s="18">
        <f>IF(COUNTIF($Y$6:Y1822,Y1822)=1,Y1822,Y1822+COUNTIF($Y$5:Y1821,Y1822))</f>
        <v>817</v>
      </c>
      <c r="B1822" s="1">
        <f>IF(AND(Kisero_iv!$N$2=C1822,Kisero_iv!$K$5=$B$3,SUM(I1822:L1826)&lt;&gt;0,$B$4=YEAR(W1822)),B1821+1,0)</f>
        <v>0</v>
      </c>
      <c r="C1822" s="1">
        <f t="shared" si="132"/>
        <v>817</v>
      </c>
      <c r="D1822" s="102" t="str">
        <f t="shared" si="133"/>
        <v/>
      </c>
      <c r="E1822" s="44"/>
      <c r="F1822" s="45"/>
      <c r="G1822" s="45"/>
      <c r="H1822" s="45"/>
      <c r="I1822" s="46"/>
      <c r="J1822" s="111" t="str">
        <f>IF(AND(G1822&lt;&gt;"",ISERROR(VLOOKUP(G1822,Keszlet!$C$5:$H$200,6,FALSE))=FALSE),VLOOKUP(G1822,Keszlet!$C$5:$H$200,6,FALSE),"")</f>
        <v/>
      </c>
      <c r="K1822" s="106" t="str">
        <f>IF(AND(G1822&lt;&gt;"",ISERROR(VLOOKUP(G1822,Keszlet!$C$5:$G$200,5,FALSE))=FALSE),VLOOKUP(G1822,Keszlet!$C$5:$G$200,5,FALSE),"")</f>
        <v/>
      </c>
      <c r="L1822" s="106" t="str">
        <f t="shared" si="134"/>
        <v/>
      </c>
      <c r="M1822" s="115" t="str">
        <f>IF(ISERROR(VLOOKUP(G1822,Keszlet!$C$5:$I$200,7,FALSE))=TRUE,"",IF(AND(J1821&lt;&gt;"",J1823=""),VLOOKUP(G1822,Keszlet!$C$5:$I$200,7,FALSE),""))</f>
        <v/>
      </c>
      <c r="Q1822" s="1">
        <f>VLOOKUP(G1822,Keszlet!$C$5:$E$205,3,FALSE)</f>
        <v>0</v>
      </c>
      <c r="T1822" s="1" t="str">
        <f t="shared" si="135"/>
        <v/>
      </c>
      <c r="U1822" s="1">
        <f t="shared" si="136"/>
        <v>0</v>
      </c>
      <c r="W1822" s="6">
        <f t="shared" si="139"/>
        <v>0</v>
      </c>
      <c r="X1822" s="6">
        <f t="shared" si="131"/>
        <v>0</v>
      </c>
      <c r="Y1822" s="1">
        <f t="shared" si="137"/>
        <v>1</v>
      </c>
      <c r="Z1822" s="1">
        <f>IF(COUNTIF($Y$6:Y1822,Y1822)=1,Y1822,Y1822+COUNTIF($Y$5:Y1821,Y1822))</f>
        <v>817</v>
      </c>
      <c r="AD1822" s="1" t="str">
        <f t="shared" si="138"/>
        <v/>
      </c>
      <c r="BA1822" s="1">
        <f>IF(W1822&lt;=Leltar_iv!$Y$1,I1822,0)</f>
        <v>0</v>
      </c>
    </row>
    <row r="1823" spans="1:53" s="1" customFormat="1" x14ac:dyDescent="0.25">
      <c r="A1823" s="18">
        <f>IF(COUNTIF($Y$6:Y1823,Y1823)=1,Y1823,Y1823+COUNTIF($Y$5:Y1822,Y1823))</f>
        <v>818</v>
      </c>
      <c r="B1823" s="1">
        <f>IF(AND(Kisero_iv!$N$2=C1823,Kisero_iv!$K$5=$B$3,SUM(I1823:L1827)&lt;&gt;0,$B$4=YEAR(W1823)),B1822+1,0)</f>
        <v>0</v>
      </c>
      <c r="C1823" s="1">
        <f t="shared" si="132"/>
        <v>818</v>
      </c>
      <c r="D1823" s="102" t="str">
        <f t="shared" si="133"/>
        <v/>
      </c>
      <c r="E1823" s="44"/>
      <c r="F1823" s="45"/>
      <c r="G1823" s="45"/>
      <c r="H1823" s="45"/>
      <c r="I1823" s="46"/>
      <c r="J1823" s="111" t="str">
        <f>IF(AND(G1823&lt;&gt;"",ISERROR(VLOOKUP(G1823,Keszlet!$C$5:$H$200,6,FALSE))=FALSE),VLOOKUP(G1823,Keszlet!$C$5:$H$200,6,FALSE),"")</f>
        <v/>
      </c>
      <c r="K1823" s="106" t="str">
        <f>IF(AND(G1823&lt;&gt;"",ISERROR(VLOOKUP(G1823,Keszlet!$C$5:$G$200,5,FALSE))=FALSE),VLOOKUP(G1823,Keszlet!$C$5:$G$200,5,FALSE),"")</f>
        <v/>
      </c>
      <c r="L1823" s="106" t="str">
        <f t="shared" si="134"/>
        <v/>
      </c>
      <c r="M1823" s="115" t="str">
        <f>IF(ISERROR(VLOOKUP(G1823,Keszlet!$C$5:$I$200,7,FALSE))=TRUE,"",IF(AND(J1822&lt;&gt;"",J1824=""),VLOOKUP(G1823,Keszlet!$C$5:$I$200,7,FALSE),""))</f>
        <v/>
      </c>
      <c r="Q1823" s="1">
        <f>VLOOKUP(G1823,Keszlet!$C$5:$E$205,3,FALSE)</f>
        <v>0</v>
      </c>
      <c r="T1823" s="1" t="str">
        <f t="shared" si="135"/>
        <v/>
      </c>
      <c r="U1823" s="1">
        <f t="shared" si="136"/>
        <v>0</v>
      </c>
      <c r="W1823" s="6">
        <f t="shared" si="139"/>
        <v>0</v>
      </c>
      <c r="X1823" s="6">
        <f t="shared" si="131"/>
        <v>0</v>
      </c>
      <c r="Y1823" s="1">
        <f t="shared" si="137"/>
        <v>1</v>
      </c>
      <c r="Z1823" s="1">
        <f>IF(COUNTIF($Y$6:Y1823,Y1823)=1,Y1823,Y1823+COUNTIF($Y$5:Y1822,Y1823))</f>
        <v>818</v>
      </c>
      <c r="AD1823" s="1" t="str">
        <f t="shared" si="138"/>
        <v/>
      </c>
      <c r="BA1823" s="1">
        <f>IF(W1823&lt;=Leltar_iv!$Y$1,I1823,0)</f>
        <v>0</v>
      </c>
    </row>
    <row r="1824" spans="1:53" s="1" customFormat="1" x14ac:dyDescent="0.25">
      <c r="A1824" s="18">
        <f>IF(COUNTIF($Y$6:Y1824,Y1824)=1,Y1824,Y1824+COUNTIF($Y$5:Y1823,Y1824))</f>
        <v>819</v>
      </c>
      <c r="B1824" s="1">
        <f>IF(AND(Kisero_iv!$N$2=C1824,Kisero_iv!$K$5=$B$3,SUM(I1824:L1828)&lt;&gt;0,$B$4=YEAR(W1824)),B1823+1,0)</f>
        <v>0</v>
      </c>
      <c r="C1824" s="1">
        <f t="shared" si="132"/>
        <v>819</v>
      </c>
      <c r="D1824" s="102" t="str">
        <f t="shared" si="133"/>
        <v/>
      </c>
      <c r="E1824" s="44"/>
      <c r="F1824" s="45"/>
      <c r="G1824" s="45"/>
      <c r="H1824" s="45"/>
      <c r="I1824" s="46"/>
      <c r="J1824" s="111" t="str">
        <f>IF(AND(G1824&lt;&gt;"",ISERROR(VLOOKUP(G1824,Keszlet!$C$5:$H$200,6,FALSE))=FALSE),VLOOKUP(G1824,Keszlet!$C$5:$H$200,6,FALSE),"")</f>
        <v/>
      </c>
      <c r="K1824" s="106" t="str">
        <f>IF(AND(G1824&lt;&gt;"",ISERROR(VLOOKUP(G1824,Keszlet!$C$5:$G$200,5,FALSE))=FALSE),VLOOKUP(G1824,Keszlet!$C$5:$G$200,5,FALSE),"")</f>
        <v/>
      </c>
      <c r="L1824" s="106" t="str">
        <f t="shared" si="134"/>
        <v/>
      </c>
      <c r="M1824" s="115" t="str">
        <f>IF(ISERROR(VLOOKUP(G1824,Keszlet!$C$5:$I$200,7,FALSE))=TRUE,"",IF(AND(J1823&lt;&gt;"",J1825=""),VLOOKUP(G1824,Keszlet!$C$5:$I$200,7,FALSE),""))</f>
        <v/>
      </c>
      <c r="Q1824" s="1">
        <f>VLOOKUP(G1824,Keszlet!$C$5:$E$205,3,FALSE)</f>
        <v>0</v>
      </c>
      <c r="T1824" s="1" t="str">
        <f t="shared" si="135"/>
        <v/>
      </c>
      <c r="U1824" s="1">
        <f t="shared" si="136"/>
        <v>0</v>
      </c>
      <c r="W1824" s="6">
        <f t="shared" si="139"/>
        <v>0</v>
      </c>
      <c r="X1824" s="6">
        <f t="shared" si="131"/>
        <v>0</v>
      </c>
      <c r="Y1824" s="1">
        <f t="shared" si="137"/>
        <v>1</v>
      </c>
      <c r="Z1824" s="1">
        <f>IF(COUNTIF($Y$6:Y1824,Y1824)=1,Y1824,Y1824+COUNTIF($Y$5:Y1823,Y1824))</f>
        <v>819</v>
      </c>
      <c r="AD1824" s="1" t="str">
        <f t="shared" si="138"/>
        <v/>
      </c>
      <c r="BA1824" s="1">
        <f>IF(W1824&lt;=Leltar_iv!$Y$1,I1824,0)</f>
        <v>0</v>
      </c>
    </row>
    <row r="1825" spans="1:53" s="1" customFormat="1" x14ac:dyDescent="0.25">
      <c r="A1825" s="18">
        <f>IF(COUNTIF($Y$6:Y1825,Y1825)=1,Y1825,Y1825+COUNTIF($Y$5:Y1824,Y1825))</f>
        <v>820</v>
      </c>
      <c r="B1825" s="1">
        <f>IF(AND(Kisero_iv!$N$2=C1825,Kisero_iv!$K$5=$B$3,SUM(I1825:L1829)&lt;&gt;0,$B$4=YEAR(W1825)),B1824+1,0)</f>
        <v>0</v>
      </c>
      <c r="C1825" s="1">
        <f t="shared" si="132"/>
        <v>820</v>
      </c>
      <c r="D1825" s="102" t="str">
        <f t="shared" si="133"/>
        <v/>
      </c>
      <c r="E1825" s="44"/>
      <c r="F1825" s="45"/>
      <c r="G1825" s="45"/>
      <c r="H1825" s="45"/>
      <c r="I1825" s="46"/>
      <c r="J1825" s="111" t="str">
        <f>IF(AND(G1825&lt;&gt;"",ISERROR(VLOOKUP(G1825,Keszlet!$C$5:$H$200,6,FALSE))=FALSE),VLOOKUP(G1825,Keszlet!$C$5:$H$200,6,FALSE),"")</f>
        <v/>
      </c>
      <c r="K1825" s="106" t="str">
        <f>IF(AND(G1825&lt;&gt;"",ISERROR(VLOOKUP(G1825,Keszlet!$C$5:$G$200,5,FALSE))=FALSE),VLOOKUP(G1825,Keszlet!$C$5:$G$200,5,FALSE),"")</f>
        <v/>
      </c>
      <c r="L1825" s="106" t="str">
        <f t="shared" si="134"/>
        <v/>
      </c>
      <c r="M1825" s="115" t="str">
        <f>IF(ISERROR(VLOOKUP(G1825,Keszlet!$C$5:$I$200,7,FALSE))=TRUE,"",IF(AND(J1824&lt;&gt;"",J1826=""),VLOOKUP(G1825,Keszlet!$C$5:$I$200,7,FALSE),""))</f>
        <v/>
      </c>
      <c r="Q1825" s="1">
        <f>VLOOKUP(G1825,Keszlet!$C$5:$E$205,3,FALSE)</f>
        <v>0</v>
      </c>
      <c r="T1825" s="1" t="str">
        <f t="shared" si="135"/>
        <v/>
      </c>
      <c r="U1825" s="1">
        <f t="shared" si="136"/>
        <v>0</v>
      </c>
      <c r="W1825" s="6">
        <f t="shared" si="139"/>
        <v>0</v>
      </c>
      <c r="X1825" s="6">
        <f t="shared" si="131"/>
        <v>0</v>
      </c>
      <c r="Y1825" s="1">
        <f t="shared" si="137"/>
        <v>1</v>
      </c>
      <c r="Z1825" s="1">
        <f>IF(COUNTIF($Y$6:Y1825,Y1825)=1,Y1825,Y1825+COUNTIF($Y$5:Y1824,Y1825))</f>
        <v>820</v>
      </c>
      <c r="AD1825" s="1" t="str">
        <f t="shared" si="138"/>
        <v/>
      </c>
      <c r="BA1825" s="1">
        <f>IF(W1825&lt;=Leltar_iv!$Y$1,I1825,0)</f>
        <v>0</v>
      </c>
    </row>
    <row r="1826" spans="1:53" s="1" customFormat="1" x14ac:dyDescent="0.25">
      <c r="A1826" s="18">
        <f>IF(COUNTIF($Y$6:Y1826,Y1826)=1,Y1826,Y1826+COUNTIF($Y$5:Y1825,Y1826))</f>
        <v>821</v>
      </c>
      <c r="B1826" s="1">
        <f>IF(AND(Kisero_iv!$N$2=C1826,Kisero_iv!$K$5=$B$3,SUM(I1826:L1830)&lt;&gt;0,$B$4=YEAR(W1826)),B1825+1,0)</f>
        <v>0</v>
      </c>
      <c r="C1826" s="1">
        <f t="shared" si="132"/>
        <v>821</v>
      </c>
      <c r="D1826" s="102" t="str">
        <f t="shared" si="133"/>
        <v/>
      </c>
      <c r="E1826" s="44"/>
      <c r="F1826" s="45"/>
      <c r="G1826" s="45"/>
      <c r="H1826" s="45"/>
      <c r="I1826" s="46"/>
      <c r="J1826" s="111" t="str">
        <f>IF(AND(G1826&lt;&gt;"",ISERROR(VLOOKUP(G1826,Keszlet!$C$5:$H$200,6,FALSE))=FALSE),VLOOKUP(G1826,Keszlet!$C$5:$H$200,6,FALSE),"")</f>
        <v/>
      </c>
      <c r="K1826" s="106" t="str">
        <f>IF(AND(G1826&lt;&gt;"",ISERROR(VLOOKUP(G1826,Keszlet!$C$5:$G$200,5,FALSE))=FALSE),VLOOKUP(G1826,Keszlet!$C$5:$G$200,5,FALSE),"")</f>
        <v/>
      </c>
      <c r="L1826" s="106" t="str">
        <f t="shared" si="134"/>
        <v/>
      </c>
      <c r="M1826" s="115" t="str">
        <f>IF(ISERROR(VLOOKUP(G1826,Keszlet!$C$5:$I$200,7,FALSE))=TRUE,"",IF(AND(J1825&lt;&gt;"",J1827=""),VLOOKUP(G1826,Keszlet!$C$5:$I$200,7,FALSE),""))</f>
        <v/>
      </c>
      <c r="Q1826" s="1">
        <f>VLOOKUP(G1826,Keszlet!$C$5:$E$205,3,FALSE)</f>
        <v>0</v>
      </c>
      <c r="T1826" s="1" t="str">
        <f t="shared" si="135"/>
        <v/>
      </c>
      <c r="U1826" s="1">
        <f t="shared" si="136"/>
        <v>0</v>
      </c>
      <c r="W1826" s="6">
        <f t="shared" si="139"/>
        <v>0</v>
      </c>
      <c r="X1826" s="6">
        <f t="shared" si="131"/>
        <v>0</v>
      </c>
      <c r="Y1826" s="1">
        <f t="shared" si="137"/>
        <v>1</v>
      </c>
      <c r="Z1826" s="1">
        <f>IF(COUNTIF($Y$6:Y1826,Y1826)=1,Y1826,Y1826+COUNTIF($Y$5:Y1825,Y1826))</f>
        <v>821</v>
      </c>
      <c r="AD1826" s="1" t="str">
        <f t="shared" si="138"/>
        <v/>
      </c>
      <c r="BA1826" s="1">
        <f>IF(W1826&lt;=Leltar_iv!$Y$1,I1826,0)</f>
        <v>0</v>
      </c>
    </row>
    <row r="1827" spans="1:53" s="1" customFormat="1" x14ac:dyDescent="0.25">
      <c r="A1827" s="18">
        <f>IF(COUNTIF($Y$6:Y1827,Y1827)=1,Y1827,Y1827+COUNTIF($Y$5:Y1826,Y1827))</f>
        <v>822</v>
      </c>
      <c r="B1827" s="1">
        <f>IF(AND(Kisero_iv!$N$2=C1827,Kisero_iv!$K$5=$B$3,SUM(I1827:L1831)&lt;&gt;0,$B$4=YEAR(W1827)),B1826+1,0)</f>
        <v>0</v>
      </c>
      <c r="C1827" s="1">
        <f t="shared" si="132"/>
        <v>822</v>
      </c>
      <c r="D1827" s="102" t="str">
        <f t="shared" si="133"/>
        <v/>
      </c>
      <c r="E1827" s="44"/>
      <c r="F1827" s="45"/>
      <c r="G1827" s="45"/>
      <c r="H1827" s="45"/>
      <c r="I1827" s="46"/>
      <c r="J1827" s="111" t="str">
        <f>IF(AND(G1827&lt;&gt;"",ISERROR(VLOOKUP(G1827,Keszlet!$C$5:$H$200,6,FALSE))=FALSE),VLOOKUP(G1827,Keszlet!$C$5:$H$200,6,FALSE),"")</f>
        <v/>
      </c>
      <c r="K1827" s="106" t="str">
        <f>IF(AND(G1827&lt;&gt;"",ISERROR(VLOOKUP(G1827,Keszlet!$C$5:$G$200,5,FALSE))=FALSE),VLOOKUP(G1827,Keszlet!$C$5:$G$200,5,FALSE),"")</f>
        <v/>
      </c>
      <c r="L1827" s="106" t="str">
        <f t="shared" si="134"/>
        <v/>
      </c>
      <c r="M1827" s="115" t="str">
        <f>IF(ISERROR(VLOOKUP(G1827,Keszlet!$C$5:$I$200,7,FALSE))=TRUE,"",IF(AND(J1826&lt;&gt;"",J1828=""),VLOOKUP(G1827,Keszlet!$C$5:$I$200,7,FALSE),""))</f>
        <v/>
      </c>
      <c r="Q1827" s="1">
        <f>VLOOKUP(G1827,Keszlet!$C$5:$E$205,3,FALSE)</f>
        <v>0</v>
      </c>
      <c r="T1827" s="1" t="str">
        <f t="shared" si="135"/>
        <v/>
      </c>
      <c r="U1827" s="1">
        <f t="shared" si="136"/>
        <v>0</v>
      </c>
      <c r="W1827" s="6">
        <f t="shared" si="139"/>
        <v>0</v>
      </c>
      <c r="X1827" s="6">
        <f t="shared" si="131"/>
        <v>0</v>
      </c>
      <c r="Y1827" s="1">
        <f t="shared" si="137"/>
        <v>1</v>
      </c>
      <c r="Z1827" s="1">
        <f>IF(COUNTIF($Y$6:Y1827,Y1827)=1,Y1827,Y1827+COUNTIF($Y$5:Y1826,Y1827))</f>
        <v>822</v>
      </c>
      <c r="AD1827" s="1" t="str">
        <f t="shared" si="138"/>
        <v/>
      </c>
      <c r="BA1827" s="1">
        <f>IF(W1827&lt;=Leltar_iv!$Y$1,I1827,0)</f>
        <v>0</v>
      </c>
    </row>
    <row r="1828" spans="1:53" s="1" customFormat="1" x14ac:dyDescent="0.25">
      <c r="A1828" s="18">
        <f>IF(COUNTIF($Y$6:Y1828,Y1828)=1,Y1828,Y1828+COUNTIF($Y$5:Y1827,Y1828))</f>
        <v>823</v>
      </c>
      <c r="B1828" s="1">
        <f>IF(AND(Kisero_iv!$N$2=C1828,Kisero_iv!$K$5=$B$3,SUM(I1828:L1832)&lt;&gt;0,$B$4=YEAR(W1828)),B1827+1,0)</f>
        <v>0</v>
      </c>
      <c r="C1828" s="1">
        <f t="shared" si="132"/>
        <v>823</v>
      </c>
      <c r="D1828" s="102" t="str">
        <f t="shared" si="133"/>
        <v/>
      </c>
      <c r="E1828" s="44"/>
      <c r="F1828" s="45"/>
      <c r="G1828" s="45"/>
      <c r="H1828" s="45"/>
      <c r="I1828" s="46"/>
      <c r="J1828" s="111" t="str">
        <f>IF(AND(G1828&lt;&gt;"",ISERROR(VLOOKUP(G1828,Keszlet!$C$5:$H$200,6,FALSE))=FALSE),VLOOKUP(G1828,Keszlet!$C$5:$H$200,6,FALSE),"")</f>
        <v/>
      </c>
      <c r="K1828" s="106" t="str">
        <f>IF(AND(G1828&lt;&gt;"",ISERROR(VLOOKUP(G1828,Keszlet!$C$5:$G$200,5,FALSE))=FALSE),VLOOKUP(G1828,Keszlet!$C$5:$G$200,5,FALSE),"")</f>
        <v/>
      </c>
      <c r="L1828" s="106" t="str">
        <f t="shared" si="134"/>
        <v/>
      </c>
      <c r="M1828" s="115" t="str">
        <f>IF(ISERROR(VLOOKUP(G1828,Keszlet!$C$5:$I$200,7,FALSE))=TRUE,"",IF(AND(J1827&lt;&gt;"",J1829=""),VLOOKUP(G1828,Keszlet!$C$5:$I$200,7,FALSE),""))</f>
        <v/>
      </c>
      <c r="Q1828" s="1">
        <f>VLOOKUP(G1828,Keszlet!$C$5:$E$205,3,FALSE)</f>
        <v>0</v>
      </c>
      <c r="T1828" s="1" t="str">
        <f t="shared" si="135"/>
        <v/>
      </c>
      <c r="U1828" s="1">
        <f t="shared" si="136"/>
        <v>0</v>
      </c>
      <c r="W1828" s="6">
        <f t="shared" si="139"/>
        <v>0</v>
      </c>
      <c r="X1828" s="6">
        <f t="shared" si="131"/>
        <v>0</v>
      </c>
      <c r="Y1828" s="1">
        <f t="shared" si="137"/>
        <v>1</v>
      </c>
      <c r="Z1828" s="1">
        <f>IF(COUNTIF($Y$6:Y1828,Y1828)=1,Y1828,Y1828+COUNTIF($Y$5:Y1827,Y1828))</f>
        <v>823</v>
      </c>
      <c r="AD1828" s="1" t="str">
        <f t="shared" si="138"/>
        <v/>
      </c>
      <c r="BA1828" s="1">
        <f>IF(W1828&lt;=Leltar_iv!$Y$1,I1828,0)</f>
        <v>0</v>
      </c>
    </row>
    <row r="1829" spans="1:53" s="1" customFormat="1" x14ac:dyDescent="0.25">
      <c r="A1829" s="18">
        <f>IF(COUNTIF($Y$6:Y1829,Y1829)=1,Y1829,Y1829+COUNTIF($Y$5:Y1828,Y1829))</f>
        <v>824</v>
      </c>
      <c r="B1829" s="1">
        <f>IF(AND(Kisero_iv!$N$2=C1829,Kisero_iv!$K$5=$B$3,SUM(I1829:L1833)&lt;&gt;0,$B$4=YEAR(W1829)),B1828+1,0)</f>
        <v>0</v>
      </c>
      <c r="C1829" s="1">
        <f t="shared" si="132"/>
        <v>824</v>
      </c>
      <c r="D1829" s="102" t="str">
        <f t="shared" si="133"/>
        <v/>
      </c>
      <c r="E1829" s="44"/>
      <c r="F1829" s="45"/>
      <c r="G1829" s="45"/>
      <c r="H1829" s="45"/>
      <c r="I1829" s="46"/>
      <c r="J1829" s="111" t="str">
        <f>IF(AND(G1829&lt;&gt;"",ISERROR(VLOOKUP(G1829,Keszlet!$C$5:$H$200,6,FALSE))=FALSE),VLOOKUP(G1829,Keszlet!$C$5:$H$200,6,FALSE),"")</f>
        <v/>
      </c>
      <c r="K1829" s="106" t="str">
        <f>IF(AND(G1829&lt;&gt;"",ISERROR(VLOOKUP(G1829,Keszlet!$C$5:$G$200,5,FALSE))=FALSE),VLOOKUP(G1829,Keszlet!$C$5:$G$200,5,FALSE),"")</f>
        <v/>
      </c>
      <c r="L1829" s="106" t="str">
        <f t="shared" si="134"/>
        <v/>
      </c>
      <c r="M1829" s="115" t="str">
        <f>IF(ISERROR(VLOOKUP(G1829,Keszlet!$C$5:$I$200,7,FALSE))=TRUE,"",IF(AND(J1828&lt;&gt;"",J1830=""),VLOOKUP(G1829,Keszlet!$C$5:$I$200,7,FALSE),""))</f>
        <v/>
      </c>
      <c r="Q1829" s="1">
        <f>VLOOKUP(G1829,Keszlet!$C$5:$E$205,3,FALSE)</f>
        <v>0</v>
      </c>
      <c r="T1829" s="1" t="str">
        <f t="shared" si="135"/>
        <v/>
      </c>
      <c r="U1829" s="1">
        <f t="shared" si="136"/>
        <v>0</v>
      </c>
      <c r="W1829" s="6">
        <f t="shared" si="139"/>
        <v>0</v>
      </c>
      <c r="X1829" s="6">
        <f t="shared" si="131"/>
        <v>0</v>
      </c>
      <c r="Y1829" s="1">
        <f t="shared" si="137"/>
        <v>1</v>
      </c>
      <c r="Z1829" s="1">
        <f>IF(COUNTIF($Y$6:Y1829,Y1829)=1,Y1829,Y1829+COUNTIF($Y$5:Y1828,Y1829))</f>
        <v>824</v>
      </c>
      <c r="AD1829" s="1" t="str">
        <f t="shared" si="138"/>
        <v/>
      </c>
      <c r="BA1829" s="1">
        <f>IF(W1829&lt;=Leltar_iv!$Y$1,I1829,0)</f>
        <v>0</v>
      </c>
    </row>
    <row r="1830" spans="1:53" s="1" customFormat="1" x14ac:dyDescent="0.25">
      <c r="A1830" s="18">
        <f>IF(COUNTIF($Y$6:Y1830,Y1830)=1,Y1830,Y1830+COUNTIF($Y$5:Y1829,Y1830))</f>
        <v>825</v>
      </c>
      <c r="B1830" s="1">
        <f>IF(AND(Kisero_iv!$N$2=C1830,Kisero_iv!$K$5=$B$3,SUM(I1830:L1834)&lt;&gt;0,$B$4=YEAR(W1830)),B1829+1,0)</f>
        <v>0</v>
      </c>
      <c r="C1830" s="1">
        <f t="shared" si="132"/>
        <v>825</v>
      </c>
      <c r="D1830" s="102" t="str">
        <f t="shared" si="133"/>
        <v/>
      </c>
      <c r="E1830" s="44"/>
      <c r="F1830" s="45"/>
      <c r="G1830" s="45"/>
      <c r="H1830" s="45"/>
      <c r="I1830" s="46"/>
      <c r="J1830" s="111" t="str">
        <f>IF(AND(G1830&lt;&gt;"",ISERROR(VLOOKUP(G1830,Keszlet!$C$5:$H$200,6,FALSE))=FALSE),VLOOKUP(G1830,Keszlet!$C$5:$H$200,6,FALSE),"")</f>
        <v/>
      </c>
      <c r="K1830" s="106" t="str">
        <f>IF(AND(G1830&lt;&gt;"",ISERROR(VLOOKUP(G1830,Keszlet!$C$5:$G$200,5,FALSE))=FALSE),VLOOKUP(G1830,Keszlet!$C$5:$G$200,5,FALSE),"")</f>
        <v/>
      </c>
      <c r="L1830" s="106" t="str">
        <f t="shared" si="134"/>
        <v/>
      </c>
      <c r="M1830" s="115" t="str">
        <f>IF(ISERROR(VLOOKUP(G1830,Keszlet!$C$5:$I$200,7,FALSE))=TRUE,"",IF(AND(J1829&lt;&gt;"",J1831=""),VLOOKUP(G1830,Keszlet!$C$5:$I$200,7,FALSE),""))</f>
        <v/>
      </c>
      <c r="Q1830" s="1">
        <f>VLOOKUP(G1830,Keszlet!$C$5:$E$205,3,FALSE)</f>
        <v>0</v>
      </c>
      <c r="T1830" s="1" t="str">
        <f t="shared" si="135"/>
        <v/>
      </c>
      <c r="U1830" s="1">
        <f t="shared" si="136"/>
        <v>0</v>
      </c>
      <c r="W1830" s="6">
        <f t="shared" si="139"/>
        <v>0</v>
      </c>
      <c r="X1830" s="6">
        <f t="shared" si="131"/>
        <v>0</v>
      </c>
      <c r="Y1830" s="1">
        <f t="shared" si="137"/>
        <v>1</v>
      </c>
      <c r="Z1830" s="1">
        <f>IF(COUNTIF($Y$6:Y1830,Y1830)=1,Y1830,Y1830+COUNTIF($Y$5:Y1829,Y1830))</f>
        <v>825</v>
      </c>
      <c r="AD1830" s="1" t="str">
        <f t="shared" si="138"/>
        <v/>
      </c>
      <c r="BA1830" s="1">
        <f>IF(W1830&lt;=Leltar_iv!$Y$1,I1830,0)</f>
        <v>0</v>
      </c>
    </row>
    <row r="1831" spans="1:53" s="1" customFormat="1" x14ac:dyDescent="0.25">
      <c r="A1831" s="18">
        <f>IF(COUNTIF($Y$6:Y1831,Y1831)=1,Y1831,Y1831+COUNTIF($Y$5:Y1830,Y1831))</f>
        <v>826</v>
      </c>
      <c r="B1831" s="1">
        <f>IF(AND(Kisero_iv!$N$2=C1831,Kisero_iv!$K$5=$B$3,SUM(I1831:L1835)&lt;&gt;0,$B$4=YEAR(W1831)),B1830+1,0)</f>
        <v>0</v>
      </c>
      <c r="C1831" s="1">
        <f t="shared" si="132"/>
        <v>826</v>
      </c>
      <c r="D1831" s="102" t="str">
        <f t="shared" si="133"/>
        <v/>
      </c>
      <c r="E1831" s="44"/>
      <c r="F1831" s="45"/>
      <c r="G1831" s="45"/>
      <c r="H1831" s="45"/>
      <c r="I1831" s="46"/>
      <c r="J1831" s="111" t="str">
        <f>IF(AND(G1831&lt;&gt;"",ISERROR(VLOOKUP(G1831,Keszlet!$C$5:$H$200,6,FALSE))=FALSE),VLOOKUP(G1831,Keszlet!$C$5:$H$200,6,FALSE),"")</f>
        <v/>
      </c>
      <c r="K1831" s="106" t="str">
        <f>IF(AND(G1831&lt;&gt;"",ISERROR(VLOOKUP(G1831,Keszlet!$C$5:$G$200,5,FALSE))=FALSE),VLOOKUP(G1831,Keszlet!$C$5:$G$200,5,FALSE),"")</f>
        <v/>
      </c>
      <c r="L1831" s="106" t="str">
        <f t="shared" si="134"/>
        <v/>
      </c>
      <c r="M1831" s="115" t="str">
        <f>IF(ISERROR(VLOOKUP(G1831,Keszlet!$C$5:$I$200,7,FALSE))=TRUE,"",IF(AND(J1830&lt;&gt;"",J1832=""),VLOOKUP(G1831,Keszlet!$C$5:$I$200,7,FALSE),""))</f>
        <v/>
      </c>
      <c r="Q1831" s="1">
        <f>VLOOKUP(G1831,Keszlet!$C$5:$E$205,3,FALSE)</f>
        <v>0</v>
      </c>
      <c r="T1831" s="1" t="str">
        <f t="shared" si="135"/>
        <v/>
      </c>
      <c r="U1831" s="1">
        <f t="shared" si="136"/>
        <v>0</v>
      </c>
      <c r="W1831" s="6">
        <f t="shared" si="139"/>
        <v>0</v>
      </c>
      <c r="X1831" s="6">
        <f t="shared" si="131"/>
        <v>0</v>
      </c>
      <c r="Y1831" s="1">
        <f t="shared" si="137"/>
        <v>1</v>
      </c>
      <c r="Z1831" s="1">
        <f>IF(COUNTIF($Y$6:Y1831,Y1831)=1,Y1831,Y1831+COUNTIF($Y$5:Y1830,Y1831))</f>
        <v>826</v>
      </c>
      <c r="AD1831" s="1" t="str">
        <f t="shared" si="138"/>
        <v/>
      </c>
      <c r="BA1831" s="1">
        <f>IF(W1831&lt;=Leltar_iv!$Y$1,I1831,0)</f>
        <v>0</v>
      </c>
    </row>
    <row r="1832" spans="1:53" s="1" customFormat="1" x14ac:dyDescent="0.25">
      <c r="A1832" s="18">
        <f>IF(COUNTIF($Y$6:Y1832,Y1832)=1,Y1832,Y1832+COUNTIF($Y$5:Y1831,Y1832))</f>
        <v>827</v>
      </c>
      <c r="B1832" s="1">
        <f>IF(AND(Kisero_iv!$N$2=C1832,Kisero_iv!$K$5=$B$3,SUM(I1832:L1836)&lt;&gt;0,$B$4=YEAR(W1832)),B1831+1,0)</f>
        <v>0</v>
      </c>
      <c r="C1832" s="1">
        <f t="shared" si="132"/>
        <v>827</v>
      </c>
      <c r="D1832" s="102" t="str">
        <f t="shared" si="133"/>
        <v/>
      </c>
      <c r="E1832" s="44"/>
      <c r="F1832" s="45"/>
      <c r="G1832" s="45"/>
      <c r="H1832" s="45"/>
      <c r="I1832" s="46"/>
      <c r="J1832" s="111" t="str">
        <f>IF(AND(G1832&lt;&gt;"",ISERROR(VLOOKUP(G1832,Keszlet!$C$5:$H$200,6,FALSE))=FALSE),VLOOKUP(G1832,Keszlet!$C$5:$H$200,6,FALSE),"")</f>
        <v/>
      </c>
      <c r="K1832" s="106" t="str">
        <f>IF(AND(G1832&lt;&gt;"",ISERROR(VLOOKUP(G1832,Keszlet!$C$5:$G$200,5,FALSE))=FALSE),VLOOKUP(G1832,Keszlet!$C$5:$G$200,5,FALSE),"")</f>
        <v/>
      </c>
      <c r="L1832" s="106" t="str">
        <f t="shared" si="134"/>
        <v/>
      </c>
      <c r="M1832" s="115" t="str">
        <f>IF(ISERROR(VLOOKUP(G1832,Keszlet!$C$5:$I$200,7,FALSE))=TRUE,"",IF(AND(J1831&lt;&gt;"",J1833=""),VLOOKUP(G1832,Keszlet!$C$5:$I$200,7,FALSE),""))</f>
        <v/>
      </c>
      <c r="Q1832" s="1">
        <f>VLOOKUP(G1832,Keszlet!$C$5:$E$205,3,FALSE)</f>
        <v>0</v>
      </c>
      <c r="T1832" s="1" t="str">
        <f t="shared" si="135"/>
        <v/>
      </c>
      <c r="U1832" s="1">
        <f t="shared" si="136"/>
        <v>0</v>
      </c>
      <c r="W1832" s="6">
        <f t="shared" si="139"/>
        <v>0</v>
      </c>
      <c r="X1832" s="6">
        <f t="shared" si="131"/>
        <v>0</v>
      </c>
      <c r="Y1832" s="1">
        <f t="shared" si="137"/>
        <v>1</v>
      </c>
      <c r="Z1832" s="1">
        <f>IF(COUNTIF($Y$6:Y1832,Y1832)=1,Y1832,Y1832+COUNTIF($Y$5:Y1831,Y1832))</f>
        <v>827</v>
      </c>
      <c r="AD1832" s="1" t="str">
        <f t="shared" si="138"/>
        <v/>
      </c>
      <c r="BA1832" s="1">
        <f>IF(W1832&lt;=Leltar_iv!$Y$1,I1832,0)</f>
        <v>0</v>
      </c>
    </row>
    <row r="1833" spans="1:53" s="1" customFormat="1" x14ac:dyDescent="0.25">
      <c r="A1833" s="18">
        <f>IF(COUNTIF($Y$6:Y1833,Y1833)=1,Y1833,Y1833+COUNTIF($Y$5:Y1832,Y1833))</f>
        <v>828</v>
      </c>
      <c r="B1833" s="1">
        <f>IF(AND(Kisero_iv!$N$2=C1833,Kisero_iv!$K$5=$B$3,SUM(I1833:L1837)&lt;&gt;0,$B$4=YEAR(W1833)),B1832+1,0)</f>
        <v>0</v>
      </c>
      <c r="C1833" s="1">
        <f t="shared" si="132"/>
        <v>828</v>
      </c>
      <c r="D1833" s="102" t="str">
        <f t="shared" si="133"/>
        <v/>
      </c>
      <c r="E1833" s="44"/>
      <c r="F1833" s="45"/>
      <c r="G1833" s="45"/>
      <c r="H1833" s="45"/>
      <c r="I1833" s="46"/>
      <c r="J1833" s="111" t="str">
        <f>IF(AND(G1833&lt;&gt;"",ISERROR(VLOOKUP(G1833,Keszlet!$C$5:$H$200,6,FALSE))=FALSE),VLOOKUP(G1833,Keszlet!$C$5:$H$200,6,FALSE),"")</f>
        <v/>
      </c>
      <c r="K1833" s="106" t="str">
        <f>IF(AND(G1833&lt;&gt;"",ISERROR(VLOOKUP(G1833,Keszlet!$C$5:$G$200,5,FALSE))=FALSE),VLOOKUP(G1833,Keszlet!$C$5:$G$200,5,FALSE),"")</f>
        <v/>
      </c>
      <c r="L1833" s="106" t="str">
        <f t="shared" si="134"/>
        <v/>
      </c>
      <c r="M1833" s="115" t="str">
        <f>IF(ISERROR(VLOOKUP(G1833,Keszlet!$C$5:$I$200,7,FALSE))=TRUE,"",IF(AND(J1832&lt;&gt;"",J1834=""),VLOOKUP(G1833,Keszlet!$C$5:$I$200,7,FALSE),""))</f>
        <v/>
      </c>
      <c r="Q1833" s="1">
        <f>VLOOKUP(G1833,Keszlet!$C$5:$E$205,3,FALSE)</f>
        <v>0</v>
      </c>
      <c r="T1833" s="1" t="str">
        <f t="shared" si="135"/>
        <v/>
      </c>
      <c r="U1833" s="1">
        <f t="shared" si="136"/>
        <v>0</v>
      </c>
      <c r="W1833" s="6">
        <f t="shared" si="139"/>
        <v>0</v>
      </c>
      <c r="X1833" s="6">
        <f t="shared" si="131"/>
        <v>0</v>
      </c>
      <c r="Y1833" s="1">
        <f t="shared" si="137"/>
        <v>1</v>
      </c>
      <c r="Z1833" s="1">
        <f>IF(COUNTIF($Y$6:Y1833,Y1833)=1,Y1833,Y1833+COUNTIF($Y$5:Y1832,Y1833))</f>
        <v>828</v>
      </c>
      <c r="AD1833" s="1" t="str">
        <f t="shared" si="138"/>
        <v/>
      </c>
      <c r="BA1833" s="1">
        <f>IF(W1833&lt;=Leltar_iv!$Y$1,I1833,0)</f>
        <v>0</v>
      </c>
    </row>
    <row r="1834" spans="1:53" s="1" customFormat="1" x14ac:dyDescent="0.25">
      <c r="A1834" s="18">
        <f>IF(COUNTIF($Y$6:Y1834,Y1834)=1,Y1834,Y1834+COUNTIF($Y$5:Y1833,Y1834))</f>
        <v>829</v>
      </c>
      <c r="B1834" s="1">
        <f>IF(AND(Kisero_iv!$N$2=C1834,Kisero_iv!$K$5=$B$3,SUM(I1834:L1838)&lt;&gt;0,$B$4=YEAR(W1834)),B1833+1,0)</f>
        <v>0</v>
      </c>
      <c r="C1834" s="1">
        <f t="shared" si="132"/>
        <v>829</v>
      </c>
      <c r="D1834" s="102" t="str">
        <f t="shared" si="133"/>
        <v/>
      </c>
      <c r="E1834" s="44"/>
      <c r="F1834" s="45"/>
      <c r="G1834" s="45"/>
      <c r="H1834" s="45"/>
      <c r="I1834" s="46"/>
      <c r="J1834" s="111" t="str">
        <f>IF(AND(G1834&lt;&gt;"",ISERROR(VLOOKUP(G1834,Keszlet!$C$5:$H$200,6,FALSE))=FALSE),VLOOKUP(G1834,Keszlet!$C$5:$H$200,6,FALSE),"")</f>
        <v/>
      </c>
      <c r="K1834" s="106" t="str">
        <f>IF(AND(G1834&lt;&gt;"",ISERROR(VLOOKUP(G1834,Keszlet!$C$5:$G$200,5,FALSE))=FALSE),VLOOKUP(G1834,Keszlet!$C$5:$G$200,5,FALSE),"")</f>
        <v/>
      </c>
      <c r="L1834" s="106" t="str">
        <f t="shared" si="134"/>
        <v/>
      </c>
      <c r="M1834" s="115" t="str">
        <f>IF(ISERROR(VLOOKUP(G1834,Keszlet!$C$5:$I$200,7,FALSE))=TRUE,"",IF(AND(J1833&lt;&gt;"",J1835=""),VLOOKUP(G1834,Keszlet!$C$5:$I$200,7,FALSE),""))</f>
        <v/>
      </c>
      <c r="Q1834" s="1">
        <f>VLOOKUP(G1834,Keszlet!$C$5:$E$205,3,FALSE)</f>
        <v>0</v>
      </c>
      <c r="T1834" s="1" t="str">
        <f t="shared" si="135"/>
        <v/>
      </c>
      <c r="U1834" s="1">
        <f t="shared" si="136"/>
        <v>0</v>
      </c>
      <c r="W1834" s="6">
        <f t="shared" si="139"/>
        <v>0</v>
      </c>
      <c r="X1834" s="6">
        <f t="shared" si="131"/>
        <v>0</v>
      </c>
      <c r="Y1834" s="1">
        <f t="shared" si="137"/>
        <v>1</v>
      </c>
      <c r="Z1834" s="1">
        <f>IF(COUNTIF($Y$6:Y1834,Y1834)=1,Y1834,Y1834+COUNTIF($Y$5:Y1833,Y1834))</f>
        <v>829</v>
      </c>
      <c r="AD1834" s="1" t="str">
        <f t="shared" si="138"/>
        <v/>
      </c>
      <c r="BA1834" s="1">
        <f>IF(W1834&lt;=Leltar_iv!$Y$1,I1834,0)</f>
        <v>0</v>
      </c>
    </row>
    <row r="1835" spans="1:53" s="1" customFormat="1" x14ac:dyDescent="0.25">
      <c r="A1835" s="18">
        <f>IF(COUNTIF($Y$6:Y1835,Y1835)=1,Y1835,Y1835+COUNTIF($Y$5:Y1834,Y1835))</f>
        <v>830</v>
      </c>
      <c r="B1835" s="1">
        <f>IF(AND(Kisero_iv!$N$2=C1835,Kisero_iv!$K$5=$B$3,SUM(I1835:L1839)&lt;&gt;0,$B$4=YEAR(W1835)),B1834+1,0)</f>
        <v>0</v>
      </c>
      <c r="C1835" s="1">
        <f t="shared" si="132"/>
        <v>830</v>
      </c>
      <c r="D1835" s="102" t="str">
        <f t="shared" si="133"/>
        <v/>
      </c>
      <c r="E1835" s="44"/>
      <c r="F1835" s="45"/>
      <c r="G1835" s="45"/>
      <c r="H1835" s="45"/>
      <c r="I1835" s="46"/>
      <c r="J1835" s="111" t="str">
        <f>IF(AND(G1835&lt;&gt;"",ISERROR(VLOOKUP(G1835,Keszlet!$C$5:$H$200,6,FALSE))=FALSE),VLOOKUP(G1835,Keszlet!$C$5:$H$200,6,FALSE),"")</f>
        <v/>
      </c>
      <c r="K1835" s="106" t="str">
        <f>IF(AND(G1835&lt;&gt;"",ISERROR(VLOOKUP(G1835,Keszlet!$C$5:$G$200,5,FALSE))=FALSE),VLOOKUP(G1835,Keszlet!$C$5:$G$200,5,FALSE),"")</f>
        <v/>
      </c>
      <c r="L1835" s="106" t="str">
        <f t="shared" si="134"/>
        <v/>
      </c>
      <c r="M1835" s="115" t="str">
        <f>IF(ISERROR(VLOOKUP(G1835,Keszlet!$C$5:$I$200,7,FALSE))=TRUE,"",IF(AND(J1834&lt;&gt;"",J1836=""),VLOOKUP(G1835,Keszlet!$C$5:$I$200,7,FALSE),""))</f>
        <v/>
      </c>
      <c r="Q1835" s="1">
        <f>VLOOKUP(G1835,Keszlet!$C$5:$E$205,3,FALSE)</f>
        <v>0</v>
      </c>
      <c r="T1835" s="1" t="str">
        <f t="shared" si="135"/>
        <v/>
      </c>
      <c r="U1835" s="1">
        <f t="shared" si="136"/>
        <v>0</v>
      </c>
      <c r="W1835" s="6">
        <f t="shared" si="139"/>
        <v>0</v>
      </c>
      <c r="X1835" s="6">
        <f t="shared" si="131"/>
        <v>0</v>
      </c>
      <c r="Y1835" s="1">
        <f t="shared" si="137"/>
        <v>1</v>
      </c>
      <c r="Z1835" s="1">
        <f>IF(COUNTIF($Y$6:Y1835,Y1835)=1,Y1835,Y1835+COUNTIF($Y$5:Y1834,Y1835))</f>
        <v>830</v>
      </c>
      <c r="AD1835" s="1" t="str">
        <f t="shared" si="138"/>
        <v/>
      </c>
      <c r="BA1835" s="1">
        <f>IF(W1835&lt;=Leltar_iv!$Y$1,I1835,0)</f>
        <v>0</v>
      </c>
    </row>
    <row r="1836" spans="1:53" s="1" customFormat="1" x14ac:dyDescent="0.25">
      <c r="A1836" s="18">
        <f>IF(COUNTIF($Y$6:Y1836,Y1836)=1,Y1836,Y1836+COUNTIF($Y$5:Y1835,Y1836))</f>
        <v>831</v>
      </c>
      <c r="B1836" s="1">
        <f>IF(AND(Kisero_iv!$N$2=C1836,Kisero_iv!$K$5=$B$3,SUM(I1836:L1840)&lt;&gt;0,$B$4=YEAR(W1836)),B1835+1,0)</f>
        <v>0</v>
      </c>
      <c r="C1836" s="1">
        <f t="shared" si="132"/>
        <v>831</v>
      </c>
      <c r="D1836" s="102" t="str">
        <f t="shared" si="133"/>
        <v/>
      </c>
      <c r="E1836" s="44"/>
      <c r="F1836" s="45"/>
      <c r="G1836" s="45"/>
      <c r="H1836" s="45"/>
      <c r="I1836" s="46"/>
      <c r="J1836" s="111" t="str">
        <f>IF(AND(G1836&lt;&gt;"",ISERROR(VLOOKUP(G1836,Keszlet!$C$5:$H$200,6,FALSE))=FALSE),VLOOKUP(G1836,Keszlet!$C$5:$H$200,6,FALSE),"")</f>
        <v/>
      </c>
      <c r="K1836" s="106" t="str">
        <f>IF(AND(G1836&lt;&gt;"",ISERROR(VLOOKUP(G1836,Keszlet!$C$5:$G$200,5,FALSE))=FALSE),VLOOKUP(G1836,Keszlet!$C$5:$G$200,5,FALSE),"")</f>
        <v/>
      </c>
      <c r="L1836" s="106" t="str">
        <f t="shared" si="134"/>
        <v/>
      </c>
      <c r="M1836" s="115" t="str">
        <f>IF(ISERROR(VLOOKUP(G1836,Keszlet!$C$5:$I$200,7,FALSE))=TRUE,"",IF(AND(J1835&lt;&gt;"",J1837=""),VLOOKUP(G1836,Keszlet!$C$5:$I$200,7,FALSE),""))</f>
        <v/>
      </c>
      <c r="Q1836" s="1">
        <f>VLOOKUP(G1836,Keszlet!$C$5:$E$205,3,FALSE)</f>
        <v>0</v>
      </c>
      <c r="T1836" s="1" t="str">
        <f t="shared" si="135"/>
        <v/>
      </c>
      <c r="U1836" s="1">
        <f t="shared" si="136"/>
        <v>0</v>
      </c>
      <c r="W1836" s="6">
        <f t="shared" si="139"/>
        <v>0</v>
      </c>
      <c r="X1836" s="6">
        <f t="shared" si="131"/>
        <v>0</v>
      </c>
      <c r="Y1836" s="1">
        <f t="shared" si="137"/>
        <v>1</v>
      </c>
      <c r="Z1836" s="1">
        <f>IF(COUNTIF($Y$6:Y1836,Y1836)=1,Y1836,Y1836+COUNTIF($Y$5:Y1835,Y1836))</f>
        <v>831</v>
      </c>
      <c r="AD1836" s="1" t="str">
        <f t="shared" si="138"/>
        <v/>
      </c>
      <c r="BA1836" s="1">
        <f>IF(W1836&lt;=Leltar_iv!$Y$1,I1836,0)</f>
        <v>0</v>
      </c>
    </row>
    <row r="1837" spans="1:53" s="1" customFormat="1" x14ac:dyDescent="0.25">
      <c r="A1837" s="18">
        <f>IF(COUNTIF($Y$6:Y1837,Y1837)=1,Y1837,Y1837+COUNTIF($Y$5:Y1836,Y1837))</f>
        <v>832</v>
      </c>
      <c r="B1837" s="1">
        <f>IF(AND(Kisero_iv!$N$2=C1837,Kisero_iv!$K$5=$B$3,SUM(I1837:L1841)&lt;&gt;0,$B$4=YEAR(W1837)),B1836+1,0)</f>
        <v>0</v>
      </c>
      <c r="C1837" s="1">
        <f t="shared" si="132"/>
        <v>832</v>
      </c>
      <c r="D1837" s="102" t="str">
        <f t="shared" si="133"/>
        <v/>
      </c>
      <c r="E1837" s="44"/>
      <c r="F1837" s="45"/>
      <c r="G1837" s="45"/>
      <c r="H1837" s="45"/>
      <c r="I1837" s="46"/>
      <c r="J1837" s="111" t="str">
        <f>IF(AND(G1837&lt;&gt;"",ISERROR(VLOOKUP(G1837,Keszlet!$C$5:$H$200,6,FALSE))=FALSE),VLOOKUP(G1837,Keszlet!$C$5:$H$200,6,FALSE),"")</f>
        <v/>
      </c>
      <c r="K1837" s="106" t="str">
        <f>IF(AND(G1837&lt;&gt;"",ISERROR(VLOOKUP(G1837,Keszlet!$C$5:$G$200,5,FALSE))=FALSE),VLOOKUP(G1837,Keszlet!$C$5:$G$200,5,FALSE),"")</f>
        <v/>
      </c>
      <c r="L1837" s="106" t="str">
        <f t="shared" si="134"/>
        <v/>
      </c>
      <c r="M1837" s="115" t="str">
        <f>IF(ISERROR(VLOOKUP(G1837,Keszlet!$C$5:$I$200,7,FALSE))=TRUE,"",IF(AND(J1836&lt;&gt;"",J1838=""),VLOOKUP(G1837,Keszlet!$C$5:$I$200,7,FALSE),""))</f>
        <v/>
      </c>
      <c r="Q1837" s="1">
        <f>VLOOKUP(G1837,Keszlet!$C$5:$E$205,3,FALSE)</f>
        <v>0</v>
      </c>
      <c r="T1837" s="1" t="str">
        <f t="shared" si="135"/>
        <v/>
      </c>
      <c r="U1837" s="1">
        <f t="shared" si="136"/>
        <v>0</v>
      </c>
      <c r="W1837" s="6">
        <f t="shared" si="139"/>
        <v>0</v>
      </c>
      <c r="X1837" s="6">
        <f t="shared" si="131"/>
        <v>0</v>
      </c>
      <c r="Y1837" s="1">
        <f t="shared" si="137"/>
        <v>1</v>
      </c>
      <c r="Z1837" s="1">
        <f>IF(COUNTIF($Y$6:Y1837,Y1837)=1,Y1837,Y1837+COUNTIF($Y$5:Y1836,Y1837))</f>
        <v>832</v>
      </c>
      <c r="AD1837" s="1" t="str">
        <f t="shared" si="138"/>
        <v/>
      </c>
      <c r="BA1837" s="1">
        <f>IF(W1837&lt;=Leltar_iv!$Y$1,I1837,0)</f>
        <v>0</v>
      </c>
    </row>
    <row r="1838" spans="1:53" s="1" customFormat="1" x14ac:dyDescent="0.25">
      <c r="A1838" s="18">
        <f>IF(COUNTIF($Y$6:Y1838,Y1838)=1,Y1838,Y1838+COUNTIF($Y$5:Y1837,Y1838))</f>
        <v>833</v>
      </c>
      <c r="B1838" s="1">
        <f>IF(AND(Kisero_iv!$N$2=C1838,Kisero_iv!$K$5=$B$3,SUM(I1838:L1842)&lt;&gt;0,$B$4=YEAR(W1838)),B1837+1,0)</f>
        <v>0</v>
      </c>
      <c r="C1838" s="1">
        <f t="shared" si="132"/>
        <v>833</v>
      </c>
      <c r="D1838" s="102" t="str">
        <f t="shared" si="133"/>
        <v/>
      </c>
      <c r="E1838" s="44"/>
      <c r="F1838" s="45"/>
      <c r="G1838" s="45"/>
      <c r="H1838" s="45"/>
      <c r="I1838" s="46"/>
      <c r="J1838" s="111" t="str">
        <f>IF(AND(G1838&lt;&gt;"",ISERROR(VLOOKUP(G1838,Keszlet!$C$5:$H$200,6,FALSE))=FALSE),VLOOKUP(G1838,Keszlet!$C$5:$H$200,6,FALSE),"")</f>
        <v/>
      </c>
      <c r="K1838" s="106" t="str">
        <f>IF(AND(G1838&lt;&gt;"",ISERROR(VLOOKUP(G1838,Keszlet!$C$5:$G$200,5,FALSE))=FALSE),VLOOKUP(G1838,Keszlet!$C$5:$G$200,5,FALSE),"")</f>
        <v/>
      </c>
      <c r="L1838" s="106" t="str">
        <f t="shared" si="134"/>
        <v/>
      </c>
      <c r="M1838" s="115" t="str">
        <f>IF(ISERROR(VLOOKUP(G1838,Keszlet!$C$5:$I$200,7,FALSE))=TRUE,"",IF(AND(J1837&lt;&gt;"",J1839=""),VLOOKUP(G1838,Keszlet!$C$5:$I$200,7,FALSE),""))</f>
        <v/>
      </c>
      <c r="Q1838" s="1">
        <f>VLOOKUP(G1838,Keszlet!$C$5:$E$205,3,FALSE)</f>
        <v>0</v>
      </c>
      <c r="T1838" s="1" t="str">
        <f t="shared" si="135"/>
        <v/>
      </c>
      <c r="U1838" s="1">
        <f t="shared" si="136"/>
        <v>0</v>
      </c>
      <c r="W1838" s="6">
        <f t="shared" si="139"/>
        <v>0</v>
      </c>
      <c r="X1838" s="6">
        <f t="shared" ref="X1838:X1901" si="140">IF(G1838=q,W1838,$X$1)</f>
        <v>0</v>
      </c>
      <c r="Y1838" s="1">
        <f t="shared" si="137"/>
        <v>1</v>
      </c>
      <c r="Z1838" s="1">
        <f>IF(COUNTIF($Y$6:Y1838,Y1838)=1,Y1838,Y1838+COUNTIF($Y$5:Y1837,Y1838))</f>
        <v>833</v>
      </c>
      <c r="AD1838" s="1" t="str">
        <f t="shared" si="138"/>
        <v/>
      </c>
      <c r="BA1838" s="1">
        <f>IF(W1838&lt;=Leltar_iv!$Y$1,I1838,0)</f>
        <v>0</v>
      </c>
    </row>
    <row r="1839" spans="1:53" s="1" customFormat="1" x14ac:dyDescent="0.25">
      <c r="A1839" s="18">
        <f>IF(COUNTIF($Y$6:Y1839,Y1839)=1,Y1839,Y1839+COUNTIF($Y$5:Y1838,Y1839))</f>
        <v>834</v>
      </c>
      <c r="B1839" s="1">
        <f>IF(AND(Kisero_iv!$N$2=C1839,Kisero_iv!$K$5=$B$3,SUM(I1839:L1843)&lt;&gt;0,$B$4=YEAR(W1839)),B1838+1,0)</f>
        <v>0</v>
      </c>
      <c r="C1839" s="1">
        <f t="shared" ref="C1839:C1902" si="141">IF(YEAR(W1838)&lt;&gt;YEAR(W1839),1,IF(T1839&lt;&gt;0,C1838+1,C1838))</f>
        <v>834</v>
      </c>
      <c r="D1839" s="102" t="str">
        <f t="shared" ref="D1839:D1902" si="142">IF(AND(OR(C1838&lt;&gt;C1839,C1839=1),SUM(L1839:L1859)&lt;&gt;0),YEAR(W1839)&amp;"/"&amp;C1839,"")</f>
        <v/>
      </c>
      <c r="E1839" s="44"/>
      <c r="F1839" s="55"/>
      <c r="G1839" s="45"/>
      <c r="H1839" s="45"/>
      <c r="I1839" s="46"/>
      <c r="J1839" s="111" t="str">
        <f>IF(AND(G1839&lt;&gt;"",ISERROR(VLOOKUP(G1839,Keszlet!$C$5:$H$200,6,FALSE))=FALSE),VLOOKUP(G1839,Keszlet!$C$5:$H$200,6,FALSE),"")</f>
        <v/>
      </c>
      <c r="K1839" s="106" t="str">
        <f>IF(AND(G1839&lt;&gt;"",ISERROR(VLOOKUP(G1839,Keszlet!$C$5:$G$200,5,FALSE))=FALSE),VLOOKUP(G1839,Keszlet!$C$5:$G$200,5,FALSE),"")</f>
        <v/>
      </c>
      <c r="L1839" s="106" t="str">
        <f t="shared" ref="L1839:L1902" si="143">IF(AND(G1839&lt;&gt;0,K1839&lt;&gt;""),I1839*K1839,"")</f>
        <v/>
      </c>
      <c r="M1839" s="115" t="str">
        <f>IF(ISERROR(VLOOKUP(G1839,Keszlet!$C$5:$I$200,7,FALSE))=TRUE,"",IF(AND(J1838&lt;&gt;"",J1840=""),VLOOKUP(G1839,Keszlet!$C$5:$I$200,7,FALSE),""))</f>
        <v/>
      </c>
      <c r="Q1839" s="1">
        <f>VLOOKUP(G1839,Keszlet!$C$5:$E$205,3,FALSE)</f>
        <v>0</v>
      </c>
      <c r="T1839" s="1" t="str">
        <f t="shared" ref="T1839:T1902" si="144">IF(OR(E1839&lt;&gt;0,COUNTIF(T1830:T1838,0)=9,F1839&lt;&gt;0,SUM(L1839:L1859)=0),E1839&amp;F1839,0)</f>
        <v/>
      </c>
      <c r="U1839" s="1">
        <f t="shared" ref="U1839:U1902" si="145">IF(F1839&lt;&gt;"",F1839,U1838)</f>
        <v>0</v>
      </c>
      <c r="W1839" s="6">
        <f t="shared" si="139"/>
        <v>0</v>
      </c>
      <c r="X1839" s="6">
        <f t="shared" si="140"/>
        <v>0</v>
      </c>
      <c r="Y1839" s="1">
        <f t="shared" ref="Y1839:Y1902" si="146">RANK(X1839,$X$6:$X$10000,1)</f>
        <v>1</v>
      </c>
      <c r="Z1839" s="1">
        <f>IF(COUNTIF($Y$6:Y1839,Y1839)=1,Y1839,Y1839+COUNTIF($Y$5:Y1838,Y1839))</f>
        <v>834</v>
      </c>
      <c r="AD1839" s="1" t="str">
        <f t="shared" ref="AD1839:AD1902" si="147">IF(AND(OR(C1838&lt;&gt;C1839,YEAR(W1839)&lt;&gt;YEAR(W1838)),SUM(L1839:L1859)&lt;&gt;0,$B$4=YEAR(W1839)),C1839,"")</f>
        <v/>
      </c>
      <c r="BA1839" s="1">
        <f>IF(W1839&lt;=Leltar_iv!$Y$1,I1839,0)</f>
        <v>0</v>
      </c>
    </row>
    <row r="1840" spans="1:53" s="1" customFormat="1" x14ac:dyDescent="0.25">
      <c r="A1840" s="18">
        <f>IF(COUNTIF($Y$6:Y1840,Y1840)=1,Y1840,Y1840+COUNTIF($Y$5:Y1839,Y1840))</f>
        <v>835</v>
      </c>
      <c r="B1840" s="1">
        <f>IF(AND(Kisero_iv!$N$2=C1840,Kisero_iv!$K$5=$B$3,SUM(I1840:L1844)&lt;&gt;0,$B$4=YEAR(W1840)),B1839+1,0)</f>
        <v>0</v>
      </c>
      <c r="C1840" s="1">
        <f t="shared" si="141"/>
        <v>835</v>
      </c>
      <c r="D1840" s="102" t="str">
        <f t="shared" si="142"/>
        <v/>
      </c>
      <c r="E1840" s="44"/>
      <c r="F1840" s="45"/>
      <c r="G1840" s="45"/>
      <c r="H1840" s="45"/>
      <c r="I1840" s="46"/>
      <c r="J1840" s="111" t="str">
        <f>IF(AND(G1840&lt;&gt;"",ISERROR(VLOOKUP(G1840,Keszlet!$C$5:$H$200,6,FALSE))=FALSE),VLOOKUP(G1840,Keszlet!$C$5:$H$200,6,FALSE),"")</f>
        <v/>
      </c>
      <c r="K1840" s="106" t="str">
        <f>IF(AND(G1840&lt;&gt;"",ISERROR(VLOOKUP(G1840,Keszlet!$C$5:$G$200,5,FALSE))=FALSE),VLOOKUP(G1840,Keszlet!$C$5:$G$200,5,FALSE),"")</f>
        <v/>
      </c>
      <c r="L1840" s="106" t="str">
        <f t="shared" si="143"/>
        <v/>
      </c>
      <c r="M1840" s="115" t="str">
        <f>IF(ISERROR(VLOOKUP(G1840,Keszlet!$C$5:$I$200,7,FALSE))=TRUE,"",IF(AND(J1839&lt;&gt;"",J1841=""),VLOOKUP(G1840,Keszlet!$C$5:$I$200,7,FALSE),""))</f>
        <v/>
      </c>
      <c r="Q1840" s="1">
        <f>VLOOKUP(G1840,Keszlet!$C$5:$E$205,3,FALSE)</f>
        <v>0</v>
      </c>
      <c r="T1840" s="1" t="str">
        <f t="shared" si="144"/>
        <v/>
      </c>
      <c r="U1840" s="1">
        <f t="shared" si="145"/>
        <v>0</v>
      </c>
      <c r="W1840" s="6">
        <f t="shared" si="139"/>
        <v>0</v>
      </c>
      <c r="X1840" s="6">
        <f t="shared" si="140"/>
        <v>0</v>
      </c>
      <c r="Y1840" s="1">
        <f t="shared" si="146"/>
        <v>1</v>
      </c>
      <c r="Z1840" s="1">
        <f>IF(COUNTIF($Y$6:Y1840,Y1840)=1,Y1840,Y1840+COUNTIF($Y$5:Y1839,Y1840))</f>
        <v>835</v>
      </c>
      <c r="AD1840" s="1" t="str">
        <f t="shared" si="147"/>
        <v/>
      </c>
      <c r="BA1840" s="1">
        <f>IF(W1840&lt;=Leltar_iv!$Y$1,I1840,0)</f>
        <v>0</v>
      </c>
    </row>
    <row r="1841" spans="1:53" s="1" customFormat="1" x14ac:dyDescent="0.25">
      <c r="A1841" s="18">
        <f>IF(COUNTIF($Y$6:Y1841,Y1841)=1,Y1841,Y1841+COUNTIF($Y$5:Y1840,Y1841))</f>
        <v>836</v>
      </c>
      <c r="B1841" s="1">
        <f>IF(AND(Kisero_iv!$N$2=C1841,Kisero_iv!$K$5=$B$3,SUM(I1841:L1845)&lt;&gt;0,$B$4=YEAR(W1841)),B1840+1,0)</f>
        <v>0</v>
      </c>
      <c r="C1841" s="1">
        <f t="shared" si="141"/>
        <v>836</v>
      </c>
      <c r="D1841" s="102" t="str">
        <f t="shared" si="142"/>
        <v/>
      </c>
      <c r="E1841" s="44"/>
      <c r="F1841" s="45"/>
      <c r="G1841" s="45"/>
      <c r="H1841" s="45"/>
      <c r="I1841" s="46"/>
      <c r="J1841" s="111" t="str">
        <f>IF(AND(G1841&lt;&gt;"",ISERROR(VLOOKUP(G1841,Keszlet!$C$5:$H$200,6,FALSE))=FALSE),VLOOKUP(G1841,Keszlet!$C$5:$H$200,6,FALSE),"")</f>
        <v/>
      </c>
      <c r="K1841" s="106" t="str">
        <f>IF(AND(G1841&lt;&gt;"",ISERROR(VLOOKUP(G1841,Keszlet!$C$5:$G$200,5,FALSE))=FALSE),VLOOKUP(G1841,Keszlet!$C$5:$G$200,5,FALSE),"")</f>
        <v/>
      </c>
      <c r="L1841" s="106" t="str">
        <f t="shared" si="143"/>
        <v/>
      </c>
      <c r="M1841" s="115" t="str">
        <f>IF(ISERROR(VLOOKUP(G1841,Keszlet!$C$5:$I$200,7,FALSE))=TRUE,"",IF(AND(J1840&lt;&gt;"",J1842=""),VLOOKUP(G1841,Keszlet!$C$5:$I$200,7,FALSE),""))</f>
        <v/>
      </c>
      <c r="Q1841" s="1">
        <f>VLOOKUP(G1841,Keszlet!$C$5:$E$205,3,FALSE)</f>
        <v>0</v>
      </c>
      <c r="T1841" s="1" t="str">
        <f t="shared" si="144"/>
        <v/>
      </c>
      <c r="U1841" s="1">
        <f t="shared" si="145"/>
        <v>0</v>
      </c>
      <c r="W1841" s="6">
        <f t="shared" ref="W1841:W1904" si="148">IF(E1841&lt;&gt;0,E1841,W1840)</f>
        <v>0</v>
      </c>
      <c r="X1841" s="6">
        <f t="shared" si="140"/>
        <v>0</v>
      </c>
      <c r="Y1841" s="1">
        <f t="shared" si="146"/>
        <v>1</v>
      </c>
      <c r="Z1841" s="1">
        <f>IF(COUNTIF($Y$6:Y1841,Y1841)=1,Y1841,Y1841+COUNTIF($Y$5:Y1840,Y1841))</f>
        <v>836</v>
      </c>
      <c r="AD1841" s="1" t="str">
        <f t="shared" si="147"/>
        <v/>
      </c>
      <c r="BA1841" s="1">
        <f>IF(W1841&lt;=Leltar_iv!$Y$1,I1841,0)</f>
        <v>0</v>
      </c>
    </row>
    <row r="1842" spans="1:53" s="1" customFormat="1" x14ac:dyDescent="0.25">
      <c r="A1842" s="18">
        <f>IF(COUNTIF($Y$6:Y1842,Y1842)=1,Y1842,Y1842+COUNTIF($Y$5:Y1841,Y1842))</f>
        <v>837</v>
      </c>
      <c r="B1842" s="1">
        <f>IF(AND(Kisero_iv!$N$2=C1842,Kisero_iv!$K$5=$B$3,SUM(I1842:L1846)&lt;&gt;0,$B$4=YEAR(W1842)),B1841+1,0)</f>
        <v>0</v>
      </c>
      <c r="C1842" s="1">
        <f t="shared" si="141"/>
        <v>837</v>
      </c>
      <c r="D1842" s="102" t="str">
        <f t="shared" si="142"/>
        <v/>
      </c>
      <c r="E1842" s="44"/>
      <c r="F1842" s="45"/>
      <c r="G1842" s="45"/>
      <c r="H1842" s="45"/>
      <c r="I1842" s="46"/>
      <c r="J1842" s="111" t="str">
        <f>IF(AND(G1842&lt;&gt;"",ISERROR(VLOOKUP(G1842,Keszlet!$C$5:$H$200,6,FALSE))=FALSE),VLOOKUP(G1842,Keszlet!$C$5:$H$200,6,FALSE),"")</f>
        <v/>
      </c>
      <c r="K1842" s="106" t="str">
        <f>IF(AND(G1842&lt;&gt;"",ISERROR(VLOOKUP(G1842,Keszlet!$C$5:$G$200,5,FALSE))=FALSE),VLOOKUP(G1842,Keszlet!$C$5:$G$200,5,FALSE),"")</f>
        <v/>
      </c>
      <c r="L1842" s="106" t="str">
        <f t="shared" si="143"/>
        <v/>
      </c>
      <c r="M1842" s="115" t="str">
        <f>IF(ISERROR(VLOOKUP(G1842,Keszlet!$C$5:$I$200,7,FALSE))=TRUE,"",IF(AND(J1841&lt;&gt;"",J1843=""),VLOOKUP(G1842,Keszlet!$C$5:$I$200,7,FALSE),""))</f>
        <v/>
      </c>
      <c r="Q1842" s="1">
        <f>VLOOKUP(G1842,Keszlet!$C$5:$E$205,3,FALSE)</f>
        <v>0</v>
      </c>
      <c r="T1842" s="1" t="str">
        <f t="shared" si="144"/>
        <v/>
      </c>
      <c r="U1842" s="1">
        <f t="shared" si="145"/>
        <v>0</v>
      </c>
      <c r="W1842" s="6">
        <f t="shared" si="148"/>
        <v>0</v>
      </c>
      <c r="X1842" s="6">
        <f t="shared" si="140"/>
        <v>0</v>
      </c>
      <c r="Y1842" s="1">
        <f t="shared" si="146"/>
        <v>1</v>
      </c>
      <c r="Z1842" s="1">
        <f>IF(COUNTIF($Y$6:Y1842,Y1842)=1,Y1842,Y1842+COUNTIF($Y$5:Y1841,Y1842))</f>
        <v>837</v>
      </c>
      <c r="AD1842" s="1" t="str">
        <f t="shared" si="147"/>
        <v/>
      </c>
      <c r="BA1842" s="1">
        <f>IF(W1842&lt;=Leltar_iv!$Y$1,I1842,0)</f>
        <v>0</v>
      </c>
    </row>
    <row r="1843" spans="1:53" s="1" customFormat="1" x14ac:dyDescent="0.25">
      <c r="A1843" s="18">
        <f>IF(COUNTIF($Y$6:Y1843,Y1843)=1,Y1843,Y1843+COUNTIF($Y$5:Y1842,Y1843))</f>
        <v>838</v>
      </c>
      <c r="B1843" s="1">
        <f>IF(AND(Kisero_iv!$N$2=C1843,Kisero_iv!$K$5=$B$3,SUM(I1843:L1847)&lt;&gt;0,$B$4=YEAR(W1843)),B1842+1,0)</f>
        <v>0</v>
      </c>
      <c r="C1843" s="1">
        <f t="shared" si="141"/>
        <v>838</v>
      </c>
      <c r="D1843" s="102" t="str">
        <f t="shared" si="142"/>
        <v/>
      </c>
      <c r="E1843" s="44"/>
      <c r="F1843" s="45"/>
      <c r="G1843" s="45"/>
      <c r="H1843" s="45"/>
      <c r="I1843" s="46"/>
      <c r="J1843" s="111" t="str">
        <f>IF(AND(G1843&lt;&gt;"",ISERROR(VLOOKUP(G1843,Keszlet!$C$5:$H$200,6,FALSE))=FALSE),VLOOKUP(G1843,Keszlet!$C$5:$H$200,6,FALSE),"")</f>
        <v/>
      </c>
      <c r="K1843" s="106" t="str">
        <f>IF(AND(G1843&lt;&gt;"",ISERROR(VLOOKUP(G1843,Keszlet!$C$5:$G$200,5,FALSE))=FALSE),VLOOKUP(G1843,Keszlet!$C$5:$G$200,5,FALSE),"")</f>
        <v/>
      </c>
      <c r="L1843" s="106" t="str">
        <f t="shared" si="143"/>
        <v/>
      </c>
      <c r="M1843" s="115" t="str">
        <f>IF(ISERROR(VLOOKUP(G1843,Keszlet!$C$5:$I$200,7,FALSE))=TRUE,"",IF(AND(J1842&lt;&gt;"",J1844=""),VLOOKUP(G1843,Keszlet!$C$5:$I$200,7,FALSE),""))</f>
        <v/>
      </c>
      <c r="Q1843" s="1">
        <f>VLOOKUP(G1843,Keszlet!$C$5:$E$205,3,FALSE)</f>
        <v>0</v>
      </c>
      <c r="T1843" s="1" t="str">
        <f t="shared" si="144"/>
        <v/>
      </c>
      <c r="U1843" s="1">
        <f t="shared" si="145"/>
        <v>0</v>
      </c>
      <c r="W1843" s="6">
        <f t="shared" si="148"/>
        <v>0</v>
      </c>
      <c r="X1843" s="6">
        <f t="shared" si="140"/>
        <v>0</v>
      </c>
      <c r="Y1843" s="1">
        <f t="shared" si="146"/>
        <v>1</v>
      </c>
      <c r="Z1843" s="1">
        <f>IF(COUNTIF($Y$6:Y1843,Y1843)=1,Y1843,Y1843+COUNTIF($Y$5:Y1842,Y1843))</f>
        <v>838</v>
      </c>
      <c r="AD1843" s="1" t="str">
        <f t="shared" si="147"/>
        <v/>
      </c>
      <c r="BA1843" s="1">
        <f>IF(W1843&lt;=Leltar_iv!$Y$1,I1843,0)</f>
        <v>0</v>
      </c>
    </row>
    <row r="1844" spans="1:53" s="1" customFormat="1" x14ac:dyDescent="0.25">
      <c r="A1844" s="18">
        <f>IF(COUNTIF($Y$6:Y1844,Y1844)=1,Y1844,Y1844+COUNTIF($Y$5:Y1843,Y1844))</f>
        <v>839</v>
      </c>
      <c r="B1844" s="1">
        <f>IF(AND(Kisero_iv!$N$2=C1844,Kisero_iv!$K$5=$B$3,SUM(I1844:L1848)&lt;&gt;0,$B$4=YEAR(W1844)),B1843+1,0)</f>
        <v>0</v>
      </c>
      <c r="C1844" s="1">
        <f t="shared" si="141"/>
        <v>839</v>
      </c>
      <c r="D1844" s="102" t="str">
        <f t="shared" si="142"/>
        <v/>
      </c>
      <c r="E1844" s="44"/>
      <c r="F1844" s="45"/>
      <c r="G1844" s="45"/>
      <c r="H1844" s="45"/>
      <c r="I1844" s="46"/>
      <c r="J1844" s="111" t="str">
        <f>IF(AND(G1844&lt;&gt;"",ISERROR(VLOOKUP(G1844,Keszlet!$C$5:$H$200,6,FALSE))=FALSE),VLOOKUP(G1844,Keszlet!$C$5:$H$200,6,FALSE),"")</f>
        <v/>
      </c>
      <c r="K1844" s="106" t="str">
        <f>IF(AND(G1844&lt;&gt;"",ISERROR(VLOOKUP(G1844,Keszlet!$C$5:$G$200,5,FALSE))=FALSE),VLOOKUP(G1844,Keszlet!$C$5:$G$200,5,FALSE),"")</f>
        <v/>
      </c>
      <c r="L1844" s="106" t="str">
        <f t="shared" si="143"/>
        <v/>
      </c>
      <c r="M1844" s="115" t="str">
        <f>IF(ISERROR(VLOOKUP(G1844,Keszlet!$C$5:$I$200,7,FALSE))=TRUE,"",IF(AND(J1843&lt;&gt;"",J1845=""),VLOOKUP(G1844,Keszlet!$C$5:$I$200,7,FALSE),""))</f>
        <v/>
      </c>
      <c r="Q1844" s="1">
        <f>VLOOKUP(G1844,Keszlet!$C$5:$E$205,3,FALSE)</f>
        <v>0</v>
      </c>
      <c r="T1844" s="1" t="str">
        <f t="shared" si="144"/>
        <v/>
      </c>
      <c r="U1844" s="1">
        <f t="shared" si="145"/>
        <v>0</v>
      </c>
      <c r="W1844" s="6">
        <f t="shared" si="148"/>
        <v>0</v>
      </c>
      <c r="X1844" s="6">
        <f t="shared" si="140"/>
        <v>0</v>
      </c>
      <c r="Y1844" s="1">
        <f t="shared" si="146"/>
        <v>1</v>
      </c>
      <c r="Z1844" s="1">
        <f>IF(COUNTIF($Y$6:Y1844,Y1844)=1,Y1844,Y1844+COUNTIF($Y$5:Y1843,Y1844))</f>
        <v>839</v>
      </c>
      <c r="AD1844" s="1" t="str">
        <f t="shared" si="147"/>
        <v/>
      </c>
      <c r="BA1844" s="1">
        <f>IF(W1844&lt;=Leltar_iv!$Y$1,I1844,0)</f>
        <v>0</v>
      </c>
    </row>
    <row r="1845" spans="1:53" s="1" customFormat="1" x14ac:dyDescent="0.25">
      <c r="A1845" s="18">
        <f>IF(COUNTIF($Y$6:Y1845,Y1845)=1,Y1845,Y1845+COUNTIF($Y$5:Y1844,Y1845))</f>
        <v>840</v>
      </c>
      <c r="B1845" s="1">
        <f>IF(AND(Kisero_iv!$N$2=C1845,Kisero_iv!$K$5=$B$3,SUM(I1845:L1849)&lt;&gt;0,$B$4=YEAR(W1845)),B1844+1,0)</f>
        <v>0</v>
      </c>
      <c r="C1845" s="1">
        <f t="shared" si="141"/>
        <v>840</v>
      </c>
      <c r="D1845" s="102" t="str">
        <f t="shared" si="142"/>
        <v/>
      </c>
      <c r="E1845" s="44"/>
      <c r="F1845" s="45"/>
      <c r="G1845" s="45"/>
      <c r="H1845" s="45"/>
      <c r="I1845" s="46"/>
      <c r="J1845" s="111" t="str">
        <f>IF(AND(G1845&lt;&gt;"",ISERROR(VLOOKUP(G1845,Keszlet!$C$5:$H$200,6,FALSE))=FALSE),VLOOKUP(G1845,Keszlet!$C$5:$H$200,6,FALSE),"")</f>
        <v/>
      </c>
      <c r="K1845" s="106" t="str">
        <f>IF(AND(G1845&lt;&gt;"",ISERROR(VLOOKUP(G1845,Keszlet!$C$5:$G$200,5,FALSE))=FALSE),VLOOKUP(G1845,Keszlet!$C$5:$G$200,5,FALSE),"")</f>
        <v/>
      </c>
      <c r="L1845" s="106" t="str">
        <f t="shared" si="143"/>
        <v/>
      </c>
      <c r="M1845" s="115" t="str">
        <f>IF(ISERROR(VLOOKUP(G1845,Keszlet!$C$5:$I$200,7,FALSE))=TRUE,"",IF(AND(J1844&lt;&gt;"",J1846=""),VLOOKUP(G1845,Keszlet!$C$5:$I$200,7,FALSE),""))</f>
        <v/>
      </c>
      <c r="Q1845" s="1">
        <f>VLOOKUP(G1845,Keszlet!$C$5:$E$205,3,FALSE)</f>
        <v>0</v>
      </c>
      <c r="T1845" s="1" t="str">
        <f t="shared" si="144"/>
        <v/>
      </c>
      <c r="U1845" s="1">
        <f t="shared" si="145"/>
        <v>0</v>
      </c>
      <c r="W1845" s="6">
        <f t="shared" si="148"/>
        <v>0</v>
      </c>
      <c r="X1845" s="6">
        <f t="shared" si="140"/>
        <v>0</v>
      </c>
      <c r="Y1845" s="1">
        <f t="shared" si="146"/>
        <v>1</v>
      </c>
      <c r="Z1845" s="1">
        <f>IF(COUNTIF($Y$6:Y1845,Y1845)=1,Y1845,Y1845+COUNTIF($Y$5:Y1844,Y1845))</f>
        <v>840</v>
      </c>
      <c r="AD1845" s="1" t="str">
        <f t="shared" si="147"/>
        <v/>
      </c>
      <c r="BA1845" s="1">
        <f>IF(W1845&lt;=Leltar_iv!$Y$1,I1845,0)</f>
        <v>0</v>
      </c>
    </row>
    <row r="1846" spans="1:53" s="1" customFormat="1" x14ac:dyDescent="0.25">
      <c r="A1846" s="18">
        <f>IF(COUNTIF($Y$6:Y1846,Y1846)=1,Y1846,Y1846+COUNTIF($Y$5:Y1845,Y1846))</f>
        <v>841</v>
      </c>
      <c r="B1846" s="1">
        <f>IF(AND(Kisero_iv!$N$2=C1846,Kisero_iv!$K$5=$B$3,SUM(I1846:L1850)&lt;&gt;0,$B$4=YEAR(W1846)),B1845+1,0)</f>
        <v>0</v>
      </c>
      <c r="C1846" s="1">
        <f t="shared" si="141"/>
        <v>841</v>
      </c>
      <c r="D1846" s="102" t="str">
        <f t="shared" si="142"/>
        <v/>
      </c>
      <c r="E1846" s="44"/>
      <c r="F1846" s="45"/>
      <c r="G1846" s="45"/>
      <c r="H1846" s="45"/>
      <c r="I1846" s="46"/>
      <c r="J1846" s="111" t="str">
        <f>IF(AND(G1846&lt;&gt;"",ISERROR(VLOOKUP(G1846,Keszlet!$C$5:$H$200,6,FALSE))=FALSE),VLOOKUP(G1846,Keszlet!$C$5:$H$200,6,FALSE),"")</f>
        <v/>
      </c>
      <c r="K1846" s="106" t="str">
        <f>IF(AND(G1846&lt;&gt;"",ISERROR(VLOOKUP(G1846,Keszlet!$C$5:$G$200,5,FALSE))=FALSE),VLOOKUP(G1846,Keszlet!$C$5:$G$200,5,FALSE),"")</f>
        <v/>
      </c>
      <c r="L1846" s="106" t="str">
        <f t="shared" si="143"/>
        <v/>
      </c>
      <c r="M1846" s="115" t="str">
        <f>IF(ISERROR(VLOOKUP(G1846,Keszlet!$C$5:$I$200,7,FALSE))=TRUE,"",IF(AND(J1845&lt;&gt;"",J1847=""),VLOOKUP(G1846,Keszlet!$C$5:$I$200,7,FALSE),""))</f>
        <v/>
      </c>
      <c r="Q1846" s="1">
        <f>VLOOKUP(G1846,Keszlet!$C$5:$E$205,3,FALSE)</f>
        <v>0</v>
      </c>
      <c r="T1846" s="1" t="str">
        <f t="shared" si="144"/>
        <v/>
      </c>
      <c r="U1846" s="1">
        <f t="shared" si="145"/>
        <v>0</v>
      </c>
      <c r="W1846" s="6">
        <f t="shared" si="148"/>
        <v>0</v>
      </c>
      <c r="X1846" s="6">
        <f t="shared" si="140"/>
        <v>0</v>
      </c>
      <c r="Y1846" s="1">
        <f t="shared" si="146"/>
        <v>1</v>
      </c>
      <c r="Z1846" s="1">
        <f>IF(COUNTIF($Y$6:Y1846,Y1846)=1,Y1846,Y1846+COUNTIF($Y$5:Y1845,Y1846))</f>
        <v>841</v>
      </c>
      <c r="AD1846" s="1" t="str">
        <f t="shared" si="147"/>
        <v/>
      </c>
      <c r="BA1846" s="1">
        <f>IF(W1846&lt;=Leltar_iv!$Y$1,I1846,0)</f>
        <v>0</v>
      </c>
    </row>
    <row r="1847" spans="1:53" s="1" customFormat="1" x14ac:dyDescent="0.25">
      <c r="A1847" s="18">
        <f>IF(COUNTIF($Y$6:Y1847,Y1847)=1,Y1847,Y1847+COUNTIF($Y$5:Y1846,Y1847))</f>
        <v>842</v>
      </c>
      <c r="B1847" s="1">
        <f>IF(AND(Kisero_iv!$N$2=C1847,Kisero_iv!$K$5=$B$3,SUM(I1847:L1851)&lt;&gt;0,$B$4=YEAR(W1847)),B1846+1,0)</f>
        <v>0</v>
      </c>
      <c r="C1847" s="1">
        <f t="shared" si="141"/>
        <v>842</v>
      </c>
      <c r="D1847" s="102" t="str">
        <f t="shared" si="142"/>
        <v/>
      </c>
      <c r="E1847" s="44"/>
      <c r="F1847" s="45"/>
      <c r="G1847" s="45"/>
      <c r="H1847" s="45"/>
      <c r="I1847" s="46"/>
      <c r="J1847" s="111" t="str">
        <f>IF(AND(G1847&lt;&gt;"",ISERROR(VLOOKUP(G1847,Keszlet!$C$5:$H$200,6,FALSE))=FALSE),VLOOKUP(G1847,Keszlet!$C$5:$H$200,6,FALSE),"")</f>
        <v/>
      </c>
      <c r="K1847" s="106" t="str">
        <f>IF(AND(G1847&lt;&gt;"",ISERROR(VLOOKUP(G1847,Keszlet!$C$5:$G$200,5,FALSE))=FALSE),VLOOKUP(G1847,Keszlet!$C$5:$G$200,5,FALSE),"")</f>
        <v/>
      </c>
      <c r="L1847" s="106" t="str">
        <f t="shared" si="143"/>
        <v/>
      </c>
      <c r="M1847" s="115" t="str">
        <f>IF(ISERROR(VLOOKUP(G1847,Keszlet!$C$5:$I$200,7,FALSE))=TRUE,"",IF(AND(J1846&lt;&gt;"",J1848=""),VLOOKUP(G1847,Keszlet!$C$5:$I$200,7,FALSE),""))</f>
        <v/>
      </c>
      <c r="Q1847" s="1">
        <f>VLOOKUP(G1847,Keszlet!$C$5:$E$205,3,FALSE)</f>
        <v>0</v>
      </c>
      <c r="T1847" s="1" t="str">
        <f t="shared" si="144"/>
        <v/>
      </c>
      <c r="U1847" s="1">
        <f t="shared" si="145"/>
        <v>0</v>
      </c>
      <c r="W1847" s="6">
        <f t="shared" si="148"/>
        <v>0</v>
      </c>
      <c r="X1847" s="6">
        <f t="shared" si="140"/>
        <v>0</v>
      </c>
      <c r="Y1847" s="1">
        <f t="shared" si="146"/>
        <v>1</v>
      </c>
      <c r="Z1847" s="1">
        <f>IF(COUNTIF($Y$6:Y1847,Y1847)=1,Y1847,Y1847+COUNTIF($Y$5:Y1846,Y1847))</f>
        <v>842</v>
      </c>
      <c r="AD1847" s="1" t="str">
        <f t="shared" si="147"/>
        <v/>
      </c>
      <c r="BA1847" s="1">
        <f>IF(W1847&lt;=Leltar_iv!$Y$1,I1847,0)</f>
        <v>0</v>
      </c>
    </row>
    <row r="1848" spans="1:53" s="1" customFormat="1" x14ac:dyDescent="0.25">
      <c r="A1848" s="18">
        <f>IF(COUNTIF($Y$6:Y1848,Y1848)=1,Y1848,Y1848+COUNTIF($Y$5:Y1847,Y1848))</f>
        <v>843</v>
      </c>
      <c r="B1848" s="1">
        <f>IF(AND(Kisero_iv!$N$2=C1848,Kisero_iv!$K$5=$B$3,SUM(I1848:L1852)&lt;&gt;0,$B$4=YEAR(W1848)),B1847+1,0)</f>
        <v>0</v>
      </c>
      <c r="C1848" s="1">
        <f t="shared" si="141"/>
        <v>843</v>
      </c>
      <c r="D1848" s="102" t="str">
        <f t="shared" si="142"/>
        <v/>
      </c>
      <c r="E1848" s="44"/>
      <c r="F1848" s="45"/>
      <c r="G1848" s="45"/>
      <c r="H1848" s="45"/>
      <c r="I1848" s="46"/>
      <c r="J1848" s="111" t="str">
        <f>IF(AND(G1848&lt;&gt;"",ISERROR(VLOOKUP(G1848,Keszlet!$C$5:$H$200,6,FALSE))=FALSE),VLOOKUP(G1848,Keszlet!$C$5:$H$200,6,FALSE),"")</f>
        <v/>
      </c>
      <c r="K1848" s="106" t="str">
        <f>IF(AND(G1848&lt;&gt;"",ISERROR(VLOOKUP(G1848,Keszlet!$C$5:$G$200,5,FALSE))=FALSE),VLOOKUP(G1848,Keszlet!$C$5:$G$200,5,FALSE),"")</f>
        <v/>
      </c>
      <c r="L1848" s="106" t="str">
        <f t="shared" si="143"/>
        <v/>
      </c>
      <c r="M1848" s="115" t="str">
        <f>IF(ISERROR(VLOOKUP(G1848,Keszlet!$C$5:$I$200,7,FALSE))=TRUE,"",IF(AND(J1847&lt;&gt;"",J1849=""),VLOOKUP(G1848,Keszlet!$C$5:$I$200,7,FALSE),""))</f>
        <v/>
      </c>
      <c r="Q1848" s="1">
        <f>VLOOKUP(G1848,Keszlet!$C$5:$E$205,3,FALSE)</f>
        <v>0</v>
      </c>
      <c r="T1848" s="1" t="str">
        <f t="shared" si="144"/>
        <v/>
      </c>
      <c r="U1848" s="1">
        <f t="shared" si="145"/>
        <v>0</v>
      </c>
      <c r="W1848" s="6">
        <f t="shared" si="148"/>
        <v>0</v>
      </c>
      <c r="X1848" s="6">
        <f t="shared" si="140"/>
        <v>0</v>
      </c>
      <c r="Y1848" s="1">
        <f t="shared" si="146"/>
        <v>1</v>
      </c>
      <c r="Z1848" s="1">
        <f>IF(COUNTIF($Y$6:Y1848,Y1848)=1,Y1848,Y1848+COUNTIF($Y$5:Y1847,Y1848))</f>
        <v>843</v>
      </c>
      <c r="AD1848" s="1" t="str">
        <f t="shared" si="147"/>
        <v/>
      </c>
      <c r="BA1848" s="1">
        <f>IF(W1848&lt;=Leltar_iv!$Y$1,I1848,0)</f>
        <v>0</v>
      </c>
    </row>
    <row r="1849" spans="1:53" s="1" customFormat="1" x14ac:dyDescent="0.25">
      <c r="A1849" s="18">
        <f>IF(COUNTIF($Y$6:Y1849,Y1849)=1,Y1849,Y1849+COUNTIF($Y$5:Y1848,Y1849))</f>
        <v>844</v>
      </c>
      <c r="B1849" s="1">
        <f>IF(AND(Kisero_iv!$N$2=C1849,Kisero_iv!$K$5=$B$3,SUM(I1849:L1853)&lt;&gt;0,$B$4=YEAR(W1849)),B1848+1,0)</f>
        <v>0</v>
      </c>
      <c r="C1849" s="1">
        <f t="shared" si="141"/>
        <v>844</v>
      </c>
      <c r="D1849" s="102" t="str">
        <f t="shared" si="142"/>
        <v/>
      </c>
      <c r="E1849" s="44"/>
      <c r="F1849" s="45"/>
      <c r="G1849" s="45"/>
      <c r="H1849" s="45"/>
      <c r="I1849" s="46"/>
      <c r="J1849" s="111" t="str">
        <f>IF(AND(G1849&lt;&gt;"",ISERROR(VLOOKUP(G1849,Keszlet!$C$5:$H$200,6,FALSE))=FALSE),VLOOKUP(G1849,Keszlet!$C$5:$H$200,6,FALSE),"")</f>
        <v/>
      </c>
      <c r="K1849" s="106" t="str">
        <f>IF(AND(G1849&lt;&gt;"",ISERROR(VLOOKUP(G1849,Keszlet!$C$5:$G$200,5,FALSE))=FALSE),VLOOKUP(G1849,Keszlet!$C$5:$G$200,5,FALSE),"")</f>
        <v/>
      </c>
      <c r="L1849" s="106" t="str">
        <f t="shared" si="143"/>
        <v/>
      </c>
      <c r="M1849" s="115" t="str">
        <f>IF(ISERROR(VLOOKUP(G1849,Keszlet!$C$5:$I$200,7,FALSE))=TRUE,"",IF(AND(J1848&lt;&gt;"",J1850=""),VLOOKUP(G1849,Keszlet!$C$5:$I$200,7,FALSE),""))</f>
        <v/>
      </c>
      <c r="Q1849" s="1">
        <f>VLOOKUP(G1849,Keszlet!$C$5:$E$205,3,FALSE)</f>
        <v>0</v>
      </c>
      <c r="T1849" s="1" t="str">
        <f t="shared" si="144"/>
        <v/>
      </c>
      <c r="U1849" s="1">
        <f t="shared" si="145"/>
        <v>0</v>
      </c>
      <c r="W1849" s="6">
        <f t="shared" si="148"/>
        <v>0</v>
      </c>
      <c r="X1849" s="6">
        <f t="shared" si="140"/>
        <v>0</v>
      </c>
      <c r="Y1849" s="1">
        <f t="shared" si="146"/>
        <v>1</v>
      </c>
      <c r="Z1849" s="1">
        <f>IF(COUNTIF($Y$6:Y1849,Y1849)=1,Y1849,Y1849+COUNTIF($Y$5:Y1848,Y1849))</f>
        <v>844</v>
      </c>
      <c r="AD1849" s="1" t="str">
        <f t="shared" si="147"/>
        <v/>
      </c>
      <c r="BA1849" s="1">
        <f>IF(W1849&lt;=Leltar_iv!$Y$1,I1849,0)</f>
        <v>0</v>
      </c>
    </row>
    <row r="1850" spans="1:53" s="1" customFormat="1" x14ac:dyDescent="0.25">
      <c r="A1850" s="18">
        <f>IF(COUNTIF($Y$6:Y1850,Y1850)=1,Y1850,Y1850+COUNTIF($Y$5:Y1849,Y1850))</f>
        <v>845</v>
      </c>
      <c r="B1850" s="1">
        <f>IF(AND(Kisero_iv!$N$2=C1850,Kisero_iv!$K$5=$B$3,SUM(I1850:L1854)&lt;&gt;0,$B$4=YEAR(W1850)),B1849+1,0)</f>
        <v>0</v>
      </c>
      <c r="C1850" s="1">
        <f t="shared" si="141"/>
        <v>845</v>
      </c>
      <c r="D1850" s="102" t="str">
        <f t="shared" si="142"/>
        <v/>
      </c>
      <c r="E1850" s="44"/>
      <c r="F1850" s="45"/>
      <c r="G1850" s="45"/>
      <c r="H1850" s="45"/>
      <c r="I1850" s="46"/>
      <c r="J1850" s="111" t="str">
        <f>IF(AND(G1850&lt;&gt;"",ISERROR(VLOOKUP(G1850,Keszlet!$C$5:$H$200,6,FALSE))=FALSE),VLOOKUP(G1850,Keszlet!$C$5:$H$200,6,FALSE),"")</f>
        <v/>
      </c>
      <c r="K1850" s="106" t="str">
        <f>IF(AND(G1850&lt;&gt;"",ISERROR(VLOOKUP(G1850,Keszlet!$C$5:$G$200,5,FALSE))=FALSE),VLOOKUP(G1850,Keszlet!$C$5:$G$200,5,FALSE),"")</f>
        <v/>
      </c>
      <c r="L1850" s="106" t="str">
        <f t="shared" si="143"/>
        <v/>
      </c>
      <c r="M1850" s="115" t="str">
        <f>IF(ISERROR(VLOOKUP(G1850,Keszlet!$C$5:$I$200,7,FALSE))=TRUE,"",IF(AND(J1849&lt;&gt;"",J1851=""),VLOOKUP(G1850,Keszlet!$C$5:$I$200,7,FALSE),""))</f>
        <v/>
      </c>
      <c r="Q1850" s="1">
        <f>VLOOKUP(G1850,Keszlet!$C$5:$E$205,3,FALSE)</f>
        <v>0</v>
      </c>
      <c r="T1850" s="1" t="str">
        <f t="shared" si="144"/>
        <v/>
      </c>
      <c r="U1850" s="1">
        <f t="shared" si="145"/>
        <v>0</v>
      </c>
      <c r="W1850" s="6">
        <f t="shared" si="148"/>
        <v>0</v>
      </c>
      <c r="X1850" s="6">
        <f t="shared" si="140"/>
        <v>0</v>
      </c>
      <c r="Y1850" s="1">
        <f t="shared" si="146"/>
        <v>1</v>
      </c>
      <c r="Z1850" s="1">
        <f>IF(COUNTIF($Y$6:Y1850,Y1850)=1,Y1850,Y1850+COUNTIF($Y$5:Y1849,Y1850))</f>
        <v>845</v>
      </c>
      <c r="AD1850" s="1" t="str">
        <f t="shared" si="147"/>
        <v/>
      </c>
      <c r="BA1850" s="1">
        <f>IF(W1850&lt;=Leltar_iv!$Y$1,I1850,0)</f>
        <v>0</v>
      </c>
    </row>
    <row r="1851" spans="1:53" s="1" customFormat="1" x14ac:dyDescent="0.25">
      <c r="A1851" s="18">
        <f>IF(COUNTIF($Y$6:Y1851,Y1851)=1,Y1851,Y1851+COUNTIF($Y$5:Y1850,Y1851))</f>
        <v>846</v>
      </c>
      <c r="B1851" s="1">
        <f>IF(AND(Kisero_iv!$N$2=C1851,Kisero_iv!$K$5=$B$3,SUM(I1851:L1855)&lt;&gt;0,$B$4=YEAR(W1851)),B1850+1,0)</f>
        <v>0</v>
      </c>
      <c r="C1851" s="1">
        <f t="shared" si="141"/>
        <v>846</v>
      </c>
      <c r="D1851" s="102" t="str">
        <f t="shared" si="142"/>
        <v/>
      </c>
      <c r="E1851" s="44"/>
      <c r="F1851" s="45"/>
      <c r="G1851" s="45"/>
      <c r="H1851" s="45"/>
      <c r="I1851" s="46"/>
      <c r="J1851" s="111" t="str">
        <f>IF(AND(G1851&lt;&gt;"",ISERROR(VLOOKUP(G1851,Keszlet!$C$5:$H$200,6,FALSE))=FALSE),VLOOKUP(G1851,Keszlet!$C$5:$H$200,6,FALSE),"")</f>
        <v/>
      </c>
      <c r="K1851" s="106" t="str">
        <f>IF(AND(G1851&lt;&gt;"",ISERROR(VLOOKUP(G1851,Keszlet!$C$5:$G$200,5,FALSE))=FALSE),VLOOKUP(G1851,Keszlet!$C$5:$G$200,5,FALSE),"")</f>
        <v/>
      </c>
      <c r="L1851" s="106" t="str">
        <f t="shared" si="143"/>
        <v/>
      </c>
      <c r="M1851" s="115" t="str">
        <f>IF(ISERROR(VLOOKUP(G1851,Keszlet!$C$5:$I$200,7,FALSE))=TRUE,"",IF(AND(J1850&lt;&gt;"",J1852=""),VLOOKUP(G1851,Keszlet!$C$5:$I$200,7,FALSE),""))</f>
        <v/>
      </c>
      <c r="Q1851" s="1">
        <f>VLOOKUP(G1851,Keszlet!$C$5:$E$205,3,FALSE)</f>
        <v>0</v>
      </c>
      <c r="T1851" s="1" t="str">
        <f t="shared" si="144"/>
        <v/>
      </c>
      <c r="U1851" s="1">
        <f t="shared" si="145"/>
        <v>0</v>
      </c>
      <c r="W1851" s="6">
        <f t="shared" si="148"/>
        <v>0</v>
      </c>
      <c r="X1851" s="6">
        <f t="shared" si="140"/>
        <v>0</v>
      </c>
      <c r="Y1851" s="1">
        <f t="shared" si="146"/>
        <v>1</v>
      </c>
      <c r="Z1851" s="1">
        <f>IF(COUNTIF($Y$6:Y1851,Y1851)=1,Y1851,Y1851+COUNTIF($Y$5:Y1850,Y1851))</f>
        <v>846</v>
      </c>
      <c r="AD1851" s="1" t="str">
        <f t="shared" si="147"/>
        <v/>
      </c>
      <c r="BA1851" s="1">
        <f>IF(W1851&lt;=Leltar_iv!$Y$1,I1851,0)</f>
        <v>0</v>
      </c>
    </row>
    <row r="1852" spans="1:53" s="1" customFormat="1" x14ac:dyDescent="0.25">
      <c r="A1852" s="18">
        <f>IF(COUNTIF($Y$6:Y1852,Y1852)=1,Y1852,Y1852+COUNTIF($Y$5:Y1851,Y1852))</f>
        <v>847</v>
      </c>
      <c r="B1852" s="1">
        <f>IF(AND(Kisero_iv!$N$2=C1852,Kisero_iv!$K$5=$B$3,SUM(I1852:L1856)&lt;&gt;0,$B$4=YEAR(W1852)),B1851+1,0)</f>
        <v>0</v>
      </c>
      <c r="C1852" s="1">
        <f t="shared" si="141"/>
        <v>847</v>
      </c>
      <c r="D1852" s="102" t="str">
        <f t="shared" si="142"/>
        <v/>
      </c>
      <c r="E1852" s="44"/>
      <c r="F1852" s="45"/>
      <c r="G1852" s="45"/>
      <c r="H1852" s="45"/>
      <c r="I1852" s="46"/>
      <c r="J1852" s="111" t="str">
        <f>IF(AND(G1852&lt;&gt;"",ISERROR(VLOOKUP(G1852,Keszlet!$C$5:$H$200,6,FALSE))=FALSE),VLOOKUP(G1852,Keszlet!$C$5:$H$200,6,FALSE),"")</f>
        <v/>
      </c>
      <c r="K1852" s="106" t="str">
        <f>IF(AND(G1852&lt;&gt;"",ISERROR(VLOOKUP(G1852,Keszlet!$C$5:$G$200,5,FALSE))=FALSE),VLOOKUP(G1852,Keszlet!$C$5:$G$200,5,FALSE),"")</f>
        <v/>
      </c>
      <c r="L1852" s="106" t="str">
        <f t="shared" si="143"/>
        <v/>
      </c>
      <c r="M1852" s="115" t="str">
        <f>IF(ISERROR(VLOOKUP(G1852,Keszlet!$C$5:$I$200,7,FALSE))=TRUE,"",IF(AND(J1851&lt;&gt;"",J1853=""),VLOOKUP(G1852,Keszlet!$C$5:$I$200,7,FALSE),""))</f>
        <v/>
      </c>
      <c r="Q1852" s="1">
        <f>VLOOKUP(G1852,Keszlet!$C$5:$E$205,3,FALSE)</f>
        <v>0</v>
      </c>
      <c r="T1852" s="1" t="str">
        <f t="shared" si="144"/>
        <v/>
      </c>
      <c r="U1852" s="1">
        <f t="shared" si="145"/>
        <v>0</v>
      </c>
      <c r="W1852" s="6">
        <f t="shared" si="148"/>
        <v>0</v>
      </c>
      <c r="X1852" s="6">
        <f t="shared" si="140"/>
        <v>0</v>
      </c>
      <c r="Y1852" s="1">
        <f t="shared" si="146"/>
        <v>1</v>
      </c>
      <c r="Z1852" s="1">
        <f>IF(COUNTIF($Y$6:Y1852,Y1852)=1,Y1852,Y1852+COUNTIF($Y$5:Y1851,Y1852))</f>
        <v>847</v>
      </c>
      <c r="AD1852" s="1" t="str">
        <f t="shared" si="147"/>
        <v/>
      </c>
      <c r="BA1852" s="1">
        <f>IF(W1852&lt;=Leltar_iv!$Y$1,I1852,0)</f>
        <v>0</v>
      </c>
    </row>
    <row r="1853" spans="1:53" s="1" customFormat="1" x14ac:dyDescent="0.25">
      <c r="A1853" s="18">
        <f>IF(COUNTIF($Y$6:Y1853,Y1853)=1,Y1853,Y1853+COUNTIF($Y$5:Y1852,Y1853))</f>
        <v>848</v>
      </c>
      <c r="B1853" s="1">
        <f>IF(AND(Kisero_iv!$N$2=C1853,Kisero_iv!$K$5=$B$3,SUM(I1853:L1857)&lt;&gt;0,$B$4=YEAR(W1853)),B1852+1,0)</f>
        <v>0</v>
      </c>
      <c r="C1853" s="1">
        <f t="shared" si="141"/>
        <v>848</v>
      </c>
      <c r="D1853" s="102" t="str">
        <f t="shared" si="142"/>
        <v/>
      </c>
      <c r="E1853" s="44"/>
      <c r="F1853" s="45"/>
      <c r="G1853" s="45"/>
      <c r="H1853" s="45"/>
      <c r="I1853" s="46"/>
      <c r="J1853" s="111" t="str">
        <f>IF(AND(G1853&lt;&gt;"",ISERROR(VLOOKUP(G1853,Keszlet!$C$5:$H$200,6,FALSE))=FALSE),VLOOKUP(G1853,Keszlet!$C$5:$H$200,6,FALSE),"")</f>
        <v/>
      </c>
      <c r="K1853" s="106" t="str">
        <f>IF(AND(G1853&lt;&gt;"",ISERROR(VLOOKUP(G1853,Keszlet!$C$5:$G$200,5,FALSE))=FALSE),VLOOKUP(G1853,Keszlet!$C$5:$G$200,5,FALSE),"")</f>
        <v/>
      </c>
      <c r="L1853" s="106" t="str">
        <f t="shared" si="143"/>
        <v/>
      </c>
      <c r="M1853" s="115" t="str">
        <f>IF(ISERROR(VLOOKUP(G1853,Keszlet!$C$5:$I$200,7,FALSE))=TRUE,"",IF(AND(J1852&lt;&gt;"",J1854=""),VLOOKUP(G1853,Keszlet!$C$5:$I$200,7,FALSE),""))</f>
        <v/>
      </c>
      <c r="Q1853" s="1">
        <f>VLOOKUP(G1853,Keszlet!$C$5:$E$205,3,FALSE)</f>
        <v>0</v>
      </c>
      <c r="T1853" s="1" t="str">
        <f t="shared" si="144"/>
        <v/>
      </c>
      <c r="U1853" s="1">
        <f t="shared" si="145"/>
        <v>0</v>
      </c>
      <c r="W1853" s="6">
        <f t="shared" si="148"/>
        <v>0</v>
      </c>
      <c r="X1853" s="6">
        <f t="shared" si="140"/>
        <v>0</v>
      </c>
      <c r="Y1853" s="1">
        <f t="shared" si="146"/>
        <v>1</v>
      </c>
      <c r="Z1853" s="1">
        <f>IF(COUNTIF($Y$6:Y1853,Y1853)=1,Y1853,Y1853+COUNTIF($Y$5:Y1852,Y1853))</f>
        <v>848</v>
      </c>
      <c r="AD1853" s="1" t="str">
        <f t="shared" si="147"/>
        <v/>
      </c>
      <c r="BA1853" s="1">
        <f>IF(W1853&lt;=Leltar_iv!$Y$1,I1853,0)</f>
        <v>0</v>
      </c>
    </row>
    <row r="1854" spans="1:53" s="1" customFormat="1" x14ac:dyDescent="0.25">
      <c r="A1854" s="18">
        <f>IF(COUNTIF($Y$6:Y1854,Y1854)=1,Y1854,Y1854+COUNTIF($Y$5:Y1853,Y1854))</f>
        <v>849</v>
      </c>
      <c r="B1854" s="1">
        <f>IF(AND(Kisero_iv!$N$2=C1854,Kisero_iv!$K$5=$B$3,SUM(I1854:L1858)&lt;&gt;0,$B$4=YEAR(W1854)),B1853+1,0)</f>
        <v>0</v>
      </c>
      <c r="C1854" s="1">
        <f t="shared" si="141"/>
        <v>849</v>
      </c>
      <c r="D1854" s="102" t="str">
        <f t="shared" si="142"/>
        <v/>
      </c>
      <c r="E1854" s="44"/>
      <c r="F1854" s="45"/>
      <c r="G1854" s="45"/>
      <c r="H1854" s="45"/>
      <c r="I1854" s="46"/>
      <c r="J1854" s="111" t="str">
        <f>IF(AND(G1854&lt;&gt;"",ISERROR(VLOOKUP(G1854,Keszlet!$C$5:$H$200,6,FALSE))=FALSE),VLOOKUP(G1854,Keszlet!$C$5:$H$200,6,FALSE),"")</f>
        <v/>
      </c>
      <c r="K1854" s="106" t="str">
        <f>IF(AND(G1854&lt;&gt;"",ISERROR(VLOOKUP(G1854,Keszlet!$C$5:$G$200,5,FALSE))=FALSE),VLOOKUP(G1854,Keszlet!$C$5:$G$200,5,FALSE),"")</f>
        <v/>
      </c>
      <c r="L1854" s="106" t="str">
        <f t="shared" si="143"/>
        <v/>
      </c>
      <c r="M1854" s="115" t="str">
        <f>IF(ISERROR(VLOOKUP(G1854,Keszlet!$C$5:$I$200,7,FALSE))=TRUE,"",IF(AND(J1853&lt;&gt;"",J1855=""),VLOOKUP(G1854,Keszlet!$C$5:$I$200,7,FALSE),""))</f>
        <v/>
      </c>
      <c r="Q1854" s="1">
        <f>VLOOKUP(G1854,Keszlet!$C$5:$E$205,3,FALSE)</f>
        <v>0</v>
      </c>
      <c r="T1854" s="1" t="str">
        <f t="shared" si="144"/>
        <v/>
      </c>
      <c r="U1854" s="1">
        <f t="shared" si="145"/>
        <v>0</v>
      </c>
      <c r="W1854" s="6">
        <f t="shared" si="148"/>
        <v>0</v>
      </c>
      <c r="X1854" s="6">
        <f t="shared" si="140"/>
        <v>0</v>
      </c>
      <c r="Y1854" s="1">
        <f t="shared" si="146"/>
        <v>1</v>
      </c>
      <c r="Z1854" s="1">
        <f>IF(COUNTIF($Y$6:Y1854,Y1854)=1,Y1854,Y1854+COUNTIF($Y$5:Y1853,Y1854))</f>
        <v>849</v>
      </c>
      <c r="AD1854" s="1" t="str">
        <f t="shared" si="147"/>
        <v/>
      </c>
      <c r="BA1854" s="1">
        <f>IF(W1854&lt;=Leltar_iv!$Y$1,I1854,0)</f>
        <v>0</v>
      </c>
    </row>
    <row r="1855" spans="1:53" s="1" customFormat="1" x14ac:dyDescent="0.25">
      <c r="A1855" s="18">
        <f>IF(COUNTIF($Y$6:Y1855,Y1855)=1,Y1855,Y1855+COUNTIF($Y$5:Y1854,Y1855))</f>
        <v>850</v>
      </c>
      <c r="B1855" s="1">
        <f>IF(AND(Kisero_iv!$N$2=C1855,Kisero_iv!$K$5=$B$3,SUM(I1855:L1859)&lt;&gt;0,$B$4=YEAR(W1855)),B1854+1,0)</f>
        <v>0</v>
      </c>
      <c r="C1855" s="1">
        <f t="shared" si="141"/>
        <v>850</v>
      </c>
      <c r="D1855" s="102" t="str">
        <f t="shared" si="142"/>
        <v/>
      </c>
      <c r="E1855" s="44"/>
      <c r="F1855" s="45"/>
      <c r="G1855" s="45"/>
      <c r="H1855" s="45"/>
      <c r="I1855" s="46"/>
      <c r="J1855" s="111" t="str">
        <f>IF(AND(G1855&lt;&gt;"",ISERROR(VLOOKUP(G1855,Keszlet!$C$5:$H$200,6,FALSE))=FALSE),VLOOKUP(G1855,Keszlet!$C$5:$H$200,6,FALSE),"")</f>
        <v/>
      </c>
      <c r="K1855" s="106" t="str">
        <f>IF(AND(G1855&lt;&gt;"",ISERROR(VLOOKUP(G1855,Keszlet!$C$5:$G$200,5,FALSE))=FALSE),VLOOKUP(G1855,Keszlet!$C$5:$G$200,5,FALSE),"")</f>
        <v/>
      </c>
      <c r="L1855" s="106" t="str">
        <f t="shared" si="143"/>
        <v/>
      </c>
      <c r="M1855" s="115" t="str">
        <f>IF(ISERROR(VLOOKUP(G1855,Keszlet!$C$5:$I$200,7,FALSE))=TRUE,"",IF(AND(J1854&lt;&gt;"",J1856=""),VLOOKUP(G1855,Keszlet!$C$5:$I$200,7,FALSE),""))</f>
        <v/>
      </c>
      <c r="Q1855" s="1">
        <f>VLOOKUP(G1855,Keszlet!$C$5:$E$205,3,FALSE)</f>
        <v>0</v>
      </c>
      <c r="T1855" s="1" t="str">
        <f t="shared" si="144"/>
        <v/>
      </c>
      <c r="U1855" s="1">
        <f t="shared" si="145"/>
        <v>0</v>
      </c>
      <c r="W1855" s="6">
        <f t="shared" si="148"/>
        <v>0</v>
      </c>
      <c r="X1855" s="6">
        <f t="shared" si="140"/>
        <v>0</v>
      </c>
      <c r="Y1855" s="1">
        <f t="shared" si="146"/>
        <v>1</v>
      </c>
      <c r="Z1855" s="1">
        <f>IF(COUNTIF($Y$6:Y1855,Y1855)=1,Y1855,Y1855+COUNTIF($Y$5:Y1854,Y1855))</f>
        <v>850</v>
      </c>
      <c r="AD1855" s="1" t="str">
        <f t="shared" si="147"/>
        <v/>
      </c>
      <c r="BA1855" s="1">
        <f>IF(W1855&lt;=Leltar_iv!$Y$1,I1855,0)</f>
        <v>0</v>
      </c>
    </row>
    <row r="1856" spans="1:53" s="1" customFormat="1" x14ac:dyDescent="0.25">
      <c r="A1856" s="18">
        <f>IF(COUNTIF($Y$6:Y1856,Y1856)=1,Y1856,Y1856+COUNTIF($Y$5:Y1855,Y1856))</f>
        <v>851</v>
      </c>
      <c r="B1856" s="1">
        <f>IF(AND(Kisero_iv!$N$2=C1856,Kisero_iv!$K$5=$B$3,SUM(I1856:L1860)&lt;&gt;0,$B$4=YEAR(W1856)),B1855+1,0)</f>
        <v>0</v>
      </c>
      <c r="C1856" s="1">
        <f t="shared" si="141"/>
        <v>851</v>
      </c>
      <c r="D1856" s="102" t="str">
        <f t="shared" si="142"/>
        <v/>
      </c>
      <c r="E1856" s="44"/>
      <c r="F1856" s="45"/>
      <c r="G1856" s="45"/>
      <c r="H1856" s="45"/>
      <c r="I1856" s="46"/>
      <c r="J1856" s="111" t="str">
        <f>IF(AND(G1856&lt;&gt;"",ISERROR(VLOOKUP(G1856,Keszlet!$C$5:$H$200,6,FALSE))=FALSE),VLOOKUP(G1856,Keszlet!$C$5:$H$200,6,FALSE),"")</f>
        <v/>
      </c>
      <c r="K1856" s="106" t="str">
        <f>IF(AND(G1856&lt;&gt;"",ISERROR(VLOOKUP(G1856,Keszlet!$C$5:$G$200,5,FALSE))=FALSE),VLOOKUP(G1856,Keszlet!$C$5:$G$200,5,FALSE),"")</f>
        <v/>
      </c>
      <c r="L1856" s="106" t="str">
        <f t="shared" si="143"/>
        <v/>
      </c>
      <c r="M1856" s="115" t="str">
        <f>IF(ISERROR(VLOOKUP(G1856,Keszlet!$C$5:$I$200,7,FALSE))=TRUE,"",IF(AND(J1855&lt;&gt;"",J1857=""),VLOOKUP(G1856,Keszlet!$C$5:$I$200,7,FALSE),""))</f>
        <v/>
      </c>
      <c r="Q1856" s="1">
        <f>VLOOKUP(G1856,Keszlet!$C$5:$E$205,3,FALSE)</f>
        <v>0</v>
      </c>
      <c r="T1856" s="1" t="str">
        <f t="shared" si="144"/>
        <v/>
      </c>
      <c r="U1856" s="1">
        <f t="shared" si="145"/>
        <v>0</v>
      </c>
      <c r="W1856" s="6">
        <f t="shared" si="148"/>
        <v>0</v>
      </c>
      <c r="X1856" s="6">
        <f t="shared" si="140"/>
        <v>0</v>
      </c>
      <c r="Y1856" s="1">
        <f t="shared" si="146"/>
        <v>1</v>
      </c>
      <c r="Z1856" s="1">
        <f>IF(COUNTIF($Y$6:Y1856,Y1856)=1,Y1856,Y1856+COUNTIF($Y$5:Y1855,Y1856))</f>
        <v>851</v>
      </c>
      <c r="AD1856" s="1" t="str">
        <f t="shared" si="147"/>
        <v/>
      </c>
      <c r="BA1856" s="1">
        <f>IF(W1856&lt;=Leltar_iv!$Y$1,I1856,0)</f>
        <v>0</v>
      </c>
    </row>
    <row r="1857" spans="1:53" s="1" customFormat="1" x14ac:dyDescent="0.25">
      <c r="A1857" s="18">
        <f>IF(COUNTIF($Y$6:Y1857,Y1857)=1,Y1857,Y1857+COUNTIF($Y$5:Y1856,Y1857))</f>
        <v>852</v>
      </c>
      <c r="B1857" s="1">
        <f>IF(AND(Kisero_iv!$N$2=C1857,Kisero_iv!$K$5=$B$3,SUM(I1857:L1861)&lt;&gt;0,$B$4=YEAR(W1857)),B1856+1,0)</f>
        <v>0</v>
      </c>
      <c r="C1857" s="1">
        <f t="shared" si="141"/>
        <v>852</v>
      </c>
      <c r="D1857" s="102" t="str">
        <f t="shared" si="142"/>
        <v/>
      </c>
      <c r="E1857" s="44"/>
      <c r="F1857" s="45"/>
      <c r="G1857" s="45"/>
      <c r="H1857" s="45"/>
      <c r="I1857" s="46"/>
      <c r="J1857" s="111" t="str">
        <f>IF(AND(G1857&lt;&gt;"",ISERROR(VLOOKUP(G1857,Keszlet!$C$5:$H$200,6,FALSE))=FALSE),VLOOKUP(G1857,Keszlet!$C$5:$H$200,6,FALSE),"")</f>
        <v/>
      </c>
      <c r="K1857" s="106" t="str">
        <f>IF(AND(G1857&lt;&gt;"",ISERROR(VLOOKUP(G1857,Keszlet!$C$5:$G$200,5,FALSE))=FALSE),VLOOKUP(G1857,Keszlet!$C$5:$G$200,5,FALSE),"")</f>
        <v/>
      </c>
      <c r="L1857" s="106" t="str">
        <f t="shared" si="143"/>
        <v/>
      </c>
      <c r="M1857" s="115" t="str">
        <f>IF(ISERROR(VLOOKUP(G1857,Keszlet!$C$5:$I$200,7,FALSE))=TRUE,"",IF(AND(J1856&lt;&gt;"",J1858=""),VLOOKUP(G1857,Keszlet!$C$5:$I$200,7,FALSE),""))</f>
        <v/>
      </c>
      <c r="Q1857" s="1">
        <f>VLOOKUP(G1857,Keszlet!$C$5:$E$205,3,FALSE)</f>
        <v>0</v>
      </c>
      <c r="T1857" s="1" t="str">
        <f t="shared" si="144"/>
        <v/>
      </c>
      <c r="U1857" s="1">
        <f t="shared" si="145"/>
        <v>0</v>
      </c>
      <c r="W1857" s="6">
        <f t="shared" si="148"/>
        <v>0</v>
      </c>
      <c r="X1857" s="6">
        <f t="shared" si="140"/>
        <v>0</v>
      </c>
      <c r="Y1857" s="1">
        <f t="shared" si="146"/>
        <v>1</v>
      </c>
      <c r="Z1857" s="1">
        <f>IF(COUNTIF($Y$6:Y1857,Y1857)=1,Y1857,Y1857+COUNTIF($Y$5:Y1856,Y1857))</f>
        <v>852</v>
      </c>
      <c r="AD1857" s="1" t="str">
        <f t="shared" si="147"/>
        <v/>
      </c>
      <c r="BA1857" s="1">
        <f>IF(W1857&lt;=Leltar_iv!$Y$1,I1857,0)</f>
        <v>0</v>
      </c>
    </row>
    <row r="1858" spans="1:53" s="1" customFormat="1" x14ac:dyDescent="0.25">
      <c r="A1858" s="18">
        <f>IF(COUNTIF($Y$6:Y1858,Y1858)=1,Y1858,Y1858+COUNTIF($Y$5:Y1857,Y1858))</f>
        <v>853</v>
      </c>
      <c r="B1858" s="1">
        <f>IF(AND(Kisero_iv!$N$2=C1858,Kisero_iv!$K$5=$B$3,SUM(I1858:L1862)&lt;&gt;0,$B$4=YEAR(W1858)),B1857+1,0)</f>
        <v>0</v>
      </c>
      <c r="C1858" s="1">
        <f t="shared" si="141"/>
        <v>853</v>
      </c>
      <c r="D1858" s="102" t="str">
        <f t="shared" si="142"/>
        <v/>
      </c>
      <c r="E1858" s="44"/>
      <c r="F1858" s="45"/>
      <c r="G1858" s="45"/>
      <c r="H1858" s="45"/>
      <c r="I1858" s="46"/>
      <c r="J1858" s="111" t="str">
        <f>IF(AND(G1858&lt;&gt;"",ISERROR(VLOOKUP(G1858,Keszlet!$C$5:$H$200,6,FALSE))=FALSE),VLOOKUP(G1858,Keszlet!$C$5:$H$200,6,FALSE),"")</f>
        <v/>
      </c>
      <c r="K1858" s="106" t="str">
        <f>IF(AND(G1858&lt;&gt;"",ISERROR(VLOOKUP(G1858,Keszlet!$C$5:$G$200,5,FALSE))=FALSE),VLOOKUP(G1858,Keszlet!$C$5:$G$200,5,FALSE),"")</f>
        <v/>
      </c>
      <c r="L1858" s="106" t="str">
        <f t="shared" si="143"/>
        <v/>
      </c>
      <c r="M1858" s="115" t="str">
        <f>IF(ISERROR(VLOOKUP(G1858,Keszlet!$C$5:$I$200,7,FALSE))=TRUE,"",IF(AND(J1857&lt;&gt;"",J1859=""),VLOOKUP(G1858,Keszlet!$C$5:$I$200,7,FALSE),""))</f>
        <v/>
      </c>
      <c r="Q1858" s="1">
        <f>VLOOKUP(G1858,Keszlet!$C$5:$E$205,3,FALSE)</f>
        <v>0</v>
      </c>
      <c r="T1858" s="1" t="str">
        <f t="shared" si="144"/>
        <v/>
      </c>
      <c r="U1858" s="1">
        <f t="shared" si="145"/>
        <v>0</v>
      </c>
      <c r="W1858" s="6">
        <f t="shared" si="148"/>
        <v>0</v>
      </c>
      <c r="X1858" s="6">
        <f t="shared" si="140"/>
        <v>0</v>
      </c>
      <c r="Y1858" s="1">
        <f t="shared" si="146"/>
        <v>1</v>
      </c>
      <c r="Z1858" s="1">
        <f>IF(COUNTIF($Y$6:Y1858,Y1858)=1,Y1858,Y1858+COUNTIF($Y$5:Y1857,Y1858))</f>
        <v>853</v>
      </c>
      <c r="AD1858" s="1" t="str">
        <f t="shared" si="147"/>
        <v/>
      </c>
      <c r="BA1858" s="1">
        <f>IF(W1858&lt;=Leltar_iv!$Y$1,I1858,0)</f>
        <v>0</v>
      </c>
    </row>
    <row r="1859" spans="1:53" s="1" customFormat="1" x14ac:dyDescent="0.25">
      <c r="A1859" s="18">
        <f>IF(COUNTIF($Y$6:Y1859,Y1859)=1,Y1859,Y1859+COUNTIF($Y$5:Y1858,Y1859))</f>
        <v>854</v>
      </c>
      <c r="B1859" s="1">
        <f>IF(AND(Kisero_iv!$N$2=C1859,Kisero_iv!$K$5=$B$3,SUM(I1859:L1863)&lt;&gt;0,$B$4=YEAR(W1859)),B1858+1,0)</f>
        <v>0</v>
      </c>
      <c r="C1859" s="1">
        <f t="shared" si="141"/>
        <v>854</v>
      </c>
      <c r="D1859" s="102" t="str">
        <f t="shared" si="142"/>
        <v/>
      </c>
      <c r="E1859" s="44"/>
      <c r="F1859" s="45"/>
      <c r="G1859" s="45"/>
      <c r="H1859" s="45"/>
      <c r="I1859" s="46"/>
      <c r="J1859" s="111" t="str">
        <f>IF(AND(G1859&lt;&gt;"",ISERROR(VLOOKUP(G1859,Keszlet!$C$5:$H$200,6,FALSE))=FALSE),VLOOKUP(G1859,Keszlet!$C$5:$H$200,6,FALSE),"")</f>
        <v/>
      </c>
      <c r="K1859" s="106" t="str">
        <f>IF(AND(G1859&lt;&gt;"",ISERROR(VLOOKUP(G1859,Keszlet!$C$5:$G$200,5,FALSE))=FALSE),VLOOKUP(G1859,Keszlet!$C$5:$G$200,5,FALSE),"")</f>
        <v/>
      </c>
      <c r="L1859" s="106" t="str">
        <f t="shared" si="143"/>
        <v/>
      </c>
      <c r="M1859" s="115" t="str">
        <f>IF(ISERROR(VLOOKUP(G1859,Keszlet!$C$5:$I$200,7,FALSE))=TRUE,"",IF(AND(J1858&lt;&gt;"",J1860=""),VLOOKUP(G1859,Keszlet!$C$5:$I$200,7,FALSE),""))</f>
        <v/>
      </c>
      <c r="Q1859" s="1">
        <f>VLOOKUP(G1859,Keszlet!$C$5:$E$205,3,FALSE)</f>
        <v>0</v>
      </c>
      <c r="T1859" s="1" t="str">
        <f t="shared" si="144"/>
        <v/>
      </c>
      <c r="U1859" s="1">
        <f t="shared" si="145"/>
        <v>0</v>
      </c>
      <c r="W1859" s="6">
        <f t="shared" si="148"/>
        <v>0</v>
      </c>
      <c r="X1859" s="6">
        <f t="shared" si="140"/>
        <v>0</v>
      </c>
      <c r="Y1859" s="1">
        <f t="shared" si="146"/>
        <v>1</v>
      </c>
      <c r="Z1859" s="1">
        <f>IF(COUNTIF($Y$6:Y1859,Y1859)=1,Y1859,Y1859+COUNTIF($Y$5:Y1858,Y1859))</f>
        <v>854</v>
      </c>
      <c r="AD1859" s="1" t="str">
        <f t="shared" si="147"/>
        <v/>
      </c>
      <c r="BA1859" s="1">
        <f>IF(W1859&lt;=Leltar_iv!$Y$1,I1859,0)</f>
        <v>0</v>
      </c>
    </row>
    <row r="1860" spans="1:53" s="1" customFormat="1" x14ac:dyDescent="0.25">
      <c r="A1860" s="18">
        <f>IF(COUNTIF($Y$6:Y1860,Y1860)=1,Y1860,Y1860+COUNTIF($Y$5:Y1859,Y1860))</f>
        <v>855</v>
      </c>
      <c r="B1860" s="1">
        <f>IF(AND(Kisero_iv!$N$2=C1860,Kisero_iv!$K$5=$B$3,SUM(I1860:L1864)&lt;&gt;0,$B$4=YEAR(W1860)),B1859+1,0)</f>
        <v>0</v>
      </c>
      <c r="C1860" s="1">
        <f t="shared" si="141"/>
        <v>855</v>
      </c>
      <c r="D1860" s="102" t="str">
        <f t="shared" si="142"/>
        <v/>
      </c>
      <c r="E1860" s="44"/>
      <c r="F1860" s="45"/>
      <c r="G1860" s="45"/>
      <c r="H1860" s="45"/>
      <c r="I1860" s="46"/>
      <c r="J1860" s="111" t="str">
        <f>IF(AND(G1860&lt;&gt;"",ISERROR(VLOOKUP(G1860,Keszlet!$C$5:$H$200,6,FALSE))=FALSE),VLOOKUP(G1860,Keszlet!$C$5:$H$200,6,FALSE),"")</f>
        <v/>
      </c>
      <c r="K1860" s="106" t="str">
        <f>IF(AND(G1860&lt;&gt;"",ISERROR(VLOOKUP(G1860,Keszlet!$C$5:$G$200,5,FALSE))=FALSE),VLOOKUP(G1860,Keszlet!$C$5:$G$200,5,FALSE),"")</f>
        <v/>
      </c>
      <c r="L1860" s="106" t="str">
        <f t="shared" si="143"/>
        <v/>
      </c>
      <c r="M1860" s="115" t="str">
        <f>IF(ISERROR(VLOOKUP(G1860,Keszlet!$C$5:$I$200,7,FALSE))=TRUE,"",IF(AND(J1859&lt;&gt;"",J1861=""),VLOOKUP(G1860,Keszlet!$C$5:$I$200,7,FALSE),""))</f>
        <v/>
      </c>
      <c r="Q1860" s="1">
        <f>VLOOKUP(G1860,Keszlet!$C$5:$E$205,3,FALSE)</f>
        <v>0</v>
      </c>
      <c r="T1860" s="1" t="str">
        <f t="shared" si="144"/>
        <v/>
      </c>
      <c r="U1860" s="1">
        <f t="shared" si="145"/>
        <v>0</v>
      </c>
      <c r="W1860" s="6">
        <f t="shared" si="148"/>
        <v>0</v>
      </c>
      <c r="X1860" s="6">
        <f t="shared" si="140"/>
        <v>0</v>
      </c>
      <c r="Y1860" s="1">
        <f t="shared" si="146"/>
        <v>1</v>
      </c>
      <c r="Z1860" s="1">
        <f>IF(COUNTIF($Y$6:Y1860,Y1860)=1,Y1860,Y1860+COUNTIF($Y$5:Y1859,Y1860))</f>
        <v>855</v>
      </c>
      <c r="AD1860" s="1" t="str">
        <f t="shared" si="147"/>
        <v/>
      </c>
      <c r="BA1860" s="1">
        <f>IF(W1860&lt;=Leltar_iv!$Y$1,I1860,0)</f>
        <v>0</v>
      </c>
    </row>
    <row r="1861" spans="1:53" s="1" customFormat="1" x14ac:dyDescent="0.25">
      <c r="A1861" s="18">
        <f>IF(COUNTIF($Y$6:Y1861,Y1861)=1,Y1861,Y1861+COUNTIF($Y$5:Y1860,Y1861))</f>
        <v>856</v>
      </c>
      <c r="B1861" s="1">
        <f>IF(AND(Kisero_iv!$N$2=C1861,Kisero_iv!$K$5=$B$3,SUM(I1861:L1865)&lt;&gt;0,$B$4=YEAR(W1861)),B1860+1,0)</f>
        <v>0</v>
      </c>
      <c r="C1861" s="1">
        <f t="shared" si="141"/>
        <v>856</v>
      </c>
      <c r="D1861" s="102" t="str">
        <f t="shared" si="142"/>
        <v/>
      </c>
      <c r="E1861" s="44"/>
      <c r="F1861" s="45"/>
      <c r="G1861" s="45"/>
      <c r="H1861" s="45"/>
      <c r="I1861" s="46"/>
      <c r="J1861" s="111" t="str">
        <f>IF(AND(G1861&lt;&gt;"",ISERROR(VLOOKUP(G1861,Keszlet!$C$5:$H$200,6,FALSE))=FALSE),VLOOKUP(G1861,Keszlet!$C$5:$H$200,6,FALSE),"")</f>
        <v/>
      </c>
      <c r="K1861" s="106" t="str">
        <f>IF(AND(G1861&lt;&gt;"",ISERROR(VLOOKUP(G1861,Keszlet!$C$5:$G$200,5,FALSE))=FALSE),VLOOKUP(G1861,Keszlet!$C$5:$G$200,5,FALSE),"")</f>
        <v/>
      </c>
      <c r="L1861" s="106" t="str">
        <f t="shared" si="143"/>
        <v/>
      </c>
      <c r="M1861" s="115" t="str">
        <f>IF(ISERROR(VLOOKUP(G1861,Keszlet!$C$5:$I$200,7,FALSE))=TRUE,"",IF(AND(J1860&lt;&gt;"",J1862=""),VLOOKUP(G1861,Keszlet!$C$5:$I$200,7,FALSE),""))</f>
        <v/>
      </c>
      <c r="Q1861" s="1">
        <f>VLOOKUP(G1861,Keszlet!$C$5:$E$205,3,FALSE)</f>
        <v>0</v>
      </c>
      <c r="T1861" s="1" t="str">
        <f t="shared" si="144"/>
        <v/>
      </c>
      <c r="U1861" s="1">
        <f t="shared" si="145"/>
        <v>0</v>
      </c>
      <c r="W1861" s="6">
        <f t="shared" si="148"/>
        <v>0</v>
      </c>
      <c r="X1861" s="6">
        <f t="shared" si="140"/>
        <v>0</v>
      </c>
      <c r="Y1861" s="1">
        <f t="shared" si="146"/>
        <v>1</v>
      </c>
      <c r="Z1861" s="1">
        <f>IF(COUNTIF($Y$6:Y1861,Y1861)=1,Y1861,Y1861+COUNTIF($Y$5:Y1860,Y1861))</f>
        <v>856</v>
      </c>
      <c r="AD1861" s="1" t="str">
        <f t="shared" si="147"/>
        <v/>
      </c>
      <c r="BA1861" s="1">
        <f>IF(W1861&lt;=Leltar_iv!$Y$1,I1861,0)</f>
        <v>0</v>
      </c>
    </row>
    <row r="1862" spans="1:53" s="1" customFormat="1" x14ac:dyDescent="0.25">
      <c r="A1862" s="18">
        <f>IF(COUNTIF($Y$6:Y1862,Y1862)=1,Y1862,Y1862+COUNTIF($Y$5:Y1861,Y1862))</f>
        <v>857</v>
      </c>
      <c r="B1862" s="1">
        <f>IF(AND(Kisero_iv!$N$2=C1862,Kisero_iv!$K$5=$B$3,SUM(I1862:L1866)&lt;&gt;0,$B$4=YEAR(W1862)),B1861+1,0)</f>
        <v>0</v>
      </c>
      <c r="C1862" s="1">
        <f t="shared" si="141"/>
        <v>857</v>
      </c>
      <c r="D1862" s="102" t="str">
        <f t="shared" si="142"/>
        <v/>
      </c>
      <c r="E1862" s="44"/>
      <c r="F1862" s="45"/>
      <c r="G1862" s="45"/>
      <c r="H1862" s="45"/>
      <c r="I1862" s="46"/>
      <c r="J1862" s="111" t="str">
        <f>IF(AND(G1862&lt;&gt;"",ISERROR(VLOOKUP(G1862,Keszlet!$C$5:$H$200,6,FALSE))=FALSE),VLOOKUP(G1862,Keszlet!$C$5:$H$200,6,FALSE),"")</f>
        <v/>
      </c>
      <c r="K1862" s="106" t="str">
        <f>IF(AND(G1862&lt;&gt;"",ISERROR(VLOOKUP(G1862,Keszlet!$C$5:$G$200,5,FALSE))=FALSE),VLOOKUP(G1862,Keszlet!$C$5:$G$200,5,FALSE),"")</f>
        <v/>
      </c>
      <c r="L1862" s="106" t="str">
        <f t="shared" si="143"/>
        <v/>
      </c>
      <c r="M1862" s="115" t="str">
        <f>IF(ISERROR(VLOOKUP(G1862,Keszlet!$C$5:$I$200,7,FALSE))=TRUE,"",IF(AND(J1861&lt;&gt;"",J1863=""),VLOOKUP(G1862,Keszlet!$C$5:$I$200,7,FALSE),""))</f>
        <v/>
      </c>
      <c r="Q1862" s="1">
        <f>VLOOKUP(G1862,Keszlet!$C$5:$E$205,3,FALSE)</f>
        <v>0</v>
      </c>
      <c r="T1862" s="1" t="str">
        <f t="shared" si="144"/>
        <v/>
      </c>
      <c r="U1862" s="1">
        <f t="shared" si="145"/>
        <v>0</v>
      </c>
      <c r="W1862" s="6">
        <f t="shared" si="148"/>
        <v>0</v>
      </c>
      <c r="X1862" s="6">
        <f t="shared" si="140"/>
        <v>0</v>
      </c>
      <c r="Y1862" s="1">
        <f t="shared" si="146"/>
        <v>1</v>
      </c>
      <c r="Z1862" s="1">
        <f>IF(COUNTIF($Y$6:Y1862,Y1862)=1,Y1862,Y1862+COUNTIF($Y$5:Y1861,Y1862))</f>
        <v>857</v>
      </c>
      <c r="AD1862" s="1" t="str">
        <f t="shared" si="147"/>
        <v/>
      </c>
      <c r="BA1862" s="1">
        <f>IF(W1862&lt;=Leltar_iv!$Y$1,I1862,0)</f>
        <v>0</v>
      </c>
    </row>
    <row r="1863" spans="1:53" s="1" customFormat="1" x14ac:dyDescent="0.25">
      <c r="A1863" s="18">
        <f>IF(COUNTIF($Y$6:Y1863,Y1863)=1,Y1863,Y1863+COUNTIF($Y$5:Y1862,Y1863))</f>
        <v>858</v>
      </c>
      <c r="B1863" s="1">
        <f>IF(AND(Kisero_iv!$N$2=C1863,Kisero_iv!$K$5=$B$3,SUM(I1863:L1867)&lt;&gt;0,$B$4=YEAR(W1863)),B1862+1,0)</f>
        <v>0</v>
      </c>
      <c r="C1863" s="1">
        <f t="shared" si="141"/>
        <v>858</v>
      </c>
      <c r="D1863" s="102" t="str">
        <f t="shared" si="142"/>
        <v/>
      </c>
      <c r="E1863" s="44"/>
      <c r="F1863" s="45"/>
      <c r="G1863" s="45"/>
      <c r="H1863" s="45"/>
      <c r="I1863" s="46"/>
      <c r="J1863" s="111" t="str">
        <f>IF(AND(G1863&lt;&gt;"",ISERROR(VLOOKUP(G1863,Keszlet!$C$5:$H$200,6,FALSE))=FALSE),VLOOKUP(G1863,Keszlet!$C$5:$H$200,6,FALSE),"")</f>
        <v/>
      </c>
      <c r="K1863" s="106" t="str">
        <f>IF(AND(G1863&lt;&gt;"",ISERROR(VLOOKUP(G1863,Keszlet!$C$5:$G$200,5,FALSE))=FALSE),VLOOKUP(G1863,Keszlet!$C$5:$G$200,5,FALSE),"")</f>
        <v/>
      </c>
      <c r="L1863" s="106" t="str">
        <f t="shared" si="143"/>
        <v/>
      </c>
      <c r="M1863" s="115" t="str">
        <f>IF(ISERROR(VLOOKUP(G1863,Keszlet!$C$5:$I$200,7,FALSE))=TRUE,"",IF(AND(J1862&lt;&gt;"",J1864=""),VLOOKUP(G1863,Keszlet!$C$5:$I$200,7,FALSE),""))</f>
        <v/>
      </c>
      <c r="Q1863" s="1">
        <f>VLOOKUP(G1863,Keszlet!$C$5:$E$205,3,FALSE)</f>
        <v>0</v>
      </c>
      <c r="T1863" s="1" t="str">
        <f t="shared" si="144"/>
        <v/>
      </c>
      <c r="U1863" s="1">
        <f t="shared" si="145"/>
        <v>0</v>
      </c>
      <c r="W1863" s="6">
        <f t="shared" si="148"/>
        <v>0</v>
      </c>
      <c r="X1863" s="6">
        <f t="shared" si="140"/>
        <v>0</v>
      </c>
      <c r="Y1863" s="1">
        <f t="shared" si="146"/>
        <v>1</v>
      </c>
      <c r="Z1863" s="1">
        <f>IF(COUNTIF($Y$6:Y1863,Y1863)=1,Y1863,Y1863+COUNTIF($Y$5:Y1862,Y1863))</f>
        <v>858</v>
      </c>
      <c r="AD1863" s="1" t="str">
        <f t="shared" si="147"/>
        <v/>
      </c>
      <c r="BA1863" s="1">
        <f>IF(W1863&lt;=Leltar_iv!$Y$1,I1863,0)</f>
        <v>0</v>
      </c>
    </row>
    <row r="1864" spans="1:53" s="1" customFormat="1" x14ac:dyDescent="0.25">
      <c r="A1864" s="18">
        <f>IF(COUNTIF($Y$6:Y1864,Y1864)=1,Y1864,Y1864+COUNTIF($Y$5:Y1863,Y1864))</f>
        <v>859</v>
      </c>
      <c r="B1864" s="1">
        <f>IF(AND(Kisero_iv!$N$2=C1864,Kisero_iv!$K$5=$B$3,SUM(I1864:L1868)&lt;&gt;0,$B$4=YEAR(W1864)),B1863+1,0)</f>
        <v>0</v>
      </c>
      <c r="C1864" s="1">
        <f t="shared" si="141"/>
        <v>859</v>
      </c>
      <c r="D1864" s="102" t="str">
        <f t="shared" si="142"/>
        <v/>
      </c>
      <c r="E1864" s="44"/>
      <c r="F1864" s="45"/>
      <c r="G1864" s="45"/>
      <c r="H1864" s="45"/>
      <c r="I1864" s="46"/>
      <c r="J1864" s="111" t="str">
        <f>IF(AND(G1864&lt;&gt;"",ISERROR(VLOOKUP(G1864,Keszlet!$C$5:$H$200,6,FALSE))=FALSE),VLOOKUP(G1864,Keszlet!$C$5:$H$200,6,FALSE),"")</f>
        <v/>
      </c>
      <c r="K1864" s="106" t="str">
        <f>IF(AND(G1864&lt;&gt;"",ISERROR(VLOOKUP(G1864,Keszlet!$C$5:$G$200,5,FALSE))=FALSE),VLOOKUP(G1864,Keszlet!$C$5:$G$200,5,FALSE),"")</f>
        <v/>
      </c>
      <c r="L1864" s="106" t="str">
        <f t="shared" si="143"/>
        <v/>
      </c>
      <c r="M1864" s="115" t="str">
        <f>IF(ISERROR(VLOOKUP(G1864,Keszlet!$C$5:$I$200,7,FALSE))=TRUE,"",IF(AND(J1863&lt;&gt;"",J1865=""),VLOOKUP(G1864,Keszlet!$C$5:$I$200,7,FALSE),""))</f>
        <v/>
      </c>
      <c r="Q1864" s="1">
        <f>VLOOKUP(G1864,Keszlet!$C$5:$E$205,3,FALSE)</f>
        <v>0</v>
      </c>
      <c r="T1864" s="1" t="str">
        <f t="shared" si="144"/>
        <v/>
      </c>
      <c r="U1864" s="1">
        <f t="shared" si="145"/>
        <v>0</v>
      </c>
      <c r="W1864" s="6">
        <f t="shared" si="148"/>
        <v>0</v>
      </c>
      <c r="X1864" s="6">
        <f t="shared" si="140"/>
        <v>0</v>
      </c>
      <c r="Y1864" s="1">
        <f t="shared" si="146"/>
        <v>1</v>
      </c>
      <c r="Z1864" s="1">
        <f>IF(COUNTIF($Y$6:Y1864,Y1864)=1,Y1864,Y1864+COUNTIF($Y$5:Y1863,Y1864))</f>
        <v>859</v>
      </c>
      <c r="AD1864" s="1" t="str">
        <f t="shared" si="147"/>
        <v/>
      </c>
      <c r="BA1864" s="1">
        <f>IF(W1864&lt;=Leltar_iv!$Y$1,I1864,0)</f>
        <v>0</v>
      </c>
    </row>
    <row r="1865" spans="1:53" s="1" customFormat="1" x14ac:dyDescent="0.25">
      <c r="A1865" s="18">
        <f>IF(COUNTIF($Y$6:Y1865,Y1865)=1,Y1865,Y1865+COUNTIF($Y$5:Y1864,Y1865))</f>
        <v>860</v>
      </c>
      <c r="B1865" s="1">
        <f>IF(AND(Kisero_iv!$N$2=C1865,Kisero_iv!$K$5=$B$3,SUM(I1865:L1869)&lt;&gt;0,$B$4=YEAR(W1865)),B1864+1,0)</f>
        <v>0</v>
      </c>
      <c r="C1865" s="1">
        <f t="shared" si="141"/>
        <v>860</v>
      </c>
      <c r="D1865" s="102" t="str">
        <f t="shared" si="142"/>
        <v/>
      </c>
      <c r="E1865" s="44"/>
      <c r="F1865" s="45"/>
      <c r="G1865" s="45"/>
      <c r="H1865" s="45"/>
      <c r="I1865" s="46"/>
      <c r="J1865" s="111" t="str">
        <f>IF(AND(G1865&lt;&gt;"",ISERROR(VLOOKUP(G1865,Keszlet!$C$5:$H$200,6,FALSE))=FALSE),VLOOKUP(G1865,Keszlet!$C$5:$H$200,6,FALSE),"")</f>
        <v/>
      </c>
      <c r="K1865" s="106" t="str">
        <f>IF(AND(G1865&lt;&gt;"",ISERROR(VLOOKUP(G1865,Keszlet!$C$5:$G$200,5,FALSE))=FALSE),VLOOKUP(G1865,Keszlet!$C$5:$G$200,5,FALSE),"")</f>
        <v/>
      </c>
      <c r="L1865" s="106" t="str">
        <f t="shared" si="143"/>
        <v/>
      </c>
      <c r="M1865" s="115" t="str">
        <f>IF(ISERROR(VLOOKUP(G1865,Keszlet!$C$5:$I$200,7,FALSE))=TRUE,"",IF(AND(J1864&lt;&gt;"",J1866=""),VLOOKUP(G1865,Keszlet!$C$5:$I$200,7,FALSE),""))</f>
        <v/>
      </c>
      <c r="Q1865" s="1">
        <f>VLOOKUP(G1865,Keszlet!$C$5:$E$205,3,FALSE)</f>
        <v>0</v>
      </c>
      <c r="T1865" s="1" t="str">
        <f t="shared" si="144"/>
        <v/>
      </c>
      <c r="U1865" s="1">
        <f t="shared" si="145"/>
        <v>0</v>
      </c>
      <c r="W1865" s="6">
        <f t="shared" si="148"/>
        <v>0</v>
      </c>
      <c r="X1865" s="6">
        <f t="shared" si="140"/>
        <v>0</v>
      </c>
      <c r="Y1865" s="1">
        <f t="shared" si="146"/>
        <v>1</v>
      </c>
      <c r="Z1865" s="1">
        <f>IF(COUNTIF($Y$6:Y1865,Y1865)=1,Y1865,Y1865+COUNTIF($Y$5:Y1864,Y1865))</f>
        <v>860</v>
      </c>
      <c r="AD1865" s="1" t="str">
        <f t="shared" si="147"/>
        <v/>
      </c>
      <c r="BA1865" s="1">
        <f>IF(W1865&lt;=Leltar_iv!$Y$1,I1865,0)</f>
        <v>0</v>
      </c>
    </row>
    <row r="1866" spans="1:53" s="1" customFormat="1" x14ac:dyDescent="0.25">
      <c r="A1866" s="18">
        <f>IF(COUNTIF($Y$6:Y1866,Y1866)=1,Y1866,Y1866+COUNTIF($Y$5:Y1865,Y1866))</f>
        <v>861</v>
      </c>
      <c r="B1866" s="1">
        <f>IF(AND(Kisero_iv!$N$2=C1866,Kisero_iv!$K$5=$B$3,SUM(I1866:L1870)&lt;&gt;0,$B$4=YEAR(W1866)),B1865+1,0)</f>
        <v>0</v>
      </c>
      <c r="C1866" s="1">
        <f t="shared" si="141"/>
        <v>861</v>
      </c>
      <c r="D1866" s="102" t="str">
        <f t="shared" si="142"/>
        <v/>
      </c>
      <c r="E1866" s="44"/>
      <c r="F1866" s="45"/>
      <c r="G1866" s="45"/>
      <c r="H1866" s="45"/>
      <c r="I1866" s="46"/>
      <c r="J1866" s="111" t="str">
        <f>IF(AND(G1866&lt;&gt;"",ISERROR(VLOOKUP(G1866,Keszlet!$C$5:$H$200,6,FALSE))=FALSE),VLOOKUP(G1866,Keszlet!$C$5:$H$200,6,FALSE),"")</f>
        <v/>
      </c>
      <c r="K1866" s="106" t="str">
        <f>IF(AND(G1866&lt;&gt;"",ISERROR(VLOOKUP(G1866,Keszlet!$C$5:$G$200,5,FALSE))=FALSE),VLOOKUP(G1866,Keszlet!$C$5:$G$200,5,FALSE),"")</f>
        <v/>
      </c>
      <c r="L1866" s="106" t="str">
        <f t="shared" si="143"/>
        <v/>
      </c>
      <c r="M1866" s="115" t="str">
        <f>IF(ISERROR(VLOOKUP(G1866,Keszlet!$C$5:$I$200,7,FALSE))=TRUE,"",IF(AND(J1865&lt;&gt;"",J1867=""),VLOOKUP(G1866,Keszlet!$C$5:$I$200,7,FALSE),""))</f>
        <v/>
      </c>
      <c r="Q1866" s="1">
        <f>VLOOKUP(G1866,Keszlet!$C$5:$E$205,3,FALSE)</f>
        <v>0</v>
      </c>
      <c r="T1866" s="1" t="str">
        <f t="shared" si="144"/>
        <v/>
      </c>
      <c r="U1866" s="1">
        <f t="shared" si="145"/>
        <v>0</v>
      </c>
      <c r="W1866" s="6">
        <f t="shared" si="148"/>
        <v>0</v>
      </c>
      <c r="X1866" s="6">
        <f t="shared" si="140"/>
        <v>0</v>
      </c>
      <c r="Y1866" s="1">
        <f t="shared" si="146"/>
        <v>1</v>
      </c>
      <c r="Z1866" s="1">
        <f>IF(COUNTIF($Y$6:Y1866,Y1866)=1,Y1866,Y1866+COUNTIF($Y$5:Y1865,Y1866))</f>
        <v>861</v>
      </c>
      <c r="AD1866" s="1" t="str">
        <f t="shared" si="147"/>
        <v/>
      </c>
      <c r="BA1866" s="1">
        <f>IF(W1866&lt;=Leltar_iv!$Y$1,I1866,0)</f>
        <v>0</v>
      </c>
    </row>
    <row r="1867" spans="1:53" s="1" customFormat="1" x14ac:dyDescent="0.25">
      <c r="A1867" s="18">
        <f>IF(COUNTIF($Y$6:Y1867,Y1867)=1,Y1867,Y1867+COUNTIF($Y$5:Y1866,Y1867))</f>
        <v>862</v>
      </c>
      <c r="B1867" s="1">
        <f>IF(AND(Kisero_iv!$N$2=C1867,Kisero_iv!$K$5=$B$3,SUM(I1867:L1871)&lt;&gt;0,$B$4=YEAR(W1867)),B1866+1,0)</f>
        <v>0</v>
      </c>
      <c r="C1867" s="1">
        <f t="shared" si="141"/>
        <v>862</v>
      </c>
      <c r="D1867" s="102" t="str">
        <f t="shared" si="142"/>
        <v/>
      </c>
      <c r="E1867" s="44"/>
      <c r="F1867" s="45"/>
      <c r="G1867" s="45"/>
      <c r="H1867" s="45"/>
      <c r="I1867" s="46"/>
      <c r="J1867" s="111" t="str">
        <f>IF(AND(G1867&lt;&gt;"",ISERROR(VLOOKUP(G1867,Keszlet!$C$5:$H$200,6,FALSE))=FALSE),VLOOKUP(G1867,Keszlet!$C$5:$H$200,6,FALSE),"")</f>
        <v/>
      </c>
      <c r="K1867" s="106" t="str">
        <f>IF(AND(G1867&lt;&gt;"",ISERROR(VLOOKUP(G1867,Keszlet!$C$5:$G$200,5,FALSE))=FALSE),VLOOKUP(G1867,Keszlet!$C$5:$G$200,5,FALSE),"")</f>
        <v/>
      </c>
      <c r="L1867" s="106" t="str">
        <f t="shared" si="143"/>
        <v/>
      </c>
      <c r="M1867" s="115" t="str">
        <f>IF(ISERROR(VLOOKUP(G1867,Keszlet!$C$5:$I$200,7,FALSE))=TRUE,"",IF(AND(J1866&lt;&gt;"",J1868=""),VLOOKUP(G1867,Keszlet!$C$5:$I$200,7,FALSE),""))</f>
        <v/>
      </c>
      <c r="Q1867" s="1">
        <f>VLOOKUP(G1867,Keszlet!$C$5:$E$205,3,FALSE)</f>
        <v>0</v>
      </c>
      <c r="T1867" s="1" t="str">
        <f t="shared" si="144"/>
        <v/>
      </c>
      <c r="U1867" s="1">
        <f t="shared" si="145"/>
        <v>0</v>
      </c>
      <c r="W1867" s="6">
        <f t="shared" si="148"/>
        <v>0</v>
      </c>
      <c r="X1867" s="6">
        <f t="shared" si="140"/>
        <v>0</v>
      </c>
      <c r="Y1867" s="1">
        <f t="shared" si="146"/>
        <v>1</v>
      </c>
      <c r="Z1867" s="1">
        <f>IF(COUNTIF($Y$6:Y1867,Y1867)=1,Y1867,Y1867+COUNTIF($Y$5:Y1866,Y1867))</f>
        <v>862</v>
      </c>
      <c r="AD1867" s="1" t="str">
        <f t="shared" si="147"/>
        <v/>
      </c>
      <c r="BA1867" s="1">
        <f>IF(W1867&lt;=Leltar_iv!$Y$1,I1867,0)</f>
        <v>0</v>
      </c>
    </row>
    <row r="1868" spans="1:53" s="1" customFormat="1" x14ac:dyDescent="0.25">
      <c r="A1868" s="18">
        <f>IF(COUNTIF($Y$6:Y1868,Y1868)=1,Y1868,Y1868+COUNTIF($Y$5:Y1867,Y1868))</f>
        <v>863</v>
      </c>
      <c r="B1868" s="1">
        <f>IF(AND(Kisero_iv!$N$2=C1868,Kisero_iv!$K$5=$B$3,SUM(I1868:L1872)&lt;&gt;0,$B$4=YEAR(W1868)),B1867+1,0)</f>
        <v>0</v>
      </c>
      <c r="C1868" s="1">
        <f t="shared" si="141"/>
        <v>863</v>
      </c>
      <c r="D1868" s="102" t="str">
        <f t="shared" si="142"/>
        <v/>
      </c>
      <c r="E1868" s="44"/>
      <c r="F1868" s="45"/>
      <c r="G1868" s="45"/>
      <c r="H1868" s="45"/>
      <c r="I1868" s="46"/>
      <c r="J1868" s="111" t="str">
        <f>IF(AND(G1868&lt;&gt;"",ISERROR(VLOOKUP(G1868,Keszlet!$C$5:$H$200,6,FALSE))=FALSE),VLOOKUP(G1868,Keszlet!$C$5:$H$200,6,FALSE),"")</f>
        <v/>
      </c>
      <c r="K1868" s="106" t="str">
        <f>IF(AND(G1868&lt;&gt;"",ISERROR(VLOOKUP(G1868,Keszlet!$C$5:$G$200,5,FALSE))=FALSE),VLOOKUP(G1868,Keszlet!$C$5:$G$200,5,FALSE),"")</f>
        <v/>
      </c>
      <c r="L1868" s="106" t="str">
        <f t="shared" si="143"/>
        <v/>
      </c>
      <c r="M1868" s="115" t="str">
        <f>IF(ISERROR(VLOOKUP(G1868,Keszlet!$C$5:$I$200,7,FALSE))=TRUE,"",IF(AND(J1867&lt;&gt;"",J1869=""),VLOOKUP(G1868,Keszlet!$C$5:$I$200,7,FALSE),""))</f>
        <v/>
      </c>
      <c r="Q1868" s="1">
        <f>VLOOKUP(G1868,Keszlet!$C$5:$E$205,3,FALSE)</f>
        <v>0</v>
      </c>
      <c r="T1868" s="1" t="str">
        <f t="shared" si="144"/>
        <v/>
      </c>
      <c r="U1868" s="1">
        <f t="shared" si="145"/>
        <v>0</v>
      </c>
      <c r="W1868" s="6">
        <f t="shared" si="148"/>
        <v>0</v>
      </c>
      <c r="X1868" s="6">
        <f t="shared" si="140"/>
        <v>0</v>
      </c>
      <c r="Y1868" s="1">
        <f t="shared" si="146"/>
        <v>1</v>
      </c>
      <c r="Z1868" s="1">
        <f>IF(COUNTIF($Y$6:Y1868,Y1868)=1,Y1868,Y1868+COUNTIF($Y$5:Y1867,Y1868))</f>
        <v>863</v>
      </c>
      <c r="AD1868" s="1" t="str">
        <f t="shared" si="147"/>
        <v/>
      </c>
      <c r="BA1868" s="1">
        <f>IF(W1868&lt;=Leltar_iv!$Y$1,I1868,0)</f>
        <v>0</v>
      </c>
    </row>
    <row r="1869" spans="1:53" s="1" customFormat="1" x14ac:dyDescent="0.25">
      <c r="A1869" s="18">
        <f>IF(COUNTIF($Y$6:Y1869,Y1869)=1,Y1869,Y1869+COUNTIF($Y$5:Y1868,Y1869))</f>
        <v>864</v>
      </c>
      <c r="B1869" s="1">
        <f>IF(AND(Kisero_iv!$N$2=C1869,Kisero_iv!$K$5=$B$3,SUM(I1869:L1873)&lt;&gt;0,$B$4=YEAR(W1869)),B1868+1,0)</f>
        <v>0</v>
      </c>
      <c r="C1869" s="1">
        <f t="shared" si="141"/>
        <v>864</v>
      </c>
      <c r="D1869" s="102" t="str">
        <f t="shared" si="142"/>
        <v/>
      </c>
      <c r="E1869" s="44"/>
      <c r="F1869" s="45"/>
      <c r="G1869" s="45"/>
      <c r="H1869" s="45"/>
      <c r="I1869" s="46"/>
      <c r="J1869" s="111" t="str">
        <f>IF(AND(G1869&lt;&gt;"",ISERROR(VLOOKUP(G1869,Keszlet!$C$5:$H$200,6,FALSE))=FALSE),VLOOKUP(G1869,Keszlet!$C$5:$H$200,6,FALSE),"")</f>
        <v/>
      </c>
      <c r="K1869" s="106" t="str">
        <f>IF(AND(G1869&lt;&gt;"",ISERROR(VLOOKUP(G1869,Keszlet!$C$5:$G$200,5,FALSE))=FALSE),VLOOKUP(G1869,Keszlet!$C$5:$G$200,5,FALSE),"")</f>
        <v/>
      </c>
      <c r="L1869" s="106" t="str">
        <f t="shared" si="143"/>
        <v/>
      </c>
      <c r="M1869" s="115" t="str">
        <f>IF(ISERROR(VLOOKUP(G1869,Keszlet!$C$5:$I$200,7,FALSE))=TRUE,"",IF(AND(J1868&lt;&gt;"",J1870=""),VLOOKUP(G1869,Keszlet!$C$5:$I$200,7,FALSE),""))</f>
        <v/>
      </c>
      <c r="Q1869" s="1">
        <f>VLOOKUP(G1869,Keszlet!$C$5:$E$205,3,FALSE)</f>
        <v>0</v>
      </c>
      <c r="T1869" s="1" t="str">
        <f t="shared" si="144"/>
        <v/>
      </c>
      <c r="U1869" s="1">
        <f t="shared" si="145"/>
        <v>0</v>
      </c>
      <c r="W1869" s="6">
        <f t="shared" si="148"/>
        <v>0</v>
      </c>
      <c r="X1869" s="6">
        <f t="shared" si="140"/>
        <v>0</v>
      </c>
      <c r="Y1869" s="1">
        <f t="shared" si="146"/>
        <v>1</v>
      </c>
      <c r="Z1869" s="1">
        <f>IF(COUNTIF($Y$6:Y1869,Y1869)=1,Y1869,Y1869+COUNTIF($Y$5:Y1868,Y1869))</f>
        <v>864</v>
      </c>
      <c r="AD1869" s="1" t="str">
        <f t="shared" si="147"/>
        <v/>
      </c>
      <c r="BA1869" s="1">
        <f>IF(W1869&lt;=Leltar_iv!$Y$1,I1869,0)</f>
        <v>0</v>
      </c>
    </row>
    <row r="1870" spans="1:53" s="1" customFormat="1" x14ac:dyDescent="0.25">
      <c r="A1870" s="18">
        <f>IF(COUNTIF($Y$6:Y1870,Y1870)=1,Y1870,Y1870+COUNTIF($Y$5:Y1869,Y1870))</f>
        <v>865</v>
      </c>
      <c r="B1870" s="1">
        <f>IF(AND(Kisero_iv!$N$2=C1870,Kisero_iv!$K$5=$B$3,SUM(I1870:L1874)&lt;&gt;0,$B$4=YEAR(W1870)),B1869+1,0)</f>
        <v>0</v>
      </c>
      <c r="C1870" s="1">
        <f t="shared" si="141"/>
        <v>865</v>
      </c>
      <c r="D1870" s="102" t="str">
        <f t="shared" si="142"/>
        <v/>
      </c>
      <c r="E1870" s="44"/>
      <c r="F1870" s="45"/>
      <c r="G1870" s="45"/>
      <c r="H1870" s="45"/>
      <c r="I1870" s="46"/>
      <c r="J1870" s="111" t="str">
        <f>IF(AND(G1870&lt;&gt;"",ISERROR(VLOOKUP(G1870,Keszlet!$C$5:$H$200,6,FALSE))=FALSE),VLOOKUP(G1870,Keszlet!$C$5:$H$200,6,FALSE),"")</f>
        <v/>
      </c>
      <c r="K1870" s="106" t="str">
        <f>IF(AND(G1870&lt;&gt;"",ISERROR(VLOOKUP(G1870,Keszlet!$C$5:$G$200,5,FALSE))=FALSE),VLOOKUP(G1870,Keszlet!$C$5:$G$200,5,FALSE),"")</f>
        <v/>
      </c>
      <c r="L1870" s="106" t="str">
        <f t="shared" si="143"/>
        <v/>
      </c>
      <c r="M1870" s="115" t="str">
        <f>IF(ISERROR(VLOOKUP(G1870,Keszlet!$C$5:$I$200,7,FALSE))=TRUE,"",IF(AND(J1869&lt;&gt;"",J1871=""),VLOOKUP(G1870,Keszlet!$C$5:$I$200,7,FALSE),""))</f>
        <v/>
      </c>
      <c r="Q1870" s="1">
        <f>VLOOKUP(G1870,Keszlet!$C$5:$E$205,3,FALSE)</f>
        <v>0</v>
      </c>
      <c r="T1870" s="1" t="str">
        <f t="shared" si="144"/>
        <v/>
      </c>
      <c r="U1870" s="1">
        <f t="shared" si="145"/>
        <v>0</v>
      </c>
      <c r="W1870" s="6">
        <f t="shared" si="148"/>
        <v>0</v>
      </c>
      <c r="X1870" s="6">
        <f t="shared" si="140"/>
        <v>0</v>
      </c>
      <c r="Y1870" s="1">
        <f t="shared" si="146"/>
        <v>1</v>
      </c>
      <c r="Z1870" s="1">
        <f>IF(COUNTIF($Y$6:Y1870,Y1870)=1,Y1870,Y1870+COUNTIF($Y$5:Y1869,Y1870))</f>
        <v>865</v>
      </c>
      <c r="AD1870" s="1" t="str">
        <f t="shared" si="147"/>
        <v/>
      </c>
      <c r="BA1870" s="1">
        <f>IF(W1870&lt;=Leltar_iv!$Y$1,I1870,0)</f>
        <v>0</v>
      </c>
    </row>
    <row r="1871" spans="1:53" s="1" customFormat="1" x14ac:dyDescent="0.25">
      <c r="A1871" s="18">
        <f>IF(COUNTIF($Y$6:Y1871,Y1871)=1,Y1871,Y1871+COUNTIF($Y$5:Y1870,Y1871))</f>
        <v>866</v>
      </c>
      <c r="B1871" s="1">
        <f>IF(AND(Kisero_iv!$N$2=C1871,Kisero_iv!$K$5=$B$3,SUM(I1871:L1875)&lt;&gt;0,$B$4=YEAR(W1871)),B1870+1,0)</f>
        <v>0</v>
      </c>
      <c r="C1871" s="1">
        <f t="shared" si="141"/>
        <v>866</v>
      </c>
      <c r="D1871" s="102" t="str">
        <f t="shared" si="142"/>
        <v/>
      </c>
      <c r="E1871" s="44"/>
      <c r="F1871" s="45"/>
      <c r="G1871" s="45"/>
      <c r="H1871" s="45"/>
      <c r="I1871" s="46"/>
      <c r="J1871" s="111" t="str">
        <f>IF(AND(G1871&lt;&gt;"",ISERROR(VLOOKUP(G1871,Keszlet!$C$5:$H$200,6,FALSE))=FALSE),VLOOKUP(G1871,Keszlet!$C$5:$H$200,6,FALSE),"")</f>
        <v/>
      </c>
      <c r="K1871" s="106" t="str">
        <f>IF(AND(G1871&lt;&gt;"",ISERROR(VLOOKUP(G1871,Keszlet!$C$5:$G$200,5,FALSE))=FALSE),VLOOKUP(G1871,Keszlet!$C$5:$G$200,5,FALSE),"")</f>
        <v/>
      </c>
      <c r="L1871" s="106" t="str">
        <f t="shared" si="143"/>
        <v/>
      </c>
      <c r="M1871" s="115" t="str">
        <f>IF(ISERROR(VLOOKUP(G1871,Keszlet!$C$5:$I$200,7,FALSE))=TRUE,"",IF(AND(J1870&lt;&gt;"",J1872=""),VLOOKUP(G1871,Keszlet!$C$5:$I$200,7,FALSE),""))</f>
        <v/>
      </c>
      <c r="Q1871" s="1">
        <f>VLOOKUP(G1871,Keszlet!$C$5:$E$205,3,FALSE)</f>
        <v>0</v>
      </c>
      <c r="T1871" s="1" t="str">
        <f t="shared" si="144"/>
        <v/>
      </c>
      <c r="U1871" s="1">
        <f t="shared" si="145"/>
        <v>0</v>
      </c>
      <c r="W1871" s="6">
        <f t="shared" si="148"/>
        <v>0</v>
      </c>
      <c r="X1871" s="6">
        <f t="shared" si="140"/>
        <v>0</v>
      </c>
      <c r="Y1871" s="1">
        <f t="shared" si="146"/>
        <v>1</v>
      </c>
      <c r="Z1871" s="1">
        <f>IF(COUNTIF($Y$6:Y1871,Y1871)=1,Y1871,Y1871+COUNTIF($Y$5:Y1870,Y1871))</f>
        <v>866</v>
      </c>
      <c r="AD1871" s="1" t="str">
        <f t="shared" si="147"/>
        <v/>
      </c>
      <c r="BA1871" s="1">
        <f>IF(W1871&lt;=Leltar_iv!$Y$1,I1871,0)</f>
        <v>0</v>
      </c>
    </row>
    <row r="1872" spans="1:53" s="1" customFormat="1" x14ac:dyDescent="0.25">
      <c r="A1872" s="18">
        <f>IF(COUNTIF($Y$6:Y1872,Y1872)=1,Y1872,Y1872+COUNTIF($Y$5:Y1871,Y1872))</f>
        <v>867</v>
      </c>
      <c r="B1872" s="1">
        <f>IF(AND(Kisero_iv!$N$2=C1872,Kisero_iv!$K$5=$B$3,SUM(I1872:L1876)&lt;&gt;0,$B$4=YEAR(W1872)),B1871+1,0)</f>
        <v>0</v>
      </c>
      <c r="C1872" s="1">
        <f t="shared" si="141"/>
        <v>867</v>
      </c>
      <c r="D1872" s="102" t="str">
        <f t="shared" si="142"/>
        <v/>
      </c>
      <c r="E1872" s="44"/>
      <c r="F1872" s="45"/>
      <c r="G1872" s="45"/>
      <c r="H1872" s="45"/>
      <c r="I1872" s="46"/>
      <c r="J1872" s="111" t="str">
        <f>IF(AND(G1872&lt;&gt;"",ISERROR(VLOOKUP(G1872,Keszlet!$C$5:$H$200,6,FALSE))=FALSE),VLOOKUP(G1872,Keszlet!$C$5:$H$200,6,FALSE),"")</f>
        <v/>
      </c>
      <c r="K1872" s="106" t="str">
        <f>IF(AND(G1872&lt;&gt;"",ISERROR(VLOOKUP(G1872,Keszlet!$C$5:$G$200,5,FALSE))=FALSE),VLOOKUP(G1872,Keszlet!$C$5:$G$200,5,FALSE),"")</f>
        <v/>
      </c>
      <c r="L1872" s="106" t="str">
        <f t="shared" si="143"/>
        <v/>
      </c>
      <c r="M1872" s="115" t="str">
        <f>IF(ISERROR(VLOOKUP(G1872,Keszlet!$C$5:$I$200,7,FALSE))=TRUE,"",IF(AND(J1871&lt;&gt;"",J1873=""),VLOOKUP(G1872,Keszlet!$C$5:$I$200,7,FALSE),""))</f>
        <v/>
      </c>
      <c r="Q1872" s="1">
        <f>VLOOKUP(G1872,Keszlet!$C$5:$E$205,3,FALSE)</f>
        <v>0</v>
      </c>
      <c r="T1872" s="1" t="str">
        <f t="shared" si="144"/>
        <v/>
      </c>
      <c r="U1872" s="1">
        <f t="shared" si="145"/>
        <v>0</v>
      </c>
      <c r="W1872" s="6">
        <f t="shared" si="148"/>
        <v>0</v>
      </c>
      <c r="X1872" s="6">
        <f t="shared" si="140"/>
        <v>0</v>
      </c>
      <c r="Y1872" s="1">
        <f t="shared" si="146"/>
        <v>1</v>
      </c>
      <c r="Z1872" s="1">
        <f>IF(COUNTIF($Y$6:Y1872,Y1872)=1,Y1872,Y1872+COUNTIF($Y$5:Y1871,Y1872))</f>
        <v>867</v>
      </c>
      <c r="AD1872" s="1" t="str">
        <f t="shared" si="147"/>
        <v/>
      </c>
      <c r="BA1872" s="1">
        <f>IF(W1872&lt;=Leltar_iv!$Y$1,I1872,0)</f>
        <v>0</v>
      </c>
    </row>
    <row r="1873" spans="1:53" s="1" customFormat="1" x14ac:dyDescent="0.25">
      <c r="A1873" s="18">
        <f>IF(COUNTIF($Y$6:Y1873,Y1873)=1,Y1873,Y1873+COUNTIF($Y$5:Y1872,Y1873))</f>
        <v>868</v>
      </c>
      <c r="B1873" s="1">
        <f>IF(AND(Kisero_iv!$N$2=C1873,Kisero_iv!$K$5=$B$3,SUM(I1873:L1877)&lt;&gt;0,$B$4=YEAR(W1873)),B1872+1,0)</f>
        <v>0</v>
      </c>
      <c r="C1873" s="1">
        <f t="shared" si="141"/>
        <v>868</v>
      </c>
      <c r="D1873" s="102" t="str">
        <f t="shared" si="142"/>
        <v/>
      </c>
      <c r="E1873" s="44"/>
      <c r="F1873" s="45"/>
      <c r="G1873" s="45"/>
      <c r="H1873" s="45"/>
      <c r="I1873" s="46"/>
      <c r="J1873" s="111" t="str">
        <f>IF(AND(G1873&lt;&gt;"",ISERROR(VLOOKUP(G1873,Keszlet!$C$5:$H$200,6,FALSE))=FALSE),VLOOKUP(G1873,Keszlet!$C$5:$H$200,6,FALSE),"")</f>
        <v/>
      </c>
      <c r="K1873" s="106" t="str">
        <f>IF(AND(G1873&lt;&gt;"",ISERROR(VLOOKUP(G1873,Keszlet!$C$5:$G$200,5,FALSE))=FALSE),VLOOKUP(G1873,Keszlet!$C$5:$G$200,5,FALSE),"")</f>
        <v/>
      </c>
      <c r="L1873" s="106" t="str">
        <f t="shared" si="143"/>
        <v/>
      </c>
      <c r="M1873" s="115" t="str">
        <f>IF(ISERROR(VLOOKUP(G1873,Keszlet!$C$5:$I$200,7,FALSE))=TRUE,"",IF(AND(J1872&lt;&gt;"",J1874=""),VLOOKUP(G1873,Keszlet!$C$5:$I$200,7,FALSE),""))</f>
        <v/>
      </c>
      <c r="Q1873" s="1">
        <f>VLOOKUP(G1873,Keszlet!$C$5:$E$205,3,FALSE)</f>
        <v>0</v>
      </c>
      <c r="T1873" s="1" t="str">
        <f t="shared" si="144"/>
        <v/>
      </c>
      <c r="U1873" s="1">
        <f t="shared" si="145"/>
        <v>0</v>
      </c>
      <c r="W1873" s="6">
        <f t="shared" si="148"/>
        <v>0</v>
      </c>
      <c r="X1873" s="6">
        <f t="shared" si="140"/>
        <v>0</v>
      </c>
      <c r="Y1873" s="1">
        <f t="shared" si="146"/>
        <v>1</v>
      </c>
      <c r="Z1873" s="1">
        <f>IF(COUNTIF($Y$6:Y1873,Y1873)=1,Y1873,Y1873+COUNTIF($Y$5:Y1872,Y1873))</f>
        <v>868</v>
      </c>
      <c r="AD1873" s="1" t="str">
        <f t="shared" si="147"/>
        <v/>
      </c>
      <c r="BA1873" s="1">
        <f>IF(W1873&lt;=Leltar_iv!$Y$1,I1873,0)</f>
        <v>0</v>
      </c>
    </row>
    <row r="1874" spans="1:53" s="1" customFormat="1" x14ac:dyDescent="0.25">
      <c r="A1874" s="18">
        <f>IF(COUNTIF($Y$6:Y1874,Y1874)=1,Y1874,Y1874+COUNTIF($Y$5:Y1873,Y1874))</f>
        <v>869</v>
      </c>
      <c r="B1874" s="1">
        <f>IF(AND(Kisero_iv!$N$2=C1874,Kisero_iv!$K$5=$B$3,SUM(I1874:L1878)&lt;&gt;0,$B$4=YEAR(W1874)),B1873+1,0)</f>
        <v>0</v>
      </c>
      <c r="C1874" s="1">
        <f t="shared" si="141"/>
        <v>869</v>
      </c>
      <c r="D1874" s="102" t="str">
        <f t="shared" si="142"/>
        <v/>
      </c>
      <c r="E1874" s="44"/>
      <c r="F1874" s="45"/>
      <c r="G1874" s="45"/>
      <c r="H1874" s="45"/>
      <c r="I1874" s="46"/>
      <c r="J1874" s="111" t="str">
        <f>IF(AND(G1874&lt;&gt;"",ISERROR(VLOOKUP(G1874,Keszlet!$C$5:$H$200,6,FALSE))=FALSE),VLOOKUP(G1874,Keszlet!$C$5:$H$200,6,FALSE),"")</f>
        <v/>
      </c>
      <c r="K1874" s="106" t="str">
        <f>IF(AND(G1874&lt;&gt;"",ISERROR(VLOOKUP(G1874,Keszlet!$C$5:$G$200,5,FALSE))=FALSE),VLOOKUP(G1874,Keszlet!$C$5:$G$200,5,FALSE),"")</f>
        <v/>
      </c>
      <c r="L1874" s="106" t="str">
        <f t="shared" si="143"/>
        <v/>
      </c>
      <c r="M1874" s="115" t="str">
        <f>IF(ISERROR(VLOOKUP(G1874,Keszlet!$C$5:$I$200,7,FALSE))=TRUE,"",IF(AND(J1873&lt;&gt;"",J1875=""),VLOOKUP(G1874,Keszlet!$C$5:$I$200,7,FALSE),""))</f>
        <v/>
      </c>
      <c r="Q1874" s="1">
        <f>VLOOKUP(G1874,Keszlet!$C$5:$E$205,3,FALSE)</f>
        <v>0</v>
      </c>
      <c r="T1874" s="1" t="str">
        <f t="shared" si="144"/>
        <v/>
      </c>
      <c r="U1874" s="1">
        <f t="shared" si="145"/>
        <v>0</v>
      </c>
      <c r="W1874" s="6">
        <f t="shared" si="148"/>
        <v>0</v>
      </c>
      <c r="X1874" s="6">
        <f t="shared" si="140"/>
        <v>0</v>
      </c>
      <c r="Y1874" s="1">
        <f t="shared" si="146"/>
        <v>1</v>
      </c>
      <c r="Z1874" s="1">
        <f>IF(COUNTIF($Y$6:Y1874,Y1874)=1,Y1874,Y1874+COUNTIF($Y$5:Y1873,Y1874))</f>
        <v>869</v>
      </c>
      <c r="AD1874" s="1" t="str">
        <f t="shared" si="147"/>
        <v/>
      </c>
      <c r="BA1874" s="1">
        <f>IF(W1874&lt;=Leltar_iv!$Y$1,I1874,0)</f>
        <v>0</v>
      </c>
    </row>
    <row r="1875" spans="1:53" s="1" customFormat="1" x14ac:dyDescent="0.25">
      <c r="A1875" s="18">
        <f>IF(COUNTIF($Y$6:Y1875,Y1875)=1,Y1875,Y1875+COUNTIF($Y$5:Y1874,Y1875))</f>
        <v>870</v>
      </c>
      <c r="B1875" s="1">
        <f>IF(AND(Kisero_iv!$N$2=C1875,Kisero_iv!$K$5=$B$3,SUM(I1875:L1879)&lt;&gt;0,$B$4=YEAR(W1875)),B1874+1,0)</f>
        <v>0</v>
      </c>
      <c r="C1875" s="1">
        <f t="shared" si="141"/>
        <v>870</v>
      </c>
      <c r="D1875" s="102" t="str">
        <f t="shared" si="142"/>
        <v/>
      </c>
      <c r="E1875" s="44"/>
      <c r="F1875" s="45"/>
      <c r="G1875" s="45"/>
      <c r="H1875" s="45"/>
      <c r="I1875" s="46"/>
      <c r="J1875" s="111" t="str">
        <f>IF(AND(G1875&lt;&gt;"",ISERROR(VLOOKUP(G1875,Keszlet!$C$5:$H$200,6,FALSE))=FALSE),VLOOKUP(G1875,Keszlet!$C$5:$H$200,6,FALSE),"")</f>
        <v/>
      </c>
      <c r="K1875" s="106" t="str">
        <f>IF(AND(G1875&lt;&gt;"",ISERROR(VLOOKUP(G1875,Keszlet!$C$5:$G$200,5,FALSE))=FALSE),VLOOKUP(G1875,Keszlet!$C$5:$G$200,5,FALSE),"")</f>
        <v/>
      </c>
      <c r="L1875" s="106" t="str">
        <f t="shared" si="143"/>
        <v/>
      </c>
      <c r="M1875" s="115" t="str">
        <f>IF(ISERROR(VLOOKUP(G1875,Keszlet!$C$5:$I$200,7,FALSE))=TRUE,"",IF(AND(J1874&lt;&gt;"",J1876=""),VLOOKUP(G1875,Keszlet!$C$5:$I$200,7,FALSE),""))</f>
        <v/>
      </c>
      <c r="Q1875" s="1">
        <f>VLOOKUP(G1875,Keszlet!$C$5:$E$205,3,FALSE)</f>
        <v>0</v>
      </c>
      <c r="T1875" s="1" t="str">
        <f t="shared" si="144"/>
        <v/>
      </c>
      <c r="U1875" s="1">
        <f t="shared" si="145"/>
        <v>0</v>
      </c>
      <c r="W1875" s="6">
        <f t="shared" si="148"/>
        <v>0</v>
      </c>
      <c r="X1875" s="6">
        <f t="shared" si="140"/>
        <v>0</v>
      </c>
      <c r="Y1875" s="1">
        <f t="shared" si="146"/>
        <v>1</v>
      </c>
      <c r="Z1875" s="1">
        <f>IF(COUNTIF($Y$6:Y1875,Y1875)=1,Y1875,Y1875+COUNTIF($Y$5:Y1874,Y1875))</f>
        <v>870</v>
      </c>
      <c r="AD1875" s="1" t="str">
        <f t="shared" si="147"/>
        <v/>
      </c>
      <c r="BA1875" s="1">
        <f>IF(W1875&lt;=Leltar_iv!$Y$1,I1875,0)</f>
        <v>0</v>
      </c>
    </row>
    <row r="1876" spans="1:53" s="1" customFormat="1" x14ac:dyDescent="0.25">
      <c r="A1876" s="18">
        <f>IF(COUNTIF($Y$6:Y1876,Y1876)=1,Y1876,Y1876+COUNTIF($Y$5:Y1875,Y1876))</f>
        <v>871</v>
      </c>
      <c r="B1876" s="1">
        <f>IF(AND(Kisero_iv!$N$2=C1876,Kisero_iv!$K$5=$B$3,SUM(I1876:L1880)&lt;&gt;0,$B$4=YEAR(W1876)),B1875+1,0)</f>
        <v>0</v>
      </c>
      <c r="C1876" s="1">
        <f t="shared" si="141"/>
        <v>871</v>
      </c>
      <c r="D1876" s="102" t="str">
        <f t="shared" si="142"/>
        <v/>
      </c>
      <c r="E1876" s="44"/>
      <c r="F1876" s="45"/>
      <c r="G1876" s="45"/>
      <c r="H1876" s="45"/>
      <c r="I1876" s="46"/>
      <c r="J1876" s="111" t="str">
        <f>IF(AND(G1876&lt;&gt;"",ISERROR(VLOOKUP(G1876,Keszlet!$C$5:$H$200,6,FALSE))=FALSE),VLOOKUP(G1876,Keszlet!$C$5:$H$200,6,FALSE),"")</f>
        <v/>
      </c>
      <c r="K1876" s="106" t="str">
        <f>IF(AND(G1876&lt;&gt;"",ISERROR(VLOOKUP(G1876,Keszlet!$C$5:$G$200,5,FALSE))=FALSE),VLOOKUP(G1876,Keszlet!$C$5:$G$200,5,FALSE),"")</f>
        <v/>
      </c>
      <c r="L1876" s="106" t="str">
        <f t="shared" si="143"/>
        <v/>
      </c>
      <c r="M1876" s="115" t="str">
        <f>IF(ISERROR(VLOOKUP(G1876,Keszlet!$C$5:$I$200,7,FALSE))=TRUE,"",IF(AND(J1875&lt;&gt;"",J1877=""),VLOOKUP(G1876,Keszlet!$C$5:$I$200,7,FALSE),""))</f>
        <v/>
      </c>
      <c r="Q1876" s="1">
        <f>VLOOKUP(G1876,Keszlet!$C$5:$E$205,3,FALSE)</f>
        <v>0</v>
      </c>
      <c r="T1876" s="1" t="str">
        <f t="shared" si="144"/>
        <v/>
      </c>
      <c r="U1876" s="1">
        <f t="shared" si="145"/>
        <v>0</v>
      </c>
      <c r="W1876" s="6">
        <f t="shared" si="148"/>
        <v>0</v>
      </c>
      <c r="X1876" s="6">
        <f t="shared" si="140"/>
        <v>0</v>
      </c>
      <c r="Y1876" s="1">
        <f t="shared" si="146"/>
        <v>1</v>
      </c>
      <c r="Z1876" s="1">
        <f>IF(COUNTIF($Y$6:Y1876,Y1876)=1,Y1876,Y1876+COUNTIF($Y$5:Y1875,Y1876))</f>
        <v>871</v>
      </c>
      <c r="AD1876" s="1" t="str">
        <f t="shared" si="147"/>
        <v/>
      </c>
      <c r="BA1876" s="1">
        <f>IF(W1876&lt;=Leltar_iv!$Y$1,I1876,0)</f>
        <v>0</v>
      </c>
    </row>
    <row r="1877" spans="1:53" s="1" customFormat="1" x14ac:dyDescent="0.25">
      <c r="A1877" s="18">
        <f>IF(COUNTIF($Y$6:Y1877,Y1877)=1,Y1877,Y1877+COUNTIF($Y$5:Y1876,Y1877))</f>
        <v>872</v>
      </c>
      <c r="B1877" s="1">
        <f>IF(AND(Kisero_iv!$N$2=C1877,Kisero_iv!$K$5=$B$3,SUM(I1877:L1881)&lt;&gt;0,$B$4=YEAR(W1877)),B1876+1,0)</f>
        <v>0</v>
      </c>
      <c r="C1877" s="1">
        <f t="shared" si="141"/>
        <v>872</v>
      </c>
      <c r="D1877" s="102" t="str">
        <f t="shared" si="142"/>
        <v/>
      </c>
      <c r="E1877" s="44"/>
      <c r="F1877" s="45"/>
      <c r="G1877" s="45"/>
      <c r="H1877" s="45"/>
      <c r="I1877" s="46"/>
      <c r="J1877" s="111" t="str">
        <f>IF(AND(G1877&lt;&gt;"",ISERROR(VLOOKUP(G1877,Keszlet!$C$5:$H$200,6,FALSE))=FALSE),VLOOKUP(G1877,Keszlet!$C$5:$H$200,6,FALSE),"")</f>
        <v/>
      </c>
      <c r="K1877" s="106" t="str">
        <f>IF(AND(G1877&lt;&gt;"",ISERROR(VLOOKUP(G1877,Keszlet!$C$5:$G$200,5,FALSE))=FALSE),VLOOKUP(G1877,Keszlet!$C$5:$G$200,5,FALSE),"")</f>
        <v/>
      </c>
      <c r="L1877" s="106" t="str">
        <f t="shared" si="143"/>
        <v/>
      </c>
      <c r="M1877" s="115" t="str">
        <f>IF(ISERROR(VLOOKUP(G1877,Keszlet!$C$5:$I$200,7,FALSE))=TRUE,"",IF(AND(J1876&lt;&gt;"",J1878=""),VLOOKUP(G1877,Keszlet!$C$5:$I$200,7,FALSE),""))</f>
        <v/>
      </c>
      <c r="Q1877" s="1">
        <f>VLOOKUP(G1877,Keszlet!$C$5:$E$205,3,FALSE)</f>
        <v>0</v>
      </c>
      <c r="T1877" s="1" t="str">
        <f t="shared" si="144"/>
        <v/>
      </c>
      <c r="U1877" s="1">
        <f t="shared" si="145"/>
        <v>0</v>
      </c>
      <c r="W1877" s="6">
        <f t="shared" si="148"/>
        <v>0</v>
      </c>
      <c r="X1877" s="6">
        <f t="shared" si="140"/>
        <v>0</v>
      </c>
      <c r="Y1877" s="1">
        <f t="shared" si="146"/>
        <v>1</v>
      </c>
      <c r="Z1877" s="1">
        <f>IF(COUNTIF($Y$6:Y1877,Y1877)=1,Y1877,Y1877+COUNTIF($Y$5:Y1876,Y1877))</f>
        <v>872</v>
      </c>
      <c r="AD1877" s="1" t="str">
        <f t="shared" si="147"/>
        <v/>
      </c>
      <c r="BA1877" s="1">
        <f>IF(W1877&lt;=Leltar_iv!$Y$1,I1877,0)</f>
        <v>0</v>
      </c>
    </row>
    <row r="1878" spans="1:53" s="1" customFormat="1" x14ac:dyDescent="0.25">
      <c r="A1878" s="18">
        <f>IF(COUNTIF($Y$6:Y1878,Y1878)=1,Y1878,Y1878+COUNTIF($Y$5:Y1877,Y1878))</f>
        <v>873</v>
      </c>
      <c r="B1878" s="1">
        <f>IF(AND(Kisero_iv!$N$2=C1878,Kisero_iv!$K$5=$B$3,SUM(I1878:L1882)&lt;&gt;0,$B$4=YEAR(W1878)),B1877+1,0)</f>
        <v>0</v>
      </c>
      <c r="C1878" s="1">
        <f t="shared" si="141"/>
        <v>873</v>
      </c>
      <c r="D1878" s="102" t="str">
        <f t="shared" si="142"/>
        <v/>
      </c>
      <c r="E1878" s="44"/>
      <c r="F1878" s="45"/>
      <c r="G1878" s="45"/>
      <c r="H1878" s="45"/>
      <c r="I1878" s="46"/>
      <c r="J1878" s="111" t="str">
        <f>IF(AND(G1878&lt;&gt;"",ISERROR(VLOOKUP(G1878,Keszlet!$C$5:$H$200,6,FALSE))=FALSE),VLOOKUP(G1878,Keszlet!$C$5:$H$200,6,FALSE),"")</f>
        <v/>
      </c>
      <c r="K1878" s="106" t="str">
        <f>IF(AND(G1878&lt;&gt;"",ISERROR(VLOOKUP(G1878,Keszlet!$C$5:$G$200,5,FALSE))=FALSE),VLOOKUP(G1878,Keszlet!$C$5:$G$200,5,FALSE),"")</f>
        <v/>
      </c>
      <c r="L1878" s="106" t="str">
        <f t="shared" si="143"/>
        <v/>
      </c>
      <c r="M1878" s="115" t="str">
        <f>IF(ISERROR(VLOOKUP(G1878,Keszlet!$C$5:$I$200,7,FALSE))=TRUE,"",IF(AND(J1877&lt;&gt;"",J1879=""),VLOOKUP(G1878,Keszlet!$C$5:$I$200,7,FALSE),""))</f>
        <v/>
      </c>
      <c r="Q1878" s="1">
        <f>VLOOKUP(G1878,Keszlet!$C$5:$E$205,3,FALSE)</f>
        <v>0</v>
      </c>
      <c r="T1878" s="1" t="str">
        <f t="shared" si="144"/>
        <v/>
      </c>
      <c r="U1878" s="1">
        <f t="shared" si="145"/>
        <v>0</v>
      </c>
      <c r="W1878" s="6">
        <f t="shared" si="148"/>
        <v>0</v>
      </c>
      <c r="X1878" s="6">
        <f t="shared" si="140"/>
        <v>0</v>
      </c>
      <c r="Y1878" s="1">
        <f t="shared" si="146"/>
        <v>1</v>
      </c>
      <c r="Z1878" s="1">
        <f>IF(COUNTIF($Y$6:Y1878,Y1878)=1,Y1878,Y1878+COUNTIF($Y$5:Y1877,Y1878))</f>
        <v>873</v>
      </c>
      <c r="AD1878" s="1" t="str">
        <f t="shared" si="147"/>
        <v/>
      </c>
      <c r="BA1878" s="1">
        <f>IF(W1878&lt;=Leltar_iv!$Y$1,I1878,0)</f>
        <v>0</v>
      </c>
    </row>
    <row r="1879" spans="1:53" s="1" customFormat="1" x14ac:dyDescent="0.25">
      <c r="A1879" s="18">
        <f>IF(COUNTIF($Y$6:Y1879,Y1879)=1,Y1879,Y1879+COUNTIF($Y$5:Y1878,Y1879))</f>
        <v>874</v>
      </c>
      <c r="B1879" s="1">
        <f>IF(AND(Kisero_iv!$N$2=C1879,Kisero_iv!$K$5=$B$3,SUM(I1879:L1883)&lt;&gt;0,$B$4=YEAR(W1879)),B1878+1,0)</f>
        <v>0</v>
      </c>
      <c r="C1879" s="1">
        <f t="shared" si="141"/>
        <v>874</v>
      </c>
      <c r="D1879" s="102" t="str">
        <f t="shared" si="142"/>
        <v/>
      </c>
      <c r="E1879" s="44"/>
      <c r="F1879" s="45"/>
      <c r="G1879" s="45"/>
      <c r="H1879" s="45"/>
      <c r="I1879" s="46"/>
      <c r="J1879" s="111" t="str">
        <f>IF(AND(G1879&lt;&gt;"",ISERROR(VLOOKUP(G1879,Keszlet!$C$5:$H$200,6,FALSE))=FALSE),VLOOKUP(G1879,Keszlet!$C$5:$H$200,6,FALSE),"")</f>
        <v/>
      </c>
      <c r="K1879" s="106" t="str">
        <f>IF(AND(G1879&lt;&gt;"",ISERROR(VLOOKUP(G1879,Keszlet!$C$5:$G$200,5,FALSE))=FALSE),VLOOKUP(G1879,Keszlet!$C$5:$G$200,5,FALSE),"")</f>
        <v/>
      </c>
      <c r="L1879" s="106" t="str">
        <f t="shared" si="143"/>
        <v/>
      </c>
      <c r="M1879" s="115" t="str">
        <f>IF(ISERROR(VLOOKUP(G1879,Keszlet!$C$5:$I$200,7,FALSE))=TRUE,"",IF(AND(J1878&lt;&gt;"",J1880=""),VLOOKUP(G1879,Keszlet!$C$5:$I$200,7,FALSE),""))</f>
        <v/>
      </c>
      <c r="Q1879" s="1">
        <f>VLOOKUP(G1879,Keszlet!$C$5:$E$205,3,FALSE)</f>
        <v>0</v>
      </c>
      <c r="T1879" s="1" t="str">
        <f t="shared" si="144"/>
        <v/>
      </c>
      <c r="U1879" s="1">
        <f t="shared" si="145"/>
        <v>0</v>
      </c>
      <c r="W1879" s="6">
        <f t="shared" si="148"/>
        <v>0</v>
      </c>
      <c r="X1879" s="6">
        <f t="shared" si="140"/>
        <v>0</v>
      </c>
      <c r="Y1879" s="1">
        <f t="shared" si="146"/>
        <v>1</v>
      </c>
      <c r="Z1879" s="1">
        <f>IF(COUNTIF($Y$6:Y1879,Y1879)=1,Y1879,Y1879+COUNTIF($Y$5:Y1878,Y1879))</f>
        <v>874</v>
      </c>
      <c r="AD1879" s="1" t="str">
        <f t="shared" si="147"/>
        <v/>
      </c>
      <c r="BA1879" s="1">
        <f>IF(W1879&lt;=Leltar_iv!$Y$1,I1879,0)</f>
        <v>0</v>
      </c>
    </row>
    <row r="1880" spans="1:53" s="1" customFormat="1" x14ac:dyDescent="0.25">
      <c r="A1880" s="18">
        <f>IF(COUNTIF($Y$6:Y1880,Y1880)=1,Y1880,Y1880+COUNTIF($Y$5:Y1879,Y1880))</f>
        <v>875</v>
      </c>
      <c r="B1880" s="1">
        <f>IF(AND(Kisero_iv!$N$2=C1880,Kisero_iv!$K$5=$B$3,SUM(I1880:L1884)&lt;&gt;0,$B$4=YEAR(W1880)),B1879+1,0)</f>
        <v>0</v>
      </c>
      <c r="C1880" s="1">
        <f t="shared" si="141"/>
        <v>875</v>
      </c>
      <c r="D1880" s="102" t="str">
        <f t="shared" si="142"/>
        <v/>
      </c>
      <c r="E1880" s="44"/>
      <c r="F1880" s="45"/>
      <c r="G1880" s="45"/>
      <c r="H1880" s="45"/>
      <c r="I1880" s="46"/>
      <c r="J1880" s="111" t="str">
        <f>IF(AND(G1880&lt;&gt;"",ISERROR(VLOOKUP(G1880,Keszlet!$C$5:$H$200,6,FALSE))=FALSE),VLOOKUP(G1880,Keszlet!$C$5:$H$200,6,FALSE),"")</f>
        <v/>
      </c>
      <c r="K1880" s="106" t="str">
        <f>IF(AND(G1880&lt;&gt;"",ISERROR(VLOOKUP(G1880,Keszlet!$C$5:$G$200,5,FALSE))=FALSE),VLOOKUP(G1880,Keszlet!$C$5:$G$200,5,FALSE),"")</f>
        <v/>
      </c>
      <c r="L1880" s="106" t="str">
        <f t="shared" si="143"/>
        <v/>
      </c>
      <c r="M1880" s="115" t="str">
        <f>IF(ISERROR(VLOOKUP(G1880,Keszlet!$C$5:$I$200,7,FALSE))=TRUE,"",IF(AND(J1879&lt;&gt;"",J1881=""),VLOOKUP(G1880,Keszlet!$C$5:$I$200,7,FALSE),""))</f>
        <v/>
      </c>
      <c r="Q1880" s="1">
        <f>VLOOKUP(G1880,Keszlet!$C$5:$E$205,3,FALSE)</f>
        <v>0</v>
      </c>
      <c r="T1880" s="1" t="str">
        <f t="shared" si="144"/>
        <v/>
      </c>
      <c r="U1880" s="1">
        <f t="shared" si="145"/>
        <v>0</v>
      </c>
      <c r="W1880" s="6">
        <f t="shared" si="148"/>
        <v>0</v>
      </c>
      <c r="X1880" s="6">
        <f t="shared" si="140"/>
        <v>0</v>
      </c>
      <c r="Y1880" s="1">
        <f t="shared" si="146"/>
        <v>1</v>
      </c>
      <c r="Z1880" s="1">
        <f>IF(COUNTIF($Y$6:Y1880,Y1880)=1,Y1880,Y1880+COUNTIF($Y$5:Y1879,Y1880))</f>
        <v>875</v>
      </c>
      <c r="AD1880" s="1" t="str">
        <f t="shared" si="147"/>
        <v/>
      </c>
      <c r="BA1880" s="1">
        <f>IF(W1880&lt;=Leltar_iv!$Y$1,I1880,0)</f>
        <v>0</v>
      </c>
    </row>
    <row r="1881" spans="1:53" s="1" customFormat="1" x14ac:dyDescent="0.25">
      <c r="A1881" s="18">
        <f>IF(COUNTIF($Y$6:Y1881,Y1881)=1,Y1881,Y1881+COUNTIF($Y$5:Y1880,Y1881))</f>
        <v>876</v>
      </c>
      <c r="B1881" s="1">
        <f>IF(AND(Kisero_iv!$N$2=C1881,Kisero_iv!$K$5=$B$3,SUM(I1881:L1885)&lt;&gt;0,$B$4=YEAR(W1881)),B1880+1,0)</f>
        <v>0</v>
      </c>
      <c r="C1881" s="1">
        <f t="shared" si="141"/>
        <v>876</v>
      </c>
      <c r="D1881" s="102" t="str">
        <f t="shared" si="142"/>
        <v/>
      </c>
      <c r="E1881" s="44"/>
      <c r="F1881" s="45"/>
      <c r="G1881" s="45"/>
      <c r="H1881" s="45"/>
      <c r="I1881" s="46"/>
      <c r="J1881" s="111" t="str">
        <f>IF(AND(G1881&lt;&gt;"",ISERROR(VLOOKUP(G1881,Keszlet!$C$5:$H$200,6,FALSE))=FALSE),VLOOKUP(G1881,Keszlet!$C$5:$H$200,6,FALSE),"")</f>
        <v/>
      </c>
      <c r="K1881" s="106" t="str">
        <f>IF(AND(G1881&lt;&gt;"",ISERROR(VLOOKUP(G1881,Keszlet!$C$5:$G$200,5,FALSE))=FALSE),VLOOKUP(G1881,Keszlet!$C$5:$G$200,5,FALSE),"")</f>
        <v/>
      </c>
      <c r="L1881" s="106" t="str">
        <f t="shared" si="143"/>
        <v/>
      </c>
      <c r="M1881" s="115" t="str">
        <f>IF(ISERROR(VLOOKUP(G1881,Keszlet!$C$5:$I$200,7,FALSE))=TRUE,"",IF(AND(J1880&lt;&gt;"",J1882=""),VLOOKUP(G1881,Keszlet!$C$5:$I$200,7,FALSE),""))</f>
        <v/>
      </c>
      <c r="Q1881" s="1">
        <f>VLOOKUP(G1881,Keszlet!$C$5:$E$205,3,FALSE)</f>
        <v>0</v>
      </c>
      <c r="T1881" s="1" t="str">
        <f t="shared" si="144"/>
        <v/>
      </c>
      <c r="U1881" s="1">
        <f t="shared" si="145"/>
        <v>0</v>
      </c>
      <c r="W1881" s="6">
        <f t="shared" si="148"/>
        <v>0</v>
      </c>
      <c r="X1881" s="6">
        <f t="shared" si="140"/>
        <v>0</v>
      </c>
      <c r="Y1881" s="1">
        <f t="shared" si="146"/>
        <v>1</v>
      </c>
      <c r="Z1881" s="1">
        <f>IF(COUNTIF($Y$6:Y1881,Y1881)=1,Y1881,Y1881+COUNTIF($Y$5:Y1880,Y1881))</f>
        <v>876</v>
      </c>
      <c r="AD1881" s="1" t="str">
        <f t="shared" si="147"/>
        <v/>
      </c>
      <c r="BA1881" s="1">
        <f>IF(W1881&lt;=Leltar_iv!$Y$1,I1881,0)</f>
        <v>0</v>
      </c>
    </row>
    <row r="1882" spans="1:53" s="1" customFormat="1" x14ac:dyDescent="0.25">
      <c r="A1882" s="18">
        <f>IF(COUNTIF($Y$6:Y1882,Y1882)=1,Y1882,Y1882+COUNTIF($Y$5:Y1881,Y1882))</f>
        <v>877</v>
      </c>
      <c r="B1882" s="1">
        <f>IF(AND(Kisero_iv!$N$2=C1882,Kisero_iv!$K$5=$B$3,SUM(I1882:L1886)&lt;&gt;0,$B$4=YEAR(W1882)),B1881+1,0)</f>
        <v>0</v>
      </c>
      <c r="C1882" s="1">
        <f t="shared" si="141"/>
        <v>877</v>
      </c>
      <c r="D1882" s="102" t="str">
        <f t="shared" si="142"/>
        <v/>
      </c>
      <c r="E1882" s="44"/>
      <c r="F1882" s="45"/>
      <c r="G1882" s="45"/>
      <c r="H1882" s="45"/>
      <c r="I1882" s="46"/>
      <c r="J1882" s="111" t="str">
        <f>IF(AND(G1882&lt;&gt;"",ISERROR(VLOOKUP(G1882,Keszlet!$C$5:$H$200,6,FALSE))=FALSE),VLOOKUP(G1882,Keszlet!$C$5:$H$200,6,FALSE),"")</f>
        <v/>
      </c>
      <c r="K1882" s="106" t="str">
        <f>IF(AND(G1882&lt;&gt;"",ISERROR(VLOOKUP(G1882,Keszlet!$C$5:$G$200,5,FALSE))=FALSE),VLOOKUP(G1882,Keszlet!$C$5:$G$200,5,FALSE),"")</f>
        <v/>
      </c>
      <c r="L1882" s="106" t="str">
        <f t="shared" si="143"/>
        <v/>
      </c>
      <c r="M1882" s="115" t="str">
        <f>IF(ISERROR(VLOOKUP(G1882,Keszlet!$C$5:$I$200,7,FALSE))=TRUE,"",IF(AND(J1881&lt;&gt;"",J1883=""),VLOOKUP(G1882,Keszlet!$C$5:$I$200,7,FALSE),""))</f>
        <v/>
      </c>
      <c r="Q1882" s="1">
        <f>VLOOKUP(G1882,Keszlet!$C$5:$E$205,3,FALSE)</f>
        <v>0</v>
      </c>
      <c r="T1882" s="1" t="str">
        <f t="shared" si="144"/>
        <v/>
      </c>
      <c r="U1882" s="1">
        <f t="shared" si="145"/>
        <v>0</v>
      </c>
      <c r="W1882" s="6">
        <f t="shared" si="148"/>
        <v>0</v>
      </c>
      <c r="X1882" s="6">
        <f t="shared" si="140"/>
        <v>0</v>
      </c>
      <c r="Y1882" s="1">
        <f t="shared" si="146"/>
        <v>1</v>
      </c>
      <c r="Z1882" s="1">
        <f>IF(COUNTIF($Y$6:Y1882,Y1882)=1,Y1882,Y1882+COUNTIF($Y$5:Y1881,Y1882))</f>
        <v>877</v>
      </c>
      <c r="AD1882" s="1" t="str">
        <f t="shared" si="147"/>
        <v/>
      </c>
      <c r="BA1882" s="1">
        <f>IF(W1882&lt;=Leltar_iv!$Y$1,I1882,0)</f>
        <v>0</v>
      </c>
    </row>
    <row r="1883" spans="1:53" s="1" customFormat="1" x14ac:dyDescent="0.25">
      <c r="A1883" s="18">
        <f>IF(COUNTIF($Y$6:Y1883,Y1883)=1,Y1883,Y1883+COUNTIF($Y$5:Y1882,Y1883))</f>
        <v>878</v>
      </c>
      <c r="B1883" s="1">
        <f>IF(AND(Kisero_iv!$N$2=C1883,Kisero_iv!$K$5=$B$3,SUM(I1883:L1887)&lt;&gt;0,$B$4=YEAR(W1883)),B1882+1,0)</f>
        <v>0</v>
      </c>
      <c r="C1883" s="1">
        <f t="shared" si="141"/>
        <v>878</v>
      </c>
      <c r="D1883" s="102" t="str">
        <f t="shared" si="142"/>
        <v/>
      </c>
      <c r="E1883" s="44"/>
      <c r="F1883" s="45"/>
      <c r="G1883" s="45"/>
      <c r="H1883" s="45"/>
      <c r="I1883" s="46"/>
      <c r="J1883" s="111" t="str">
        <f>IF(AND(G1883&lt;&gt;"",ISERROR(VLOOKUP(G1883,Keszlet!$C$5:$H$200,6,FALSE))=FALSE),VLOOKUP(G1883,Keszlet!$C$5:$H$200,6,FALSE),"")</f>
        <v/>
      </c>
      <c r="K1883" s="106" t="str">
        <f>IF(AND(G1883&lt;&gt;"",ISERROR(VLOOKUP(G1883,Keszlet!$C$5:$G$200,5,FALSE))=FALSE),VLOOKUP(G1883,Keszlet!$C$5:$G$200,5,FALSE),"")</f>
        <v/>
      </c>
      <c r="L1883" s="106" t="str">
        <f t="shared" si="143"/>
        <v/>
      </c>
      <c r="M1883" s="115" t="str">
        <f>IF(ISERROR(VLOOKUP(G1883,Keszlet!$C$5:$I$200,7,FALSE))=TRUE,"",IF(AND(J1882&lt;&gt;"",J1884=""),VLOOKUP(G1883,Keszlet!$C$5:$I$200,7,FALSE),""))</f>
        <v/>
      </c>
      <c r="Q1883" s="1">
        <f>VLOOKUP(G1883,Keszlet!$C$5:$E$205,3,FALSE)</f>
        <v>0</v>
      </c>
      <c r="T1883" s="1" t="str">
        <f t="shared" si="144"/>
        <v/>
      </c>
      <c r="U1883" s="1">
        <f t="shared" si="145"/>
        <v>0</v>
      </c>
      <c r="W1883" s="6">
        <f t="shared" si="148"/>
        <v>0</v>
      </c>
      <c r="X1883" s="6">
        <f t="shared" si="140"/>
        <v>0</v>
      </c>
      <c r="Y1883" s="1">
        <f t="shared" si="146"/>
        <v>1</v>
      </c>
      <c r="Z1883" s="1">
        <f>IF(COUNTIF($Y$6:Y1883,Y1883)=1,Y1883,Y1883+COUNTIF($Y$5:Y1882,Y1883))</f>
        <v>878</v>
      </c>
      <c r="AD1883" s="1" t="str">
        <f t="shared" si="147"/>
        <v/>
      </c>
      <c r="BA1883" s="1">
        <f>IF(W1883&lt;=Leltar_iv!$Y$1,I1883,0)</f>
        <v>0</v>
      </c>
    </row>
    <row r="1884" spans="1:53" s="1" customFormat="1" x14ac:dyDescent="0.25">
      <c r="A1884" s="18">
        <f>IF(COUNTIF($Y$6:Y1884,Y1884)=1,Y1884,Y1884+COUNTIF($Y$5:Y1883,Y1884))</f>
        <v>879</v>
      </c>
      <c r="B1884" s="1">
        <f>IF(AND(Kisero_iv!$N$2=C1884,Kisero_iv!$K$5=$B$3,SUM(I1884:L1888)&lt;&gt;0,$B$4=YEAR(W1884)),B1883+1,0)</f>
        <v>0</v>
      </c>
      <c r="C1884" s="1">
        <f t="shared" si="141"/>
        <v>879</v>
      </c>
      <c r="D1884" s="102" t="str">
        <f t="shared" si="142"/>
        <v/>
      </c>
      <c r="E1884" s="44"/>
      <c r="F1884" s="45"/>
      <c r="G1884" s="45"/>
      <c r="H1884" s="45"/>
      <c r="I1884" s="46"/>
      <c r="J1884" s="111" t="str">
        <f>IF(AND(G1884&lt;&gt;"",ISERROR(VLOOKUP(G1884,Keszlet!$C$5:$H$200,6,FALSE))=FALSE),VLOOKUP(G1884,Keszlet!$C$5:$H$200,6,FALSE),"")</f>
        <v/>
      </c>
      <c r="K1884" s="106" t="str">
        <f>IF(AND(G1884&lt;&gt;"",ISERROR(VLOOKUP(G1884,Keszlet!$C$5:$G$200,5,FALSE))=FALSE),VLOOKUP(G1884,Keszlet!$C$5:$G$200,5,FALSE),"")</f>
        <v/>
      </c>
      <c r="L1884" s="106" t="str">
        <f t="shared" si="143"/>
        <v/>
      </c>
      <c r="M1884" s="115" t="str">
        <f>IF(ISERROR(VLOOKUP(G1884,Keszlet!$C$5:$I$200,7,FALSE))=TRUE,"",IF(AND(J1883&lt;&gt;"",J1885=""),VLOOKUP(G1884,Keszlet!$C$5:$I$200,7,FALSE),""))</f>
        <v/>
      </c>
      <c r="Q1884" s="1">
        <f>VLOOKUP(G1884,Keszlet!$C$5:$E$205,3,FALSE)</f>
        <v>0</v>
      </c>
      <c r="T1884" s="1" t="str">
        <f t="shared" si="144"/>
        <v/>
      </c>
      <c r="U1884" s="1">
        <f t="shared" si="145"/>
        <v>0</v>
      </c>
      <c r="W1884" s="6">
        <f t="shared" si="148"/>
        <v>0</v>
      </c>
      <c r="X1884" s="6">
        <f t="shared" si="140"/>
        <v>0</v>
      </c>
      <c r="Y1884" s="1">
        <f t="shared" si="146"/>
        <v>1</v>
      </c>
      <c r="Z1884" s="1">
        <f>IF(COUNTIF($Y$6:Y1884,Y1884)=1,Y1884,Y1884+COUNTIF($Y$5:Y1883,Y1884))</f>
        <v>879</v>
      </c>
      <c r="AD1884" s="1" t="str">
        <f t="shared" si="147"/>
        <v/>
      </c>
      <c r="BA1884" s="1">
        <f>IF(W1884&lt;=Leltar_iv!$Y$1,I1884,0)</f>
        <v>0</v>
      </c>
    </row>
    <row r="1885" spans="1:53" s="1" customFormat="1" x14ac:dyDescent="0.25">
      <c r="A1885" s="18">
        <f>IF(COUNTIF($Y$6:Y1885,Y1885)=1,Y1885,Y1885+COUNTIF($Y$5:Y1884,Y1885))</f>
        <v>880</v>
      </c>
      <c r="B1885" s="1">
        <f>IF(AND(Kisero_iv!$N$2=C1885,Kisero_iv!$K$5=$B$3,SUM(I1885:L1889)&lt;&gt;0,$B$4=YEAR(W1885)),B1884+1,0)</f>
        <v>0</v>
      </c>
      <c r="C1885" s="1">
        <f t="shared" si="141"/>
        <v>880</v>
      </c>
      <c r="D1885" s="102" t="str">
        <f t="shared" si="142"/>
        <v/>
      </c>
      <c r="E1885" s="44"/>
      <c r="F1885" s="45"/>
      <c r="G1885" s="45"/>
      <c r="H1885" s="45"/>
      <c r="I1885" s="46"/>
      <c r="J1885" s="111" t="str">
        <f>IF(AND(G1885&lt;&gt;"",ISERROR(VLOOKUP(G1885,Keszlet!$C$5:$H$200,6,FALSE))=FALSE),VLOOKUP(G1885,Keszlet!$C$5:$H$200,6,FALSE),"")</f>
        <v/>
      </c>
      <c r="K1885" s="106" t="str">
        <f>IF(AND(G1885&lt;&gt;"",ISERROR(VLOOKUP(G1885,Keszlet!$C$5:$G$200,5,FALSE))=FALSE),VLOOKUP(G1885,Keszlet!$C$5:$G$200,5,FALSE),"")</f>
        <v/>
      </c>
      <c r="L1885" s="106" t="str">
        <f t="shared" si="143"/>
        <v/>
      </c>
      <c r="M1885" s="115" t="str">
        <f>IF(ISERROR(VLOOKUP(G1885,Keszlet!$C$5:$I$200,7,FALSE))=TRUE,"",IF(AND(J1884&lt;&gt;"",J1886=""),VLOOKUP(G1885,Keszlet!$C$5:$I$200,7,FALSE),""))</f>
        <v/>
      </c>
      <c r="Q1885" s="1">
        <f>VLOOKUP(G1885,Keszlet!$C$5:$E$205,3,FALSE)</f>
        <v>0</v>
      </c>
      <c r="T1885" s="1" t="str">
        <f t="shared" si="144"/>
        <v/>
      </c>
      <c r="U1885" s="1">
        <f t="shared" si="145"/>
        <v>0</v>
      </c>
      <c r="W1885" s="6">
        <f t="shared" si="148"/>
        <v>0</v>
      </c>
      <c r="X1885" s="6">
        <f t="shared" si="140"/>
        <v>0</v>
      </c>
      <c r="Y1885" s="1">
        <f t="shared" si="146"/>
        <v>1</v>
      </c>
      <c r="Z1885" s="1">
        <f>IF(COUNTIF($Y$6:Y1885,Y1885)=1,Y1885,Y1885+COUNTIF($Y$5:Y1884,Y1885))</f>
        <v>880</v>
      </c>
      <c r="AD1885" s="1" t="str">
        <f t="shared" si="147"/>
        <v/>
      </c>
      <c r="BA1885" s="1">
        <f>IF(W1885&lt;=Leltar_iv!$Y$1,I1885,0)</f>
        <v>0</v>
      </c>
    </row>
    <row r="1886" spans="1:53" s="1" customFormat="1" x14ac:dyDescent="0.25">
      <c r="A1886" s="18">
        <f>IF(COUNTIF($Y$6:Y1886,Y1886)=1,Y1886,Y1886+COUNTIF($Y$5:Y1885,Y1886))</f>
        <v>881</v>
      </c>
      <c r="B1886" s="1">
        <f>IF(AND(Kisero_iv!$N$2=C1886,Kisero_iv!$K$5=$B$3,SUM(I1886:L1890)&lt;&gt;0,$B$4=YEAR(W1886)),B1885+1,0)</f>
        <v>0</v>
      </c>
      <c r="C1886" s="1">
        <f t="shared" si="141"/>
        <v>881</v>
      </c>
      <c r="D1886" s="102" t="str">
        <f t="shared" si="142"/>
        <v/>
      </c>
      <c r="E1886" s="44"/>
      <c r="F1886" s="45"/>
      <c r="G1886" s="45"/>
      <c r="H1886" s="45"/>
      <c r="I1886" s="46"/>
      <c r="J1886" s="111" t="str">
        <f>IF(AND(G1886&lt;&gt;"",ISERROR(VLOOKUP(G1886,Keszlet!$C$5:$H$200,6,FALSE))=FALSE),VLOOKUP(G1886,Keszlet!$C$5:$H$200,6,FALSE),"")</f>
        <v/>
      </c>
      <c r="K1886" s="106" t="str">
        <f>IF(AND(G1886&lt;&gt;"",ISERROR(VLOOKUP(G1886,Keszlet!$C$5:$G$200,5,FALSE))=FALSE),VLOOKUP(G1886,Keszlet!$C$5:$G$200,5,FALSE),"")</f>
        <v/>
      </c>
      <c r="L1886" s="106" t="str">
        <f t="shared" si="143"/>
        <v/>
      </c>
      <c r="M1886" s="115" t="str">
        <f>IF(ISERROR(VLOOKUP(G1886,Keszlet!$C$5:$I$200,7,FALSE))=TRUE,"",IF(AND(J1885&lt;&gt;"",J1887=""),VLOOKUP(G1886,Keszlet!$C$5:$I$200,7,FALSE),""))</f>
        <v/>
      </c>
      <c r="Q1886" s="1">
        <f>VLOOKUP(G1886,Keszlet!$C$5:$E$205,3,FALSE)</f>
        <v>0</v>
      </c>
      <c r="T1886" s="1" t="str">
        <f t="shared" si="144"/>
        <v/>
      </c>
      <c r="U1886" s="1">
        <f t="shared" si="145"/>
        <v>0</v>
      </c>
      <c r="W1886" s="6">
        <f t="shared" si="148"/>
        <v>0</v>
      </c>
      <c r="X1886" s="6">
        <f t="shared" si="140"/>
        <v>0</v>
      </c>
      <c r="Y1886" s="1">
        <f t="shared" si="146"/>
        <v>1</v>
      </c>
      <c r="Z1886" s="1">
        <f>IF(COUNTIF($Y$6:Y1886,Y1886)=1,Y1886,Y1886+COUNTIF($Y$5:Y1885,Y1886))</f>
        <v>881</v>
      </c>
      <c r="AD1886" s="1" t="str">
        <f t="shared" si="147"/>
        <v/>
      </c>
      <c r="BA1886" s="1">
        <f>IF(W1886&lt;=Leltar_iv!$Y$1,I1886,0)</f>
        <v>0</v>
      </c>
    </row>
    <row r="1887" spans="1:53" s="1" customFormat="1" x14ac:dyDescent="0.25">
      <c r="A1887" s="18">
        <f>IF(COUNTIF($Y$6:Y1887,Y1887)=1,Y1887,Y1887+COUNTIF($Y$5:Y1886,Y1887))</f>
        <v>882</v>
      </c>
      <c r="B1887" s="1">
        <f>IF(AND(Kisero_iv!$N$2=C1887,Kisero_iv!$K$5=$B$3,SUM(I1887:L1891)&lt;&gt;0,$B$4=YEAR(W1887)),B1886+1,0)</f>
        <v>0</v>
      </c>
      <c r="C1887" s="1">
        <f t="shared" si="141"/>
        <v>882</v>
      </c>
      <c r="D1887" s="102" t="str">
        <f t="shared" si="142"/>
        <v/>
      </c>
      <c r="E1887" s="44"/>
      <c r="F1887" s="45"/>
      <c r="G1887" s="45"/>
      <c r="H1887" s="45"/>
      <c r="I1887" s="46"/>
      <c r="J1887" s="111" t="str">
        <f>IF(AND(G1887&lt;&gt;"",ISERROR(VLOOKUP(G1887,Keszlet!$C$5:$H$200,6,FALSE))=FALSE),VLOOKUP(G1887,Keszlet!$C$5:$H$200,6,FALSE),"")</f>
        <v/>
      </c>
      <c r="K1887" s="106" t="str">
        <f>IF(AND(G1887&lt;&gt;"",ISERROR(VLOOKUP(G1887,Keszlet!$C$5:$G$200,5,FALSE))=FALSE),VLOOKUP(G1887,Keszlet!$C$5:$G$200,5,FALSE),"")</f>
        <v/>
      </c>
      <c r="L1887" s="106" t="str">
        <f t="shared" si="143"/>
        <v/>
      </c>
      <c r="M1887" s="115" t="str">
        <f>IF(ISERROR(VLOOKUP(G1887,Keszlet!$C$5:$I$200,7,FALSE))=TRUE,"",IF(AND(J1886&lt;&gt;"",J1888=""),VLOOKUP(G1887,Keszlet!$C$5:$I$200,7,FALSE),""))</f>
        <v/>
      </c>
      <c r="Q1887" s="1">
        <f>VLOOKUP(G1887,Keszlet!$C$5:$E$205,3,FALSE)</f>
        <v>0</v>
      </c>
      <c r="T1887" s="1" t="str">
        <f t="shared" si="144"/>
        <v/>
      </c>
      <c r="U1887" s="1">
        <f t="shared" si="145"/>
        <v>0</v>
      </c>
      <c r="W1887" s="6">
        <f t="shared" si="148"/>
        <v>0</v>
      </c>
      <c r="X1887" s="6">
        <f t="shared" si="140"/>
        <v>0</v>
      </c>
      <c r="Y1887" s="1">
        <f t="shared" si="146"/>
        <v>1</v>
      </c>
      <c r="Z1887" s="1">
        <f>IF(COUNTIF($Y$6:Y1887,Y1887)=1,Y1887,Y1887+COUNTIF($Y$5:Y1886,Y1887))</f>
        <v>882</v>
      </c>
      <c r="AD1887" s="1" t="str">
        <f t="shared" si="147"/>
        <v/>
      </c>
      <c r="BA1887" s="1">
        <f>IF(W1887&lt;=Leltar_iv!$Y$1,I1887,0)</f>
        <v>0</v>
      </c>
    </row>
    <row r="1888" spans="1:53" s="1" customFormat="1" x14ac:dyDescent="0.25">
      <c r="A1888" s="18">
        <f>IF(COUNTIF($Y$6:Y1888,Y1888)=1,Y1888,Y1888+COUNTIF($Y$5:Y1887,Y1888))</f>
        <v>883</v>
      </c>
      <c r="B1888" s="1">
        <f>IF(AND(Kisero_iv!$N$2=C1888,Kisero_iv!$K$5=$B$3,SUM(I1888:L1892)&lt;&gt;0,$B$4=YEAR(W1888)),B1887+1,0)</f>
        <v>0</v>
      </c>
      <c r="C1888" s="1">
        <f t="shared" si="141"/>
        <v>883</v>
      </c>
      <c r="D1888" s="102" t="str">
        <f t="shared" si="142"/>
        <v/>
      </c>
      <c r="E1888" s="44"/>
      <c r="F1888" s="45"/>
      <c r="G1888" s="45"/>
      <c r="H1888" s="45"/>
      <c r="I1888" s="46"/>
      <c r="J1888" s="111" t="str">
        <f>IF(AND(G1888&lt;&gt;"",ISERROR(VLOOKUP(G1888,Keszlet!$C$5:$H$200,6,FALSE))=FALSE),VLOOKUP(G1888,Keszlet!$C$5:$H$200,6,FALSE),"")</f>
        <v/>
      </c>
      <c r="K1888" s="106" t="str">
        <f>IF(AND(G1888&lt;&gt;"",ISERROR(VLOOKUP(G1888,Keszlet!$C$5:$G$200,5,FALSE))=FALSE),VLOOKUP(G1888,Keszlet!$C$5:$G$200,5,FALSE),"")</f>
        <v/>
      </c>
      <c r="L1888" s="106" t="str">
        <f t="shared" si="143"/>
        <v/>
      </c>
      <c r="M1888" s="115" t="str">
        <f>IF(ISERROR(VLOOKUP(G1888,Keszlet!$C$5:$I$200,7,FALSE))=TRUE,"",IF(AND(J1887&lt;&gt;"",J1889=""),VLOOKUP(G1888,Keszlet!$C$5:$I$200,7,FALSE),""))</f>
        <v/>
      </c>
      <c r="Q1888" s="1">
        <f>VLOOKUP(G1888,Keszlet!$C$5:$E$205,3,FALSE)</f>
        <v>0</v>
      </c>
      <c r="T1888" s="1" t="str">
        <f t="shared" si="144"/>
        <v/>
      </c>
      <c r="U1888" s="1">
        <f t="shared" si="145"/>
        <v>0</v>
      </c>
      <c r="W1888" s="6">
        <f t="shared" si="148"/>
        <v>0</v>
      </c>
      <c r="X1888" s="6">
        <f t="shared" si="140"/>
        <v>0</v>
      </c>
      <c r="Y1888" s="1">
        <f t="shared" si="146"/>
        <v>1</v>
      </c>
      <c r="Z1888" s="1">
        <f>IF(COUNTIF($Y$6:Y1888,Y1888)=1,Y1888,Y1888+COUNTIF($Y$5:Y1887,Y1888))</f>
        <v>883</v>
      </c>
      <c r="AD1888" s="1" t="str">
        <f t="shared" si="147"/>
        <v/>
      </c>
      <c r="BA1888" s="1">
        <f>IF(W1888&lt;=Leltar_iv!$Y$1,I1888,0)</f>
        <v>0</v>
      </c>
    </row>
    <row r="1889" spans="1:53" s="1" customFormat="1" x14ac:dyDescent="0.25">
      <c r="A1889" s="18">
        <f>IF(COUNTIF($Y$6:Y1889,Y1889)=1,Y1889,Y1889+COUNTIF($Y$5:Y1888,Y1889))</f>
        <v>884</v>
      </c>
      <c r="B1889" s="1">
        <f>IF(AND(Kisero_iv!$N$2=C1889,Kisero_iv!$K$5=$B$3,SUM(I1889:L1893)&lt;&gt;0,$B$4=YEAR(W1889)),B1888+1,0)</f>
        <v>0</v>
      </c>
      <c r="C1889" s="1">
        <f t="shared" si="141"/>
        <v>884</v>
      </c>
      <c r="D1889" s="102" t="str">
        <f t="shared" si="142"/>
        <v/>
      </c>
      <c r="E1889" s="44"/>
      <c r="F1889" s="45"/>
      <c r="G1889" s="45"/>
      <c r="H1889" s="45"/>
      <c r="I1889" s="46"/>
      <c r="J1889" s="111" t="str">
        <f>IF(AND(G1889&lt;&gt;"",ISERROR(VLOOKUP(G1889,Keszlet!$C$5:$H$200,6,FALSE))=FALSE),VLOOKUP(G1889,Keszlet!$C$5:$H$200,6,FALSE),"")</f>
        <v/>
      </c>
      <c r="K1889" s="106" t="str">
        <f>IF(AND(G1889&lt;&gt;"",ISERROR(VLOOKUP(G1889,Keszlet!$C$5:$G$200,5,FALSE))=FALSE),VLOOKUP(G1889,Keszlet!$C$5:$G$200,5,FALSE),"")</f>
        <v/>
      </c>
      <c r="L1889" s="106" t="str">
        <f t="shared" si="143"/>
        <v/>
      </c>
      <c r="M1889" s="115" t="str">
        <f>IF(ISERROR(VLOOKUP(G1889,Keszlet!$C$5:$I$200,7,FALSE))=TRUE,"",IF(AND(J1888&lt;&gt;"",J1890=""),VLOOKUP(G1889,Keszlet!$C$5:$I$200,7,FALSE),""))</f>
        <v/>
      </c>
      <c r="Q1889" s="1">
        <f>VLOOKUP(G1889,Keszlet!$C$5:$E$205,3,FALSE)</f>
        <v>0</v>
      </c>
      <c r="T1889" s="1" t="str">
        <f t="shared" si="144"/>
        <v/>
      </c>
      <c r="U1889" s="1">
        <f t="shared" si="145"/>
        <v>0</v>
      </c>
      <c r="W1889" s="6">
        <f t="shared" si="148"/>
        <v>0</v>
      </c>
      <c r="X1889" s="6">
        <f t="shared" si="140"/>
        <v>0</v>
      </c>
      <c r="Y1889" s="1">
        <f t="shared" si="146"/>
        <v>1</v>
      </c>
      <c r="Z1889" s="1">
        <f>IF(COUNTIF($Y$6:Y1889,Y1889)=1,Y1889,Y1889+COUNTIF($Y$5:Y1888,Y1889))</f>
        <v>884</v>
      </c>
      <c r="AD1889" s="1" t="str">
        <f t="shared" si="147"/>
        <v/>
      </c>
      <c r="BA1889" s="1">
        <f>IF(W1889&lt;=Leltar_iv!$Y$1,I1889,0)</f>
        <v>0</v>
      </c>
    </row>
    <row r="1890" spans="1:53" s="1" customFormat="1" x14ac:dyDescent="0.25">
      <c r="A1890" s="18">
        <f>IF(COUNTIF($Y$6:Y1890,Y1890)=1,Y1890,Y1890+COUNTIF($Y$5:Y1889,Y1890))</f>
        <v>885</v>
      </c>
      <c r="B1890" s="1">
        <f>IF(AND(Kisero_iv!$N$2=C1890,Kisero_iv!$K$5=$B$3,SUM(I1890:L1894)&lt;&gt;0,$B$4=YEAR(W1890)),B1889+1,0)</f>
        <v>0</v>
      </c>
      <c r="C1890" s="1">
        <f t="shared" si="141"/>
        <v>885</v>
      </c>
      <c r="D1890" s="102" t="str">
        <f t="shared" si="142"/>
        <v/>
      </c>
      <c r="E1890" s="44"/>
      <c r="F1890" s="45"/>
      <c r="G1890" s="45"/>
      <c r="H1890" s="45"/>
      <c r="I1890" s="46"/>
      <c r="J1890" s="111" t="str">
        <f>IF(AND(G1890&lt;&gt;"",ISERROR(VLOOKUP(G1890,Keszlet!$C$5:$H$200,6,FALSE))=FALSE),VLOOKUP(G1890,Keszlet!$C$5:$H$200,6,FALSE),"")</f>
        <v/>
      </c>
      <c r="K1890" s="106" t="str">
        <f>IF(AND(G1890&lt;&gt;"",ISERROR(VLOOKUP(G1890,Keszlet!$C$5:$G$200,5,FALSE))=FALSE),VLOOKUP(G1890,Keszlet!$C$5:$G$200,5,FALSE),"")</f>
        <v/>
      </c>
      <c r="L1890" s="106" t="str">
        <f t="shared" si="143"/>
        <v/>
      </c>
      <c r="M1890" s="115" t="str">
        <f>IF(ISERROR(VLOOKUP(G1890,Keszlet!$C$5:$I$200,7,FALSE))=TRUE,"",IF(AND(J1889&lt;&gt;"",J1891=""),VLOOKUP(G1890,Keszlet!$C$5:$I$200,7,FALSE),""))</f>
        <v/>
      </c>
      <c r="Q1890" s="1">
        <f>VLOOKUP(G1890,Keszlet!$C$5:$E$205,3,FALSE)</f>
        <v>0</v>
      </c>
      <c r="T1890" s="1" t="str">
        <f t="shared" si="144"/>
        <v/>
      </c>
      <c r="U1890" s="1">
        <f t="shared" si="145"/>
        <v>0</v>
      </c>
      <c r="W1890" s="6">
        <f t="shared" si="148"/>
        <v>0</v>
      </c>
      <c r="X1890" s="6">
        <f t="shared" si="140"/>
        <v>0</v>
      </c>
      <c r="Y1890" s="1">
        <f t="shared" si="146"/>
        <v>1</v>
      </c>
      <c r="Z1890" s="1">
        <f>IF(COUNTIF($Y$6:Y1890,Y1890)=1,Y1890,Y1890+COUNTIF($Y$5:Y1889,Y1890))</f>
        <v>885</v>
      </c>
      <c r="AD1890" s="1" t="str">
        <f t="shared" si="147"/>
        <v/>
      </c>
      <c r="BA1890" s="1">
        <f>IF(W1890&lt;=Leltar_iv!$Y$1,I1890,0)</f>
        <v>0</v>
      </c>
    </row>
    <row r="1891" spans="1:53" s="1" customFormat="1" x14ac:dyDescent="0.25">
      <c r="A1891" s="18">
        <f>IF(COUNTIF($Y$6:Y1891,Y1891)=1,Y1891,Y1891+COUNTIF($Y$5:Y1890,Y1891))</f>
        <v>886</v>
      </c>
      <c r="B1891" s="1">
        <f>IF(AND(Kisero_iv!$N$2=C1891,Kisero_iv!$K$5=$B$3,SUM(I1891:L1895)&lt;&gt;0,$B$4=YEAR(W1891)),B1890+1,0)</f>
        <v>0</v>
      </c>
      <c r="C1891" s="1">
        <f t="shared" si="141"/>
        <v>886</v>
      </c>
      <c r="D1891" s="102" t="str">
        <f t="shared" si="142"/>
        <v/>
      </c>
      <c r="E1891" s="44"/>
      <c r="F1891" s="45"/>
      <c r="G1891" s="45"/>
      <c r="H1891" s="45"/>
      <c r="I1891" s="46"/>
      <c r="J1891" s="111" t="str">
        <f>IF(AND(G1891&lt;&gt;"",ISERROR(VLOOKUP(G1891,Keszlet!$C$5:$H$200,6,FALSE))=FALSE),VLOOKUP(G1891,Keszlet!$C$5:$H$200,6,FALSE),"")</f>
        <v/>
      </c>
      <c r="K1891" s="106" t="str">
        <f>IF(AND(G1891&lt;&gt;"",ISERROR(VLOOKUP(G1891,Keszlet!$C$5:$G$200,5,FALSE))=FALSE),VLOOKUP(G1891,Keszlet!$C$5:$G$200,5,FALSE),"")</f>
        <v/>
      </c>
      <c r="L1891" s="106" t="str">
        <f t="shared" si="143"/>
        <v/>
      </c>
      <c r="M1891" s="115" t="str">
        <f>IF(ISERROR(VLOOKUP(G1891,Keszlet!$C$5:$I$200,7,FALSE))=TRUE,"",IF(AND(J1890&lt;&gt;"",J1892=""),VLOOKUP(G1891,Keszlet!$C$5:$I$200,7,FALSE),""))</f>
        <v/>
      </c>
      <c r="Q1891" s="1">
        <f>VLOOKUP(G1891,Keszlet!$C$5:$E$205,3,FALSE)</f>
        <v>0</v>
      </c>
      <c r="T1891" s="1" t="str">
        <f t="shared" si="144"/>
        <v/>
      </c>
      <c r="U1891" s="1">
        <f t="shared" si="145"/>
        <v>0</v>
      </c>
      <c r="W1891" s="6">
        <f t="shared" si="148"/>
        <v>0</v>
      </c>
      <c r="X1891" s="6">
        <f t="shared" si="140"/>
        <v>0</v>
      </c>
      <c r="Y1891" s="1">
        <f t="shared" si="146"/>
        <v>1</v>
      </c>
      <c r="Z1891" s="1">
        <f>IF(COUNTIF($Y$6:Y1891,Y1891)=1,Y1891,Y1891+COUNTIF($Y$5:Y1890,Y1891))</f>
        <v>886</v>
      </c>
      <c r="AD1891" s="1" t="str">
        <f t="shared" si="147"/>
        <v/>
      </c>
      <c r="BA1891" s="1">
        <f>IF(W1891&lt;=Leltar_iv!$Y$1,I1891,0)</f>
        <v>0</v>
      </c>
    </row>
    <row r="1892" spans="1:53" s="1" customFormat="1" x14ac:dyDescent="0.25">
      <c r="A1892" s="18">
        <f>IF(COUNTIF($Y$6:Y1892,Y1892)=1,Y1892,Y1892+COUNTIF($Y$5:Y1891,Y1892))</f>
        <v>887</v>
      </c>
      <c r="B1892" s="1">
        <f>IF(AND(Kisero_iv!$N$2=C1892,Kisero_iv!$K$5=$B$3,SUM(I1892:L1896)&lt;&gt;0,$B$4=YEAR(W1892)),B1891+1,0)</f>
        <v>0</v>
      </c>
      <c r="C1892" s="1">
        <f t="shared" si="141"/>
        <v>887</v>
      </c>
      <c r="D1892" s="102" t="str">
        <f t="shared" si="142"/>
        <v/>
      </c>
      <c r="E1892" s="44"/>
      <c r="F1892" s="45"/>
      <c r="G1892" s="45"/>
      <c r="H1892" s="45"/>
      <c r="I1892" s="46"/>
      <c r="J1892" s="111" t="str">
        <f>IF(AND(G1892&lt;&gt;"",ISERROR(VLOOKUP(G1892,Keszlet!$C$5:$H$200,6,FALSE))=FALSE),VLOOKUP(G1892,Keszlet!$C$5:$H$200,6,FALSE),"")</f>
        <v/>
      </c>
      <c r="K1892" s="106" t="str">
        <f>IF(AND(G1892&lt;&gt;"",ISERROR(VLOOKUP(G1892,Keszlet!$C$5:$G$200,5,FALSE))=FALSE),VLOOKUP(G1892,Keszlet!$C$5:$G$200,5,FALSE),"")</f>
        <v/>
      </c>
      <c r="L1892" s="106" t="str">
        <f t="shared" si="143"/>
        <v/>
      </c>
      <c r="M1892" s="115" t="str">
        <f>IF(ISERROR(VLOOKUP(G1892,Keszlet!$C$5:$I$200,7,FALSE))=TRUE,"",IF(AND(J1891&lt;&gt;"",J1893=""),VLOOKUP(G1892,Keszlet!$C$5:$I$200,7,FALSE),""))</f>
        <v/>
      </c>
      <c r="Q1892" s="1">
        <f>VLOOKUP(G1892,Keszlet!$C$5:$E$205,3,FALSE)</f>
        <v>0</v>
      </c>
      <c r="T1892" s="1" t="str">
        <f t="shared" si="144"/>
        <v/>
      </c>
      <c r="U1892" s="1">
        <f t="shared" si="145"/>
        <v>0</v>
      </c>
      <c r="W1892" s="6">
        <f t="shared" si="148"/>
        <v>0</v>
      </c>
      <c r="X1892" s="6">
        <f t="shared" si="140"/>
        <v>0</v>
      </c>
      <c r="Y1892" s="1">
        <f t="shared" si="146"/>
        <v>1</v>
      </c>
      <c r="Z1892" s="1">
        <f>IF(COUNTIF($Y$6:Y1892,Y1892)=1,Y1892,Y1892+COUNTIF($Y$5:Y1891,Y1892))</f>
        <v>887</v>
      </c>
      <c r="AD1892" s="1" t="str">
        <f t="shared" si="147"/>
        <v/>
      </c>
      <c r="BA1892" s="1">
        <f>IF(W1892&lt;=Leltar_iv!$Y$1,I1892,0)</f>
        <v>0</v>
      </c>
    </row>
    <row r="1893" spans="1:53" s="1" customFormat="1" x14ac:dyDescent="0.25">
      <c r="A1893" s="18">
        <f>IF(COUNTIF($Y$6:Y1893,Y1893)=1,Y1893,Y1893+COUNTIF($Y$5:Y1892,Y1893))</f>
        <v>888</v>
      </c>
      <c r="B1893" s="1">
        <f>IF(AND(Kisero_iv!$N$2=C1893,Kisero_iv!$K$5=$B$3,SUM(I1893:L1897)&lt;&gt;0,$B$4=YEAR(W1893)),B1892+1,0)</f>
        <v>0</v>
      </c>
      <c r="C1893" s="1">
        <f t="shared" si="141"/>
        <v>888</v>
      </c>
      <c r="D1893" s="102" t="str">
        <f t="shared" si="142"/>
        <v/>
      </c>
      <c r="E1893" s="44"/>
      <c r="F1893" s="45"/>
      <c r="G1893" s="45"/>
      <c r="H1893" s="45"/>
      <c r="I1893" s="46"/>
      <c r="J1893" s="111" t="str">
        <f>IF(AND(G1893&lt;&gt;"",ISERROR(VLOOKUP(G1893,Keszlet!$C$5:$H$200,6,FALSE))=FALSE),VLOOKUP(G1893,Keszlet!$C$5:$H$200,6,FALSE),"")</f>
        <v/>
      </c>
      <c r="K1893" s="106" t="str">
        <f>IF(AND(G1893&lt;&gt;"",ISERROR(VLOOKUP(G1893,Keszlet!$C$5:$G$200,5,FALSE))=FALSE),VLOOKUP(G1893,Keszlet!$C$5:$G$200,5,FALSE),"")</f>
        <v/>
      </c>
      <c r="L1893" s="106" t="str">
        <f t="shared" si="143"/>
        <v/>
      </c>
      <c r="M1893" s="115" t="str">
        <f>IF(ISERROR(VLOOKUP(G1893,Keszlet!$C$5:$I$200,7,FALSE))=TRUE,"",IF(AND(J1892&lt;&gt;"",J1894=""),VLOOKUP(G1893,Keszlet!$C$5:$I$200,7,FALSE),""))</f>
        <v/>
      </c>
      <c r="Q1893" s="1">
        <f>VLOOKUP(G1893,Keszlet!$C$5:$E$205,3,FALSE)</f>
        <v>0</v>
      </c>
      <c r="T1893" s="1" t="str">
        <f t="shared" si="144"/>
        <v/>
      </c>
      <c r="U1893" s="1">
        <f t="shared" si="145"/>
        <v>0</v>
      </c>
      <c r="W1893" s="6">
        <f t="shared" si="148"/>
        <v>0</v>
      </c>
      <c r="X1893" s="6">
        <f t="shared" si="140"/>
        <v>0</v>
      </c>
      <c r="Y1893" s="1">
        <f t="shared" si="146"/>
        <v>1</v>
      </c>
      <c r="Z1893" s="1">
        <f>IF(COUNTIF($Y$6:Y1893,Y1893)=1,Y1893,Y1893+COUNTIF($Y$5:Y1892,Y1893))</f>
        <v>888</v>
      </c>
      <c r="AD1893" s="1" t="str">
        <f t="shared" si="147"/>
        <v/>
      </c>
      <c r="BA1893" s="1">
        <f>IF(W1893&lt;=Leltar_iv!$Y$1,I1893,0)</f>
        <v>0</v>
      </c>
    </row>
    <row r="1894" spans="1:53" s="1" customFormat="1" x14ac:dyDescent="0.25">
      <c r="A1894" s="18">
        <f>IF(COUNTIF($Y$6:Y1894,Y1894)=1,Y1894,Y1894+COUNTIF($Y$5:Y1893,Y1894))</f>
        <v>889</v>
      </c>
      <c r="B1894" s="1">
        <f>IF(AND(Kisero_iv!$N$2=C1894,Kisero_iv!$K$5=$B$3,SUM(I1894:L1898)&lt;&gt;0,$B$4=YEAR(W1894)),B1893+1,0)</f>
        <v>0</v>
      </c>
      <c r="C1894" s="1">
        <f t="shared" si="141"/>
        <v>889</v>
      </c>
      <c r="D1894" s="102" t="str">
        <f t="shared" si="142"/>
        <v/>
      </c>
      <c r="E1894" s="44"/>
      <c r="F1894" s="45"/>
      <c r="G1894" s="45"/>
      <c r="H1894" s="45"/>
      <c r="I1894" s="46"/>
      <c r="J1894" s="111" t="str">
        <f>IF(AND(G1894&lt;&gt;"",ISERROR(VLOOKUP(G1894,Keszlet!$C$5:$H$200,6,FALSE))=FALSE),VLOOKUP(G1894,Keszlet!$C$5:$H$200,6,FALSE),"")</f>
        <v/>
      </c>
      <c r="K1894" s="106" t="str">
        <f>IF(AND(G1894&lt;&gt;"",ISERROR(VLOOKUP(G1894,Keszlet!$C$5:$G$200,5,FALSE))=FALSE),VLOOKUP(G1894,Keszlet!$C$5:$G$200,5,FALSE),"")</f>
        <v/>
      </c>
      <c r="L1894" s="106" t="str">
        <f t="shared" si="143"/>
        <v/>
      </c>
      <c r="M1894" s="115" t="str">
        <f>IF(ISERROR(VLOOKUP(G1894,Keszlet!$C$5:$I$200,7,FALSE))=TRUE,"",IF(AND(J1893&lt;&gt;"",J1895=""),VLOOKUP(G1894,Keszlet!$C$5:$I$200,7,FALSE),""))</f>
        <v/>
      </c>
      <c r="Q1894" s="1">
        <f>VLOOKUP(G1894,Keszlet!$C$5:$E$205,3,FALSE)</f>
        <v>0</v>
      </c>
      <c r="T1894" s="1" t="str">
        <f t="shared" si="144"/>
        <v/>
      </c>
      <c r="U1894" s="1">
        <f t="shared" si="145"/>
        <v>0</v>
      </c>
      <c r="W1894" s="6">
        <f t="shared" si="148"/>
        <v>0</v>
      </c>
      <c r="X1894" s="6">
        <f t="shared" si="140"/>
        <v>0</v>
      </c>
      <c r="Y1894" s="1">
        <f t="shared" si="146"/>
        <v>1</v>
      </c>
      <c r="Z1894" s="1">
        <f>IF(COUNTIF($Y$6:Y1894,Y1894)=1,Y1894,Y1894+COUNTIF($Y$5:Y1893,Y1894))</f>
        <v>889</v>
      </c>
      <c r="AD1894" s="1" t="str">
        <f t="shared" si="147"/>
        <v/>
      </c>
      <c r="BA1894" s="1">
        <f>IF(W1894&lt;=Leltar_iv!$Y$1,I1894,0)</f>
        <v>0</v>
      </c>
    </row>
    <row r="1895" spans="1:53" s="1" customFormat="1" x14ac:dyDescent="0.25">
      <c r="A1895" s="18">
        <f>IF(COUNTIF($Y$6:Y1895,Y1895)=1,Y1895,Y1895+COUNTIF($Y$5:Y1894,Y1895))</f>
        <v>890</v>
      </c>
      <c r="B1895" s="1">
        <f>IF(AND(Kisero_iv!$N$2=C1895,Kisero_iv!$K$5=$B$3,SUM(I1895:L1899)&lt;&gt;0,$B$4=YEAR(W1895)),B1894+1,0)</f>
        <v>0</v>
      </c>
      <c r="C1895" s="1">
        <f t="shared" si="141"/>
        <v>890</v>
      </c>
      <c r="D1895" s="102" t="str">
        <f t="shared" si="142"/>
        <v/>
      </c>
      <c r="E1895" s="44"/>
      <c r="F1895" s="45"/>
      <c r="G1895" s="45"/>
      <c r="H1895" s="45"/>
      <c r="I1895" s="46"/>
      <c r="J1895" s="111" t="str">
        <f>IF(AND(G1895&lt;&gt;"",ISERROR(VLOOKUP(G1895,Keszlet!$C$5:$H$200,6,FALSE))=FALSE),VLOOKUP(G1895,Keszlet!$C$5:$H$200,6,FALSE),"")</f>
        <v/>
      </c>
      <c r="K1895" s="106" t="str">
        <f>IF(AND(G1895&lt;&gt;"",ISERROR(VLOOKUP(G1895,Keszlet!$C$5:$G$200,5,FALSE))=FALSE),VLOOKUP(G1895,Keszlet!$C$5:$G$200,5,FALSE),"")</f>
        <v/>
      </c>
      <c r="L1895" s="106" t="str">
        <f t="shared" si="143"/>
        <v/>
      </c>
      <c r="M1895" s="115" t="str">
        <f>IF(ISERROR(VLOOKUP(G1895,Keszlet!$C$5:$I$200,7,FALSE))=TRUE,"",IF(AND(J1894&lt;&gt;"",J1896=""),VLOOKUP(G1895,Keszlet!$C$5:$I$200,7,FALSE),""))</f>
        <v/>
      </c>
      <c r="Q1895" s="1">
        <f>VLOOKUP(G1895,Keszlet!$C$5:$E$205,3,FALSE)</f>
        <v>0</v>
      </c>
      <c r="T1895" s="1" t="str">
        <f t="shared" si="144"/>
        <v/>
      </c>
      <c r="U1895" s="1">
        <f t="shared" si="145"/>
        <v>0</v>
      </c>
      <c r="W1895" s="6">
        <f t="shared" si="148"/>
        <v>0</v>
      </c>
      <c r="X1895" s="6">
        <f t="shared" si="140"/>
        <v>0</v>
      </c>
      <c r="Y1895" s="1">
        <f t="shared" si="146"/>
        <v>1</v>
      </c>
      <c r="Z1895" s="1">
        <f>IF(COUNTIF($Y$6:Y1895,Y1895)=1,Y1895,Y1895+COUNTIF($Y$5:Y1894,Y1895))</f>
        <v>890</v>
      </c>
      <c r="AD1895" s="1" t="str">
        <f t="shared" si="147"/>
        <v/>
      </c>
      <c r="BA1895" s="1">
        <f>IF(W1895&lt;=Leltar_iv!$Y$1,I1895,0)</f>
        <v>0</v>
      </c>
    </row>
    <row r="1896" spans="1:53" s="1" customFormat="1" x14ac:dyDescent="0.25">
      <c r="A1896" s="18">
        <f>IF(COUNTIF($Y$6:Y1896,Y1896)=1,Y1896,Y1896+COUNTIF($Y$5:Y1895,Y1896))</f>
        <v>891</v>
      </c>
      <c r="B1896" s="1">
        <f>IF(AND(Kisero_iv!$N$2=C1896,Kisero_iv!$K$5=$B$3,SUM(I1896:L1900)&lt;&gt;0,$B$4=YEAR(W1896)),B1895+1,0)</f>
        <v>0</v>
      </c>
      <c r="C1896" s="1">
        <f t="shared" si="141"/>
        <v>891</v>
      </c>
      <c r="D1896" s="102" t="str">
        <f t="shared" si="142"/>
        <v/>
      </c>
      <c r="E1896" s="44"/>
      <c r="F1896" s="45"/>
      <c r="G1896" s="45"/>
      <c r="H1896" s="45"/>
      <c r="I1896" s="46"/>
      <c r="J1896" s="111" t="str">
        <f>IF(AND(G1896&lt;&gt;"",ISERROR(VLOOKUP(G1896,Keszlet!$C$5:$H$200,6,FALSE))=FALSE),VLOOKUP(G1896,Keszlet!$C$5:$H$200,6,FALSE),"")</f>
        <v/>
      </c>
      <c r="K1896" s="106" t="str">
        <f>IF(AND(G1896&lt;&gt;"",ISERROR(VLOOKUP(G1896,Keszlet!$C$5:$G$200,5,FALSE))=FALSE),VLOOKUP(G1896,Keszlet!$C$5:$G$200,5,FALSE),"")</f>
        <v/>
      </c>
      <c r="L1896" s="106" t="str">
        <f t="shared" si="143"/>
        <v/>
      </c>
      <c r="M1896" s="115" t="str">
        <f>IF(ISERROR(VLOOKUP(G1896,Keszlet!$C$5:$I$200,7,FALSE))=TRUE,"",IF(AND(J1895&lt;&gt;"",J1897=""),VLOOKUP(G1896,Keszlet!$C$5:$I$200,7,FALSE),""))</f>
        <v/>
      </c>
      <c r="Q1896" s="1">
        <f>VLOOKUP(G1896,Keszlet!$C$5:$E$205,3,FALSE)</f>
        <v>0</v>
      </c>
      <c r="T1896" s="1" t="str">
        <f t="shared" si="144"/>
        <v/>
      </c>
      <c r="U1896" s="1">
        <f t="shared" si="145"/>
        <v>0</v>
      </c>
      <c r="W1896" s="6">
        <f t="shared" si="148"/>
        <v>0</v>
      </c>
      <c r="X1896" s="6">
        <f t="shared" si="140"/>
        <v>0</v>
      </c>
      <c r="Y1896" s="1">
        <f t="shared" si="146"/>
        <v>1</v>
      </c>
      <c r="Z1896" s="1">
        <f>IF(COUNTIF($Y$6:Y1896,Y1896)=1,Y1896,Y1896+COUNTIF($Y$5:Y1895,Y1896))</f>
        <v>891</v>
      </c>
      <c r="AD1896" s="1" t="str">
        <f t="shared" si="147"/>
        <v/>
      </c>
      <c r="BA1896" s="1">
        <f>IF(W1896&lt;=Leltar_iv!$Y$1,I1896,0)</f>
        <v>0</v>
      </c>
    </row>
    <row r="1897" spans="1:53" s="1" customFormat="1" x14ac:dyDescent="0.25">
      <c r="A1897" s="18">
        <f>IF(COUNTIF($Y$6:Y1897,Y1897)=1,Y1897,Y1897+COUNTIF($Y$5:Y1896,Y1897))</f>
        <v>892</v>
      </c>
      <c r="B1897" s="1">
        <f>IF(AND(Kisero_iv!$N$2=C1897,Kisero_iv!$K$5=$B$3,SUM(I1897:L1901)&lt;&gt;0,$B$4=YEAR(W1897)),B1896+1,0)</f>
        <v>0</v>
      </c>
      <c r="C1897" s="1">
        <f t="shared" si="141"/>
        <v>892</v>
      </c>
      <c r="D1897" s="102" t="str">
        <f t="shared" si="142"/>
        <v/>
      </c>
      <c r="E1897" s="44"/>
      <c r="F1897" s="45"/>
      <c r="G1897" s="45"/>
      <c r="H1897" s="45"/>
      <c r="I1897" s="46"/>
      <c r="J1897" s="111" t="str">
        <f>IF(AND(G1897&lt;&gt;"",ISERROR(VLOOKUP(G1897,Keszlet!$C$5:$H$200,6,FALSE))=FALSE),VLOOKUP(G1897,Keszlet!$C$5:$H$200,6,FALSE),"")</f>
        <v/>
      </c>
      <c r="K1897" s="106" t="str">
        <f>IF(AND(G1897&lt;&gt;"",ISERROR(VLOOKUP(G1897,Keszlet!$C$5:$G$200,5,FALSE))=FALSE),VLOOKUP(G1897,Keszlet!$C$5:$G$200,5,FALSE),"")</f>
        <v/>
      </c>
      <c r="L1897" s="106" t="str">
        <f t="shared" si="143"/>
        <v/>
      </c>
      <c r="M1897" s="115" t="str">
        <f>IF(ISERROR(VLOOKUP(G1897,Keszlet!$C$5:$I$200,7,FALSE))=TRUE,"",IF(AND(J1896&lt;&gt;"",J1898=""),VLOOKUP(G1897,Keszlet!$C$5:$I$200,7,FALSE),""))</f>
        <v/>
      </c>
      <c r="Q1897" s="1">
        <f>VLOOKUP(G1897,Keszlet!$C$5:$E$205,3,FALSE)</f>
        <v>0</v>
      </c>
      <c r="T1897" s="1" t="str">
        <f t="shared" si="144"/>
        <v/>
      </c>
      <c r="U1897" s="1">
        <f t="shared" si="145"/>
        <v>0</v>
      </c>
      <c r="W1897" s="6">
        <f t="shared" si="148"/>
        <v>0</v>
      </c>
      <c r="X1897" s="6">
        <f t="shared" si="140"/>
        <v>0</v>
      </c>
      <c r="Y1897" s="1">
        <f t="shared" si="146"/>
        <v>1</v>
      </c>
      <c r="Z1897" s="1">
        <f>IF(COUNTIF($Y$6:Y1897,Y1897)=1,Y1897,Y1897+COUNTIF($Y$5:Y1896,Y1897))</f>
        <v>892</v>
      </c>
      <c r="AD1897" s="1" t="str">
        <f t="shared" si="147"/>
        <v/>
      </c>
      <c r="BA1897" s="1">
        <f>IF(W1897&lt;=Leltar_iv!$Y$1,I1897,0)</f>
        <v>0</v>
      </c>
    </row>
    <row r="1898" spans="1:53" s="1" customFormat="1" x14ac:dyDescent="0.25">
      <c r="A1898" s="18">
        <f>IF(COUNTIF($Y$6:Y1898,Y1898)=1,Y1898,Y1898+COUNTIF($Y$5:Y1897,Y1898))</f>
        <v>893</v>
      </c>
      <c r="B1898" s="1">
        <f>IF(AND(Kisero_iv!$N$2=C1898,Kisero_iv!$K$5=$B$3,SUM(I1898:L1902)&lt;&gt;0,$B$4=YEAR(W1898)),B1897+1,0)</f>
        <v>0</v>
      </c>
      <c r="C1898" s="1">
        <f t="shared" si="141"/>
        <v>893</v>
      </c>
      <c r="D1898" s="102" t="str">
        <f t="shared" si="142"/>
        <v/>
      </c>
      <c r="E1898" s="44"/>
      <c r="F1898" s="45"/>
      <c r="G1898" s="45"/>
      <c r="H1898" s="45"/>
      <c r="I1898" s="46"/>
      <c r="J1898" s="111" t="str">
        <f>IF(AND(G1898&lt;&gt;"",ISERROR(VLOOKUP(G1898,Keszlet!$C$5:$H$200,6,FALSE))=FALSE),VLOOKUP(G1898,Keszlet!$C$5:$H$200,6,FALSE),"")</f>
        <v/>
      </c>
      <c r="K1898" s="106" t="str">
        <f>IF(AND(G1898&lt;&gt;"",ISERROR(VLOOKUP(G1898,Keszlet!$C$5:$G$200,5,FALSE))=FALSE),VLOOKUP(G1898,Keszlet!$C$5:$G$200,5,FALSE),"")</f>
        <v/>
      </c>
      <c r="L1898" s="106" t="str">
        <f t="shared" si="143"/>
        <v/>
      </c>
      <c r="M1898" s="115" t="str">
        <f>IF(ISERROR(VLOOKUP(G1898,Keszlet!$C$5:$I$200,7,FALSE))=TRUE,"",IF(AND(J1897&lt;&gt;"",J1899=""),VLOOKUP(G1898,Keszlet!$C$5:$I$200,7,FALSE),""))</f>
        <v/>
      </c>
      <c r="Q1898" s="1">
        <f>VLOOKUP(G1898,Keszlet!$C$5:$E$205,3,FALSE)</f>
        <v>0</v>
      </c>
      <c r="T1898" s="1" t="str">
        <f t="shared" si="144"/>
        <v/>
      </c>
      <c r="U1898" s="1">
        <f t="shared" si="145"/>
        <v>0</v>
      </c>
      <c r="W1898" s="6">
        <f t="shared" si="148"/>
        <v>0</v>
      </c>
      <c r="X1898" s="6">
        <f t="shared" si="140"/>
        <v>0</v>
      </c>
      <c r="Y1898" s="1">
        <f t="shared" si="146"/>
        <v>1</v>
      </c>
      <c r="Z1898" s="1">
        <f>IF(COUNTIF($Y$6:Y1898,Y1898)=1,Y1898,Y1898+COUNTIF($Y$5:Y1897,Y1898))</f>
        <v>893</v>
      </c>
      <c r="AD1898" s="1" t="str">
        <f t="shared" si="147"/>
        <v/>
      </c>
      <c r="BA1898" s="1">
        <f>IF(W1898&lt;=Leltar_iv!$Y$1,I1898,0)</f>
        <v>0</v>
      </c>
    </row>
    <row r="1899" spans="1:53" s="1" customFormat="1" x14ac:dyDescent="0.25">
      <c r="A1899" s="18">
        <f>IF(COUNTIF($Y$6:Y1899,Y1899)=1,Y1899,Y1899+COUNTIF($Y$5:Y1898,Y1899))</f>
        <v>894</v>
      </c>
      <c r="B1899" s="1">
        <f>IF(AND(Kisero_iv!$N$2=C1899,Kisero_iv!$K$5=$B$3,SUM(I1899:L1903)&lt;&gt;0,$B$4=YEAR(W1899)),B1898+1,0)</f>
        <v>0</v>
      </c>
      <c r="C1899" s="1">
        <f t="shared" si="141"/>
        <v>894</v>
      </c>
      <c r="D1899" s="102" t="str">
        <f t="shared" si="142"/>
        <v/>
      </c>
      <c r="E1899" s="44"/>
      <c r="F1899" s="45"/>
      <c r="G1899" s="45"/>
      <c r="H1899" s="45"/>
      <c r="I1899" s="46"/>
      <c r="J1899" s="111" t="str">
        <f>IF(AND(G1899&lt;&gt;"",ISERROR(VLOOKUP(G1899,Keszlet!$C$5:$H$200,6,FALSE))=FALSE),VLOOKUP(G1899,Keszlet!$C$5:$H$200,6,FALSE),"")</f>
        <v/>
      </c>
      <c r="K1899" s="106" t="str">
        <f>IF(AND(G1899&lt;&gt;"",ISERROR(VLOOKUP(G1899,Keszlet!$C$5:$G$200,5,FALSE))=FALSE),VLOOKUP(G1899,Keszlet!$C$5:$G$200,5,FALSE),"")</f>
        <v/>
      </c>
      <c r="L1899" s="106" t="str">
        <f t="shared" si="143"/>
        <v/>
      </c>
      <c r="M1899" s="115" t="str">
        <f>IF(ISERROR(VLOOKUP(G1899,Keszlet!$C$5:$I$200,7,FALSE))=TRUE,"",IF(AND(J1898&lt;&gt;"",J1900=""),VLOOKUP(G1899,Keszlet!$C$5:$I$200,7,FALSE),""))</f>
        <v/>
      </c>
      <c r="Q1899" s="1">
        <f>VLOOKUP(G1899,Keszlet!$C$5:$E$205,3,FALSE)</f>
        <v>0</v>
      </c>
      <c r="T1899" s="1" t="str">
        <f t="shared" si="144"/>
        <v/>
      </c>
      <c r="U1899" s="1">
        <f t="shared" si="145"/>
        <v>0</v>
      </c>
      <c r="W1899" s="6">
        <f t="shared" si="148"/>
        <v>0</v>
      </c>
      <c r="X1899" s="6">
        <f t="shared" si="140"/>
        <v>0</v>
      </c>
      <c r="Y1899" s="1">
        <f t="shared" si="146"/>
        <v>1</v>
      </c>
      <c r="Z1899" s="1">
        <f>IF(COUNTIF($Y$6:Y1899,Y1899)=1,Y1899,Y1899+COUNTIF($Y$5:Y1898,Y1899))</f>
        <v>894</v>
      </c>
      <c r="AD1899" s="1" t="str">
        <f t="shared" si="147"/>
        <v/>
      </c>
      <c r="BA1899" s="1">
        <f>IF(W1899&lt;=Leltar_iv!$Y$1,I1899,0)</f>
        <v>0</v>
      </c>
    </row>
    <row r="1900" spans="1:53" s="1" customFormat="1" x14ac:dyDescent="0.25">
      <c r="A1900" s="18">
        <f>IF(COUNTIF($Y$6:Y1900,Y1900)=1,Y1900,Y1900+COUNTIF($Y$5:Y1899,Y1900))</f>
        <v>895</v>
      </c>
      <c r="B1900" s="1">
        <f>IF(AND(Kisero_iv!$N$2=C1900,Kisero_iv!$K$5=$B$3,SUM(I1900:L1904)&lt;&gt;0,$B$4=YEAR(W1900)),B1899+1,0)</f>
        <v>0</v>
      </c>
      <c r="C1900" s="1">
        <f t="shared" si="141"/>
        <v>895</v>
      </c>
      <c r="D1900" s="102" t="str">
        <f t="shared" si="142"/>
        <v/>
      </c>
      <c r="E1900" s="44"/>
      <c r="F1900" s="45"/>
      <c r="G1900" s="45"/>
      <c r="H1900" s="45"/>
      <c r="I1900" s="46"/>
      <c r="J1900" s="111" t="str">
        <f>IF(AND(G1900&lt;&gt;"",ISERROR(VLOOKUP(G1900,Keszlet!$C$5:$H$200,6,FALSE))=FALSE),VLOOKUP(G1900,Keszlet!$C$5:$H$200,6,FALSE),"")</f>
        <v/>
      </c>
      <c r="K1900" s="106" t="str">
        <f>IF(AND(G1900&lt;&gt;"",ISERROR(VLOOKUP(G1900,Keszlet!$C$5:$G$200,5,FALSE))=FALSE),VLOOKUP(G1900,Keszlet!$C$5:$G$200,5,FALSE),"")</f>
        <v/>
      </c>
      <c r="L1900" s="106" t="str">
        <f t="shared" si="143"/>
        <v/>
      </c>
      <c r="M1900" s="115" t="str">
        <f>IF(ISERROR(VLOOKUP(G1900,Keszlet!$C$5:$I$200,7,FALSE))=TRUE,"",IF(AND(J1899&lt;&gt;"",J1901=""),VLOOKUP(G1900,Keszlet!$C$5:$I$200,7,FALSE),""))</f>
        <v/>
      </c>
      <c r="Q1900" s="1">
        <f>VLOOKUP(G1900,Keszlet!$C$5:$E$205,3,FALSE)</f>
        <v>0</v>
      </c>
      <c r="T1900" s="1" t="str">
        <f t="shared" si="144"/>
        <v/>
      </c>
      <c r="U1900" s="1">
        <f t="shared" si="145"/>
        <v>0</v>
      </c>
      <c r="W1900" s="6">
        <f t="shared" si="148"/>
        <v>0</v>
      </c>
      <c r="X1900" s="6">
        <f t="shared" si="140"/>
        <v>0</v>
      </c>
      <c r="Y1900" s="1">
        <f t="shared" si="146"/>
        <v>1</v>
      </c>
      <c r="Z1900" s="1">
        <f>IF(COUNTIF($Y$6:Y1900,Y1900)=1,Y1900,Y1900+COUNTIF($Y$5:Y1899,Y1900))</f>
        <v>895</v>
      </c>
      <c r="AD1900" s="1" t="str">
        <f t="shared" si="147"/>
        <v/>
      </c>
      <c r="BA1900" s="1">
        <f>IF(W1900&lt;=Leltar_iv!$Y$1,I1900,0)</f>
        <v>0</v>
      </c>
    </row>
    <row r="1901" spans="1:53" s="1" customFormat="1" x14ac:dyDescent="0.25">
      <c r="A1901" s="18">
        <f>IF(COUNTIF($Y$6:Y1901,Y1901)=1,Y1901,Y1901+COUNTIF($Y$5:Y1900,Y1901))</f>
        <v>896</v>
      </c>
      <c r="B1901" s="1">
        <f>IF(AND(Kisero_iv!$N$2=C1901,Kisero_iv!$K$5=$B$3,SUM(I1901:L1905)&lt;&gt;0,$B$4=YEAR(W1901)),B1900+1,0)</f>
        <v>0</v>
      </c>
      <c r="C1901" s="1">
        <f t="shared" si="141"/>
        <v>896</v>
      </c>
      <c r="D1901" s="102" t="str">
        <f t="shared" si="142"/>
        <v/>
      </c>
      <c r="E1901" s="44"/>
      <c r="F1901" s="45"/>
      <c r="G1901" s="45"/>
      <c r="H1901" s="45"/>
      <c r="I1901" s="46"/>
      <c r="J1901" s="111" t="str">
        <f>IF(AND(G1901&lt;&gt;"",ISERROR(VLOOKUP(G1901,Keszlet!$C$5:$H$200,6,FALSE))=FALSE),VLOOKUP(G1901,Keszlet!$C$5:$H$200,6,FALSE),"")</f>
        <v/>
      </c>
      <c r="K1901" s="106" t="str">
        <f>IF(AND(G1901&lt;&gt;"",ISERROR(VLOOKUP(G1901,Keszlet!$C$5:$G$200,5,FALSE))=FALSE),VLOOKUP(G1901,Keszlet!$C$5:$G$200,5,FALSE),"")</f>
        <v/>
      </c>
      <c r="L1901" s="106" t="str">
        <f t="shared" si="143"/>
        <v/>
      </c>
      <c r="M1901" s="115" t="str">
        <f>IF(ISERROR(VLOOKUP(G1901,Keszlet!$C$5:$I$200,7,FALSE))=TRUE,"",IF(AND(J1900&lt;&gt;"",J1902=""),VLOOKUP(G1901,Keszlet!$C$5:$I$200,7,FALSE),""))</f>
        <v/>
      </c>
      <c r="Q1901" s="1">
        <f>VLOOKUP(G1901,Keszlet!$C$5:$E$205,3,FALSE)</f>
        <v>0</v>
      </c>
      <c r="T1901" s="1" t="str">
        <f t="shared" si="144"/>
        <v/>
      </c>
      <c r="U1901" s="1">
        <f t="shared" si="145"/>
        <v>0</v>
      </c>
      <c r="W1901" s="6">
        <f t="shared" si="148"/>
        <v>0</v>
      </c>
      <c r="X1901" s="6">
        <f t="shared" si="140"/>
        <v>0</v>
      </c>
      <c r="Y1901" s="1">
        <f t="shared" si="146"/>
        <v>1</v>
      </c>
      <c r="Z1901" s="1">
        <f>IF(COUNTIF($Y$6:Y1901,Y1901)=1,Y1901,Y1901+COUNTIF($Y$5:Y1900,Y1901))</f>
        <v>896</v>
      </c>
      <c r="AD1901" s="1" t="str">
        <f t="shared" si="147"/>
        <v/>
      </c>
      <c r="BA1901" s="1">
        <f>IF(W1901&lt;=Leltar_iv!$Y$1,I1901,0)</f>
        <v>0</v>
      </c>
    </row>
    <row r="1902" spans="1:53" s="1" customFormat="1" x14ac:dyDescent="0.25">
      <c r="A1902" s="18">
        <f>IF(COUNTIF($Y$6:Y1902,Y1902)=1,Y1902,Y1902+COUNTIF($Y$5:Y1901,Y1902))</f>
        <v>897</v>
      </c>
      <c r="B1902" s="1">
        <f>IF(AND(Kisero_iv!$N$2=C1902,Kisero_iv!$K$5=$B$3,SUM(I1902:L1906)&lt;&gt;0,$B$4=YEAR(W1902)),B1901+1,0)</f>
        <v>0</v>
      </c>
      <c r="C1902" s="1">
        <f t="shared" si="141"/>
        <v>897</v>
      </c>
      <c r="D1902" s="102" t="str">
        <f t="shared" si="142"/>
        <v/>
      </c>
      <c r="E1902" s="44"/>
      <c r="F1902" s="45"/>
      <c r="G1902" s="45"/>
      <c r="H1902" s="45"/>
      <c r="I1902" s="46"/>
      <c r="J1902" s="111" t="str">
        <f>IF(AND(G1902&lt;&gt;"",ISERROR(VLOOKUP(G1902,Keszlet!$C$5:$H$200,6,FALSE))=FALSE),VLOOKUP(G1902,Keszlet!$C$5:$H$200,6,FALSE),"")</f>
        <v/>
      </c>
      <c r="K1902" s="106" t="str">
        <f>IF(AND(G1902&lt;&gt;"",ISERROR(VLOOKUP(G1902,Keszlet!$C$5:$G$200,5,FALSE))=FALSE),VLOOKUP(G1902,Keszlet!$C$5:$G$200,5,FALSE),"")</f>
        <v/>
      </c>
      <c r="L1902" s="106" t="str">
        <f t="shared" si="143"/>
        <v/>
      </c>
      <c r="M1902" s="115" t="str">
        <f>IF(ISERROR(VLOOKUP(G1902,Keszlet!$C$5:$I$200,7,FALSE))=TRUE,"",IF(AND(J1901&lt;&gt;"",J1903=""),VLOOKUP(G1902,Keszlet!$C$5:$I$200,7,FALSE),""))</f>
        <v/>
      </c>
      <c r="Q1902" s="1">
        <f>VLOOKUP(G1902,Keszlet!$C$5:$E$205,3,FALSE)</f>
        <v>0</v>
      </c>
      <c r="T1902" s="1" t="str">
        <f t="shared" si="144"/>
        <v/>
      </c>
      <c r="U1902" s="1">
        <f t="shared" si="145"/>
        <v>0</v>
      </c>
      <c r="W1902" s="6">
        <f t="shared" si="148"/>
        <v>0</v>
      </c>
      <c r="X1902" s="6">
        <f t="shared" ref="X1902:X1965" si="149">IF(G1902=q,W1902,$X$1)</f>
        <v>0</v>
      </c>
      <c r="Y1902" s="1">
        <f t="shared" si="146"/>
        <v>1</v>
      </c>
      <c r="Z1902" s="1">
        <f>IF(COUNTIF($Y$6:Y1902,Y1902)=1,Y1902,Y1902+COUNTIF($Y$5:Y1901,Y1902))</f>
        <v>897</v>
      </c>
      <c r="AD1902" s="1" t="str">
        <f t="shared" si="147"/>
        <v/>
      </c>
      <c r="BA1902" s="1">
        <f>IF(W1902&lt;=Leltar_iv!$Y$1,I1902,0)</f>
        <v>0</v>
      </c>
    </row>
    <row r="1903" spans="1:53" s="1" customFormat="1" x14ac:dyDescent="0.25">
      <c r="A1903" s="18">
        <f>IF(COUNTIF($Y$6:Y1903,Y1903)=1,Y1903,Y1903+COUNTIF($Y$5:Y1902,Y1903))</f>
        <v>898</v>
      </c>
      <c r="B1903" s="1">
        <f>IF(AND(Kisero_iv!$N$2=C1903,Kisero_iv!$K$5=$B$3,SUM(I1903:L1907)&lt;&gt;0,$B$4=YEAR(W1903)),B1902+1,0)</f>
        <v>0</v>
      </c>
      <c r="C1903" s="1">
        <f t="shared" ref="C1903:C1966" si="150">IF(YEAR(W1902)&lt;&gt;YEAR(W1903),1,IF(T1903&lt;&gt;0,C1902+1,C1902))</f>
        <v>898</v>
      </c>
      <c r="D1903" s="102" t="str">
        <f t="shared" ref="D1903:D1966" si="151">IF(AND(OR(C1902&lt;&gt;C1903,C1903=1),SUM(L1903:L1923)&lt;&gt;0),YEAR(W1903)&amp;"/"&amp;C1903,"")</f>
        <v/>
      </c>
      <c r="E1903" s="44"/>
      <c r="F1903" s="45"/>
      <c r="G1903" s="45"/>
      <c r="H1903" s="45"/>
      <c r="I1903" s="46"/>
      <c r="J1903" s="111" t="str">
        <f>IF(AND(G1903&lt;&gt;"",ISERROR(VLOOKUP(G1903,Keszlet!$C$5:$H$200,6,FALSE))=FALSE),VLOOKUP(G1903,Keszlet!$C$5:$H$200,6,FALSE),"")</f>
        <v/>
      </c>
      <c r="K1903" s="106" t="str">
        <f>IF(AND(G1903&lt;&gt;"",ISERROR(VLOOKUP(G1903,Keszlet!$C$5:$G$200,5,FALSE))=FALSE),VLOOKUP(G1903,Keszlet!$C$5:$G$200,5,FALSE),"")</f>
        <v/>
      </c>
      <c r="L1903" s="106" t="str">
        <f t="shared" ref="L1903:L1966" si="152">IF(AND(G1903&lt;&gt;0,K1903&lt;&gt;""),I1903*K1903,"")</f>
        <v/>
      </c>
      <c r="M1903" s="115" t="str">
        <f>IF(ISERROR(VLOOKUP(G1903,Keszlet!$C$5:$I$200,7,FALSE))=TRUE,"",IF(AND(J1902&lt;&gt;"",J1904=""),VLOOKUP(G1903,Keszlet!$C$5:$I$200,7,FALSE),""))</f>
        <v/>
      </c>
      <c r="Q1903" s="1">
        <f>VLOOKUP(G1903,Keszlet!$C$5:$E$205,3,FALSE)</f>
        <v>0</v>
      </c>
      <c r="T1903" s="1" t="str">
        <f t="shared" ref="T1903:T1966" si="153">IF(OR(E1903&lt;&gt;0,COUNTIF(T1894:T1902,0)=9,F1903&lt;&gt;0,SUM(L1903:L1923)=0),E1903&amp;F1903,0)</f>
        <v/>
      </c>
      <c r="U1903" s="1">
        <f t="shared" ref="U1903:U1966" si="154">IF(F1903&lt;&gt;"",F1903,U1902)</f>
        <v>0</v>
      </c>
      <c r="W1903" s="6">
        <f t="shared" si="148"/>
        <v>0</v>
      </c>
      <c r="X1903" s="6">
        <f t="shared" si="149"/>
        <v>0</v>
      </c>
      <c r="Y1903" s="1">
        <f t="shared" ref="Y1903:Y1966" si="155">RANK(X1903,$X$6:$X$10000,1)</f>
        <v>1</v>
      </c>
      <c r="Z1903" s="1">
        <f>IF(COUNTIF($Y$6:Y1903,Y1903)=1,Y1903,Y1903+COUNTIF($Y$5:Y1902,Y1903))</f>
        <v>898</v>
      </c>
      <c r="AD1903" s="1" t="str">
        <f t="shared" ref="AD1903:AD1966" si="156">IF(AND(OR(C1902&lt;&gt;C1903,YEAR(W1903)&lt;&gt;YEAR(W1902)),SUM(L1903:L1923)&lt;&gt;0,$B$4=YEAR(W1903)),C1903,"")</f>
        <v/>
      </c>
      <c r="BA1903" s="1">
        <f>IF(W1903&lt;=Leltar_iv!$Y$1,I1903,0)</f>
        <v>0</v>
      </c>
    </row>
    <row r="1904" spans="1:53" s="1" customFormat="1" x14ac:dyDescent="0.25">
      <c r="A1904" s="18">
        <f>IF(COUNTIF($Y$6:Y1904,Y1904)=1,Y1904,Y1904+COUNTIF($Y$5:Y1903,Y1904))</f>
        <v>899</v>
      </c>
      <c r="B1904" s="1">
        <f>IF(AND(Kisero_iv!$N$2=C1904,Kisero_iv!$K$5=$B$3,SUM(I1904:L1908)&lt;&gt;0,$B$4=YEAR(W1904)),B1903+1,0)</f>
        <v>0</v>
      </c>
      <c r="C1904" s="1">
        <f t="shared" si="150"/>
        <v>899</v>
      </c>
      <c r="D1904" s="102" t="str">
        <f t="shared" si="151"/>
        <v/>
      </c>
      <c r="E1904" s="44"/>
      <c r="F1904" s="45"/>
      <c r="G1904" s="45"/>
      <c r="H1904" s="45"/>
      <c r="I1904" s="46"/>
      <c r="J1904" s="111" t="str">
        <f>IF(AND(G1904&lt;&gt;"",ISERROR(VLOOKUP(G1904,Keszlet!$C$5:$H$200,6,FALSE))=FALSE),VLOOKUP(G1904,Keszlet!$C$5:$H$200,6,FALSE),"")</f>
        <v/>
      </c>
      <c r="K1904" s="106" t="str">
        <f>IF(AND(G1904&lt;&gt;"",ISERROR(VLOOKUP(G1904,Keszlet!$C$5:$G$200,5,FALSE))=FALSE),VLOOKUP(G1904,Keszlet!$C$5:$G$200,5,FALSE),"")</f>
        <v/>
      </c>
      <c r="L1904" s="106" t="str">
        <f t="shared" si="152"/>
        <v/>
      </c>
      <c r="M1904" s="115" t="str">
        <f>IF(ISERROR(VLOOKUP(G1904,Keszlet!$C$5:$I$200,7,FALSE))=TRUE,"",IF(AND(J1903&lt;&gt;"",J1905=""),VLOOKUP(G1904,Keszlet!$C$5:$I$200,7,FALSE),""))</f>
        <v/>
      </c>
      <c r="Q1904" s="1">
        <f>VLOOKUP(G1904,Keszlet!$C$5:$E$205,3,FALSE)</f>
        <v>0</v>
      </c>
      <c r="T1904" s="1" t="str">
        <f t="shared" si="153"/>
        <v/>
      </c>
      <c r="U1904" s="1">
        <f t="shared" si="154"/>
        <v>0</v>
      </c>
      <c r="W1904" s="6">
        <f t="shared" si="148"/>
        <v>0</v>
      </c>
      <c r="X1904" s="6">
        <f t="shared" si="149"/>
        <v>0</v>
      </c>
      <c r="Y1904" s="1">
        <f t="shared" si="155"/>
        <v>1</v>
      </c>
      <c r="Z1904" s="1">
        <f>IF(COUNTIF($Y$6:Y1904,Y1904)=1,Y1904,Y1904+COUNTIF($Y$5:Y1903,Y1904))</f>
        <v>899</v>
      </c>
      <c r="AD1904" s="1" t="str">
        <f t="shared" si="156"/>
        <v/>
      </c>
      <c r="BA1904" s="1">
        <f>IF(W1904&lt;=Leltar_iv!$Y$1,I1904,0)</f>
        <v>0</v>
      </c>
    </row>
    <row r="1905" spans="1:53" s="1" customFormat="1" x14ac:dyDescent="0.25">
      <c r="A1905" s="18">
        <f>IF(COUNTIF($Y$6:Y1905,Y1905)=1,Y1905,Y1905+COUNTIF($Y$5:Y1904,Y1905))</f>
        <v>900</v>
      </c>
      <c r="B1905" s="1">
        <f>IF(AND(Kisero_iv!$N$2=C1905,Kisero_iv!$K$5=$B$3,SUM(I1905:L1909)&lt;&gt;0,$B$4=YEAR(W1905)),B1904+1,0)</f>
        <v>0</v>
      </c>
      <c r="C1905" s="1">
        <f t="shared" si="150"/>
        <v>900</v>
      </c>
      <c r="D1905" s="102" t="str">
        <f t="shared" si="151"/>
        <v/>
      </c>
      <c r="E1905" s="44"/>
      <c r="F1905" s="45"/>
      <c r="G1905" s="45"/>
      <c r="H1905" s="45"/>
      <c r="I1905" s="46"/>
      <c r="J1905" s="111" t="str">
        <f>IF(AND(G1905&lt;&gt;"",ISERROR(VLOOKUP(G1905,Keszlet!$C$5:$H$200,6,FALSE))=FALSE),VLOOKUP(G1905,Keszlet!$C$5:$H$200,6,FALSE),"")</f>
        <v/>
      </c>
      <c r="K1905" s="106" t="str">
        <f>IF(AND(G1905&lt;&gt;"",ISERROR(VLOOKUP(G1905,Keszlet!$C$5:$G$200,5,FALSE))=FALSE),VLOOKUP(G1905,Keszlet!$C$5:$G$200,5,FALSE),"")</f>
        <v/>
      </c>
      <c r="L1905" s="106" t="str">
        <f t="shared" si="152"/>
        <v/>
      </c>
      <c r="M1905" s="115" t="str">
        <f>IF(ISERROR(VLOOKUP(G1905,Keszlet!$C$5:$I$200,7,FALSE))=TRUE,"",IF(AND(J1904&lt;&gt;"",J1906=""),VLOOKUP(G1905,Keszlet!$C$5:$I$200,7,FALSE),""))</f>
        <v/>
      </c>
      <c r="Q1905" s="1">
        <f>VLOOKUP(G1905,Keszlet!$C$5:$E$205,3,FALSE)</f>
        <v>0</v>
      </c>
      <c r="T1905" s="1" t="str">
        <f t="shared" si="153"/>
        <v/>
      </c>
      <c r="U1905" s="1">
        <f t="shared" si="154"/>
        <v>0</v>
      </c>
      <c r="W1905" s="6">
        <f t="shared" ref="W1905:W1968" si="157">IF(E1905&lt;&gt;0,E1905,W1904)</f>
        <v>0</v>
      </c>
      <c r="X1905" s="6">
        <f t="shared" si="149"/>
        <v>0</v>
      </c>
      <c r="Y1905" s="1">
        <f t="shared" si="155"/>
        <v>1</v>
      </c>
      <c r="Z1905" s="1">
        <f>IF(COUNTIF($Y$6:Y1905,Y1905)=1,Y1905,Y1905+COUNTIF($Y$5:Y1904,Y1905))</f>
        <v>900</v>
      </c>
      <c r="AD1905" s="1" t="str">
        <f t="shared" si="156"/>
        <v/>
      </c>
      <c r="BA1905" s="1">
        <f>IF(W1905&lt;=Leltar_iv!$Y$1,I1905,0)</f>
        <v>0</v>
      </c>
    </row>
    <row r="1906" spans="1:53" s="1" customFormat="1" x14ac:dyDescent="0.25">
      <c r="A1906" s="18">
        <f>IF(COUNTIF($Y$6:Y1906,Y1906)=1,Y1906,Y1906+COUNTIF($Y$5:Y1905,Y1906))</f>
        <v>901</v>
      </c>
      <c r="B1906" s="1">
        <f>IF(AND(Kisero_iv!$N$2=C1906,Kisero_iv!$K$5=$B$3,SUM(I1906:L1910)&lt;&gt;0,$B$4=YEAR(W1906)),B1905+1,0)</f>
        <v>0</v>
      </c>
      <c r="C1906" s="1">
        <f t="shared" si="150"/>
        <v>901</v>
      </c>
      <c r="D1906" s="102" t="str">
        <f t="shared" si="151"/>
        <v/>
      </c>
      <c r="E1906" s="44"/>
      <c r="F1906" s="45"/>
      <c r="G1906" s="45"/>
      <c r="H1906" s="45"/>
      <c r="I1906" s="46"/>
      <c r="J1906" s="111" t="str">
        <f>IF(AND(G1906&lt;&gt;"",ISERROR(VLOOKUP(G1906,Keszlet!$C$5:$H$200,6,FALSE))=FALSE),VLOOKUP(G1906,Keszlet!$C$5:$H$200,6,FALSE),"")</f>
        <v/>
      </c>
      <c r="K1906" s="106" t="str">
        <f>IF(AND(G1906&lt;&gt;"",ISERROR(VLOOKUP(G1906,Keszlet!$C$5:$G$200,5,FALSE))=FALSE),VLOOKUP(G1906,Keszlet!$C$5:$G$200,5,FALSE),"")</f>
        <v/>
      </c>
      <c r="L1906" s="106" t="str">
        <f t="shared" si="152"/>
        <v/>
      </c>
      <c r="M1906" s="115" t="str">
        <f>IF(ISERROR(VLOOKUP(G1906,Keszlet!$C$5:$I$200,7,FALSE))=TRUE,"",IF(AND(J1905&lt;&gt;"",J1907=""),VLOOKUP(G1906,Keszlet!$C$5:$I$200,7,FALSE),""))</f>
        <v/>
      </c>
      <c r="Q1906" s="1">
        <f>VLOOKUP(G1906,Keszlet!$C$5:$E$205,3,FALSE)</f>
        <v>0</v>
      </c>
      <c r="T1906" s="1" t="str">
        <f t="shared" si="153"/>
        <v/>
      </c>
      <c r="U1906" s="1">
        <f t="shared" si="154"/>
        <v>0</v>
      </c>
      <c r="W1906" s="6">
        <f t="shared" si="157"/>
        <v>0</v>
      </c>
      <c r="X1906" s="6">
        <f t="shared" si="149"/>
        <v>0</v>
      </c>
      <c r="Y1906" s="1">
        <f t="shared" si="155"/>
        <v>1</v>
      </c>
      <c r="Z1906" s="1">
        <f>IF(COUNTIF($Y$6:Y1906,Y1906)=1,Y1906,Y1906+COUNTIF($Y$5:Y1905,Y1906))</f>
        <v>901</v>
      </c>
      <c r="AD1906" s="1" t="str">
        <f t="shared" si="156"/>
        <v/>
      </c>
      <c r="BA1906" s="1">
        <f>IF(W1906&lt;=Leltar_iv!$Y$1,I1906,0)</f>
        <v>0</v>
      </c>
    </row>
    <row r="1907" spans="1:53" s="1" customFormat="1" x14ac:dyDescent="0.25">
      <c r="A1907" s="18">
        <f>IF(COUNTIF($Y$6:Y1907,Y1907)=1,Y1907,Y1907+COUNTIF($Y$5:Y1906,Y1907))</f>
        <v>902</v>
      </c>
      <c r="B1907" s="1">
        <f>IF(AND(Kisero_iv!$N$2=C1907,Kisero_iv!$K$5=$B$3,SUM(I1907:L1911)&lt;&gt;0,$B$4=YEAR(W1907)),B1906+1,0)</f>
        <v>0</v>
      </c>
      <c r="C1907" s="1">
        <f t="shared" si="150"/>
        <v>902</v>
      </c>
      <c r="D1907" s="102" t="str">
        <f t="shared" si="151"/>
        <v/>
      </c>
      <c r="E1907" s="44"/>
      <c r="F1907" s="45"/>
      <c r="G1907" s="45"/>
      <c r="H1907" s="45"/>
      <c r="I1907" s="46"/>
      <c r="J1907" s="111" t="str">
        <f>IF(AND(G1907&lt;&gt;"",ISERROR(VLOOKUP(G1907,Keszlet!$C$5:$H$200,6,FALSE))=FALSE),VLOOKUP(G1907,Keszlet!$C$5:$H$200,6,FALSE),"")</f>
        <v/>
      </c>
      <c r="K1907" s="106" t="str">
        <f>IF(AND(G1907&lt;&gt;"",ISERROR(VLOOKUP(G1907,Keszlet!$C$5:$G$200,5,FALSE))=FALSE),VLOOKUP(G1907,Keszlet!$C$5:$G$200,5,FALSE),"")</f>
        <v/>
      </c>
      <c r="L1907" s="106" t="str">
        <f t="shared" si="152"/>
        <v/>
      </c>
      <c r="M1907" s="115" t="str">
        <f>IF(ISERROR(VLOOKUP(G1907,Keszlet!$C$5:$I$200,7,FALSE))=TRUE,"",IF(AND(J1906&lt;&gt;"",J1908=""),VLOOKUP(G1907,Keszlet!$C$5:$I$200,7,FALSE),""))</f>
        <v/>
      </c>
      <c r="Q1907" s="1">
        <f>VLOOKUP(G1907,Keszlet!$C$5:$E$205,3,FALSE)</f>
        <v>0</v>
      </c>
      <c r="T1907" s="1" t="str">
        <f t="shared" si="153"/>
        <v/>
      </c>
      <c r="U1907" s="1">
        <f t="shared" si="154"/>
        <v>0</v>
      </c>
      <c r="W1907" s="6">
        <f t="shared" si="157"/>
        <v>0</v>
      </c>
      <c r="X1907" s="6">
        <f t="shared" si="149"/>
        <v>0</v>
      </c>
      <c r="Y1907" s="1">
        <f t="shared" si="155"/>
        <v>1</v>
      </c>
      <c r="Z1907" s="1">
        <f>IF(COUNTIF($Y$6:Y1907,Y1907)=1,Y1907,Y1907+COUNTIF($Y$5:Y1906,Y1907))</f>
        <v>902</v>
      </c>
      <c r="AD1907" s="1" t="str">
        <f t="shared" si="156"/>
        <v/>
      </c>
      <c r="BA1907" s="1">
        <f>IF(W1907&lt;=Leltar_iv!$Y$1,I1907,0)</f>
        <v>0</v>
      </c>
    </row>
    <row r="1908" spans="1:53" s="1" customFormat="1" x14ac:dyDescent="0.25">
      <c r="A1908" s="18">
        <f>IF(COUNTIF($Y$6:Y1908,Y1908)=1,Y1908,Y1908+COUNTIF($Y$5:Y1907,Y1908))</f>
        <v>903</v>
      </c>
      <c r="B1908" s="1">
        <f>IF(AND(Kisero_iv!$N$2=C1908,Kisero_iv!$K$5=$B$3,SUM(I1908:L1912)&lt;&gt;0,$B$4=YEAR(W1908)),B1907+1,0)</f>
        <v>0</v>
      </c>
      <c r="C1908" s="1">
        <f t="shared" si="150"/>
        <v>903</v>
      </c>
      <c r="D1908" s="102" t="str">
        <f t="shared" si="151"/>
        <v/>
      </c>
      <c r="E1908" s="44"/>
      <c r="F1908" s="45"/>
      <c r="G1908" s="45"/>
      <c r="H1908" s="45"/>
      <c r="I1908" s="46"/>
      <c r="J1908" s="111" t="str">
        <f>IF(AND(G1908&lt;&gt;"",ISERROR(VLOOKUP(G1908,Keszlet!$C$5:$H$200,6,FALSE))=FALSE),VLOOKUP(G1908,Keszlet!$C$5:$H$200,6,FALSE),"")</f>
        <v/>
      </c>
      <c r="K1908" s="106" t="str">
        <f>IF(AND(G1908&lt;&gt;"",ISERROR(VLOOKUP(G1908,Keszlet!$C$5:$G$200,5,FALSE))=FALSE),VLOOKUP(G1908,Keszlet!$C$5:$G$200,5,FALSE),"")</f>
        <v/>
      </c>
      <c r="L1908" s="106" t="str">
        <f t="shared" si="152"/>
        <v/>
      </c>
      <c r="M1908" s="115" t="str">
        <f>IF(ISERROR(VLOOKUP(G1908,Keszlet!$C$5:$I$200,7,FALSE))=TRUE,"",IF(AND(J1907&lt;&gt;"",J1909=""),VLOOKUP(G1908,Keszlet!$C$5:$I$200,7,FALSE),""))</f>
        <v/>
      </c>
      <c r="Q1908" s="1">
        <f>VLOOKUP(G1908,Keszlet!$C$5:$E$205,3,FALSE)</f>
        <v>0</v>
      </c>
      <c r="T1908" s="1" t="str">
        <f t="shared" si="153"/>
        <v/>
      </c>
      <c r="U1908" s="1">
        <f t="shared" si="154"/>
        <v>0</v>
      </c>
      <c r="W1908" s="6">
        <f t="shared" si="157"/>
        <v>0</v>
      </c>
      <c r="X1908" s="6">
        <f t="shared" si="149"/>
        <v>0</v>
      </c>
      <c r="Y1908" s="1">
        <f t="shared" si="155"/>
        <v>1</v>
      </c>
      <c r="Z1908" s="1">
        <f>IF(COUNTIF($Y$6:Y1908,Y1908)=1,Y1908,Y1908+COUNTIF($Y$5:Y1907,Y1908))</f>
        <v>903</v>
      </c>
      <c r="AD1908" s="1" t="str">
        <f t="shared" si="156"/>
        <v/>
      </c>
      <c r="BA1908" s="1">
        <f>IF(W1908&lt;=Leltar_iv!$Y$1,I1908,0)</f>
        <v>0</v>
      </c>
    </row>
    <row r="1909" spans="1:53" s="1" customFormat="1" x14ac:dyDescent="0.25">
      <c r="A1909" s="18">
        <f>IF(COUNTIF($Y$6:Y1909,Y1909)=1,Y1909,Y1909+COUNTIF($Y$5:Y1908,Y1909))</f>
        <v>904</v>
      </c>
      <c r="B1909" s="1">
        <f>IF(AND(Kisero_iv!$N$2=C1909,Kisero_iv!$K$5=$B$3,SUM(I1909:L1913)&lt;&gt;0,$B$4=YEAR(W1909)),B1908+1,0)</f>
        <v>0</v>
      </c>
      <c r="C1909" s="1">
        <f t="shared" si="150"/>
        <v>904</v>
      </c>
      <c r="D1909" s="102" t="str">
        <f t="shared" si="151"/>
        <v/>
      </c>
      <c r="E1909" s="44"/>
      <c r="F1909" s="45"/>
      <c r="G1909" s="45"/>
      <c r="H1909" s="45"/>
      <c r="I1909" s="46"/>
      <c r="J1909" s="111" t="str">
        <f>IF(AND(G1909&lt;&gt;"",ISERROR(VLOOKUP(G1909,Keszlet!$C$5:$H$200,6,FALSE))=FALSE),VLOOKUP(G1909,Keszlet!$C$5:$H$200,6,FALSE),"")</f>
        <v/>
      </c>
      <c r="K1909" s="106" t="str">
        <f>IF(AND(G1909&lt;&gt;"",ISERROR(VLOOKUP(G1909,Keszlet!$C$5:$G$200,5,FALSE))=FALSE),VLOOKUP(G1909,Keszlet!$C$5:$G$200,5,FALSE),"")</f>
        <v/>
      </c>
      <c r="L1909" s="106" t="str">
        <f t="shared" si="152"/>
        <v/>
      </c>
      <c r="M1909" s="115" t="str">
        <f>IF(ISERROR(VLOOKUP(G1909,Keszlet!$C$5:$I$200,7,FALSE))=TRUE,"",IF(AND(J1908&lt;&gt;"",J1910=""),VLOOKUP(G1909,Keszlet!$C$5:$I$200,7,FALSE),""))</f>
        <v/>
      </c>
      <c r="Q1909" s="1">
        <f>VLOOKUP(G1909,Keszlet!$C$5:$E$205,3,FALSE)</f>
        <v>0</v>
      </c>
      <c r="T1909" s="1" t="str">
        <f t="shared" si="153"/>
        <v/>
      </c>
      <c r="U1909" s="1">
        <f t="shared" si="154"/>
        <v>0</v>
      </c>
      <c r="W1909" s="6">
        <f t="shared" si="157"/>
        <v>0</v>
      </c>
      <c r="X1909" s="6">
        <f t="shared" si="149"/>
        <v>0</v>
      </c>
      <c r="Y1909" s="1">
        <f t="shared" si="155"/>
        <v>1</v>
      </c>
      <c r="Z1909" s="1">
        <f>IF(COUNTIF($Y$6:Y1909,Y1909)=1,Y1909,Y1909+COUNTIF($Y$5:Y1908,Y1909))</f>
        <v>904</v>
      </c>
      <c r="AD1909" s="1" t="str">
        <f t="shared" si="156"/>
        <v/>
      </c>
      <c r="BA1909" s="1">
        <f>IF(W1909&lt;=Leltar_iv!$Y$1,I1909,0)</f>
        <v>0</v>
      </c>
    </row>
    <row r="1910" spans="1:53" s="1" customFormat="1" x14ac:dyDescent="0.25">
      <c r="A1910" s="18">
        <f>IF(COUNTIF($Y$6:Y1910,Y1910)=1,Y1910,Y1910+COUNTIF($Y$5:Y1909,Y1910))</f>
        <v>905</v>
      </c>
      <c r="B1910" s="1">
        <f>IF(AND(Kisero_iv!$N$2=C1910,Kisero_iv!$K$5=$B$3,SUM(I1910:L1914)&lt;&gt;0,$B$4=YEAR(W1910)),B1909+1,0)</f>
        <v>0</v>
      </c>
      <c r="C1910" s="1">
        <f t="shared" si="150"/>
        <v>905</v>
      </c>
      <c r="D1910" s="102" t="str">
        <f t="shared" si="151"/>
        <v/>
      </c>
      <c r="E1910" s="44"/>
      <c r="F1910" s="45"/>
      <c r="G1910" s="45"/>
      <c r="H1910" s="45"/>
      <c r="I1910" s="46"/>
      <c r="J1910" s="111" t="str">
        <f>IF(AND(G1910&lt;&gt;"",ISERROR(VLOOKUP(G1910,Keszlet!$C$5:$H$200,6,FALSE))=FALSE),VLOOKUP(G1910,Keszlet!$C$5:$H$200,6,FALSE),"")</f>
        <v/>
      </c>
      <c r="K1910" s="106" t="str">
        <f>IF(AND(G1910&lt;&gt;"",ISERROR(VLOOKUP(G1910,Keszlet!$C$5:$G$200,5,FALSE))=FALSE),VLOOKUP(G1910,Keszlet!$C$5:$G$200,5,FALSE),"")</f>
        <v/>
      </c>
      <c r="L1910" s="106" t="str">
        <f t="shared" si="152"/>
        <v/>
      </c>
      <c r="M1910" s="115" t="str">
        <f>IF(ISERROR(VLOOKUP(G1910,Keszlet!$C$5:$I$200,7,FALSE))=TRUE,"",IF(AND(J1909&lt;&gt;"",J1911=""),VLOOKUP(G1910,Keszlet!$C$5:$I$200,7,FALSE),""))</f>
        <v/>
      </c>
      <c r="Q1910" s="1">
        <f>VLOOKUP(G1910,Keszlet!$C$5:$E$205,3,FALSE)</f>
        <v>0</v>
      </c>
      <c r="T1910" s="1" t="str">
        <f t="shared" si="153"/>
        <v/>
      </c>
      <c r="U1910" s="1">
        <f t="shared" si="154"/>
        <v>0</v>
      </c>
      <c r="W1910" s="6">
        <f t="shared" si="157"/>
        <v>0</v>
      </c>
      <c r="X1910" s="6">
        <f t="shared" si="149"/>
        <v>0</v>
      </c>
      <c r="Y1910" s="1">
        <f t="shared" si="155"/>
        <v>1</v>
      </c>
      <c r="Z1910" s="1">
        <f>IF(COUNTIF($Y$6:Y1910,Y1910)=1,Y1910,Y1910+COUNTIF($Y$5:Y1909,Y1910))</f>
        <v>905</v>
      </c>
      <c r="AD1910" s="1" t="str">
        <f t="shared" si="156"/>
        <v/>
      </c>
      <c r="BA1910" s="1">
        <f>IF(W1910&lt;=Leltar_iv!$Y$1,I1910,0)</f>
        <v>0</v>
      </c>
    </row>
    <row r="1911" spans="1:53" s="1" customFormat="1" x14ac:dyDescent="0.25">
      <c r="A1911" s="18">
        <f>IF(COUNTIF($Y$6:Y1911,Y1911)=1,Y1911,Y1911+COUNTIF($Y$5:Y1910,Y1911))</f>
        <v>906</v>
      </c>
      <c r="B1911" s="1">
        <f>IF(AND(Kisero_iv!$N$2=C1911,Kisero_iv!$K$5=$B$3,SUM(I1911:L1915)&lt;&gt;0,$B$4=YEAR(W1911)),B1910+1,0)</f>
        <v>0</v>
      </c>
      <c r="C1911" s="1">
        <f t="shared" si="150"/>
        <v>906</v>
      </c>
      <c r="D1911" s="102" t="str">
        <f t="shared" si="151"/>
        <v/>
      </c>
      <c r="E1911" s="44"/>
      <c r="F1911" s="45"/>
      <c r="G1911" s="45"/>
      <c r="H1911" s="45"/>
      <c r="I1911" s="46"/>
      <c r="J1911" s="111" t="str">
        <f>IF(AND(G1911&lt;&gt;"",ISERROR(VLOOKUP(G1911,Keszlet!$C$5:$H$200,6,FALSE))=FALSE),VLOOKUP(G1911,Keszlet!$C$5:$H$200,6,FALSE),"")</f>
        <v/>
      </c>
      <c r="K1911" s="106" t="str">
        <f>IF(AND(G1911&lt;&gt;"",ISERROR(VLOOKUP(G1911,Keszlet!$C$5:$G$200,5,FALSE))=FALSE),VLOOKUP(G1911,Keszlet!$C$5:$G$200,5,FALSE),"")</f>
        <v/>
      </c>
      <c r="L1911" s="106" t="str">
        <f t="shared" si="152"/>
        <v/>
      </c>
      <c r="M1911" s="115" t="str">
        <f>IF(ISERROR(VLOOKUP(G1911,Keszlet!$C$5:$I$200,7,FALSE))=TRUE,"",IF(AND(J1910&lt;&gt;"",J1912=""),VLOOKUP(G1911,Keszlet!$C$5:$I$200,7,FALSE),""))</f>
        <v/>
      </c>
      <c r="Q1911" s="1">
        <f>VLOOKUP(G1911,Keszlet!$C$5:$E$205,3,FALSE)</f>
        <v>0</v>
      </c>
      <c r="T1911" s="1" t="str">
        <f t="shared" si="153"/>
        <v/>
      </c>
      <c r="U1911" s="1">
        <f t="shared" si="154"/>
        <v>0</v>
      </c>
      <c r="W1911" s="6">
        <f t="shared" si="157"/>
        <v>0</v>
      </c>
      <c r="X1911" s="6">
        <f t="shared" si="149"/>
        <v>0</v>
      </c>
      <c r="Y1911" s="1">
        <f t="shared" si="155"/>
        <v>1</v>
      </c>
      <c r="Z1911" s="1">
        <f>IF(COUNTIF($Y$6:Y1911,Y1911)=1,Y1911,Y1911+COUNTIF($Y$5:Y1910,Y1911))</f>
        <v>906</v>
      </c>
      <c r="AD1911" s="1" t="str">
        <f t="shared" si="156"/>
        <v/>
      </c>
      <c r="BA1911" s="1">
        <f>IF(W1911&lt;=Leltar_iv!$Y$1,I1911,0)</f>
        <v>0</v>
      </c>
    </row>
    <row r="1912" spans="1:53" s="1" customFormat="1" x14ac:dyDescent="0.25">
      <c r="A1912" s="18">
        <f>IF(COUNTIF($Y$6:Y1912,Y1912)=1,Y1912,Y1912+COUNTIF($Y$5:Y1911,Y1912))</f>
        <v>907</v>
      </c>
      <c r="B1912" s="1">
        <f>IF(AND(Kisero_iv!$N$2=C1912,Kisero_iv!$K$5=$B$3,SUM(I1912:L1916)&lt;&gt;0,$B$4=YEAR(W1912)),B1911+1,0)</f>
        <v>0</v>
      </c>
      <c r="C1912" s="1">
        <f t="shared" si="150"/>
        <v>907</v>
      </c>
      <c r="D1912" s="102" t="str">
        <f t="shared" si="151"/>
        <v/>
      </c>
      <c r="E1912" s="44"/>
      <c r="F1912" s="45"/>
      <c r="G1912" s="45"/>
      <c r="H1912" s="45"/>
      <c r="I1912" s="46"/>
      <c r="J1912" s="111" t="str">
        <f>IF(AND(G1912&lt;&gt;"",ISERROR(VLOOKUP(G1912,Keszlet!$C$5:$H$200,6,FALSE))=FALSE),VLOOKUP(G1912,Keszlet!$C$5:$H$200,6,FALSE),"")</f>
        <v/>
      </c>
      <c r="K1912" s="106" t="str">
        <f>IF(AND(G1912&lt;&gt;"",ISERROR(VLOOKUP(G1912,Keszlet!$C$5:$G$200,5,FALSE))=FALSE),VLOOKUP(G1912,Keszlet!$C$5:$G$200,5,FALSE),"")</f>
        <v/>
      </c>
      <c r="L1912" s="106" t="str">
        <f t="shared" si="152"/>
        <v/>
      </c>
      <c r="M1912" s="115" t="str">
        <f>IF(ISERROR(VLOOKUP(G1912,Keszlet!$C$5:$I$200,7,FALSE))=TRUE,"",IF(AND(J1911&lt;&gt;"",J1913=""),VLOOKUP(G1912,Keszlet!$C$5:$I$200,7,FALSE),""))</f>
        <v/>
      </c>
      <c r="Q1912" s="1">
        <f>VLOOKUP(G1912,Keszlet!$C$5:$E$205,3,FALSE)</f>
        <v>0</v>
      </c>
      <c r="T1912" s="1" t="str">
        <f t="shared" si="153"/>
        <v/>
      </c>
      <c r="U1912" s="1">
        <f t="shared" si="154"/>
        <v>0</v>
      </c>
      <c r="W1912" s="6">
        <f t="shared" si="157"/>
        <v>0</v>
      </c>
      <c r="X1912" s="6">
        <f t="shared" si="149"/>
        <v>0</v>
      </c>
      <c r="Y1912" s="1">
        <f t="shared" si="155"/>
        <v>1</v>
      </c>
      <c r="Z1912" s="1">
        <f>IF(COUNTIF($Y$6:Y1912,Y1912)=1,Y1912,Y1912+COUNTIF($Y$5:Y1911,Y1912))</f>
        <v>907</v>
      </c>
      <c r="AD1912" s="1" t="str">
        <f t="shared" si="156"/>
        <v/>
      </c>
      <c r="BA1912" s="1">
        <f>IF(W1912&lt;=Leltar_iv!$Y$1,I1912,0)</f>
        <v>0</v>
      </c>
    </row>
    <row r="1913" spans="1:53" s="1" customFormat="1" x14ac:dyDescent="0.25">
      <c r="A1913" s="18">
        <f>IF(COUNTIF($Y$6:Y1913,Y1913)=1,Y1913,Y1913+COUNTIF($Y$5:Y1912,Y1913))</f>
        <v>908</v>
      </c>
      <c r="B1913" s="1">
        <f>IF(AND(Kisero_iv!$N$2=C1913,Kisero_iv!$K$5=$B$3,SUM(I1913:L1917)&lt;&gt;0,$B$4=YEAR(W1913)),B1912+1,0)</f>
        <v>0</v>
      </c>
      <c r="C1913" s="1">
        <f t="shared" si="150"/>
        <v>908</v>
      </c>
      <c r="D1913" s="102" t="str">
        <f t="shared" si="151"/>
        <v/>
      </c>
      <c r="E1913" s="44"/>
      <c r="F1913" s="45"/>
      <c r="G1913" s="45"/>
      <c r="H1913" s="45"/>
      <c r="I1913" s="46"/>
      <c r="J1913" s="111" t="str">
        <f>IF(AND(G1913&lt;&gt;"",ISERROR(VLOOKUP(G1913,Keszlet!$C$5:$H$200,6,FALSE))=FALSE),VLOOKUP(G1913,Keszlet!$C$5:$H$200,6,FALSE),"")</f>
        <v/>
      </c>
      <c r="K1913" s="106" t="str">
        <f>IF(AND(G1913&lt;&gt;"",ISERROR(VLOOKUP(G1913,Keszlet!$C$5:$G$200,5,FALSE))=FALSE),VLOOKUP(G1913,Keszlet!$C$5:$G$200,5,FALSE),"")</f>
        <v/>
      </c>
      <c r="L1913" s="106" t="str">
        <f t="shared" si="152"/>
        <v/>
      </c>
      <c r="M1913" s="115" t="str">
        <f>IF(ISERROR(VLOOKUP(G1913,Keszlet!$C$5:$I$200,7,FALSE))=TRUE,"",IF(AND(J1912&lt;&gt;"",J1914=""),VLOOKUP(G1913,Keszlet!$C$5:$I$200,7,FALSE),""))</f>
        <v/>
      </c>
      <c r="Q1913" s="1">
        <f>VLOOKUP(G1913,Keszlet!$C$5:$E$205,3,FALSE)</f>
        <v>0</v>
      </c>
      <c r="T1913" s="1" t="str">
        <f t="shared" si="153"/>
        <v/>
      </c>
      <c r="U1913" s="1">
        <f t="shared" si="154"/>
        <v>0</v>
      </c>
      <c r="W1913" s="6">
        <f t="shared" si="157"/>
        <v>0</v>
      </c>
      <c r="X1913" s="6">
        <f t="shared" si="149"/>
        <v>0</v>
      </c>
      <c r="Y1913" s="1">
        <f t="shared" si="155"/>
        <v>1</v>
      </c>
      <c r="Z1913" s="1">
        <f>IF(COUNTIF($Y$6:Y1913,Y1913)=1,Y1913,Y1913+COUNTIF($Y$5:Y1912,Y1913))</f>
        <v>908</v>
      </c>
      <c r="AD1913" s="1" t="str">
        <f t="shared" si="156"/>
        <v/>
      </c>
      <c r="BA1913" s="1">
        <f>IF(W1913&lt;=Leltar_iv!$Y$1,I1913,0)</f>
        <v>0</v>
      </c>
    </row>
    <row r="1914" spans="1:53" s="1" customFormat="1" x14ac:dyDescent="0.25">
      <c r="A1914" s="18">
        <f>IF(COUNTIF($Y$6:Y1914,Y1914)=1,Y1914,Y1914+COUNTIF($Y$5:Y1913,Y1914))</f>
        <v>909</v>
      </c>
      <c r="B1914" s="1">
        <f>IF(AND(Kisero_iv!$N$2=C1914,Kisero_iv!$K$5=$B$3,SUM(I1914:L1918)&lt;&gt;0,$B$4=YEAR(W1914)),B1913+1,0)</f>
        <v>0</v>
      </c>
      <c r="C1914" s="1">
        <f t="shared" si="150"/>
        <v>909</v>
      </c>
      <c r="D1914" s="102" t="str">
        <f t="shared" si="151"/>
        <v/>
      </c>
      <c r="E1914" s="44"/>
      <c r="F1914" s="45"/>
      <c r="G1914" s="45"/>
      <c r="H1914" s="45"/>
      <c r="I1914" s="46"/>
      <c r="J1914" s="111" t="str">
        <f>IF(AND(G1914&lt;&gt;"",ISERROR(VLOOKUP(G1914,Keszlet!$C$5:$H$200,6,FALSE))=FALSE),VLOOKUP(G1914,Keszlet!$C$5:$H$200,6,FALSE),"")</f>
        <v/>
      </c>
      <c r="K1914" s="106" t="str">
        <f>IF(AND(G1914&lt;&gt;"",ISERROR(VLOOKUP(G1914,Keszlet!$C$5:$G$200,5,FALSE))=FALSE),VLOOKUP(G1914,Keszlet!$C$5:$G$200,5,FALSE),"")</f>
        <v/>
      </c>
      <c r="L1914" s="106" t="str">
        <f t="shared" si="152"/>
        <v/>
      </c>
      <c r="M1914" s="115" t="str">
        <f>IF(ISERROR(VLOOKUP(G1914,Keszlet!$C$5:$I$200,7,FALSE))=TRUE,"",IF(AND(J1913&lt;&gt;"",J1915=""),VLOOKUP(G1914,Keszlet!$C$5:$I$200,7,FALSE),""))</f>
        <v/>
      </c>
      <c r="Q1914" s="1">
        <f>VLOOKUP(G1914,Keszlet!$C$5:$E$205,3,FALSE)</f>
        <v>0</v>
      </c>
      <c r="T1914" s="1" t="str">
        <f t="shared" si="153"/>
        <v/>
      </c>
      <c r="U1914" s="1">
        <f t="shared" si="154"/>
        <v>0</v>
      </c>
      <c r="W1914" s="6">
        <f t="shared" si="157"/>
        <v>0</v>
      </c>
      <c r="X1914" s="6">
        <f t="shared" si="149"/>
        <v>0</v>
      </c>
      <c r="Y1914" s="1">
        <f t="shared" si="155"/>
        <v>1</v>
      </c>
      <c r="Z1914" s="1">
        <f>IF(COUNTIF($Y$6:Y1914,Y1914)=1,Y1914,Y1914+COUNTIF($Y$5:Y1913,Y1914))</f>
        <v>909</v>
      </c>
      <c r="AD1914" s="1" t="str">
        <f t="shared" si="156"/>
        <v/>
      </c>
      <c r="BA1914" s="1">
        <f>IF(W1914&lt;=Leltar_iv!$Y$1,I1914,0)</f>
        <v>0</v>
      </c>
    </row>
    <row r="1915" spans="1:53" s="1" customFormat="1" x14ac:dyDescent="0.25">
      <c r="A1915" s="18">
        <f>IF(COUNTIF($Y$6:Y1915,Y1915)=1,Y1915,Y1915+COUNTIF($Y$5:Y1914,Y1915))</f>
        <v>910</v>
      </c>
      <c r="B1915" s="1">
        <f>IF(AND(Kisero_iv!$N$2=C1915,Kisero_iv!$K$5=$B$3,SUM(I1915:L1919)&lt;&gt;0,$B$4=YEAR(W1915)),B1914+1,0)</f>
        <v>0</v>
      </c>
      <c r="C1915" s="1">
        <f t="shared" si="150"/>
        <v>910</v>
      </c>
      <c r="D1915" s="102" t="str">
        <f t="shared" si="151"/>
        <v/>
      </c>
      <c r="E1915" s="44"/>
      <c r="F1915" s="45"/>
      <c r="G1915" s="45"/>
      <c r="H1915" s="45"/>
      <c r="I1915" s="46"/>
      <c r="J1915" s="111" t="str">
        <f>IF(AND(G1915&lt;&gt;"",ISERROR(VLOOKUP(G1915,Keszlet!$C$5:$H$200,6,FALSE))=FALSE),VLOOKUP(G1915,Keszlet!$C$5:$H$200,6,FALSE),"")</f>
        <v/>
      </c>
      <c r="K1915" s="106" t="str">
        <f>IF(AND(G1915&lt;&gt;"",ISERROR(VLOOKUP(G1915,Keszlet!$C$5:$G$200,5,FALSE))=FALSE),VLOOKUP(G1915,Keszlet!$C$5:$G$200,5,FALSE),"")</f>
        <v/>
      </c>
      <c r="L1915" s="106" t="str">
        <f t="shared" si="152"/>
        <v/>
      </c>
      <c r="M1915" s="115" t="str">
        <f>IF(ISERROR(VLOOKUP(G1915,Keszlet!$C$5:$I$200,7,FALSE))=TRUE,"",IF(AND(J1914&lt;&gt;"",J1916=""),VLOOKUP(G1915,Keszlet!$C$5:$I$200,7,FALSE),""))</f>
        <v/>
      </c>
      <c r="Q1915" s="1">
        <f>VLOOKUP(G1915,Keszlet!$C$5:$E$205,3,FALSE)</f>
        <v>0</v>
      </c>
      <c r="T1915" s="1" t="str">
        <f t="shared" si="153"/>
        <v/>
      </c>
      <c r="U1915" s="1">
        <f t="shared" si="154"/>
        <v>0</v>
      </c>
      <c r="W1915" s="6">
        <f t="shared" si="157"/>
        <v>0</v>
      </c>
      <c r="X1915" s="6">
        <f t="shared" si="149"/>
        <v>0</v>
      </c>
      <c r="Y1915" s="1">
        <f t="shared" si="155"/>
        <v>1</v>
      </c>
      <c r="Z1915" s="1">
        <f>IF(COUNTIF($Y$6:Y1915,Y1915)=1,Y1915,Y1915+COUNTIF($Y$5:Y1914,Y1915))</f>
        <v>910</v>
      </c>
      <c r="AD1915" s="1" t="str">
        <f t="shared" si="156"/>
        <v/>
      </c>
      <c r="BA1915" s="1">
        <f>IF(W1915&lt;=Leltar_iv!$Y$1,I1915,0)</f>
        <v>0</v>
      </c>
    </row>
    <row r="1916" spans="1:53" s="1" customFormat="1" x14ac:dyDescent="0.25">
      <c r="A1916" s="18">
        <f>IF(COUNTIF($Y$6:Y1916,Y1916)=1,Y1916,Y1916+COUNTIF($Y$5:Y1915,Y1916))</f>
        <v>911</v>
      </c>
      <c r="B1916" s="1">
        <f>IF(AND(Kisero_iv!$N$2=C1916,Kisero_iv!$K$5=$B$3,SUM(I1916:L1920)&lt;&gt;0,$B$4=YEAR(W1916)),B1915+1,0)</f>
        <v>0</v>
      </c>
      <c r="C1916" s="1">
        <f t="shared" si="150"/>
        <v>911</v>
      </c>
      <c r="D1916" s="102" t="str">
        <f t="shared" si="151"/>
        <v/>
      </c>
      <c r="E1916" s="44"/>
      <c r="F1916" s="45"/>
      <c r="G1916" s="45"/>
      <c r="H1916" s="45"/>
      <c r="I1916" s="46"/>
      <c r="J1916" s="111" t="str">
        <f>IF(AND(G1916&lt;&gt;"",ISERROR(VLOOKUP(G1916,Keszlet!$C$5:$H$200,6,FALSE))=FALSE),VLOOKUP(G1916,Keszlet!$C$5:$H$200,6,FALSE),"")</f>
        <v/>
      </c>
      <c r="K1916" s="106" t="str">
        <f>IF(AND(G1916&lt;&gt;"",ISERROR(VLOOKUP(G1916,Keszlet!$C$5:$G$200,5,FALSE))=FALSE),VLOOKUP(G1916,Keszlet!$C$5:$G$200,5,FALSE),"")</f>
        <v/>
      </c>
      <c r="L1916" s="106" t="str">
        <f t="shared" si="152"/>
        <v/>
      </c>
      <c r="M1916" s="115" t="str">
        <f>IF(ISERROR(VLOOKUP(G1916,Keszlet!$C$5:$I$200,7,FALSE))=TRUE,"",IF(AND(J1915&lt;&gt;"",J1917=""),VLOOKUP(G1916,Keszlet!$C$5:$I$200,7,FALSE),""))</f>
        <v/>
      </c>
      <c r="Q1916" s="1">
        <f>VLOOKUP(G1916,Keszlet!$C$5:$E$205,3,FALSE)</f>
        <v>0</v>
      </c>
      <c r="T1916" s="1" t="str">
        <f t="shared" si="153"/>
        <v/>
      </c>
      <c r="U1916" s="1">
        <f t="shared" si="154"/>
        <v>0</v>
      </c>
      <c r="W1916" s="6">
        <f t="shared" si="157"/>
        <v>0</v>
      </c>
      <c r="X1916" s="6">
        <f t="shared" si="149"/>
        <v>0</v>
      </c>
      <c r="Y1916" s="1">
        <f t="shared" si="155"/>
        <v>1</v>
      </c>
      <c r="Z1916" s="1">
        <f>IF(COUNTIF($Y$6:Y1916,Y1916)=1,Y1916,Y1916+COUNTIF($Y$5:Y1915,Y1916))</f>
        <v>911</v>
      </c>
      <c r="AD1916" s="1" t="str">
        <f t="shared" si="156"/>
        <v/>
      </c>
      <c r="BA1916" s="1">
        <f>IF(W1916&lt;=Leltar_iv!$Y$1,I1916,0)</f>
        <v>0</v>
      </c>
    </row>
    <row r="1917" spans="1:53" s="1" customFormat="1" x14ac:dyDescent="0.25">
      <c r="A1917" s="18">
        <f>IF(COUNTIF($Y$6:Y1917,Y1917)=1,Y1917,Y1917+COUNTIF($Y$5:Y1916,Y1917))</f>
        <v>912</v>
      </c>
      <c r="B1917" s="1">
        <f>IF(AND(Kisero_iv!$N$2=C1917,Kisero_iv!$K$5=$B$3,SUM(I1917:L1921)&lt;&gt;0,$B$4=YEAR(W1917)),B1916+1,0)</f>
        <v>0</v>
      </c>
      <c r="C1917" s="1">
        <f t="shared" si="150"/>
        <v>912</v>
      </c>
      <c r="D1917" s="102" t="str">
        <f t="shared" si="151"/>
        <v/>
      </c>
      <c r="E1917" s="44"/>
      <c r="F1917" s="45"/>
      <c r="G1917" s="45"/>
      <c r="H1917" s="45"/>
      <c r="I1917" s="46"/>
      <c r="J1917" s="111" t="str">
        <f>IF(AND(G1917&lt;&gt;"",ISERROR(VLOOKUP(G1917,Keszlet!$C$5:$H$200,6,FALSE))=FALSE),VLOOKUP(G1917,Keszlet!$C$5:$H$200,6,FALSE),"")</f>
        <v/>
      </c>
      <c r="K1917" s="106" t="str">
        <f>IF(AND(G1917&lt;&gt;"",ISERROR(VLOOKUP(G1917,Keszlet!$C$5:$G$200,5,FALSE))=FALSE),VLOOKUP(G1917,Keszlet!$C$5:$G$200,5,FALSE),"")</f>
        <v/>
      </c>
      <c r="L1917" s="106" t="str">
        <f t="shared" si="152"/>
        <v/>
      </c>
      <c r="M1917" s="115" t="str">
        <f>IF(ISERROR(VLOOKUP(G1917,Keszlet!$C$5:$I$200,7,FALSE))=TRUE,"",IF(AND(J1916&lt;&gt;"",J1918=""),VLOOKUP(G1917,Keszlet!$C$5:$I$200,7,FALSE),""))</f>
        <v/>
      </c>
      <c r="Q1917" s="1">
        <f>VLOOKUP(G1917,Keszlet!$C$5:$E$205,3,FALSE)</f>
        <v>0</v>
      </c>
      <c r="T1917" s="1" t="str">
        <f t="shared" si="153"/>
        <v/>
      </c>
      <c r="U1917" s="1">
        <f t="shared" si="154"/>
        <v>0</v>
      </c>
      <c r="W1917" s="6">
        <f t="shared" si="157"/>
        <v>0</v>
      </c>
      <c r="X1917" s="6">
        <f t="shared" si="149"/>
        <v>0</v>
      </c>
      <c r="Y1917" s="1">
        <f t="shared" si="155"/>
        <v>1</v>
      </c>
      <c r="Z1917" s="1">
        <f>IF(COUNTIF($Y$6:Y1917,Y1917)=1,Y1917,Y1917+COUNTIF($Y$5:Y1916,Y1917))</f>
        <v>912</v>
      </c>
      <c r="AD1917" s="1" t="str">
        <f t="shared" si="156"/>
        <v/>
      </c>
      <c r="BA1917" s="1">
        <f>IF(W1917&lt;=Leltar_iv!$Y$1,I1917,0)</f>
        <v>0</v>
      </c>
    </row>
    <row r="1918" spans="1:53" s="1" customFormat="1" x14ac:dyDescent="0.25">
      <c r="A1918" s="18">
        <f>IF(COUNTIF($Y$6:Y1918,Y1918)=1,Y1918,Y1918+COUNTIF($Y$5:Y1917,Y1918))</f>
        <v>913</v>
      </c>
      <c r="B1918" s="1">
        <f>IF(AND(Kisero_iv!$N$2=C1918,Kisero_iv!$K$5=$B$3,SUM(I1918:L1922)&lt;&gt;0,$B$4=YEAR(W1918)),B1917+1,0)</f>
        <v>0</v>
      </c>
      <c r="C1918" s="1">
        <f t="shared" si="150"/>
        <v>913</v>
      </c>
      <c r="D1918" s="102" t="str">
        <f t="shared" si="151"/>
        <v/>
      </c>
      <c r="E1918" s="44"/>
      <c r="F1918" s="45"/>
      <c r="G1918" s="45"/>
      <c r="H1918" s="45"/>
      <c r="I1918" s="46"/>
      <c r="J1918" s="111" t="str">
        <f>IF(AND(G1918&lt;&gt;"",ISERROR(VLOOKUP(G1918,Keszlet!$C$5:$H$200,6,FALSE))=FALSE),VLOOKUP(G1918,Keszlet!$C$5:$H$200,6,FALSE),"")</f>
        <v/>
      </c>
      <c r="K1918" s="106" t="str">
        <f>IF(AND(G1918&lt;&gt;"",ISERROR(VLOOKUP(G1918,Keszlet!$C$5:$G$200,5,FALSE))=FALSE),VLOOKUP(G1918,Keszlet!$C$5:$G$200,5,FALSE),"")</f>
        <v/>
      </c>
      <c r="L1918" s="106" t="str">
        <f t="shared" si="152"/>
        <v/>
      </c>
      <c r="M1918" s="115" t="str">
        <f>IF(ISERROR(VLOOKUP(G1918,Keszlet!$C$5:$I$200,7,FALSE))=TRUE,"",IF(AND(J1917&lt;&gt;"",J1919=""),VLOOKUP(G1918,Keszlet!$C$5:$I$200,7,FALSE),""))</f>
        <v/>
      </c>
      <c r="Q1918" s="1">
        <f>VLOOKUP(G1918,Keszlet!$C$5:$E$205,3,FALSE)</f>
        <v>0</v>
      </c>
      <c r="T1918" s="1" t="str">
        <f t="shared" si="153"/>
        <v/>
      </c>
      <c r="U1918" s="1">
        <f t="shared" si="154"/>
        <v>0</v>
      </c>
      <c r="W1918" s="6">
        <f t="shared" si="157"/>
        <v>0</v>
      </c>
      <c r="X1918" s="6">
        <f t="shared" si="149"/>
        <v>0</v>
      </c>
      <c r="Y1918" s="1">
        <f t="shared" si="155"/>
        <v>1</v>
      </c>
      <c r="Z1918" s="1">
        <f>IF(COUNTIF($Y$6:Y1918,Y1918)=1,Y1918,Y1918+COUNTIF($Y$5:Y1917,Y1918))</f>
        <v>913</v>
      </c>
      <c r="AD1918" s="1" t="str">
        <f t="shared" si="156"/>
        <v/>
      </c>
      <c r="BA1918" s="1">
        <f>IF(W1918&lt;=Leltar_iv!$Y$1,I1918,0)</f>
        <v>0</v>
      </c>
    </row>
    <row r="1919" spans="1:53" s="1" customFormat="1" x14ac:dyDescent="0.25">
      <c r="A1919" s="18">
        <f>IF(COUNTIF($Y$6:Y1919,Y1919)=1,Y1919,Y1919+COUNTIF($Y$5:Y1918,Y1919))</f>
        <v>914</v>
      </c>
      <c r="B1919" s="1">
        <f>IF(AND(Kisero_iv!$N$2=C1919,Kisero_iv!$K$5=$B$3,SUM(I1919:L1923)&lt;&gt;0,$B$4=YEAR(W1919)),B1918+1,0)</f>
        <v>0</v>
      </c>
      <c r="C1919" s="1">
        <f t="shared" si="150"/>
        <v>914</v>
      </c>
      <c r="D1919" s="102" t="str">
        <f t="shared" si="151"/>
        <v/>
      </c>
      <c r="E1919" s="44"/>
      <c r="F1919" s="45"/>
      <c r="G1919" s="45"/>
      <c r="H1919" s="45"/>
      <c r="I1919" s="46"/>
      <c r="J1919" s="111" t="str">
        <f>IF(AND(G1919&lt;&gt;"",ISERROR(VLOOKUP(G1919,Keszlet!$C$5:$H$200,6,FALSE))=FALSE),VLOOKUP(G1919,Keszlet!$C$5:$H$200,6,FALSE),"")</f>
        <v/>
      </c>
      <c r="K1919" s="106" t="str">
        <f>IF(AND(G1919&lt;&gt;"",ISERROR(VLOOKUP(G1919,Keszlet!$C$5:$G$200,5,FALSE))=FALSE),VLOOKUP(G1919,Keszlet!$C$5:$G$200,5,FALSE),"")</f>
        <v/>
      </c>
      <c r="L1919" s="106" t="str">
        <f t="shared" si="152"/>
        <v/>
      </c>
      <c r="M1919" s="115" t="str">
        <f>IF(ISERROR(VLOOKUP(G1919,Keszlet!$C$5:$I$200,7,FALSE))=TRUE,"",IF(AND(J1918&lt;&gt;"",J1920=""),VLOOKUP(G1919,Keszlet!$C$5:$I$200,7,FALSE),""))</f>
        <v/>
      </c>
      <c r="Q1919" s="1">
        <f>VLOOKUP(G1919,Keszlet!$C$5:$E$205,3,FALSE)</f>
        <v>0</v>
      </c>
      <c r="T1919" s="1" t="str">
        <f t="shared" si="153"/>
        <v/>
      </c>
      <c r="U1919" s="1">
        <f t="shared" si="154"/>
        <v>0</v>
      </c>
      <c r="W1919" s="6">
        <f t="shared" si="157"/>
        <v>0</v>
      </c>
      <c r="X1919" s="6">
        <f t="shared" si="149"/>
        <v>0</v>
      </c>
      <c r="Y1919" s="1">
        <f t="shared" si="155"/>
        <v>1</v>
      </c>
      <c r="Z1919" s="1">
        <f>IF(COUNTIF($Y$6:Y1919,Y1919)=1,Y1919,Y1919+COUNTIF($Y$5:Y1918,Y1919))</f>
        <v>914</v>
      </c>
      <c r="AD1919" s="1" t="str">
        <f t="shared" si="156"/>
        <v/>
      </c>
      <c r="BA1919" s="1">
        <f>IF(W1919&lt;=Leltar_iv!$Y$1,I1919,0)</f>
        <v>0</v>
      </c>
    </row>
    <row r="1920" spans="1:53" s="1" customFormat="1" x14ac:dyDescent="0.25">
      <c r="A1920" s="18">
        <f>IF(COUNTIF($Y$6:Y1920,Y1920)=1,Y1920,Y1920+COUNTIF($Y$5:Y1919,Y1920))</f>
        <v>915</v>
      </c>
      <c r="B1920" s="1">
        <f>IF(AND(Kisero_iv!$N$2=C1920,Kisero_iv!$K$5=$B$3,SUM(I1920:L1924)&lt;&gt;0,$B$4=YEAR(W1920)),B1919+1,0)</f>
        <v>0</v>
      </c>
      <c r="C1920" s="1">
        <f t="shared" si="150"/>
        <v>915</v>
      </c>
      <c r="D1920" s="102" t="str">
        <f t="shared" si="151"/>
        <v/>
      </c>
      <c r="E1920" s="44"/>
      <c r="F1920" s="45"/>
      <c r="G1920" s="45"/>
      <c r="H1920" s="45"/>
      <c r="I1920" s="46"/>
      <c r="J1920" s="111" t="str">
        <f>IF(AND(G1920&lt;&gt;"",ISERROR(VLOOKUP(G1920,Keszlet!$C$5:$H$200,6,FALSE))=FALSE),VLOOKUP(G1920,Keszlet!$C$5:$H$200,6,FALSE),"")</f>
        <v/>
      </c>
      <c r="K1920" s="106" t="str">
        <f>IF(AND(G1920&lt;&gt;"",ISERROR(VLOOKUP(G1920,Keszlet!$C$5:$G$200,5,FALSE))=FALSE),VLOOKUP(G1920,Keszlet!$C$5:$G$200,5,FALSE),"")</f>
        <v/>
      </c>
      <c r="L1920" s="106" t="str">
        <f t="shared" si="152"/>
        <v/>
      </c>
      <c r="M1920" s="115" t="str">
        <f>IF(ISERROR(VLOOKUP(G1920,Keszlet!$C$5:$I$200,7,FALSE))=TRUE,"",IF(AND(J1919&lt;&gt;"",J1921=""),VLOOKUP(G1920,Keszlet!$C$5:$I$200,7,FALSE),""))</f>
        <v/>
      </c>
      <c r="Q1920" s="1">
        <f>VLOOKUP(G1920,Keszlet!$C$5:$E$205,3,FALSE)</f>
        <v>0</v>
      </c>
      <c r="T1920" s="1" t="str">
        <f t="shared" si="153"/>
        <v/>
      </c>
      <c r="U1920" s="1">
        <f t="shared" si="154"/>
        <v>0</v>
      </c>
      <c r="W1920" s="6">
        <f t="shared" si="157"/>
        <v>0</v>
      </c>
      <c r="X1920" s="6">
        <f t="shared" si="149"/>
        <v>0</v>
      </c>
      <c r="Y1920" s="1">
        <f t="shared" si="155"/>
        <v>1</v>
      </c>
      <c r="Z1920" s="1">
        <f>IF(COUNTIF($Y$6:Y1920,Y1920)=1,Y1920,Y1920+COUNTIF($Y$5:Y1919,Y1920))</f>
        <v>915</v>
      </c>
      <c r="AD1920" s="1" t="str">
        <f t="shared" si="156"/>
        <v/>
      </c>
      <c r="BA1920" s="1">
        <f>IF(W1920&lt;=Leltar_iv!$Y$1,I1920,0)</f>
        <v>0</v>
      </c>
    </row>
    <row r="1921" spans="1:53" s="1" customFormat="1" x14ac:dyDescent="0.25">
      <c r="A1921" s="18">
        <f>IF(COUNTIF($Y$6:Y1921,Y1921)=1,Y1921,Y1921+COUNTIF($Y$5:Y1920,Y1921))</f>
        <v>916</v>
      </c>
      <c r="B1921" s="1">
        <f>IF(AND(Kisero_iv!$N$2=C1921,Kisero_iv!$K$5=$B$3,SUM(I1921:L1925)&lt;&gt;0,$B$4=YEAR(W1921)),B1920+1,0)</f>
        <v>0</v>
      </c>
      <c r="C1921" s="1">
        <f t="shared" si="150"/>
        <v>916</v>
      </c>
      <c r="D1921" s="102" t="str">
        <f t="shared" si="151"/>
        <v/>
      </c>
      <c r="E1921" s="44"/>
      <c r="F1921" s="45"/>
      <c r="G1921" s="45"/>
      <c r="H1921" s="45"/>
      <c r="I1921" s="46"/>
      <c r="J1921" s="111" t="str">
        <f>IF(AND(G1921&lt;&gt;"",ISERROR(VLOOKUP(G1921,Keszlet!$C$5:$H$200,6,FALSE))=FALSE),VLOOKUP(G1921,Keszlet!$C$5:$H$200,6,FALSE),"")</f>
        <v/>
      </c>
      <c r="K1921" s="106" t="str">
        <f>IF(AND(G1921&lt;&gt;"",ISERROR(VLOOKUP(G1921,Keszlet!$C$5:$G$200,5,FALSE))=FALSE),VLOOKUP(G1921,Keszlet!$C$5:$G$200,5,FALSE),"")</f>
        <v/>
      </c>
      <c r="L1921" s="106" t="str">
        <f t="shared" si="152"/>
        <v/>
      </c>
      <c r="M1921" s="115" t="str">
        <f>IF(ISERROR(VLOOKUP(G1921,Keszlet!$C$5:$I$200,7,FALSE))=TRUE,"",IF(AND(J1920&lt;&gt;"",J1922=""),VLOOKUP(G1921,Keszlet!$C$5:$I$200,7,FALSE),""))</f>
        <v/>
      </c>
      <c r="Q1921" s="1">
        <f>VLOOKUP(G1921,Keszlet!$C$5:$E$205,3,FALSE)</f>
        <v>0</v>
      </c>
      <c r="T1921" s="1" t="str">
        <f t="shared" si="153"/>
        <v/>
      </c>
      <c r="U1921" s="1">
        <f t="shared" si="154"/>
        <v>0</v>
      </c>
      <c r="W1921" s="6">
        <f t="shared" si="157"/>
        <v>0</v>
      </c>
      <c r="X1921" s="6">
        <f t="shared" si="149"/>
        <v>0</v>
      </c>
      <c r="Y1921" s="1">
        <f t="shared" si="155"/>
        <v>1</v>
      </c>
      <c r="Z1921" s="1">
        <f>IF(COUNTIF($Y$6:Y1921,Y1921)=1,Y1921,Y1921+COUNTIF($Y$5:Y1920,Y1921))</f>
        <v>916</v>
      </c>
      <c r="AD1921" s="1" t="str">
        <f t="shared" si="156"/>
        <v/>
      </c>
      <c r="BA1921" s="1">
        <f>IF(W1921&lt;=Leltar_iv!$Y$1,I1921,0)</f>
        <v>0</v>
      </c>
    </row>
    <row r="1922" spans="1:53" s="1" customFormat="1" x14ac:dyDescent="0.25">
      <c r="A1922" s="18">
        <f>IF(COUNTIF($Y$6:Y1922,Y1922)=1,Y1922,Y1922+COUNTIF($Y$5:Y1921,Y1922))</f>
        <v>917</v>
      </c>
      <c r="B1922" s="1">
        <f>IF(AND(Kisero_iv!$N$2=C1922,Kisero_iv!$K$5=$B$3,SUM(I1922:L1926)&lt;&gt;0,$B$4=YEAR(W1922)),B1921+1,0)</f>
        <v>0</v>
      </c>
      <c r="C1922" s="1">
        <f t="shared" si="150"/>
        <v>917</v>
      </c>
      <c r="D1922" s="102" t="str">
        <f t="shared" si="151"/>
        <v/>
      </c>
      <c r="E1922" s="44"/>
      <c r="F1922" s="45"/>
      <c r="G1922" s="45"/>
      <c r="H1922" s="45"/>
      <c r="I1922" s="46"/>
      <c r="J1922" s="111" t="str">
        <f>IF(AND(G1922&lt;&gt;"",ISERROR(VLOOKUP(G1922,Keszlet!$C$5:$H$200,6,FALSE))=FALSE),VLOOKUP(G1922,Keszlet!$C$5:$H$200,6,FALSE),"")</f>
        <v/>
      </c>
      <c r="K1922" s="106" t="str">
        <f>IF(AND(G1922&lt;&gt;"",ISERROR(VLOOKUP(G1922,Keszlet!$C$5:$G$200,5,FALSE))=FALSE),VLOOKUP(G1922,Keszlet!$C$5:$G$200,5,FALSE),"")</f>
        <v/>
      </c>
      <c r="L1922" s="106" t="str">
        <f t="shared" si="152"/>
        <v/>
      </c>
      <c r="M1922" s="115" t="str">
        <f>IF(ISERROR(VLOOKUP(G1922,Keszlet!$C$5:$I$200,7,FALSE))=TRUE,"",IF(AND(J1921&lt;&gt;"",J1923=""),VLOOKUP(G1922,Keszlet!$C$5:$I$200,7,FALSE),""))</f>
        <v/>
      </c>
      <c r="Q1922" s="1">
        <f>VLOOKUP(G1922,Keszlet!$C$5:$E$205,3,FALSE)</f>
        <v>0</v>
      </c>
      <c r="T1922" s="1" t="str">
        <f t="shared" si="153"/>
        <v/>
      </c>
      <c r="U1922" s="1">
        <f t="shared" si="154"/>
        <v>0</v>
      </c>
      <c r="W1922" s="6">
        <f t="shared" si="157"/>
        <v>0</v>
      </c>
      <c r="X1922" s="6">
        <f t="shared" si="149"/>
        <v>0</v>
      </c>
      <c r="Y1922" s="1">
        <f t="shared" si="155"/>
        <v>1</v>
      </c>
      <c r="Z1922" s="1">
        <f>IF(COUNTIF($Y$6:Y1922,Y1922)=1,Y1922,Y1922+COUNTIF($Y$5:Y1921,Y1922))</f>
        <v>917</v>
      </c>
      <c r="AD1922" s="1" t="str">
        <f t="shared" si="156"/>
        <v/>
      </c>
      <c r="BA1922" s="1">
        <f>IF(W1922&lt;=Leltar_iv!$Y$1,I1922,0)</f>
        <v>0</v>
      </c>
    </row>
    <row r="1923" spans="1:53" s="1" customFormat="1" x14ac:dyDescent="0.25">
      <c r="A1923" s="18">
        <f>IF(COUNTIF($Y$6:Y1923,Y1923)=1,Y1923,Y1923+COUNTIF($Y$5:Y1922,Y1923))</f>
        <v>918</v>
      </c>
      <c r="B1923" s="1">
        <f>IF(AND(Kisero_iv!$N$2=C1923,Kisero_iv!$K$5=$B$3,SUM(I1923:L1927)&lt;&gt;0,$B$4=YEAR(W1923)),B1922+1,0)</f>
        <v>0</v>
      </c>
      <c r="C1923" s="1">
        <f t="shared" si="150"/>
        <v>918</v>
      </c>
      <c r="D1923" s="102" t="str">
        <f t="shared" si="151"/>
        <v/>
      </c>
      <c r="E1923" s="44"/>
      <c r="F1923" s="45"/>
      <c r="G1923" s="45"/>
      <c r="H1923" s="45"/>
      <c r="I1923" s="46"/>
      <c r="J1923" s="111" t="str">
        <f>IF(AND(G1923&lt;&gt;"",ISERROR(VLOOKUP(G1923,Keszlet!$C$5:$H$200,6,FALSE))=FALSE),VLOOKUP(G1923,Keszlet!$C$5:$H$200,6,FALSE),"")</f>
        <v/>
      </c>
      <c r="K1923" s="106" t="str">
        <f>IF(AND(G1923&lt;&gt;"",ISERROR(VLOOKUP(G1923,Keszlet!$C$5:$G$200,5,FALSE))=FALSE),VLOOKUP(G1923,Keszlet!$C$5:$G$200,5,FALSE),"")</f>
        <v/>
      </c>
      <c r="L1923" s="106" t="str">
        <f t="shared" si="152"/>
        <v/>
      </c>
      <c r="M1923" s="115" t="str">
        <f>IF(ISERROR(VLOOKUP(G1923,Keszlet!$C$5:$I$200,7,FALSE))=TRUE,"",IF(AND(J1922&lt;&gt;"",J1924=""),VLOOKUP(G1923,Keszlet!$C$5:$I$200,7,FALSE),""))</f>
        <v/>
      </c>
      <c r="Q1923" s="1">
        <f>VLOOKUP(G1923,Keszlet!$C$5:$E$205,3,FALSE)</f>
        <v>0</v>
      </c>
      <c r="T1923" s="1" t="str">
        <f t="shared" si="153"/>
        <v/>
      </c>
      <c r="U1923" s="1">
        <f t="shared" si="154"/>
        <v>0</v>
      </c>
      <c r="W1923" s="6">
        <f t="shared" si="157"/>
        <v>0</v>
      </c>
      <c r="X1923" s="6">
        <f t="shared" si="149"/>
        <v>0</v>
      </c>
      <c r="Y1923" s="1">
        <f t="shared" si="155"/>
        <v>1</v>
      </c>
      <c r="Z1923" s="1">
        <f>IF(COUNTIF($Y$6:Y1923,Y1923)=1,Y1923,Y1923+COUNTIF($Y$5:Y1922,Y1923))</f>
        <v>918</v>
      </c>
      <c r="AD1923" s="1" t="str">
        <f t="shared" si="156"/>
        <v/>
      </c>
      <c r="BA1923" s="1">
        <f>IF(W1923&lt;=Leltar_iv!$Y$1,I1923,0)</f>
        <v>0</v>
      </c>
    </row>
    <row r="1924" spans="1:53" s="1" customFormat="1" x14ac:dyDescent="0.25">
      <c r="A1924" s="18">
        <f>IF(COUNTIF($Y$6:Y1924,Y1924)=1,Y1924,Y1924+COUNTIF($Y$5:Y1923,Y1924))</f>
        <v>919</v>
      </c>
      <c r="B1924" s="1">
        <f>IF(AND(Kisero_iv!$N$2=C1924,Kisero_iv!$K$5=$B$3,SUM(I1924:L1928)&lt;&gt;0,$B$4=YEAR(W1924)),B1923+1,0)</f>
        <v>0</v>
      </c>
      <c r="C1924" s="1">
        <f t="shared" si="150"/>
        <v>919</v>
      </c>
      <c r="D1924" s="102" t="str">
        <f t="shared" si="151"/>
        <v/>
      </c>
      <c r="E1924" s="44"/>
      <c r="F1924" s="45"/>
      <c r="G1924" s="45"/>
      <c r="H1924" s="45"/>
      <c r="I1924" s="46"/>
      <c r="J1924" s="111" t="str">
        <f>IF(AND(G1924&lt;&gt;"",ISERROR(VLOOKUP(G1924,Keszlet!$C$5:$H$200,6,FALSE))=FALSE),VLOOKUP(G1924,Keszlet!$C$5:$H$200,6,FALSE),"")</f>
        <v/>
      </c>
      <c r="K1924" s="106" t="str">
        <f>IF(AND(G1924&lt;&gt;"",ISERROR(VLOOKUP(G1924,Keszlet!$C$5:$G$200,5,FALSE))=FALSE),VLOOKUP(G1924,Keszlet!$C$5:$G$200,5,FALSE),"")</f>
        <v/>
      </c>
      <c r="L1924" s="106" t="str">
        <f t="shared" si="152"/>
        <v/>
      </c>
      <c r="M1924" s="115" t="str">
        <f>IF(ISERROR(VLOOKUP(G1924,Keszlet!$C$5:$I$200,7,FALSE))=TRUE,"",IF(AND(J1923&lt;&gt;"",J1925=""),VLOOKUP(G1924,Keszlet!$C$5:$I$200,7,FALSE),""))</f>
        <v/>
      </c>
      <c r="Q1924" s="1">
        <f>VLOOKUP(G1924,Keszlet!$C$5:$E$205,3,FALSE)</f>
        <v>0</v>
      </c>
      <c r="T1924" s="1" t="str">
        <f t="shared" si="153"/>
        <v/>
      </c>
      <c r="U1924" s="1">
        <f t="shared" si="154"/>
        <v>0</v>
      </c>
      <c r="W1924" s="6">
        <f t="shared" si="157"/>
        <v>0</v>
      </c>
      <c r="X1924" s="6">
        <f t="shared" si="149"/>
        <v>0</v>
      </c>
      <c r="Y1924" s="1">
        <f t="shared" si="155"/>
        <v>1</v>
      </c>
      <c r="Z1924" s="1">
        <f>IF(COUNTIF($Y$6:Y1924,Y1924)=1,Y1924,Y1924+COUNTIF($Y$5:Y1923,Y1924))</f>
        <v>919</v>
      </c>
      <c r="AD1924" s="1" t="str">
        <f t="shared" si="156"/>
        <v/>
      </c>
      <c r="BA1924" s="1">
        <f>IF(W1924&lt;=Leltar_iv!$Y$1,I1924,0)</f>
        <v>0</v>
      </c>
    </row>
    <row r="1925" spans="1:53" s="1" customFormat="1" x14ac:dyDescent="0.25">
      <c r="A1925" s="18">
        <f>IF(COUNTIF($Y$6:Y1925,Y1925)=1,Y1925,Y1925+COUNTIF($Y$5:Y1924,Y1925))</f>
        <v>920</v>
      </c>
      <c r="B1925" s="1">
        <f>IF(AND(Kisero_iv!$N$2=C1925,Kisero_iv!$K$5=$B$3,SUM(I1925:L1929)&lt;&gt;0,$B$4=YEAR(W1925)),B1924+1,0)</f>
        <v>0</v>
      </c>
      <c r="C1925" s="1">
        <f t="shared" si="150"/>
        <v>920</v>
      </c>
      <c r="D1925" s="102" t="str">
        <f t="shared" si="151"/>
        <v/>
      </c>
      <c r="E1925" s="44"/>
      <c r="F1925" s="45"/>
      <c r="G1925" s="45"/>
      <c r="H1925" s="45"/>
      <c r="I1925" s="46"/>
      <c r="J1925" s="111" t="str">
        <f>IF(AND(G1925&lt;&gt;"",ISERROR(VLOOKUP(G1925,Keszlet!$C$5:$H$200,6,FALSE))=FALSE),VLOOKUP(G1925,Keszlet!$C$5:$H$200,6,FALSE),"")</f>
        <v/>
      </c>
      <c r="K1925" s="106" t="str">
        <f>IF(AND(G1925&lt;&gt;"",ISERROR(VLOOKUP(G1925,Keszlet!$C$5:$G$200,5,FALSE))=FALSE),VLOOKUP(G1925,Keszlet!$C$5:$G$200,5,FALSE),"")</f>
        <v/>
      </c>
      <c r="L1925" s="106" t="str">
        <f t="shared" si="152"/>
        <v/>
      </c>
      <c r="M1925" s="115" t="str">
        <f>IF(ISERROR(VLOOKUP(G1925,Keszlet!$C$5:$I$200,7,FALSE))=TRUE,"",IF(AND(J1924&lt;&gt;"",J1926=""),VLOOKUP(G1925,Keszlet!$C$5:$I$200,7,FALSE),""))</f>
        <v/>
      </c>
      <c r="Q1925" s="1">
        <f>VLOOKUP(G1925,Keszlet!$C$5:$E$205,3,FALSE)</f>
        <v>0</v>
      </c>
      <c r="T1925" s="1" t="str">
        <f t="shared" si="153"/>
        <v/>
      </c>
      <c r="U1925" s="1">
        <f t="shared" si="154"/>
        <v>0</v>
      </c>
      <c r="W1925" s="6">
        <f t="shared" si="157"/>
        <v>0</v>
      </c>
      <c r="X1925" s="6">
        <f t="shared" si="149"/>
        <v>0</v>
      </c>
      <c r="Y1925" s="1">
        <f t="shared" si="155"/>
        <v>1</v>
      </c>
      <c r="Z1925" s="1">
        <f>IF(COUNTIF($Y$6:Y1925,Y1925)=1,Y1925,Y1925+COUNTIF($Y$5:Y1924,Y1925))</f>
        <v>920</v>
      </c>
      <c r="AD1925" s="1" t="str">
        <f t="shared" si="156"/>
        <v/>
      </c>
      <c r="BA1925" s="1">
        <f>IF(W1925&lt;=Leltar_iv!$Y$1,I1925,0)</f>
        <v>0</v>
      </c>
    </row>
    <row r="1926" spans="1:53" s="1" customFormat="1" x14ac:dyDescent="0.25">
      <c r="A1926" s="18">
        <f>IF(COUNTIF($Y$6:Y1926,Y1926)=1,Y1926,Y1926+COUNTIF($Y$5:Y1925,Y1926))</f>
        <v>921</v>
      </c>
      <c r="B1926" s="1">
        <f>IF(AND(Kisero_iv!$N$2=C1926,Kisero_iv!$K$5=$B$3,SUM(I1926:L1930)&lt;&gt;0,$B$4=YEAR(W1926)),B1925+1,0)</f>
        <v>0</v>
      </c>
      <c r="C1926" s="1">
        <f t="shared" si="150"/>
        <v>921</v>
      </c>
      <c r="D1926" s="102" t="str">
        <f t="shared" si="151"/>
        <v/>
      </c>
      <c r="E1926" s="44"/>
      <c r="F1926" s="45"/>
      <c r="G1926" s="45"/>
      <c r="H1926" s="45"/>
      <c r="I1926" s="46"/>
      <c r="J1926" s="111" t="str">
        <f>IF(AND(G1926&lt;&gt;"",ISERROR(VLOOKUP(G1926,Keszlet!$C$5:$H$200,6,FALSE))=FALSE),VLOOKUP(G1926,Keszlet!$C$5:$H$200,6,FALSE),"")</f>
        <v/>
      </c>
      <c r="K1926" s="106" t="str">
        <f>IF(AND(G1926&lt;&gt;"",ISERROR(VLOOKUP(G1926,Keszlet!$C$5:$G$200,5,FALSE))=FALSE),VLOOKUP(G1926,Keszlet!$C$5:$G$200,5,FALSE),"")</f>
        <v/>
      </c>
      <c r="L1926" s="106" t="str">
        <f t="shared" si="152"/>
        <v/>
      </c>
      <c r="M1926" s="115" t="str">
        <f>IF(ISERROR(VLOOKUP(G1926,Keszlet!$C$5:$I$200,7,FALSE))=TRUE,"",IF(AND(J1925&lt;&gt;"",J1927=""),VLOOKUP(G1926,Keszlet!$C$5:$I$200,7,FALSE),""))</f>
        <v/>
      </c>
      <c r="Q1926" s="1">
        <f>VLOOKUP(G1926,Keszlet!$C$5:$E$205,3,FALSE)</f>
        <v>0</v>
      </c>
      <c r="T1926" s="1" t="str">
        <f t="shared" si="153"/>
        <v/>
      </c>
      <c r="U1926" s="1">
        <f t="shared" si="154"/>
        <v>0</v>
      </c>
      <c r="W1926" s="6">
        <f t="shared" si="157"/>
        <v>0</v>
      </c>
      <c r="X1926" s="6">
        <f t="shared" si="149"/>
        <v>0</v>
      </c>
      <c r="Y1926" s="1">
        <f t="shared" si="155"/>
        <v>1</v>
      </c>
      <c r="Z1926" s="1">
        <f>IF(COUNTIF($Y$6:Y1926,Y1926)=1,Y1926,Y1926+COUNTIF($Y$5:Y1925,Y1926))</f>
        <v>921</v>
      </c>
      <c r="AD1926" s="1" t="str">
        <f t="shared" si="156"/>
        <v/>
      </c>
      <c r="BA1926" s="1">
        <f>IF(W1926&lt;=Leltar_iv!$Y$1,I1926,0)</f>
        <v>0</v>
      </c>
    </row>
    <row r="1927" spans="1:53" s="1" customFormat="1" x14ac:dyDescent="0.25">
      <c r="A1927" s="18">
        <f>IF(COUNTIF($Y$6:Y1927,Y1927)=1,Y1927,Y1927+COUNTIF($Y$5:Y1926,Y1927))</f>
        <v>922</v>
      </c>
      <c r="B1927" s="1">
        <f>IF(AND(Kisero_iv!$N$2=C1927,Kisero_iv!$K$5=$B$3,SUM(I1927:L1931)&lt;&gt;0,$B$4=YEAR(W1927)),B1926+1,0)</f>
        <v>0</v>
      </c>
      <c r="C1927" s="1">
        <f t="shared" si="150"/>
        <v>922</v>
      </c>
      <c r="D1927" s="102" t="str">
        <f t="shared" si="151"/>
        <v/>
      </c>
      <c r="E1927" s="44"/>
      <c r="F1927" s="45"/>
      <c r="G1927" s="45"/>
      <c r="H1927" s="45"/>
      <c r="I1927" s="46"/>
      <c r="J1927" s="111" t="str">
        <f>IF(AND(G1927&lt;&gt;"",ISERROR(VLOOKUP(G1927,Keszlet!$C$5:$H$200,6,FALSE))=FALSE),VLOOKUP(G1927,Keszlet!$C$5:$H$200,6,FALSE),"")</f>
        <v/>
      </c>
      <c r="K1927" s="106" t="str">
        <f>IF(AND(G1927&lt;&gt;"",ISERROR(VLOOKUP(G1927,Keszlet!$C$5:$G$200,5,FALSE))=FALSE),VLOOKUP(G1927,Keszlet!$C$5:$G$200,5,FALSE),"")</f>
        <v/>
      </c>
      <c r="L1927" s="106" t="str">
        <f t="shared" si="152"/>
        <v/>
      </c>
      <c r="M1927" s="115" t="str">
        <f>IF(ISERROR(VLOOKUP(G1927,Keszlet!$C$5:$I$200,7,FALSE))=TRUE,"",IF(AND(J1926&lt;&gt;"",J1928=""),VLOOKUP(G1927,Keszlet!$C$5:$I$200,7,FALSE),""))</f>
        <v/>
      </c>
      <c r="Q1927" s="1">
        <f>VLOOKUP(G1927,Keszlet!$C$5:$E$205,3,FALSE)</f>
        <v>0</v>
      </c>
      <c r="T1927" s="1" t="str">
        <f t="shared" si="153"/>
        <v/>
      </c>
      <c r="U1927" s="1">
        <f t="shared" si="154"/>
        <v>0</v>
      </c>
      <c r="W1927" s="6">
        <f t="shared" si="157"/>
        <v>0</v>
      </c>
      <c r="X1927" s="6">
        <f t="shared" si="149"/>
        <v>0</v>
      </c>
      <c r="Y1927" s="1">
        <f t="shared" si="155"/>
        <v>1</v>
      </c>
      <c r="Z1927" s="1">
        <f>IF(COUNTIF($Y$6:Y1927,Y1927)=1,Y1927,Y1927+COUNTIF($Y$5:Y1926,Y1927))</f>
        <v>922</v>
      </c>
      <c r="AD1927" s="1" t="str">
        <f t="shared" si="156"/>
        <v/>
      </c>
      <c r="BA1927" s="1">
        <f>IF(W1927&lt;=Leltar_iv!$Y$1,I1927,0)</f>
        <v>0</v>
      </c>
    </row>
    <row r="1928" spans="1:53" s="1" customFormat="1" x14ac:dyDescent="0.25">
      <c r="A1928" s="18">
        <f>IF(COUNTIF($Y$6:Y1928,Y1928)=1,Y1928,Y1928+COUNTIF($Y$5:Y1927,Y1928))</f>
        <v>923</v>
      </c>
      <c r="B1928" s="1">
        <f>IF(AND(Kisero_iv!$N$2=C1928,Kisero_iv!$K$5=$B$3,SUM(I1928:L1932)&lt;&gt;0,$B$4=YEAR(W1928)),B1927+1,0)</f>
        <v>0</v>
      </c>
      <c r="C1928" s="1">
        <f t="shared" si="150"/>
        <v>923</v>
      </c>
      <c r="D1928" s="102" t="str">
        <f t="shared" si="151"/>
        <v/>
      </c>
      <c r="E1928" s="44"/>
      <c r="F1928" s="45"/>
      <c r="G1928" s="45"/>
      <c r="H1928" s="45"/>
      <c r="I1928" s="46"/>
      <c r="J1928" s="111" t="str">
        <f>IF(AND(G1928&lt;&gt;"",ISERROR(VLOOKUP(G1928,Keszlet!$C$5:$H$200,6,FALSE))=FALSE),VLOOKUP(G1928,Keszlet!$C$5:$H$200,6,FALSE),"")</f>
        <v/>
      </c>
      <c r="K1928" s="106" t="str">
        <f>IF(AND(G1928&lt;&gt;"",ISERROR(VLOOKUP(G1928,Keszlet!$C$5:$G$200,5,FALSE))=FALSE),VLOOKUP(G1928,Keszlet!$C$5:$G$200,5,FALSE),"")</f>
        <v/>
      </c>
      <c r="L1928" s="106" t="str">
        <f t="shared" si="152"/>
        <v/>
      </c>
      <c r="M1928" s="115" t="str">
        <f>IF(ISERROR(VLOOKUP(G1928,Keszlet!$C$5:$I$200,7,FALSE))=TRUE,"",IF(AND(J1927&lt;&gt;"",J1929=""),VLOOKUP(G1928,Keszlet!$C$5:$I$200,7,FALSE),""))</f>
        <v/>
      </c>
      <c r="Q1928" s="1">
        <f>VLOOKUP(G1928,Keszlet!$C$5:$E$205,3,FALSE)</f>
        <v>0</v>
      </c>
      <c r="T1928" s="1" t="str">
        <f t="shared" si="153"/>
        <v/>
      </c>
      <c r="U1928" s="1">
        <f t="shared" si="154"/>
        <v>0</v>
      </c>
      <c r="W1928" s="6">
        <f t="shared" si="157"/>
        <v>0</v>
      </c>
      <c r="X1928" s="6">
        <f t="shared" si="149"/>
        <v>0</v>
      </c>
      <c r="Y1928" s="1">
        <f t="shared" si="155"/>
        <v>1</v>
      </c>
      <c r="Z1928" s="1">
        <f>IF(COUNTIF($Y$6:Y1928,Y1928)=1,Y1928,Y1928+COUNTIF($Y$5:Y1927,Y1928))</f>
        <v>923</v>
      </c>
      <c r="AD1928" s="1" t="str">
        <f t="shared" si="156"/>
        <v/>
      </c>
      <c r="BA1928" s="1">
        <f>IF(W1928&lt;=Leltar_iv!$Y$1,I1928,0)</f>
        <v>0</v>
      </c>
    </row>
    <row r="1929" spans="1:53" s="1" customFormat="1" x14ac:dyDescent="0.25">
      <c r="A1929" s="18">
        <f>IF(COUNTIF($Y$6:Y1929,Y1929)=1,Y1929,Y1929+COUNTIF($Y$5:Y1928,Y1929))</f>
        <v>924</v>
      </c>
      <c r="B1929" s="1">
        <f>IF(AND(Kisero_iv!$N$2=C1929,Kisero_iv!$K$5=$B$3,SUM(I1929:L1933)&lt;&gt;0,$B$4=YEAR(W1929)),B1928+1,0)</f>
        <v>0</v>
      </c>
      <c r="C1929" s="1">
        <f t="shared" si="150"/>
        <v>924</v>
      </c>
      <c r="D1929" s="102" t="str">
        <f t="shared" si="151"/>
        <v/>
      </c>
      <c r="E1929" s="44"/>
      <c r="F1929" s="45"/>
      <c r="G1929" s="45"/>
      <c r="H1929" s="45"/>
      <c r="I1929" s="46"/>
      <c r="J1929" s="111" t="str">
        <f>IF(AND(G1929&lt;&gt;"",ISERROR(VLOOKUP(G1929,Keszlet!$C$5:$H$200,6,FALSE))=FALSE),VLOOKUP(G1929,Keszlet!$C$5:$H$200,6,FALSE),"")</f>
        <v/>
      </c>
      <c r="K1929" s="106" t="str">
        <f>IF(AND(G1929&lt;&gt;"",ISERROR(VLOOKUP(G1929,Keszlet!$C$5:$G$200,5,FALSE))=FALSE),VLOOKUP(G1929,Keszlet!$C$5:$G$200,5,FALSE),"")</f>
        <v/>
      </c>
      <c r="L1929" s="106" t="str">
        <f t="shared" si="152"/>
        <v/>
      </c>
      <c r="M1929" s="115" t="str">
        <f>IF(ISERROR(VLOOKUP(G1929,Keszlet!$C$5:$I$200,7,FALSE))=TRUE,"",IF(AND(J1928&lt;&gt;"",J1930=""),VLOOKUP(G1929,Keszlet!$C$5:$I$200,7,FALSE),""))</f>
        <v/>
      </c>
      <c r="Q1929" s="1">
        <f>VLOOKUP(G1929,Keszlet!$C$5:$E$205,3,FALSE)</f>
        <v>0</v>
      </c>
      <c r="T1929" s="1" t="str">
        <f t="shared" si="153"/>
        <v/>
      </c>
      <c r="U1929" s="1">
        <f t="shared" si="154"/>
        <v>0</v>
      </c>
      <c r="W1929" s="6">
        <f t="shared" si="157"/>
        <v>0</v>
      </c>
      <c r="X1929" s="6">
        <f t="shared" si="149"/>
        <v>0</v>
      </c>
      <c r="Y1929" s="1">
        <f t="shared" si="155"/>
        <v>1</v>
      </c>
      <c r="Z1929" s="1">
        <f>IF(COUNTIF($Y$6:Y1929,Y1929)=1,Y1929,Y1929+COUNTIF($Y$5:Y1928,Y1929))</f>
        <v>924</v>
      </c>
      <c r="AD1929" s="1" t="str">
        <f t="shared" si="156"/>
        <v/>
      </c>
      <c r="BA1929" s="1">
        <f>IF(W1929&lt;=Leltar_iv!$Y$1,I1929,0)</f>
        <v>0</v>
      </c>
    </row>
    <row r="1930" spans="1:53" s="1" customFormat="1" x14ac:dyDescent="0.25">
      <c r="A1930" s="18">
        <f>IF(COUNTIF($Y$6:Y1930,Y1930)=1,Y1930,Y1930+COUNTIF($Y$5:Y1929,Y1930))</f>
        <v>925</v>
      </c>
      <c r="B1930" s="1">
        <f>IF(AND(Kisero_iv!$N$2=C1930,Kisero_iv!$K$5=$B$3,SUM(I1930:L1934)&lt;&gt;0,$B$4=YEAR(W1930)),B1929+1,0)</f>
        <v>0</v>
      </c>
      <c r="C1930" s="1">
        <f t="shared" si="150"/>
        <v>925</v>
      </c>
      <c r="D1930" s="102" t="str">
        <f t="shared" si="151"/>
        <v/>
      </c>
      <c r="E1930" s="44"/>
      <c r="F1930" s="45"/>
      <c r="G1930" s="45"/>
      <c r="H1930" s="45"/>
      <c r="I1930" s="46"/>
      <c r="J1930" s="111" t="str">
        <f>IF(AND(G1930&lt;&gt;"",ISERROR(VLOOKUP(G1930,Keszlet!$C$5:$H$200,6,FALSE))=FALSE),VLOOKUP(G1930,Keszlet!$C$5:$H$200,6,FALSE),"")</f>
        <v/>
      </c>
      <c r="K1930" s="106" t="str">
        <f>IF(AND(G1930&lt;&gt;"",ISERROR(VLOOKUP(G1930,Keszlet!$C$5:$G$200,5,FALSE))=FALSE),VLOOKUP(G1930,Keszlet!$C$5:$G$200,5,FALSE),"")</f>
        <v/>
      </c>
      <c r="L1930" s="106" t="str">
        <f t="shared" si="152"/>
        <v/>
      </c>
      <c r="M1930" s="115" t="str">
        <f>IF(ISERROR(VLOOKUP(G1930,Keszlet!$C$5:$I$200,7,FALSE))=TRUE,"",IF(AND(J1929&lt;&gt;"",J1931=""),VLOOKUP(G1930,Keszlet!$C$5:$I$200,7,FALSE),""))</f>
        <v/>
      </c>
      <c r="Q1930" s="1">
        <f>VLOOKUP(G1930,Keszlet!$C$5:$E$205,3,FALSE)</f>
        <v>0</v>
      </c>
      <c r="T1930" s="1" t="str">
        <f t="shared" si="153"/>
        <v/>
      </c>
      <c r="U1930" s="1">
        <f t="shared" si="154"/>
        <v>0</v>
      </c>
      <c r="W1930" s="6">
        <f t="shared" si="157"/>
        <v>0</v>
      </c>
      <c r="X1930" s="6">
        <f t="shared" si="149"/>
        <v>0</v>
      </c>
      <c r="Y1930" s="1">
        <f t="shared" si="155"/>
        <v>1</v>
      </c>
      <c r="Z1930" s="1">
        <f>IF(COUNTIF($Y$6:Y1930,Y1930)=1,Y1930,Y1930+COUNTIF($Y$5:Y1929,Y1930))</f>
        <v>925</v>
      </c>
      <c r="AD1930" s="1" t="str">
        <f t="shared" si="156"/>
        <v/>
      </c>
      <c r="BA1930" s="1">
        <f>IF(W1930&lt;=Leltar_iv!$Y$1,I1930,0)</f>
        <v>0</v>
      </c>
    </row>
    <row r="1931" spans="1:53" s="1" customFormat="1" x14ac:dyDescent="0.25">
      <c r="A1931" s="18">
        <f>IF(COUNTIF($Y$6:Y1931,Y1931)=1,Y1931,Y1931+COUNTIF($Y$5:Y1930,Y1931))</f>
        <v>926</v>
      </c>
      <c r="B1931" s="1">
        <f>IF(AND(Kisero_iv!$N$2=C1931,Kisero_iv!$K$5=$B$3,SUM(I1931:L1935)&lt;&gt;0,$B$4=YEAR(W1931)),B1930+1,0)</f>
        <v>0</v>
      </c>
      <c r="C1931" s="1">
        <f t="shared" si="150"/>
        <v>926</v>
      </c>
      <c r="D1931" s="102" t="str">
        <f t="shared" si="151"/>
        <v/>
      </c>
      <c r="E1931" s="44"/>
      <c r="F1931" s="45"/>
      <c r="G1931" s="45"/>
      <c r="H1931" s="45"/>
      <c r="I1931" s="46"/>
      <c r="J1931" s="111" t="str">
        <f>IF(AND(G1931&lt;&gt;"",ISERROR(VLOOKUP(G1931,Keszlet!$C$5:$H$200,6,FALSE))=FALSE),VLOOKUP(G1931,Keszlet!$C$5:$H$200,6,FALSE),"")</f>
        <v/>
      </c>
      <c r="K1931" s="106" t="str">
        <f>IF(AND(G1931&lt;&gt;"",ISERROR(VLOOKUP(G1931,Keszlet!$C$5:$G$200,5,FALSE))=FALSE),VLOOKUP(G1931,Keszlet!$C$5:$G$200,5,FALSE),"")</f>
        <v/>
      </c>
      <c r="L1931" s="106" t="str">
        <f t="shared" si="152"/>
        <v/>
      </c>
      <c r="M1931" s="115" t="str">
        <f>IF(ISERROR(VLOOKUP(G1931,Keszlet!$C$5:$I$200,7,FALSE))=TRUE,"",IF(AND(J1930&lt;&gt;"",J1932=""),VLOOKUP(G1931,Keszlet!$C$5:$I$200,7,FALSE),""))</f>
        <v/>
      </c>
      <c r="Q1931" s="1">
        <f>VLOOKUP(G1931,Keszlet!$C$5:$E$205,3,FALSE)</f>
        <v>0</v>
      </c>
      <c r="T1931" s="1" t="str">
        <f t="shared" si="153"/>
        <v/>
      </c>
      <c r="U1931" s="1">
        <f t="shared" si="154"/>
        <v>0</v>
      </c>
      <c r="W1931" s="6">
        <f t="shared" si="157"/>
        <v>0</v>
      </c>
      <c r="X1931" s="6">
        <f t="shared" si="149"/>
        <v>0</v>
      </c>
      <c r="Y1931" s="1">
        <f t="shared" si="155"/>
        <v>1</v>
      </c>
      <c r="Z1931" s="1">
        <f>IF(COUNTIF($Y$6:Y1931,Y1931)=1,Y1931,Y1931+COUNTIF($Y$5:Y1930,Y1931))</f>
        <v>926</v>
      </c>
      <c r="AD1931" s="1" t="str">
        <f t="shared" si="156"/>
        <v/>
      </c>
      <c r="BA1931" s="1">
        <f>IF(W1931&lt;=Leltar_iv!$Y$1,I1931,0)</f>
        <v>0</v>
      </c>
    </row>
    <row r="1932" spans="1:53" s="1" customFormat="1" x14ac:dyDescent="0.25">
      <c r="A1932" s="18">
        <f>IF(COUNTIF($Y$6:Y1932,Y1932)=1,Y1932,Y1932+COUNTIF($Y$5:Y1931,Y1932))</f>
        <v>927</v>
      </c>
      <c r="B1932" s="1">
        <f>IF(AND(Kisero_iv!$N$2=C1932,Kisero_iv!$K$5=$B$3,SUM(I1932:L1936)&lt;&gt;0,$B$4=YEAR(W1932)),B1931+1,0)</f>
        <v>0</v>
      </c>
      <c r="C1932" s="1">
        <f t="shared" si="150"/>
        <v>927</v>
      </c>
      <c r="D1932" s="102" t="str">
        <f t="shared" si="151"/>
        <v/>
      </c>
      <c r="E1932" s="44"/>
      <c r="F1932" s="45"/>
      <c r="G1932" s="45"/>
      <c r="H1932" s="45"/>
      <c r="I1932" s="46"/>
      <c r="J1932" s="111" t="str">
        <f>IF(AND(G1932&lt;&gt;"",ISERROR(VLOOKUP(G1932,Keszlet!$C$5:$H$200,6,FALSE))=FALSE),VLOOKUP(G1932,Keszlet!$C$5:$H$200,6,FALSE),"")</f>
        <v/>
      </c>
      <c r="K1932" s="106" t="str">
        <f>IF(AND(G1932&lt;&gt;"",ISERROR(VLOOKUP(G1932,Keszlet!$C$5:$G$200,5,FALSE))=FALSE),VLOOKUP(G1932,Keszlet!$C$5:$G$200,5,FALSE),"")</f>
        <v/>
      </c>
      <c r="L1932" s="106" t="str">
        <f t="shared" si="152"/>
        <v/>
      </c>
      <c r="M1932" s="115" t="str">
        <f>IF(ISERROR(VLOOKUP(G1932,Keszlet!$C$5:$I$200,7,FALSE))=TRUE,"",IF(AND(J1931&lt;&gt;"",J1933=""),VLOOKUP(G1932,Keszlet!$C$5:$I$200,7,FALSE),""))</f>
        <v/>
      </c>
      <c r="Q1932" s="1">
        <f>VLOOKUP(G1932,Keszlet!$C$5:$E$205,3,FALSE)</f>
        <v>0</v>
      </c>
      <c r="T1932" s="1" t="str">
        <f t="shared" si="153"/>
        <v/>
      </c>
      <c r="U1932" s="1">
        <f t="shared" si="154"/>
        <v>0</v>
      </c>
      <c r="W1932" s="6">
        <f t="shared" si="157"/>
        <v>0</v>
      </c>
      <c r="X1932" s="6">
        <f t="shared" si="149"/>
        <v>0</v>
      </c>
      <c r="Y1932" s="1">
        <f t="shared" si="155"/>
        <v>1</v>
      </c>
      <c r="Z1932" s="1">
        <f>IF(COUNTIF($Y$6:Y1932,Y1932)=1,Y1932,Y1932+COUNTIF($Y$5:Y1931,Y1932))</f>
        <v>927</v>
      </c>
      <c r="AD1932" s="1" t="str">
        <f t="shared" si="156"/>
        <v/>
      </c>
      <c r="BA1932" s="1">
        <f>IF(W1932&lt;=Leltar_iv!$Y$1,I1932,0)</f>
        <v>0</v>
      </c>
    </row>
    <row r="1933" spans="1:53" s="1" customFormat="1" x14ac:dyDescent="0.25">
      <c r="A1933" s="18">
        <f>IF(COUNTIF($Y$6:Y1933,Y1933)=1,Y1933,Y1933+COUNTIF($Y$5:Y1932,Y1933))</f>
        <v>928</v>
      </c>
      <c r="B1933" s="1">
        <f>IF(AND(Kisero_iv!$N$2=C1933,Kisero_iv!$K$5=$B$3,SUM(I1933:L1937)&lt;&gt;0,$B$4=YEAR(W1933)),B1932+1,0)</f>
        <v>0</v>
      </c>
      <c r="C1933" s="1">
        <f t="shared" si="150"/>
        <v>928</v>
      </c>
      <c r="D1933" s="102" t="str">
        <f t="shared" si="151"/>
        <v/>
      </c>
      <c r="E1933" s="44"/>
      <c r="F1933" s="45"/>
      <c r="G1933" s="45"/>
      <c r="H1933" s="45"/>
      <c r="I1933" s="46"/>
      <c r="J1933" s="111" t="str">
        <f>IF(AND(G1933&lt;&gt;"",ISERROR(VLOOKUP(G1933,Keszlet!$C$5:$H$200,6,FALSE))=FALSE),VLOOKUP(G1933,Keszlet!$C$5:$H$200,6,FALSE),"")</f>
        <v/>
      </c>
      <c r="K1933" s="106" t="str">
        <f>IF(AND(G1933&lt;&gt;"",ISERROR(VLOOKUP(G1933,Keszlet!$C$5:$G$200,5,FALSE))=FALSE),VLOOKUP(G1933,Keszlet!$C$5:$G$200,5,FALSE),"")</f>
        <v/>
      </c>
      <c r="L1933" s="106" t="str">
        <f t="shared" si="152"/>
        <v/>
      </c>
      <c r="M1933" s="115" t="str">
        <f>IF(ISERROR(VLOOKUP(G1933,Keszlet!$C$5:$I$200,7,FALSE))=TRUE,"",IF(AND(J1932&lt;&gt;"",J1934=""),VLOOKUP(G1933,Keszlet!$C$5:$I$200,7,FALSE),""))</f>
        <v/>
      </c>
      <c r="Q1933" s="1">
        <f>VLOOKUP(G1933,Keszlet!$C$5:$E$205,3,FALSE)</f>
        <v>0</v>
      </c>
      <c r="T1933" s="1" t="str">
        <f t="shared" si="153"/>
        <v/>
      </c>
      <c r="U1933" s="1">
        <f t="shared" si="154"/>
        <v>0</v>
      </c>
      <c r="W1933" s="6">
        <f t="shared" si="157"/>
        <v>0</v>
      </c>
      <c r="X1933" s="6">
        <f t="shared" si="149"/>
        <v>0</v>
      </c>
      <c r="Y1933" s="1">
        <f t="shared" si="155"/>
        <v>1</v>
      </c>
      <c r="Z1933" s="1">
        <f>IF(COUNTIF($Y$6:Y1933,Y1933)=1,Y1933,Y1933+COUNTIF($Y$5:Y1932,Y1933))</f>
        <v>928</v>
      </c>
      <c r="AD1933" s="1" t="str">
        <f t="shared" si="156"/>
        <v/>
      </c>
      <c r="BA1933" s="1">
        <f>IF(W1933&lt;=Leltar_iv!$Y$1,I1933,0)</f>
        <v>0</v>
      </c>
    </row>
    <row r="1934" spans="1:53" s="1" customFormat="1" x14ac:dyDescent="0.25">
      <c r="A1934" s="18">
        <f>IF(COUNTIF($Y$6:Y1934,Y1934)=1,Y1934,Y1934+COUNTIF($Y$5:Y1933,Y1934))</f>
        <v>929</v>
      </c>
      <c r="B1934" s="1">
        <f>IF(AND(Kisero_iv!$N$2=C1934,Kisero_iv!$K$5=$B$3,SUM(I1934:L1938)&lt;&gt;0,$B$4=YEAR(W1934)),B1933+1,0)</f>
        <v>0</v>
      </c>
      <c r="C1934" s="1">
        <f t="shared" si="150"/>
        <v>929</v>
      </c>
      <c r="D1934" s="102" t="str">
        <f t="shared" si="151"/>
        <v/>
      </c>
      <c r="E1934" s="44"/>
      <c r="F1934" s="45"/>
      <c r="G1934" s="45"/>
      <c r="H1934" s="45"/>
      <c r="I1934" s="46"/>
      <c r="J1934" s="111" t="str">
        <f>IF(AND(G1934&lt;&gt;"",ISERROR(VLOOKUP(G1934,Keszlet!$C$5:$H$200,6,FALSE))=FALSE),VLOOKUP(G1934,Keszlet!$C$5:$H$200,6,FALSE),"")</f>
        <v/>
      </c>
      <c r="K1934" s="106" t="str">
        <f>IF(AND(G1934&lt;&gt;"",ISERROR(VLOOKUP(G1934,Keszlet!$C$5:$G$200,5,FALSE))=FALSE),VLOOKUP(G1934,Keszlet!$C$5:$G$200,5,FALSE),"")</f>
        <v/>
      </c>
      <c r="L1934" s="106" t="str">
        <f t="shared" si="152"/>
        <v/>
      </c>
      <c r="M1934" s="115" t="str">
        <f>IF(ISERROR(VLOOKUP(G1934,Keszlet!$C$5:$I$200,7,FALSE))=TRUE,"",IF(AND(J1933&lt;&gt;"",J1935=""),VLOOKUP(G1934,Keszlet!$C$5:$I$200,7,FALSE),""))</f>
        <v/>
      </c>
      <c r="Q1934" s="1">
        <f>VLOOKUP(G1934,Keszlet!$C$5:$E$205,3,FALSE)</f>
        <v>0</v>
      </c>
      <c r="T1934" s="1" t="str">
        <f t="shared" si="153"/>
        <v/>
      </c>
      <c r="U1934" s="1">
        <f t="shared" si="154"/>
        <v>0</v>
      </c>
      <c r="W1934" s="6">
        <f t="shared" si="157"/>
        <v>0</v>
      </c>
      <c r="X1934" s="6">
        <f t="shared" si="149"/>
        <v>0</v>
      </c>
      <c r="Y1934" s="1">
        <f t="shared" si="155"/>
        <v>1</v>
      </c>
      <c r="Z1934" s="1">
        <f>IF(COUNTIF($Y$6:Y1934,Y1934)=1,Y1934,Y1934+COUNTIF($Y$5:Y1933,Y1934))</f>
        <v>929</v>
      </c>
      <c r="AD1934" s="1" t="str">
        <f t="shared" si="156"/>
        <v/>
      </c>
      <c r="BA1934" s="1">
        <f>IF(W1934&lt;=Leltar_iv!$Y$1,I1934,0)</f>
        <v>0</v>
      </c>
    </row>
    <row r="1935" spans="1:53" s="1" customFormat="1" x14ac:dyDescent="0.25">
      <c r="A1935" s="18">
        <f>IF(COUNTIF($Y$6:Y1935,Y1935)=1,Y1935,Y1935+COUNTIF($Y$5:Y1934,Y1935))</f>
        <v>930</v>
      </c>
      <c r="B1935" s="1">
        <f>IF(AND(Kisero_iv!$N$2=C1935,Kisero_iv!$K$5=$B$3,SUM(I1935:L1939)&lt;&gt;0,$B$4=YEAR(W1935)),B1934+1,0)</f>
        <v>0</v>
      </c>
      <c r="C1935" s="1">
        <f t="shared" si="150"/>
        <v>930</v>
      </c>
      <c r="D1935" s="102" t="str">
        <f t="shared" si="151"/>
        <v/>
      </c>
      <c r="E1935" s="44"/>
      <c r="F1935" s="45"/>
      <c r="G1935" s="45"/>
      <c r="H1935" s="45"/>
      <c r="I1935" s="46"/>
      <c r="J1935" s="111" t="str">
        <f>IF(AND(G1935&lt;&gt;"",ISERROR(VLOOKUP(G1935,Keszlet!$C$5:$H$200,6,FALSE))=FALSE),VLOOKUP(G1935,Keszlet!$C$5:$H$200,6,FALSE),"")</f>
        <v/>
      </c>
      <c r="K1935" s="106" t="str">
        <f>IF(AND(G1935&lt;&gt;"",ISERROR(VLOOKUP(G1935,Keszlet!$C$5:$G$200,5,FALSE))=FALSE),VLOOKUP(G1935,Keszlet!$C$5:$G$200,5,FALSE),"")</f>
        <v/>
      </c>
      <c r="L1935" s="106" t="str">
        <f t="shared" si="152"/>
        <v/>
      </c>
      <c r="M1935" s="115" t="str">
        <f>IF(ISERROR(VLOOKUP(G1935,Keszlet!$C$5:$I$200,7,FALSE))=TRUE,"",IF(AND(J1934&lt;&gt;"",J1936=""),VLOOKUP(G1935,Keszlet!$C$5:$I$200,7,FALSE),""))</f>
        <v/>
      </c>
      <c r="Q1935" s="1">
        <f>VLOOKUP(G1935,Keszlet!$C$5:$E$205,3,FALSE)</f>
        <v>0</v>
      </c>
      <c r="T1935" s="1" t="str">
        <f t="shared" si="153"/>
        <v/>
      </c>
      <c r="U1935" s="1">
        <f t="shared" si="154"/>
        <v>0</v>
      </c>
      <c r="W1935" s="6">
        <f t="shared" si="157"/>
        <v>0</v>
      </c>
      <c r="X1935" s="6">
        <f t="shared" si="149"/>
        <v>0</v>
      </c>
      <c r="Y1935" s="1">
        <f t="shared" si="155"/>
        <v>1</v>
      </c>
      <c r="Z1935" s="1">
        <f>IF(COUNTIF($Y$6:Y1935,Y1935)=1,Y1935,Y1935+COUNTIF($Y$5:Y1934,Y1935))</f>
        <v>930</v>
      </c>
      <c r="AD1935" s="1" t="str">
        <f t="shared" si="156"/>
        <v/>
      </c>
      <c r="BA1935" s="1">
        <f>IF(W1935&lt;=Leltar_iv!$Y$1,I1935,0)</f>
        <v>0</v>
      </c>
    </row>
    <row r="1936" spans="1:53" s="1" customFormat="1" x14ac:dyDescent="0.25">
      <c r="A1936" s="18">
        <f>IF(COUNTIF($Y$6:Y1936,Y1936)=1,Y1936,Y1936+COUNTIF($Y$5:Y1935,Y1936))</f>
        <v>931</v>
      </c>
      <c r="B1936" s="1">
        <f>IF(AND(Kisero_iv!$N$2=C1936,Kisero_iv!$K$5=$B$3,SUM(I1936:L1940)&lt;&gt;0,$B$4=YEAR(W1936)),B1935+1,0)</f>
        <v>0</v>
      </c>
      <c r="C1936" s="1">
        <f t="shared" si="150"/>
        <v>931</v>
      </c>
      <c r="D1936" s="102" t="str">
        <f t="shared" si="151"/>
        <v/>
      </c>
      <c r="E1936" s="44"/>
      <c r="F1936" s="45"/>
      <c r="G1936" s="45"/>
      <c r="H1936" s="45"/>
      <c r="I1936" s="46"/>
      <c r="J1936" s="111" t="str">
        <f>IF(AND(G1936&lt;&gt;"",ISERROR(VLOOKUP(G1936,Keszlet!$C$5:$H$200,6,FALSE))=FALSE),VLOOKUP(G1936,Keszlet!$C$5:$H$200,6,FALSE),"")</f>
        <v/>
      </c>
      <c r="K1936" s="106" t="str">
        <f>IF(AND(G1936&lt;&gt;"",ISERROR(VLOOKUP(G1936,Keszlet!$C$5:$G$200,5,FALSE))=FALSE),VLOOKUP(G1936,Keszlet!$C$5:$G$200,5,FALSE),"")</f>
        <v/>
      </c>
      <c r="L1936" s="106" t="str">
        <f t="shared" si="152"/>
        <v/>
      </c>
      <c r="M1936" s="115" t="str">
        <f>IF(ISERROR(VLOOKUP(G1936,Keszlet!$C$5:$I$200,7,FALSE))=TRUE,"",IF(AND(J1935&lt;&gt;"",J1937=""),VLOOKUP(G1936,Keszlet!$C$5:$I$200,7,FALSE),""))</f>
        <v/>
      </c>
      <c r="Q1936" s="1">
        <f>VLOOKUP(G1936,Keszlet!$C$5:$E$205,3,FALSE)</f>
        <v>0</v>
      </c>
      <c r="T1936" s="1" t="str">
        <f t="shared" si="153"/>
        <v/>
      </c>
      <c r="U1936" s="1">
        <f t="shared" si="154"/>
        <v>0</v>
      </c>
      <c r="W1936" s="6">
        <f t="shared" si="157"/>
        <v>0</v>
      </c>
      <c r="X1936" s="6">
        <f t="shared" si="149"/>
        <v>0</v>
      </c>
      <c r="Y1936" s="1">
        <f t="shared" si="155"/>
        <v>1</v>
      </c>
      <c r="Z1936" s="1">
        <f>IF(COUNTIF($Y$6:Y1936,Y1936)=1,Y1936,Y1936+COUNTIF($Y$5:Y1935,Y1936))</f>
        <v>931</v>
      </c>
      <c r="AD1936" s="1" t="str">
        <f t="shared" si="156"/>
        <v/>
      </c>
      <c r="BA1936" s="1">
        <f>IF(W1936&lt;=Leltar_iv!$Y$1,I1936,0)</f>
        <v>0</v>
      </c>
    </row>
    <row r="1937" spans="1:53" s="1" customFormat="1" x14ac:dyDescent="0.25">
      <c r="A1937" s="18">
        <f>IF(COUNTIF($Y$6:Y1937,Y1937)=1,Y1937,Y1937+COUNTIF($Y$5:Y1936,Y1937))</f>
        <v>932</v>
      </c>
      <c r="B1937" s="1">
        <f>IF(AND(Kisero_iv!$N$2=C1937,Kisero_iv!$K$5=$B$3,SUM(I1937:L1941)&lt;&gt;0,$B$4=YEAR(W1937)),B1936+1,0)</f>
        <v>0</v>
      </c>
      <c r="C1937" s="1">
        <f t="shared" si="150"/>
        <v>932</v>
      </c>
      <c r="D1937" s="102" t="str">
        <f t="shared" si="151"/>
        <v/>
      </c>
      <c r="E1937" s="44"/>
      <c r="F1937" s="45"/>
      <c r="G1937" s="45"/>
      <c r="H1937" s="45"/>
      <c r="I1937" s="46"/>
      <c r="J1937" s="111" t="str">
        <f>IF(AND(G1937&lt;&gt;"",ISERROR(VLOOKUP(G1937,Keszlet!$C$5:$H$200,6,FALSE))=FALSE),VLOOKUP(G1937,Keszlet!$C$5:$H$200,6,FALSE),"")</f>
        <v/>
      </c>
      <c r="K1937" s="106" t="str">
        <f>IF(AND(G1937&lt;&gt;"",ISERROR(VLOOKUP(G1937,Keszlet!$C$5:$G$200,5,FALSE))=FALSE),VLOOKUP(G1937,Keszlet!$C$5:$G$200,5,FALSE),"")</f>
        <v/>
      </c>
      <c r="L1937" s="106" t="str">
        <f t="shared" si="152"/>
        <v/>
      </c>
      <c r="M1937" s="115" t="str">
        <f>IF(ISERROR(VLOOKUP(G1937,Keszlet!$C$5:$I$200,7,FALSE))=TRUE,"",IF(AND(J1936&lt;&gt;"",J1938=""),VLOOKUP(G1937,Keszlet!$C$5:$I$200,7,FALSE),""))</f>
        <v/>
      </c>
      <c r="Q1937" s="1">
        <f>VLOOKUP(G1937,Keszlet!$C$5:$E$205,3,FALSE)</f>
        <v>0</v>
      </c>
      <c r="T1937" s="1" t="str">
        <f t="shared" si="153"/>
        <v/>
      </c>
      <c r="U1937" s="1">
        <f t="shared" si="154"/>
        <v>0</v>
      </c>
      <c r="W1937" s="6">
        <f t="shared" si="157"/>
        <v>0</v>
      </c>
      <c r="X1937" s="6">
        <f t="shared" si="149"/>
        <v>0</v>
      </c>
      <c r="Y1937" s="1">
        <f t="shared" si="155"/>
        <v>1</v>
      </c>
      <c r="Z1937" s="1">
        <f>IF(COUNTIF($Y$6:Y1937,Y1937)=1,Y1937,Y1937+COUNTIF($Y$5:Y1936,Y1937))</f>
        <v>932</v>
      </c>
      <c r="AD1937" s="1" t="str">
        <f t="shared" si="156"/>
        <v/>
      </c>
      <c r="BA1937" s="1">
        <f>IF(W1937&lt;=Leltar_iv!$Y$1,I1937,0)</f>
        <v>0</v>
      </c>
    </row>
    <row r="1938" spans="1:53" s="1" customFormat="1" x14ac:dyDescent="0.25">
      <c r="A1938" s="18">
        <f>IF(COUNTIF($Y$6:Y1938,Y1938)=1,Y1938,Y1938+COUNTIF($Y$5:Y1937,Y1938))</f>
        <v>933</v>
      </c>
      <c r="B1938" s="1">
        <f>IF(AND(Kisero_iv!$N$2=C1938,Kisero_iv!$K$5=$B$3,SUM(I1938:L1942)&lt;&gt;0,$B$4=YEAR(W1938)),B1937+1,0)</f>
        <v>0</v>
      </c>
      <c r="C1938" s="1">
        <f t="shared" si="150"/>
        <v>933</v>
      </c>
      <c r="D1938" s="102" t="str">
        <f t="shared" si="151"/>
        <v/>
      </c>
      <c r="E1938" s="44"/>
      <c r="F1938" s="45"/>
      <c r="G1938" s="45"/>
      <c r="H1938" s="45"/>
      <c r="I1938" s="46"/>
      <c r="J1938" s="111" t="str">
        <f>IF(AND(G1938&lt;&gt;"",ISERROR(VLOOKUP(G1938,Keszlet!$C$5:$H$200,6,FALSE))=FALSE),VLOOKUP(G1938,Keszlet!$C$5:$H$200,6,FALSE),"")</f>
        <v/>
      </c>
      <c r="K1938" s="106" t="str">
        <f>IF(AND(G1938&lt;&gt;"",ISERROR(VLOOKUP(G1938,Keszlet!$C$5:$G$200,5,FALSE))=FALSE),VLOOKUP(G1938,Keszlet!$C$5:$G$200,5,FALSE),"")</f>
        <v/>
      </c>
      <c r="L1938" s="106" t="str">
        <f t="shared" si="152"/>
        <v/>
      </c>
      <c r="M1938" s="115" t="str">
        <f>IF(ISERROR(VLOOKUP(G1938,Keszlet!$C$5:$I$200,7,FALSE))=TRUE,"",IF(AND(J1937&lt;&gt;"",J1939=""),VLOOKUP(G1938,Keszlet!$C$5:$I$200,7,FALSE),""))</f>
        <v/>
      </c>
      <c r="Q1938" s="1">
        <f>VLOOKUP(G1938,Keszlet!$C$5:$E$205,3,FALSE)</f>
        <v>0</v>
      </c>
      <c r="T1938" s="1" t="str">
        <f t="shared" si="153"/>
        <v/>
      </c>
      <c r="U1938" s="1">
        <f t="shared" si="154"/>
        <v>0</v>
      </c>
      <c r="W1938" s="6">
        <f t="shared" si="157"/>
        <v>0</v>
      </c>
      <c r="X1938" s="6">
        <f t="shared" si="149"/>
        <v>0</v>
      </c>
      <c r="Y1938" s="1">
        <f t="shared" si="155"/>
        <v>1</v>
      </c>
      <c r="Z1938" s="1">
        <f>IF(COUNTIF($Y$6:Y1938,Y1938)=1,Y1938,Y1938+COUNTIF($Y$5:Y1937,Y1938))</f>
        <v>933</v>
      </c>
      <c r="AD1938" s="1" t="str">
        <f t="shared" si="156"/>
        <v/>
      </c>
      <c r="BA1938" s="1">
        <f>IF(W1938&lt;=Leltar_iv!$Y$1,I1938,0)</f>
        <v>0</v>
      </c>
    </row>
    <row r="1939" spans="1:53" s="1" customFormat="1" x14ac:dyDescent="0.25">
      <c r="A1939" s="18">
        <f>IF(COUNTIF($Y$6:Y1939,Y1939)=1,Y1939,Y1939+COUNTIF($Y$5:Y1938,Y1939))</f>
        <v>934</v>
      </c>
      <c r="B1939" s="1">
        <f>IF(AND(Kisero_iv!$N$2=C1939,Kisero_iv!$K$5=$B$3,SUM(I1939:L1943)&lt;&gt;0,$B$4=YEAR(W1939)),B1938+1,0)</f>
        <v>0</v>
      </c>
      <c r="C1939" s="1">
        <f t="shared" si="150"/>
        <v>934</v>
      </c>
      <c r="D1939" s="102" t="str">
        <f t="shared" si="151"/>
        <v/>
      </c>
      <c r="E1939" s="44"/>
      <c r="F1939" s="45"/>
      <c r="G1939" s="45"/>
      <c r="H1939" s="45"/>
      <c r="I1939" s="46"/>
      <c r="J1939" s="111" t="str">
        <f>IF(AND(G1939&lt;&gt;"",ISERROR(VLOOKUP(G1939,Keszlet!$C$5:$H$200,6,FALSE))=FALSE),VLOOKUP(G1939,Keszlet!$C$5:$H$200,6,FALSE),"")</f>
        <v/>
      </c>
      <c r="K1939" s="106" t="str">
        <f>IF(AND(G1939&lt;&gt;"",ISERROR(VLOOKUP(G1939,Keszlet!$C$5:$G$200,5,FALSE))=FALSE),VLOOKUP(G1939,Keszlet!$C$5:$G$200,5,FALSE),"")</f>
        <v/>
      </c>
      <c r="L1939" s="106" t="str">
        <f t="shared" si="152"/>
        <v/>
      </c>
      <c r="M1939" s="115" t="str">
        <f>IF(ISERROR(VLOOKUP(G1939,Keszlet!$C$5:$I$200,7,FALSE))=TRUE,"",IF(AND(J1938&lt;&gt;"",J1940=""),VLOOKUP(G1939,Keszlet!$C$5:$I$200,7,FALSE),""))</f>
        <v/>
      </c>
      <c r="Q1939" s="1">
        <f>VLOOKUP(G1939,Keszlet!$C$5:$E$205,3,FALSE)</f>
        <v>0</v>
      </c>
      <c r="T1939" s="1" t="str">
        <f t="shared" si="153"/>
        <v/>
      </c>
      <c r="U1939" s="1">
        <f t="shared" si="154"/>
        <v>0</v>
      </c>
      <c r="W1939" s="6">
        <f t="shared" si="157"/>
        <v>0</v>
      </c>
      <c r="X1939" s="6">
        <f t="shared" si="149"/>
        <v>0</v>
      </c>
      <c r="Y1939" s="1">
        <f t="shared" si="155"/>
        <v>1</v>
      </c>
      <c r="Z1939" s="1">
        <f>IF(COUNTIF($Y$6:Y1939,Y1939)=1,Y1939,Y1939+COUNTIF($Y$5:Y1938,Y1939))</f>
        <v>934</v>
      </c>
      <c r="AD1939" s="1" t="str">
        <f t="shared" si="156"/>
        <v/>
      </c>
      <c r="BA1939" s="1">
        <f>IF(W1939&lt;=Leltar_iv!$Y$1,I1939,0)</f>
        <v>0</v>
      </c>
    </row>
    <row r="1940" spans="1:53" s="1" customFormat="1" x14ac:dyDescent="0.25">
      <c r="A1940" s="18">
        <f>IF(COUNTIF($Y$6:Y1940,Y1940)=1,Y1940,Y1940+COUNTIF($Y$5:Y1939,Y1940))</f>
        <v>935</v>
      </c>
      <c r="B1940" s="1">
        <f>IF(AND(Kisero_iv!$N$2=C1940,Kisero_iv!$K$5=$B$3,SUM(I1940:L1944)&lt;&gt;0,$B$4=YEAR(W1940)),B1939+1,0)</f>
        <v>0</v>
      </c>
      <c r="C1940" s="1">
        <f t="shared" si="150"/>
        <v>935</v>
      </c>
      <c r="D1940" s="102" t="str">
        <f t="shared" si="151"/>
        <v/>
      </c>
      <c r="E1940" s="44"/>
      <c r="F1940" s="45"/>
      <c r="G1940" s="45"/>
      <c r="H1940" s="45"/>
      <c r="I1940" s="46"/>
      <c r="J1940" s="111" t="str">
        <f>IF(AND(G1940&lt;&gt;"",ISERROR(VLOOKUP(G1940,Keszlet!$C$5:$H$200,6,FALSE))=FALSE),VLOOKUP(G1940,Keszlet!$C$5:$H$200,6,FALSE),"")</f>
        <v/>
      </c>
      <c r="K1940" s="106" t="str">
        <f>IF(AND(G1940&lt;&gt;"",ISERROR(VLOOKUP(G1940,Keszlet!$C$5:$G$200,5,FALSE))=FALSE),VLOOKUP(G1940,Keszlet!$C$5:$G$200,5,FALSE),"")</f>
        <v/>
      </c>
      <c r="L1940" s="106" t="str">
        <f t="shared" si="152"/>
        <v/>
      </c>
      <c r="M1940" s="115" t="str">
        <f>IF(ISERROR(VLOOKUP(G1940,Keszlet!$C$5:$I$200,7,FALSE))=TRUE,"",IF(AND(J1939&lt;&gt;"",J1941=""),VLOOKUP(G1940,Keszlet!$C$5:$I$200,7,FALSE),""))</f>
        <v/>
      </c>
      <c r="Q1940" s="1">
        <f>VLOOKUP(G1940,Keszlet!$C$5:$E$205,3,FALSE)</f>
        <v>0</v>
      </c>
      <c r="T1940" s="1" t="str">
        <f t="shared" si="153"/>
        <v/>
      </c>
      <c r="U1940" s="1">
        <f t="shared" si="154"/>
        <v>0</v>
      </c>
      <c r="W1940" s="6">
        <f t="shared" si="157"/>
        <v>0</v>
      </c>
      <c r="X1940" s="6">
        <f t="shared" si="149"/>
        <v>0</v>
      </c>
      <c r="Y1940" s="1">
        <f t="shared" si="155"/>
        <v>1</v>
      </c>
      <c r="Z1940" s="1">
        <f>IF(COUNTIF($Y$6:Y1940,Y1940)=1,Y1940,Y1940+COUNTIF($Y$5:Y1939,Y1940))</f>
        <v>935</v>
      </c>
      <c r="AD1940" s="1" t="str">
        <f t="shared" si="156"/>
        <v/>
      </c>
      <c r="BA1940" s="1">
        <f>IF(W1940&lt;=Leltar_iv!$Y$1,I1940,0)</f>
        <v>0</v>
      </c>
    </row>
    <row r="1941" spans="1:53" s="1" customFormat="1" x14ac:dyDescent="0.25">
      <c r="A1941" s="18">
        <f>IF(COUNTIF($Y$6:Y1941,Y1941)=1,Y1941,Y1941+COUNTIF($Y$5:Y1940,Y1941))</f>
        <v>936</v>
      </c>
      <c r="B1941" s="1">
        <f>IF(AND(Kisero_iv!$N$2=C1941,Kisero_iv!$K$5=$B$3,SUM(I1941:L1945)&lt;&gt;0,$B$4=YEAR(W1941)),B1940+1,0)</f>
        <v>0</v>
      </c>
      <c r="C1941" s="1">
        <f t="shared" si="150"/>
        <v>936</v>
      </c>
      <c r="D1941" s="102" t="str">
        <f t="shared" si="151"/>
        <v/>
      </c>
      <c r="E1941" s="44"/>
      <c r="F1941" s="45"/>
      <c r="G1941" s="45"/>
      <c r="H1941" s="45"/>
      <c r="I1941" s="46"/>
      <c r="J1941" s="111" t="str">
        <f>IF(AND(G1941&lt;&gt;"",ISERROR(VLOOKUP(G1941,Keszlet!$C$5:$H$200,6,FALSE))=FALSE),VLOOKUP(G1941,Keszlet!$C$5:$H$200,6,FALSE),"")</f>
        <v/>
      </c>
      <c r="K1941" s="106" t="str">
        <f>IF(AND(G1941&lt;&gt;"",ISERROR(VLOOKUP(G1941,Keszlet!$C$5:$G$200,5,FALSE))=FALSE),VLOOKUP(G1941,Keszlet!$C$5:$G$200,5,FALSE),"")</f>
        <v/>
      </c>
      <c r="L1941" s="106" t="str">
        <f t="shared" si="152"/>
        <v/>
      </c>
      <c r="M1941" s="115" t="str">
        <f>IF(ISERROR(VLOOKUP(G1941,Keszlet!$C$5:$I$200,7,FALSE))=TRUE,"",IF(AND(J1940&lt;&gt;"",J1942=""),VLOOKUP(G1941,Keszlet!$C$5:$I$200,7,FALSE),""))</f>
        <v/>
      </c>
      <c r="Q1941" s="1">
        <f>VLOOKUP(G1941,Keszlet!$C$5:$E$205,3,FALSE)</f>
        <v>0</v>
      </c>
      <c r="T1941" s="1" t="str">
        <f t="shared" si="153"/>
        <v/>
      </c>
      <c r="U1941" s="1">
        <f t="shared" si="154"/>
        <v>0</v>
      </c>
      <c r="W1941" s="6">
        <f t="shared" si="157"/>
        <v>0</v>
      </c>
      <c r="X1941" s="6">
        <f t="shared" si="149"/>
        <v>0</v>
      </c>
      <c r="Y1941" s="1">
        <f t="shared" si="155"/>
        <v>1</v>
      </c>
      <c r="Z1941" s="1">
        <f>IF(COUNTIF($Y$6:Y1941,Y1941)=1,Y1941,Y1941+COUNTIF($Y$5:Y1940,Y1941))</f>
        <v>936</v>
      </c>
      <c r="AD1941" s="1" t="str">
        <f t="shared" si="156"/>
        <v/>
      </c>
      <c r="BA1941" s="1">
        <f>IF(W1941&lt;=Leltar_iv!$Y$1,I1941,0)</f>
        <v>0</v>
      </c>
    </row>
    <row r="1942" spans="1:53" s="1" customFormat="1" x14ac:dyDescent="0.25">
      <c r="A1942" s="18">
        <f>IF(COUNTIF($Y$6:Y1942,Y1942)=1,Y1942,Y1942+COUNTIF($Y$5:Y1941,Y1942))</f>
        <v>937</v>
      </c>
      <c r="B1942" s="1">
        <f>IF(AND(Kisero_iv!$N$2=C1942,Kisero_iv!$K$5=$B$3,SUM(I1942:L1946)&lt;&gt;0,$B$4=YEAR(W1942)),B1941+1,0)</f>
        <v>0</v>
      </c>
      <c r="C1942" s="1">
        <f t="shared" si="150"/>
        <v>937</v>
      </c>
      <c r="D1942" s="102" t="str">
        <f t="shared" si="151"/>
        <v/>
      </c>
      <c r="E1942" s="44"/>
      <c r="F1942" s="45"/>
      <c r="G1942" s="45"/>
      <c r="H1942" s="45"/>
      <c r="I1942" s="46"/>
      <c r="J1942" s="111" t="str">
        <f>IF(AND(G1942&lt;&gt;"",ISERROR(VLOOKUP(G1942,Keszlet!$C$5:$H$200,6,FALSE))=FALSE),VLOOKUP(G1942,Keszlet!$C$5:$H$200,6,FALSE),"")</f>
        <v/>
      </c>
      <c r="K1942" s="106" t="str">
        <f>IF(AND(G1942&lt;&gt;"",ISERROR(VLOOKUP(G1942,Keszlet!$C$5:$G$200,5,FALSE))=FALSE),VLOOKUP(G1942,Keszlet!$C$5:$G$200,5,FALSE),"")</f>
        <v/>
      </c>
      <c r="L1942" s="106" t="str">
        <f t="shared" si="152"/>
        <v/>
      </c>
      <c r="M1942" s="115" t="str">
        <f>IF(ISERROR(VLOOKUP(G1942,Keszlet!$C$5:$I$200,7,FALSE))=TRUE,"",IF(AND(J1941&lt;&gt;"",J1943=""),VLOOKUP(G1942,Keszlet!$C$5:$I$200,7,FALSE),""))</f>
        <v/>
      </c>
      <c r="Q1942" s="1">
        <f>VLOOKUP(G1942,Keszlet!$C$5:$E$205,3,FALSE)</f>
        <v>0</v>
      </c>
      <c r="T1942" s="1" t="str">
        <f t="shared" si="153"/>
        <v/>
      </c>
      <c r="U1942" s="1">
        <f t="shared" si="154"/>
        <v>0</v>
      </c>
      <c r="W1942" s="6">
        <f t="shared" si="157"/>
        <v>0</v>
      </c>
      <c r="X1942" s="6">
        <f t="shared" si="149"/>
        <v>0</v>
      </c>
      <c r="Y1942" s="1">
        <f t="shared" si="155"/>
        <v>1</v>
      </c>
      <c r="Z1942" s="1">
        <f>IF(COUNTIF($Y$6:Y1942,Y1942)=1,Y1942,Y1942+COUNTIF($Y$5:Y1941,Y1942))</f>
        <v>937</v>
      </c>
      <c r="AD1942" s="1" t="str">
        <f t="shared" si="156"/>
        <v/>
      </c>
      <c r="BA1942" s="1">
        <f>IF(W1942&lt;=Leltar_iv!$Y$1,I1942,0)</f>
        <v>0</v>
      </c>
    </row>
    <row r="1943" spans="1:53" s="1" customFormat="1" x14ac:dyDescent="0.25">
      <c r="A1943" s="18">
        <f>IF(COUNTIF($Y$6:Y1943,Y1943)=1,Y1943,Y1943+COUNTIF($Y$5:Y1942,Y1943))</f>
        <v>938</v>
      </c>
      <c r="B1943" s="1">
        <f>IF(AND(Kisero_iv!$N$2=C1943,Kisero_iv!$K$5=$B$3,SUM(I1943:L1947)&lt;&gt;0,$B$4=YEAR(W1943)),B1942+1,0)</f>
        <v>0</v>
      </c>
      <c r="C1943" s="1">
        <f t="shared" si="150"/>
        <v>938</v>
      </c>
      <c r="D1943" s="102" t="str">
        <f t="shared" si="151"/>
        <v/>
      </c>
      <c r="E1943" s="44"/>
      <c r="F1943" s="45"/>
      <c r="G1943" s="45"/>
      <c r="H1943" s="45"/>
      <c r="I1943" s="46"/>
      <c r="J1943" s="111" t="str">
        <f>IF(AND(G1943&lt;&gt;"",ISERROR(VLOOKUP(G1943,Keszlet!$C$5:$H$200,6,FALSE))=FALSE),VLOOKUP(G1943,Keszlet!$C$5:$H$200,6,FALSE),"")</f>
        <v/>
      </c>
      <c r="K1943" s="106" t="str">
        <f>IF(AND(G1943&lt;&gt;"",ISERROR(VLOOKUP(G1943,Keszlet!$C$5:$G$200,5,FALSE))=FALSE),VLOOKUP(G1943,Keszlet!$C$5:$G$200,5,FALSE),"")</f>
        <v/>
      </c>
      <c r="L1943" s="106" t="str">
        <f t="shared" si="152"/>
        <v/>
      </c>
      <c r="M1943" s="115" t="str">
        <f>IF(ISERROR(VLOOKUP(G1943,Keszlet!$C$5:$I$200,7,FALSE))=TRUE,"",IF(AND(J1942&lt;&gt;"",J1944=""),VLOOKUP(G1943,Keszlet!$C$5:$I$200,7,FALSE),""))</f>
        <v/>
      </c>
      <c r="Q1943" s="1">
        <f>VLOOKUP(G1943,Keszlet!$C$5:$E$205,3,FALSE)</f>
        <v>0</v>
      </c>
      <c r="T1943" s="1" t="str">
        <f t="shared" si="153"/>
        <v/>
      </c>
      <c r="U1943" s="1">
        <f t="shared" si="154"/>
        <v>0</v>
      </c>
      <c r="W1943" s="6">
        <f t="shared" si="157"/>
        <v>0</v>
      </c>
      <c r="X1943" s="6">
        <f t="shared" si="149"/>
        <v>0</v>
      </c>
      <c r="Y1943" s="1">
        <f t="shared" si="155"/>
        <v>1</v>
      </c>
      <c r="Z1943" s="1">
        <f>IF(COUNTIF($Y$6:Y1943,Y1943)=1,Y1943,Y1943+COUNTIF($Y$5:Y1942,Y1943))</f>
        <v>938</v>
      </c>
      <c r="AD1943" s="1" t="str">
        <f t="shared" si="156"/>
        <v/>
      </c>
      <c r="BA1943" s="1">
        <f>IF(W1943&lt;=Leltar_iv!$Y$1,I1943,0)</f>
        <v>0</v>
      </c>
    </row>
    <row r="1944" spans="1:53" s="1" customFormat="1" x14ac:dyDescent="0.25">
      <c r="A1944" s="18">
        <f>IF(COUNTIF($Y$6:Y1944,Y1944)=1,Y1944,Y1944+COUNTIF($Y$5:Y1943,Y1944))</f>
        <v>939</v>
      </c>
      <c r="B1944" s="1">
        <f>IF(AND(Kisero_iv!$N$2=C1944,Kisero_iv!$K$5=$B$3,SUM(I1944:L1948)&lt;&gt;0,$B$4=YEAR(W1944)),B1943+1,0)</f>
        <v>0</v>
      </c>
      <c r="C1944" s="1">
        <f t="shared" si="150"/>
        <v>939</v>
      </c>
      <c r="D1944" s="102" t="str">
        <f t="shared" si="151"/>
        <v/>
      </c>
      <c r="E1944" s="44"/>
      <c r="F1944" s="45"/>
      <c r="G1944" s="45"/>
      <c r="H1944" s="45"/>
      <c r="I1944" s="46"/>
      <c r="J1944" s="111" t="str">
        <f>IF(AND(G1944&lt;&gt;"",ISERROR(VLOOKUP(G1944,Keszlet!$C$5:$H$200,6,FALSE))=FALSE),VLOOKUP(G1944,Keszlet!$C$5:$H$200,6,FALSE),"")</f>
        <v/>
      </c>
      <c r="K1944" s="106" t="str">
        <f>IF(AND(G1944&lt;&gt;"",ISERROR(VLOOKUP(G1944,Keszlet!$C$5:$G$200,5,FALSE))=FALSE),VLOOKUP(G1944,Keszlet!$C$5:$G$200,5,FALSE),"")</f>
        <v/>
      </c>
      <c r="L1944" s="106" t="str">
        <f t="shared" si="152"/>
        <v/>
      </c>
      <c r="M1944" s="115" t="str">
        <f>IF(ISERROR(VLOOKUP(G1944,Keszlet!$C$5:$I$200,7,FALSE))=TRUE,"",IF(AND(J1943&lt;&gt;"",J1945=""),VLOOKUP(G1944,Keszlet!$C$5:$I$200,7,FALSE),""))</f>
        <v/>
      </c>
      <c r="Q1944" s="1">
        <f>VLOOKUP(G1944,Keszlet!$C$5:$E$205,3,FALSE)</f>
        <v>0</v>
      </c>
      <c r="T1944" s="1" t="str">
        <f t="shared" si="153"/>
        <v/>
      </c>
      <c r="U1944" s="1">
        <f t="shared" si="154"/>
        <v>0</v>
      </c>
      <c r="W1944" s="6">
        <f t="shared" si="157"/>
        <v>0</v>
      </c>
      <c r="X1944" s="6">
        <f t="shared" si="149"/>
        <v>0</v>
      </c>
      <c r="Y1944" s="1">
        <f t="shared" si="155"/>
        <v>1</v>
      </c>
      <c r="Z1944" s="1">
        <f>IF(COUNTIF($Y$6:Y1944,Y1944)=1,Y1944,Y1944+COUNTIF($Y$5:Y1943,Y1944))</f>
        <v>939</v>
      </c>
      <c r="AD1944" s="1" t="str">
        <f t="shared" si="156"/>
        <v/>
      </c>
      <c r="BA1944" s="1">
        <f>IF(W1944&lt;=Leltar_iv!$Y$1,I1944,0)</f>
        <v>0</v>
      </c>
    </row>
    <row r="1945" spans="1:53" s="1" customFormat="1" x14ac:dyDescent="0.25">
      <c r="A1945" s="18">
        <f>IF(COUNTIF($Y$6:Y1945,Y1945)=1,Y1945,Y1945+COUNTIF($Y$5:Y1944,Y1945))</f>
        <v>940</v>
      </c>
      <c r="B1945" s="1">
        <f>IF(AND(Kisero_iv!$N$2=C1945,Kisero_iv!$K$5=$B$3,SUM(I1945:L1949)&lt;&gt;0,$B$4=YEAR(W1945)),B1944+1,0)</f>
        <v>0</v>
      </c>
      <c r="C1945" s="1">
        <f t="shared" si="150"/>
        <v>940</v>
      </c>
      <c r="D1945" s="102" t="str">
        <f t="shared" si="151"/>
        <v/>
      </c>
      <c r="E1945" s="44"/>
      <c r="F1945" s="45"/>
      <c r="G1945" s="45"/>
      <c r="H1945" s="45"/>
      <c r="I1945" s="46"/>
      <c r="J1945" s="111" t="str">
        <f>IF(AND(G1945&lt;&gt;"",ISERROR(VLOOKUP(G1945,Keszlet!$C$5:$H$200,6,FALSE))=FALSE),VLOOKUP(G1945,Keszlet!$C$5:$H$200,6,FALSE),"")</f>
        <v/>
      </c>
      <c r="K1945" s="106" t="str">
        <f>IF(AND(G1945&lt;&gt;"",ISERROR(VLOOKUP(G1945,Keszlet!$C$5:$G$200,5,FALSE))=FALSE),VLOOKUP(G1945,Keszlet!$C$5:$G$200,5,FALSE),"")</f>
        <v/>
      </c>
      <c r="L1945" s="106" t="str">
        <f t="shared" si="152"/>
        <v/>
      </c>
      <c r="M1945" s="115" t="str">
        <f>IF(ISERROR(VLOOKUP(G1945,Keszlet!$C$5:$I$200,7,FALSE))=TRUE,"",IF(AND(J1944&lt;&gt;"",J1946=""),VLOOKUP(G1945,Keszlet!$C$5:$I$200,7,FALSE),""))</f>
        <v/>
      </c>
      <c r="Q1945" s="1">
        <f>VLOOKUP(G1945,Keszlet!$C$5:$E$205,3,FALSE)</f>
        <v>0</v>
      </c>
      <c r="T1945" s="1" t="str">
        <f t="shared" si="153"/>
        <v/>
      </c>
      <c r="U1945" s="1">
        <f t="shared" si="154"/>
        <v>0</v>
      </c>
      <c r="W1945" s="6">
        <f t="shared" si="157"/>
        <v>0</v>
      </c>
      <c r="X1945" s="6">
        <f t="shared" si="149"/>
        <v>0</v>
      </c>
      <c r="Y1945" s="1">
        <f t="shared" si="155"/>
        <v>1</v>
      </c>
      <c r="Z1945" s="1">
        <f>IF(COUNTIF($Y$6:Y1945,Y1945)=1,Y1945,Y1945+COUNTIF($Y$5:Y1944,Y1945))</f>
        <v>940</v>
      </c>
      <c r="AD1945" s="1" t="str">
        <f t="shared" si="156"/>
        <v/>
      </c>
      <c r="BA1945" s="1">
        <f>IF(W1945&lt;=Leltar_iv!$Y$1,I1945,0)</f>
        <v>0</v>
      </c>
    </row>
    <row r="1946" spans="1:53" s="1" customFormat="1" x14ac:dyDescent="0.25">
      <c r="A1946" s="18">
        <f>IF(COUNTIF($Y$6:Y1946,Y1946)=1,Y1946,Y1946+COUNTIF($Y$5:Y1945,Y1946))</f>
        <v>941</v>
      </c>
      <c r="B1946" s="1">
        <f>IF(AND(Kisero_iv!$N$2=C1946,Kisero_iv!$K$5=$B$3,SUM(I1946:L1950)&lt;&gt;0,$B$4=YEAR(W1946)),B1945+1,0)</f>
        <v>0</v>
      </c>
      <c r="C1946" s="1">
        <f t="shared" si="150"/>
        <v>941</v>
      </c>
      <c r="D1946" s="102" t="str">
        <f t="shared" si="151"/>
        <v/>
      </c>
      <c r="E1946" s="44"/>
      <c r="F1946" s="45"/>
      <c r="G1946" s="45"/>
      <c r="H1946" s="45"/>
      <c r="I1946" s="46"/>
      <c r="J1946" s="111" t="str">
        <f>IF(AND(G1946&lt;&gt;"",ISERROR(VLOOKUP(G1946,Keszlet!$C$5:$H$200,6,FALSE))=FALSE),VLOOKUP(G1946,Keszlet!$C$5:$H$200,6,FALSE),"")</f>
        <v/>
      </c>
      <c r="K1946" s="106" t="str">
        <f>IF(AND(G1946&lt;&gt;"",ISERROR(VLOOKUP(G1946,Keszlet!$C$5:$G$200,5,FALSE))=FALSE),VLOOKUP(G1946,Keszlet!$C$5:$G$200,5,FALSE),"")</f>
        <v/>
      </c>
      <c r="L1946" s="106" t="str">
        <f t="shared" si="152"/>
        <v/>
      </c>
      <c r="M1946" s="115" t="str">
        <f>IF(ISERROR(VLOOKUP(G1946,Keszlet!$C$5:$I$200,7,FALSE))=TRUE,"",IF(AND(J1945&lt;&gt;"",J1947=""),VLOOKUP(G1946,Keszlet!$C$5:$I$200,7,FALSE),""))</f>
        <v/>
      </c>
      <c r="Q1946" s="1">
        <f>VLOOKUP(G1946,Keszlet!$C$5:$E$205,3,FALSE)</f>
        <v>0</v>
      </c>
      <c r="T1946" s="1" t="str">
        <f t="shared" si="153"/>
        <v/>
      </c>
      <c r="U1946" s="1">
        <f t="shared" si="154"/>
        <v>0</v>
      </c>
      <c r="W1946" s="6">
        <f t="shared" si="157"/>
        <v>0</v>
      </c>
      <c r="X1946" s="6">
        <f t="shared" si="149"/>
        <v>0</v>
      </c>
      <c r="Y1946" s="1">
        <f t="shared" si="155"/>
        <v>1</v>
      </c>
      <c r="Z1946" s="1">
        <f>IF(COUNTIF($Y$6:Y1946,Y1946)=1,Y1946,Y1946+COUNTIF($Y$5:Y1945,Y1946))</f>
        <v>941</v>
      </c>
      <c r="AD1946" s="1" t="str">
        <f t="shared" si="156"/>
        <v/>
      </c>
      <c r="BA1946" s="1">
        <f>IF(W1946&lt;=Leltar_iv!$Y$1,I1946,0)</f>
        <v>0</v>
      </c>
    </row>
    <row r="1947" spans="1:53" s="1" customFormat="1" x14ac:dyDescent="0.25">
      <c r="A1947" s="18">
        <f>IF(COUNTIF($Y$6:Y1947,Y1947)=1,Y1947,Y1947+COUNTIF($Y$5:Y1946,Y1947))</f>
        <v>942</v>
      </c>
      <c r="B1947" s="1">
        <f>IF(AND(Kisero_iv!$N$2=C1947,Kisero_iv!$K$5=$B$3,SUM(I1947:L1951)&lt;&gt;0,$B$4=YEAR(W1947)),B1946+1,0)</f>
        <v>0</v>
      </c>
      <c r="C1947" s="1">
        <f t="shared" si="150"/>
        <v>942</v>
      </c>
      <c r="D1947" s="102" t="str">
        <f t="shared" si="151"/>
        <v/>
      </c>
      <c r="E1947" s="44"/>
      <c r="F1947" s="45"/>
      <c r="G1947" s="45"/>
      <c r="H1947" s="45"/>
      <c r="I1947" s="46"/>
      <c r="J1947" s="111" t="str">
        <f>IF(AND(G1947&lt;&gt;"",ISERROR(VLOOKUP(G1947,Keszlet!$C$5:$H$200,6,FALSE))=FALSE),VLOOKUP(G1947,Keszlet!$C$5:$H$200,6,FALSE),"")</f>
        <v/>
      </c>
      <c r="K1947" s="106" t="str">
        <f>IF(AND(G1947&lt;&gt;"",ISERROR(VLOOKUP(G1947,Keszlet!$C$5:$G$200,5,FALSE))=FALSE),VLOOKUP(G1947,Keszlet!$C$5:$G$200,5,FALSE),"")</f>
        <v/>
      </c>
      <c r="L1947" s="106" t="str">
        <f t="shared" si="152"/>
        <v/>
      </c>
      <c r="M1947" s="115" t="str">
        <f>IF(ISERROR(VLOOKUP(G1947,Keszlet!$C$5:$I$200,7,FALSE))=TRUE,"",IF(AND(J1946&lt;&gt;"",J1948=""),VLOOKUP(G1947,Keszlet!$C$5:$I$200,7,FALSE),""))</f>
        <v/>
      </c>
      <c r="Q1947" s="1">
        <f>VLOOKUP(G1947,Keszlet!$C$5:$E$205,3,FALSE)</f>
        <v>0</v>
      </c>
      <c r="T1947" s="1" t="str">
        <f t="shared" si="153"/>
        <v/>
      </c>
      <c r="U1947" s="1">
        <f t="shared" si="154"/>
        <v>0</v>
      </c>
      <c r="W1947" s="6">
        <f t="shared" si="157"/>
        <v>0</v>
      </c>
      <c r="X1947" s="6">
        <f t="shared" si="149"/>
        <v>0</v>
      </c>
      <c r="Y1947" s="1">
        <f t="shared" si="155"/>
        <v>1</v>
      </c>
      <c r="Z1947" s="1">
        <f>IF(COUNTIF($Y$6:Y1947,Y1947)=1,Y1947,Y1947+COUNTIF($Y$5:Y1946,Y1947))</f>
        <v>942</v>
      </c>
      <c r="AD1947" s="1" t="str">
        <f t="shared" si="156"/>
        <v/>
      </c>
      <c r="BA1947" s="1">
        <f>IF(W1947&lt;=Leltar_iv!$Y$1,I1947,0)</f>
        <v>0</v>
      </c>
    </row>
    <row r="1948" spans="1:53" s="1" customFormat="1" x14ac:dyDescent="0.25">
      <c r="A1948" s="18">
        <f>IF(COUNTIF($Y$6:Y1948,Y1948)=1,Y1948,Y1948+COUNTIF($Y$5:Y1947,Y1948))</f>
        <v>943</v>
      </c>
      <c r="B1948" s="1">
        <f>IF(AND(Kisero_iv!$N$2=C1948,Kisero_iv!$K$5=$B$3,SUM(I1948:L1952)&lt;&gt;0,$B$4=YEAR(W1948)),B1947+1,0)</f>
        <v>0</v>
      </c>
      <c r="C1948" s="1">
        <f t="shared" si="150"/>
        <v>943</v>
      </c>
      <c r="D1948" s="102" t="str">
        <f t="shared" si="151"/>
        <v/>
      </c>
      <c r="E1948" s="44"/>
      <c r="F1948" s="45"/>
      <c r="G1948" s="45"/>
      <c r="H1948" s="45"/>
      <c r="I1948" s="46"/>
      <c r="J1948" s="111" t="str">
        <f>IF(AND(G1948&lt;&gt;"",ISERROR(VLOOKUP(G1948,Keszlet!$C$5:$H$200,6,FALSE))=FALSE),VLOOKUP(G1948,Keszlet!$C$5:$H$200,6,FALSE),"")</f>
        <v/>
      </c>
      <c r="K1948" s="106" t="str">
        <f>IF(AND(G1948&lt;&gt;"",ISERROR(VLOOKUP(G1948,Keszlet!$C$5:$G$200,5,FALSE))=FALSE),VLOOKUP(G1948,Keszlet!$C$5:$G$200,5,FALSE),"")</f>
        <v/>
      </c>
      <c r="L1948" s="106" t="str">
        <f t="shared" si="152"/>
        <v/>
      </c>
      <c r="M1948" s="115" t="str">
        <f>IF(ISERROR(VLOOKUP(G1948,Keszlet!$C$5:$I$200,7,FALSE))=TRUE,"",IF(AND(J1947&lt;&gt;"",J1949=""),VLOOKUP(G1948,Keszlet!$C$5:$I$200,7,FALSE),""))</f>
        <v/>
      </c>
      <c r="Q1948" s="1">
        <f>VLOOKUP(G1948,Keszlet!$C$5:$E$205,3,FALSE)</f>
        <v>0</v>
      </c>
      <c r="T1948" s="1" t="str">
        <f t="shared" si="153"/>
        <v/>
      </c>
      <c r="U1948" s="1">
        <f t="shared" si="154"/>
        <v>0</v>
      </c>
      <c r="W1948" s="6">
        <f t="shared" si="157"/>
        <v>0</v>
      </c>
      <c r="X1948" s="6">
        <f t="shared" si="149"/>
        <v>0</v>
      </c>
      <c r="Y1948" s="1">
        <f t="shared" si="155"/>
        <v>1</v>
      </c>
      <c r="Z1948" s="1">
        <f>IF(COUNTIF($Y$6:Y1948,Y1948)=1,Y1948,Y1948+COUNTIF($Y$5:Y1947,Y1948))</f>
        <v>943</v>
      </c>
      <c r="AD1948" s="1" t="str">
        <f t="shared" si="156"/>
        <v/>
      </c>
      <c r="BA1948" s="1">
        <f>IF(W1948&lt;=Leltar_iv!$Y$1,I1948,0)</f>
        <v>0</v>
      </c>
    </row>
    <row r="1949" spans="1:53" s="1" customFormat="1" x14ac:dyDescent="0.25">
      <c r="A1949" s="18">
        <f>IF(COUNTIF($Y$6:Y1949,Y1949)=1,Y1949,Y1949+COUNTIF($Y$5:Y1948,Y1949))</f>
        <v>944</v>
      </c>
      <c r="B1949" s="1">
        <f>IF(AND(Kisero_iv!$N$2=C1949,Kisero_iv!$K$5=$B$3,SUM(I1949:L1953)&lt;&gt;0,$B$4=YEAR(W1949)),B1948+1,0)</f>
        <v>0</v>
      </c>
      <c r="C1949" s="1">
        <f t="shared" si="150"/>
        <v>944</v>
      </c>
      <c r="D1949" s="102" t="str">
        <f t="shared" si="151"/>
        <v/>
      </c>
      <c r="E1949" s="44"/>
      <c r="F1949" s="45"/>
      <c r="G1949" s="45"/>
      <c r="H1949" s="45"/>
      <c r="I1949" s="46"/>
      <c r="J1949" s="111" t="str">
        <f>IF(AND(G1949&lt;&gt;"",ISERROR(VLOOKUP(G1949,Keszlet!$C$5:$H$200,6,FALSE))=FALSE),VLOOKUP(G1949,Keszlet!$C$5:$H$200,6,FALSE),"")</f>
        <v/>
      </c>
      <c r="K1949" s="106" t="str">
        <f>IF(AND(G1949&lt;&gt;"",ISERROR(VLOOKUP(G1949,Keszlet!$C$5:$G$200,5,FALSE))=FALSE),VLOOKUP(G1949,Keszlet!$C$5:$G$200,5,FALSE),"")</f>
        <v/>
      </c>
      <c r="L1949" s="106" t="str">
        <f t="shared" si="152"/>
        <v/>
      </c>
      <c r="M1949" s="115" t="str">
        <f>IF(ISERROR(VLOOKUP(G1949,Keszlet!$C$5:$I$200,7,FALSE))=TRUE,"",IF(AND(J1948&lt;&gt;"",J1950=""),VLOOKUP(G1949,Keszlet!$C$5:$I$200,7,FALSE),""))</f>
        <v/>
      </c>
      <c r="Q1949" s="1">
        <f>VLOOKUP(G1949,Keszlet!$C$5:$E$205,3,FALSE)</f>
        <v>0</v>
      </c>
      <c r="T1949" s="1" t="str">
        <f t="shared" si="153"/>
        <v/>
      </c>
      <c r="U1949" s="1">
        <f t="shared" si="154"/>
        <v>0</v>
      </c>
      <c r="W1949" s="6">
        <f t="shared" si="157"/>
        <v>0</v>
      </c>
      <c r="X1949" s="6">
        <f t="shared" si="149"/>
        <v>0</v>
      </c>
      <c r="Y1949" s="1">
        <f t="shared" si="155"/>
        <v>1</v>
      </c>
      <c r="Z1949" s="1">
        <f>IF(COUNTIF($Y$6:Y1949,Y1949)=1,Y1949,Y1949+COUNTIF($Y$5:Y1948,Y1949))</f>
        <v>944</v>
      </c>
      <c r="AD1949" s="1" t="str">
        <f t="shared" si="156"/>
        <v/>
      </c>
      <c r="BA1949" s="1">
        <f>IF(W1949&lt;=Leltar_iv!$Y$1,I1949,0)</f>
        <v>0</v>
      </c>
    </row>
    <row r="1950" spans="1:53" s="1" customFormat="1" x14ac:dyDescent="0.25">
      <c r="A1950" s="18">
        <f>IF(COUNTIF($Y$6:Y1950,Y1950)=1,Y1950,Y1950+COUNTIF($Y$5:Y1949,Y1950))</f>
        <v>945</v>
      </c>
      <c r="B1950" s="1">
        <f>IF(AND(Kisero_iv!$N$2=C1950,Kisero_iv!$K$5=$B$3,SUM(I1950:L1954)&lt;&gt;0,$B$4=YEAR(W1950)),B1949+1,0)</f>
        <v>0</v>
      </c>
      <c r="C1950" s="1">
        <f t="shared" si="150"/>
        <v>945</v>
      </c>
      <c r="D1950" s="102" t="str">
        <f t="shared" si="151"/>
        <v/>
      </c>
      <c r="E1950" s="44"/>
      <c r="F1950" s="45"/>
      <c r="G1950" s="45"/>
      <c r="H1950" s="45"/>
      <c r="I1950" s="46"/>
      <c r="J1950" s="111" t="str">
        <f>IF(AND(G1950&lt;&gt;"",ISERROR(VLOOKUP(G1950,Keszlet!$C$5:$H$200,6,FALSE))=FALSE),VLOOKUP(G1950,Keszlet!$C$5:$H$200,6,FALSE),"")</f>
        <v/>
      </c>
      <c r="K1950" s="106" t="str">
        <f>IF(AND(G1950&lt;&gt;"",ISERROR(VLOOKUP(G1950,Keszlet!$C$5:$G$200,5,FALSE))=FALSE),VLOOKUP(G1950,Keszlet!$C$5:$G$200,5,FALSE),"")</f>
        <v/>
      </c>
      <c r="L1950" s="106" t="str">
        <f t="shared" si="152"/>
        <v/>
      </c>
      <c r="M1950" s="115" t="str">
        <f>IF(ISERROR(VLOOKUP(G1950,Keszlet!$C$5:$I$200,7,FALSE))=TRUE,"",IF(AND(J1949&lt;&gt;"",J1951=""),VLOOKUP(G1950,Keszlet!$C$5:$I$200,7,FALSE),""))</f>
        <v/>
      </c>
      <c r="Q1950" s="1">
        <f>VLOOKUP(G1950,Keszlet!$C$5:$E$205,3,FALSE)</f>
        <v>0</v>
      </c>
      <c r="T1950" s="1" t="str">
        <f t="shared" si="153"/>
        <v/>
      </c>
      <c r="U1950" s="1">
        <f t="shared" si="154"/>
        <v>0</v>
      </c>
      <c r="W1950" s="6">
        <f t="shared" si="157"/>
        <v>0</v>
      </c>
      <c r="X1950" s="6">
        <f t="shared" si="149"/>
        <v>0</v>
      </c>
      <c r="Y1950" s="1">
        <f t="shared" si="155"/>
        <v>1</v>
      </c>
      <c r="Z1950" s="1">
        <f>IF(COUNTIF($Y$6:Y1950,Y1950)=1,Y1950,Y1950+COUNTIF($Y$5:Y1949,Y1950))</f>
        <v>945</v>
      </c>
      <c r="AD1950" s="1" t="str">
        <f t="shared" si="156"/>
        <v/>
      </c>
      <c r="BA1950" s="1">
        <f>IF(W1950&lt;=Leltar_iv!$Y$1,I1950,0)</f>
        <v>0</v>
      </c>
    </row>
    <row r="1951" spans="1:53" s="1" customFormat="1" x14ac:dyDescent="0.25">
      <c r="A1951" s="18">
        <f>IF(COUNTIF($Y$6:Y1951,Y1951)=1,Y1951,Y1951+COUNTIF($Y$5:Y1950,Y1951))</f>
        <v>946</v>
      </c>
      <c r="B1951" s="1">
        <f>IF(AND(Kisero_iv!$N$2=C1951,Kisero_iv!$K$5=$B$3,SUM(I1951:L1955)&lt;&gt;0,$B$4=YEAR(W1951)),B1950+1,0)</f>
        <v>0</v>
      </c>
      <c r="C1951" s="1">
        <f t="shared" si="150"/>
        <v>946</v>
      </c>
      <c r="D1951" s="102" t="str">
        <f t="shared" si="151"/>
        <v/>
      </c>
      <c r="E1951" s="44"/>
      <c r="F1951" s="45"/>
      <c r="G1951" s="45"/>
      <c r="H1951" s="45"/>
      <c r="I1951" s="46"/>
      <c r="J1951" s="111" t="str">
        <f>IF(AND(G1951&lt;&gt;"",ISERROR(VLOOKUP(G1951,Keszlet!$C$5:$H$200,6,FALSE))=FALSE),VLOOKUP(G1951,Keszlet!$C$5:$H$200,6,FALSE),"")</f>
        <v/>
      </c>
      <c r="K1951" s="106" t="str">
        <f>IF(AND(G1951&lt;&gt;"",ISERROR(VLOOKUP(G1951,Keszlet!$C$5:$G$200,5,FALSE))=FALSE),VLOOKUP(G1951,Keszlet!$C$5:$G$200,5,FALSE),"")</f>
        <v/>
      </c>
      <c r="L1951" s="106" t="str">
        <f t="shared" si="152"/>
        <v/>
      </c>
      <c r="M1951" s="115" t="str">
        <f>IF(ISERROR(VLOOKUP(G1951,Keszlet!$C$5:$I$200,7,FALSE))=TRUE,"",IF(AND(J1950&lt;&gt;"",J1952=""),VLOOKUP(G1951,Keszlet!$C$5:$I$200,7,FALSE),""))</f>
        <v/>
      </c>
      <c r="Q1951" s="1">
        <f>VLOOKUP(G1951,Keszlet!$C$5:$E$205,3,FALSE)</f>
        <v>0</v>
      </c>
      <c r="T1951" s="1" t="str">
        <f t="shared" si="153"/>
        <v/>
      </c>
      <c r="U1951" s="1">
        <f t="shared" si="154"/>
        <v>0</v>
      </c>
      <c r="W1951" s="6">
        <f t="shared" si="157"/>
        <v>0</v>
      </c>
      <c r="X1951" s="6">
        <f t="shared" si="149"/>
        <v>0</v>
      </c>
      <c r="Y1951" s="1">
        <f t="shared" si="155"/>
        <v>1</v>
      </c>
      <c r="Z1951" s="1">
        <f>IF(COUNTIF($Y$6:Y1951,Y1951)=1,Y1951,Y1951+COUNTIF($Y$5:Y1950,Y1951))</f>
        <v>946</v>
      </c>
      <c r="AD1951" s="1" t="str">
        <f t="shared" si="156"/>
        <v/>
      </c>
      <c r="BA1951" s="1">
        <f>IF(W1951&lt;=Leltar_iv!$Y$1,I1951,0)</f>
        <v>0</v>
      </c>
    </row>
    <row r="1952" spans="1:53" s="1" customFormat="1" x14ac:dyDescent="0.25">
      <c r="A1952" s="18">
        <f>IF(COUNTIF($Y$6:Y1952,Y1952)=1,Y1952,Y1952+COUNTIF($Y$5:Y1951,Y1952))</f>
        <v>947</v>
      </c>
      <c r="B1952" s="1">
        <f>IF(AND(Kisero_iv!$N$2=C1952,Kisero_iv!$K$5=$B$3,SUM(I1952:L1956)&lt;&gt;0,$B$4=YEAR(W1952)),B1951+1,0)</f>
        <v>0</v>
      </c>
      <c r="C1952" s="1">
        <f t="shared" si="150"/>
        <v>947</v>
      </c>
      <c r="D1952" s="102" t="str">
        <f t="shared" si="151"/>
        <v/>
      </c>
      <c r="E1952" s="44"/>
      <c r="F1952" s="45"/>
      <c r="G1952" s="45"/>
      <c r="H1952" s="45"/>
      <c r="I1952" s="46"/>
      <c r="J1952" s="111" t="str">
        <f>IF(AND(G1952&lt;&gt;"",ISERROR(VLOOKUP(G1952,Keszlet!$C$5:$H$200,6,FALSE))=FALSE),VLOOKUP(G1952,Keszlet!$C$5:$H$200,6,FALSE),"")</f>
        <v/>
      </c>
      <c r="K1952" s="106" t="str">
        <f>IF(AND(G1952&lt;&gt;"",ISERROR(VLOOKUP(G1952,Keszlet!$C$5:$G$200,5,FALSE))=FALSE),VLOOKUP(G1952,Keszlet!$C$5:$G$200,5,FALSE),"")</f>
        <v/>
      </c>
      <c r="L1952" s="106" t="str">
        <f t="shared" si="152"/>
        <v/>
      </c>
      <c r="M1952" s="115" t="str">
        <f>IF(ISERROR(VLOOKUP(G1952,Keszlet!$C$5:$I$200,7,FALSE))=TRUE,"",IF(AND(J1951&lt;&gt;"",J1953=""),VLOOKUP(G1952,Keszlet!$C$5:$I$200,7,FALSE),""))</f>
        <v/>
      </c>
      <c r="Q1952" s="1">
        <f>VLOOKUP(G1952,Keszlet!$C$5:$E$205,3,FALSE)</f>
        <v>0</v>
      </c>
      <c r="T1952" s="1" t="str">
        <f t="shared" si="153"/>
        <v/>
      </c>
      <c r="U1952" s="1">
        <f t="shared" si="154"/>
        <v>0</v>
      </c>
      <c r="W1952" s="6">
        <f t="shared" si="157"/>
        <v>0</v>
      </c>
      <c r="X1952" s="6">
        <f t="shared" si="149"/>
        <v>0</v>
      </c>
      <c r="Y1952" s="1">
        <f t="shared" si="155"/>
        <v>1</v>
      </c>
      <c r="Z1952" s="1">
        <f>IF(COUNTIF($Y$6:Y1952,Y1952)=1,Y1952,Y1952+COUNTIF($Y$5:Y1951,Y1952))</f>
        <v>947</v>
      </c>
      <c r="AD1952" s="1" t="str">
        <f t="shared" si="156"/>
        <v/>
      </c>
      <c r="BA1952" s="1">
        <f>IF(W1952&lt;=Leltar_iv!$Y$1,I1952,0)</f>
        <v>0</v>
      </c>
    </row>
    <row r="1953" spans="1:53" s="1" customFormat="1" x14ac:dyDescent="0.25">
      <c r="A1953" s="18">
        <f>IF(COUNTIF($Y$6:Y1953,Y1953)=1,Y1953,Y1953+COUNTIF($Y$5:Y1952,Y1953))</f>
        <v>948</v>
      </c>
      <c r="B1953" s="1">
        <f>IF(AND(Kisero_iv!$N$2=C1953,Kisero_iv!$K$5=$B$3,SUM(I1953:L1957)&lt;&gt;0,$B$4=YEAR(W1953)),B1952+1,0)</f>
        <v>0</v>
      </c>
      <c r="C1953" s="1">
        <f t="shared" si="150"/>
        <v>948</v>
      </c>
      <c r="D1953" s="102" t="str">
        <f t="shared" si="151"/>
        <v/>
      </c>
      <c r="E1953" s="44"/>
      <c r="F1953" s="45"/>
      <c r="G1953" s="45"/>
      <c r="H1953" s="45"/>
      <c r="I1953" s="46"/>
      <c r="J1953" s="111" t="str">
        <f>IF(AND(G1953&lt;&gt;"",ISERROR(VLOOKUP(G1953,Keszlet!$C$5:$H$200,6,FALSE))=FALSE),VLOOKUP(G1953,Keszlet!$C$5:$H$200,6,FALSE),"")</f>
        <v/>
      </c>
      <c r="K1953" s="106" t="str">
        <f>IF(AND(G1953&lt;&gt;"",ISERROR(VLOOKUP(G1953,Keszlet!$C$5:$G$200,5,FALSE))=FALSE),VLOOKUP(G1953,Keszlet!$C$5:$G$200,5,FALSE),"")</f>
        <v/>
      </c>
      <c r="L1953" s="106" t="str">
        <f t="shared" si="152"/>
        <v/>
      </c>
      <c r="M1953" s="115" t="str">
        <f>IF(ISERROR(VLOOKUP(G1953,Keszlet!$C$5:$I$200,7,FALSE))=TRUE,"",IF(AND(J1952&lt;&gt;"",J1954=""),VLOOKUP(G1953,Keszlet!$C$5:$I$200,7,FALSE),""))</f>
        <v/>
      </c>
      <c r="Q1953" s="1">
        <f>VLOOKUP(G1953,Keszlet!$C$5:$E$205,3,FALSE)</f>
        <v>0</v>
      </c>
      <c r="T1953" s="1" t="str">
        <f t="shared" si="153"/>
        <v/>
      </c>
      <c r="U1953" s="1">
        <f t="shared" si="154"/>
        <v>0</v>
      </c>
      <c r="W1953" s="6">
        <f t="shared" si="157"/>
        <v>0</v>
      </c>
      <c r="X1953" s="6">
        <f t="shared" si="149"/>
        <v>0</v>
      </c>
      <c r="Y1953" s="1">
        <f t="shared" si="155"/>
        <v>1</v>
      </c>
      <c r="Z1953" s="1">
        <f>IF(COUNTIF($Y$6:Y1953,Y1953)=1,Y1953,Y1953+COUNTIF($Y$5:Y1952,Y1953))</f>
        <v>948</v>
      </c>
      <c r="AD1953" s="1" t="str">
        <f t="shared" si="156"/>
        <v/>
      </c>
      <c r="BA1953" s="1">
        <f>IF(W1953&lt;=Leltar_iv!$Y$1,I1953,0)</f>
        <v>0</v>
      </c>
    </row>
    <row r="1954" spans="1:53" s="1" customFormat="1" x14ac:dyDescent="0.25">
      <c r="A1954" s="18">
        <f>IF(COUNTIF($Y$6:Y1954,Y1954)=1,Y1954,Y1954+COUNTIF($Y$5:Y1953,Y1954))</f>
        <v>949</v>
      </c>
      <c r="B1954" s="1">
        <f>IF(AND(Kisero_iv!$N$2=C1954,Kisero_iv!$K$5=$B$3,SUM(I1954:L1958)&lt;&gt;0,$B$4=YEAR(W1954)),B1953+1,0)</f>
        <v>0</v>
      </c>
      <c r="C1954" s="1">
        <f t="shared" si="150"/>
        <v>949</v>
      </c>
      <c r="D1954" s="102" t="str">
        <f t="shared" si="151"/>
        <v/>
      </c>
      <c r="E1954" s="44"/>
      <c r="F1954" s="45"/>
      <c r="G1954" s="45"/>
      <c r="H1954" s="45"/>
      <c r="I1954" s="46"/>
      <c r="J1954" s="111" t="str">
        <f>IF(AND(G1954&lt;&gt;"",ISERROR(VLOOKUP(G1954,Keszlet!$C$5:$H$200,6,FALSE))=FALSE),VLOOKUP(G1954,Keszlet!$C$5:$H$200,6,FALSE),"")</f>
        <v/>
      </c>
      <c r="K1954" s="106" t="str">
        <f>IF(AND(G1954&lt;&gt;"",ISERROR(VLOOKUP(G1954,Keszlet!$C$5:$G$200,5,FALSE))=FALSE),VLOOKUP(G1954,Keszlet!$C$5:$G$200,5,FALSE),"")</f>
        <v/>
      </c>
      <c r="L1954" s="106" t="str">
        <f t="shared" si="152"/>
        <v/>
      </c>
      <c r="M1954" s="115" t="str">
        <f>IF(ISERROR(VLOOKUP(G1954,Keszlet!$C$5:$I$200,7,FALSE))=TRUE,"",IF(AND(J1953&lt;&gt;"",J1955=""),VLOOKUP(G1954,Keszlet!$C$5:$I$200,7,FALSE),""))</f>
        <v/>
      </c>
      <c r="Q1954" s="1">
        <f>VLOOKUP(G1954,Keszlet!$C$5:$E$205,3,FALSE)</f>
        <v>0</v>
      </c>
      <c r="T1954" s="1" t="str">
        <f t="shared" si="153"/>
        <v/>
      </c>
      <c r="U1954" s="1">
        <f t="shared" si="154"/>
        <v>0</v>
      </c>
      <c r="W1954" s="6">
        <f t="shared" si="157"/>
        <v>0</v>
      </c>
      <c r="X1954" s="6">
        <f t="shared" si="149"/>
        <v>0</v>
      </c>
      <c r="Y1954" s="1">
        <f t="shared" si="155"/>
        <v>1</v>
      </c>
      <c r="Z1954" s="1">
        <f>IF(COUNTIF($Y$6:Y1954,Y1954)=1,Y1954,Y1954+COUNTIF($Y$5:Y1953,Y1954))</f>
        <v>949</v>
      </c>
      <c r="AD1954" s="1" t="str">
        <f t="shared" si="156"/>
        <v/>
      </c>
      <c r="BA1954" s="1">
        <f>IF(W1954&lt;=Leltar_iv!$Y$1,I1954,0)</f>
        <v>0</v>
      </c>
    </row>
    <row r="1955" spans="1:53" s="1" customFormat="1" x14ac:dyDescent="0.25">
      <c r="A1955" s="18">
        <f>IF(COUNTIF($Y$6:Y1955,Y1955)=1,Y1955,Y1955+COUNTIF($Y$5:Y1954,Y1955))</f>
        <v>950</v>
      </c>
      <c r="B1955" s="1">
        <f>IF(AND(Kisero_iv!$N$2=C1955,Kisero_iv!$K$5=$B$3,SUM(I1955:L1959)&lt;&gt;0,$B$4=YEAR(W1955)),B1954+1,0)</f>
        <v>0</v>
      </c>
      <c r="C1955" s="1">
        <f t="shared" si="150"/>
        <v>950</v>
      </c>
      <c r="D1955" s="102" t="str">
        <f t="shared" si="151"/>
        <v/>
      </c>
      <c r="E1955" s="44"/>
      <c r="F1955" s="45"/>
      <c r="G1955" s="45"/>
      <c r="H1955" s="45"/>
      <c r="I1955" s="46"/>
      <c r="J1955" s="111" t="str">
        <f>IF(AND(G1955&lt;&gt;"",ISERROR(VLOOKUP(G1955,Keszlet!$C$5:$H$200,6,FALSE))=FALSE),VLOOKUP(G1955,Keszlet!$C$5:$H$200,6,FALSE),"")</f>
        <v/>
      </c>
      <c r="K1955" s="106" t="str">
        <f>IF(AND(G1955&lt;&gt;"",ISERROR(VLOOKUP(G1955,Keszlet!$C$5:$G$200,5,FALSE))=FALSE),VLOOKUP(G1955,Keszlet!$C$5:$G$200,5,FALSE),"")</f>
        <v/>
      </c>
      <c r="L1955" s="106" t="str">
        <f t="shared" si="152"/>
        <v/>
      </c>
      <c r="M1955" s="115" t="str">
        <f>IF(ISERROR(VLOOKUP(G1955,Keszlet!$C$5:$I$200,7,FALSE))=TRUE,"",IF(AND(J1954&lt;&gt;"",J1956=""),VLOOKUP(G1955,Keszlet!$C$5:$I$200,7,FALSE),""))</f>
        <v/>
      </c>
      <c r="Q1955" s="1">
        <f>VLOOKUP(G1955,Keszlet!$C$5:$E$205,3,FALSE)</f>
        <v>0</v>
      </c>
      <c r="T1955" s="1" t="str">
        <f t="shared" si="153"/>
        <v/>
      </c>
      <c r="U1955" s="1">
        <f t="shared" si="154"/>
        <v>0</v>
      </c>
      <c r="W1955" s="6">
        <f t="shared" si="157"/>
        <v>0</v>
      </c>
      <c r="X1955" s="6">
        <f t="shared" si="149"/>
        <v>0</v>
      </c>
      <c r="Y1955" s="1">
        <f t="shared" si="155"/>
        <v>1</v>
      </c>
      <c r="Z1955" s="1">
        <f>IF(COUNTIF($Y$6:Y1955,Y1955)=1,Y1955,Y1955+COUNTIF($Y$5:Y1954,Y1955))</f>
        <v>950</v>
      </c>
      <c r="AD1955" s="1" t="str">
        <f t="shared" si="156"/>
        <v/>
      </c>
      <c r="BA1955" s="1">
        <f>IF(W1955&lt;=Leltar_iv!$Y$1,I1955,0)</f>
        <v>0</v>
      </c>
    </row>
    <row r="1956" spans="1:53" s="1" customFormat="1" x14ac:dyDescent="0.25">
      <c r="A1956" s="18">
        <f>IF(COUNTIF($Y$6:Y1956,Y1956)=1,Y1956,Y1956+COUNTIF($Y$5:Y1955,Y1956))</f>
        <v>951</v>
      </c>
      <c r="B1956" s="1">
        <f>IF(AND(Kisero_iv!$N$2=C1956,Kisero_iv!$K$5=$B$3,SUM(I1956:L1960)&lt;&gt;0,$B$4=YEAR(W1956)),B1955+1,0)</f>
        <v>0</v>
      </c>
      <c r="C1956" s="1">
        <f t="shared" si="150"/>
        <v>951</v>
      </c>
      <c r="D1956" s="102" t="str">
        <f t="shared" si="151"/>
        <v/>
      </c>
      <c r="E1956" s="44"/>
      <c r="F1956" s="45"/>
      <c r="G1956" s="45"/>
      <c r="H1956" s="45"/>
      <c r="I1956" s="46"/>
      <c r="J1956" s="111" t="str">
        <f>IF(AND(G1956&lt;&gt;"",ISERROR(VLOOKUP(G1956,Keszlet!$C$5:$H$200,6,FALSE))=FALSE),VLOOKUP(G1956,Keszlet!$C$5:$H$200,6,FALSE),"")</f>
        <v/>
      </c>
      <c r="K1956" s="106" t="str">
        <f>IF(AND(G1956&lt;&gt;"",ISERROR(VLOOKUP(G1956,Keszlet!$C$5:$G$200,5,FALSE))=FALSE),VLOOKUP(G1956,Keszlet!$C$5:$G$200,5,FALSE),"")</f>
        <v/>
      </c>
      <c r="L1956" s="106" t="str">
        <f t="shared" si="152"/>
        <v/>
      </c>
      <c r="M1956" s="115" t="str">
        <f>IF(ISERROR(VLOOKUP(G1956,Keszlet!$C$5:$I$200,7,FALSE))=TRUE,"",IF(AND(J1955&lt;&gt;"",J1957=""),VLOOKUP(G1956,Keszlet!$C$5:$I$200,7,FALSE),""))</f>
        <v/>
      </c>
      <c r="Q1956" s="1">
        <f>VLOOKUP(G1956,Keszlet!$C$5:$E$205,3,FALSE)</f>
        <v>0</v>
      </c>
      <c r="T1956" s="1" t="str">
        <f t="shared" si="153"/>
        <v/>
      </c>
      <c r="U1956" s="1">
        <f t="shared" si="154"/>
        <v>0</v>
      </c>
      <c r="W1956" s="6">
        <f t="shared" si="157"/>
        <v>0</v>
      </c>
      <c r="X1956" s="6">
        <f t="shared" si="149"/>
        <v>0</v>
      </c>
      <c r="Y1956" s="1">
        <f t="shared" si="155"/>
        <v>1</v>
      </c>
      <c r="Z1956" s="1">
        <f>IF(COUNTIF($Y$6:Y1956,Y1956)=1,Y1956,Y1956+COUNTIF($Y$5:Y1955,Y1956))</f>
        <v>951</v>
      </c>
      <c r="AD1956" s="1" t="str">
        <f t="shared" si="156"/>
        <v/>
      </c>
      <c r="BA1956" s="1">
        <f>IF(W1956&lt;=Leltar_iv!$Y$1,I1956,0)</f>
        <v>0</v>
      </c>
    </row>
    <row r="1957" spans="1:53" s="1" customFormat="1" x14ac:dyDescent="0.25">
      <c r="A1957" s="18">
        <f>IF(COUNTIF($Y$6:Y1957,Y1957)=1,Y1957,Y1957+COUNTIF($Y$5:Y1956,Y1957))</f>
        <v>952</v>
      </c>
      <c r="B1957" s="1">
        <f>IF(AND(Kisero_iv!$N$2=C1957,Kisero_iv!$K$5=$B$3,SUM(I1957:L1961)&lt;&gt;0,$B$4=YEAR(W1957)),B1956+1,0)</f>
        <v>0</v>
      </c>
      <c r="C1957" s="1">
        <f t="shared" si="150"/>
        <v>952</v>
      </c>
      <c r="D1957" s="102" t="str">
        <f t="shared" si="151"/>
        <v/>
      </c>
      <c r="E1957" s="44"/>
      <c r="F1957" s="45"/>
      <c r="G1957" s="45"/>
      <c r="H1957" s="45"/>
      <c r="I1957" s="46"/>
      <c r="J1957" s="111" t="str">
        <f>IF(AND(G1957&lt;&gt;"",ISERROR(VLOOKUP(G1957,Keszlet!$C$5:$H$200,6,FALSE))=FALSE),VLOOKUP(G1957,Keszlet!$C$5:$H$200,6,FALSE),"")</f>
        <v/>
      </c>
      <c r="K1957" s="106" t="str">
        <f>IF(AND(G1957&lt;&gt;"",ISERROR(VLOOKUP(G1957,Keszlet!$C$5:$G$200,5,FALSE))=FALSE),VLOOKUP(G1957,Keszlet!$C$5:$G$200,5,FALSE),"")</f>
        <v/>
      </c>
      <c r="L1957" s="106" t="str">
        <f t="shared" si="152"/>
        <v/>
      </c>
      <c r="M1957" s="115" t="str">
        <f>IF(ISERROR(VLOOKUP(G1957,Keszlet!$C$5:$I$200,7,FALSE))=TRUE,"",IF(AND(J1956&lt;&gt;"",J1958=""),VLOOKUP(G1957,Keszlet!$C$5:$I$200,7,FALSE),""))</f>
        <v/>
      </c>
      <c r="Q1957" s="1">
        <f>VLOOKUP(G1957,Keszlet!$C$5:$E$205,3,FALSE)</f>
        <v>0</v>
      </c>
      <c r="T1957" s="1" t="str">
        <f t="shared" si="153"/>
        <v/>
      </c>
      <c r="U1957" s="1">
        <f t="shared" si="154"/>
        <v>0</v>
      </c>
      <c r="W1957" s="6">
        <f t="shared" si="157"/>
        <v>0</v>
      </c>
      <c r="X1957" s="6">
        <f t="shared" si="149"/>
        <v>0</v>
      </c>
      <c r="Y1957" s="1">
        <f t="shared" si="155"/>
        <v>1</v>
      </c>
      <c r="Z1957" s="1">
        <f>IF(COUNTIF($Y$6:Y1957,Y1957)=1,Y1957,Y1957+COUNTIF($Y$5:Y1956,Y1957))</f>
        <v>952</v>
      </c>
      <c r="AD1957" s="1" t="str">
        <f t="shared" si="156"/>
        <v/>
      </c>
      <c r="BA1957" s="1">
        <f>IF(W1957&lt;=Leltar_iv!$Y$1,I1957,0)</f>
        <v>0</v>
      </c>
    </row>
    <row r="1958" spans="1:53" s="1" customFormat="1" x14ac:dyDescent="0.25">
      <c r="A1958" s="18">
        <f>IF(COUNTIF($Y$6:Y1958,Y1958)=1,Y1958,Y1958+COUNTIF($Y$5:Y1957,Y1958))</f>
        <v>953</v>
      </c>
      <c r="B1958" s="1">
        <f>IF(AND(Kisero_iv!$N$2=C1958,Kisero_iv!$K$5=$B$3,SUM(I1958:L1962)&lt;&gt;0,$B$4=YEAR(W1958)),B1957+1,0)</f>
        <v>0</v>
      </c>
      <c r="C1958" s="1">
        <f t="shared" si="150"/>
        <v>953</v>
      </c>
      <c r="D1958" s="102" t="str">
        <f t="shared" si="151"/>
        <v/>
      </c>
      <c r="E1958" s="44"/>
      <c r="F1958" s="45"/>
      <c r="G1958" s="45"/>
      <c r="H1958" s="45"/>
      <c r="I1958" s="46"/>
      <c r="J1958" s="111" t="str">
        <f>IF(AND(G1958&lt;&gt;"",ISERROR(VLOOKUP(G1958,Keszlet!$C$5:$H$200,6,FALSE))=FALSE),VLOOKUP(G1958,Keszlet!$C$5:$H$200,6,FALSE),"")</f>
        <v/>
      </c>
      <c r="K1958" s="106" t="str">
        <f>IF(AND(G1958&lt;&gt;"",ISERROR(VLOOKUP(G1958,Keszlet!$C$5:$G$200,5,FALSE))=FALSE),VLOOKUP(G1958,Keszlet!$C$5:$G$200,5,FALSE),"")</f>
        <v/>
      </c>
      <c r="L1958" s="106" t="str">
        <f t="shared" si="152"/>
        <v/>
      </c>
      <c r="M1958" s="115" t="str">
        <f>IF(ISERROR(VLOOKUP(G1958,Keszlet!$C$5:$I$200,7,FALSE))=TRUE,"",IF(AND(J1957&lt;&gt;"",J1959=""),VLOOKUP(G1958,Keszlet!$C$5:$I$200,7,FALSE),""))</f>
        <v/>
      </c>
      <c r="Q1958" s="1">
        <f>VLOOKUP(G1958,Keszlet!$C$5:$E$205,3,FALSE)</f>
        <v>0</v>
      </c>
      <c r="T1958" s="1" t="str">
        <f t="shared" si="153"/>
        <v/>
      </c>
      <c r="U1958" s="1">
        <f t="shared" si="154"/>
        <v>0</v>
      </c>
      <c r="W1958" s="6">
        <f t="shared" si="157"/>
        <v>0</v>
      </c>
      <c r="X1958" s="6">
        <f t="shared" si="149"/>
        <v>0</v>
      </c>
      <c r="Y1958" s="1">
        <f t="shared" si="155"/>
        <v>1</v>
      </c>
      <c r="Z1958" s="1">
        <f>IF(COUNTIF($Y$6:Y1958,Y1958)=1,Y1958,Y1958+COUNTIF($Y$5:Y1957,Y1958))</f>
        <v>953</v>
      </c>
      <c r="AD1958" s="1" t="str">
        <f t="shared" si="156"/>
        <v/>
      </c>
      <c r="BA1958" s="1">
        <f>IF(W1958&lt;=Leltar_iv!$Y$1,I1958,0)</f>
        <v>0</v>
      </c>
    </row>
    <row r="1959" spans="1:53" s="1" customFormat="1" x14ac:dyDescent="0.25">
      <c r="A1959" s="18">
        <f>IF(COUNTIF($Y$6:Y1959,Y1959)=1,Y1959,Y1959+COUNTIF($Y$5:Y1958,Y1959))</f>
        <v>954</v>
      </c>
      <c r="B1959" s="1">
        <f>IF(AND(Kisero_iv!$N$2=C1959,Kisero_iv!$K$5=$B$3,SUM(I1959:L1963)&lt;&gt;0,$B$4=YEAR(W1959)),B1958+1,0)</f>
        <v>0</v>
      </c>
      <c r="C1959" s="1">
        <f t="shared" si="150"/>
        <v>954</v>
      </c>
      <c r="D1959" s="102" t="str">
        <f t="shared" si="151"/>
        <v/>
      </c>
      <c r="E1959" s="44"/>
      <c r="F1959" s="45"/>
      <c r="G1959" s="45"/>
      <c r="H1959" s="45"/>
      <c r="I1959" s="46"/>
      <c r="J1959" s="111" t="str">
        <f>IF(AND(G1959&lt;&gt;"",ISERROR(VLOOKUP(G1959,Keszlet!$C$5:$H$200,6,FALSE))=FALSE),VLOOKUP(G1959,Keszlet!$C$5:$H$200,6,FALSE),"")</f>
        <v/>
      </c>
      <c r="K1959" s="106" t="str">
        <f>IF(AND(G1959&lt;&gt;"",ISERROR(VLOOKUP(G1959,Keszlet!$C$5:$G$200,5,FALSE))=FALSE),VLOOKUP(G1959,Keszlet!$C$5:$G$200,5,FALSE),"")</f>
        <v/>
      </c>
      <c r="L1959" s="106" t="str">
        <f t="shared" si="152"/>
        <v/>
      </c>
      <c r="M1959" s="115" t="str">
        <f>IF(ISERROR(VLOOKUP(G1959,Keszlet!$C$5:$I$200,7,FALSE))=TRUE,"",IF(AND(J1958&lt;&gt;"",J1960=""),VLOOKUP(G1959,Keszlet!$C$5:$I$200,7,FALSE),""))</f>
        <v/>
      </c>
      <c r="Q1959" s="1">
        <f>VLOOKUP(G1959,Keszlet!$C$5:$E$205,3,FALSE)</f>
        <v>0</v>
      </c>
      <c r="T1959" s="1" t="str">
        <f t="shared" si="153"/>
        <v/>
      </c>
      <c r="U1959" s="1">
        <f t="shared" si="154"/>
        <v>0</v>
      </c>
      <c r="W1959" s="6">
        <f t="shared" si="157"/>
        <v>0</v>
      </c>
      <c r="X1959" s="6">
        <f t="shared" si="149"/>
        <v>0</v>
      </c>
      <c r="Y1959" s="1">
        <f t="shared" si="155"/>
        <v>1</v>
      </c>
      <c r="Z1959" s="1">
        <f>IF(COUNTIF($Y$6:Y1959,Y1959)=1,Y1959,Y1959+COUNTIF($Y$5:Y1958,Y1959))</f>
        <v>954</v>
      </c>
      <c r="AD1959" s="1" t="str">
        <f t="shared" si="156"/>
        <v/>
      </c>
      <c r="BA1959" s="1">
        <f>IF(W1959&lt;=Leltar_iv!$Y$1,I1959,0)</f>
        <v>0</v>
      </c>
    </row>
    <row r="1960" spans="1:53" s="1" customFormat="1" x14ac:dyDescent="0.25">
      <c r="A1960" s="18">
        <f>IF(COUNTIF($Y$6:Y1960,Y1960)=1,Y1960,Y1960+COUNTIF($Y$5:Y1959,Y1960))</f>
        <v>955</v>
      </c>
      <c r="B1960" s="1">
        <f>IF(AND(Kisero_iv!$N$2=C1960,Kisero_iv!$K$5=$B$3,SUM(I1960:L1964)&lt;&gt;0,$B$4=YEAR(W1960)),B1959+1,0)</f>
        <v>0</v>
      </c>
      <c r="C1960" s="1">
        <f t="shared" si="150"/>
        <v>955</v>
      </c>
      <c r="D1960" s="102" t="str">
        <f t="shared" si="151"/>
        <v/>
      </c>
      <c r="E1960" s="44"/>
      <c r="F1960" s="45"/>
      <c r="G1960" s="45"/>
      <c r="H1960" s="45"/>
      <c r="I1960" s="46"/>
      <c r="J1960" s="111" t="str">
        <f>IF(AND(G1960&lt;&gt;"",ISERROR(VLOOKUP(G1960,Keszlet!$C$5:$H$200,6,FALSE))=FALSE),VLOOKUP(G1960,Keszlet!$C$5:$H$200,6,FALSE),"")</f>
        <v/>
      </c>
      <c r="K1960" s="106" t="str">
        <f>IF(AND(G1960&lt;&gt;"",ISERROR(VLOOKUP(G1960,Keszlet!$C$5:$G$200,5,FALSE))=FALSE),VLOOKUP(G1960,Keszlet!$C$5:$G$200,5,FALSE),"")</f>
        <v/>
      </c>
      <c r="L1960" s="106" t="str">
        <f t="shared" si="152"/>
        <v/>
      </c>
      <c r="M1960" s="115" t="str">
        <f>IF(ISERROR(VLOOKUP(G1960,Keszlet!$C$5:$I$200,7,FALSE))=TRUE,"",IF(AND(J1959&lt;&gt;"",J1961=""),VLOOKUP(G1960,Keszlet!$C$5:$I$200,7,FALSE),""))</f>
        <v/>
      </c>
      <c r="Q1960" s="1">
        <f>VLOOKUP(G1960,Keszlet!$C$5:$E$205,3,FALSE)</f>
        <v>0</v>
      </c>
      <c r="T1960" s="1" t="str">
        <f t="shared" si="153"/>
        <v/>
      </c>
      <c r="U1960" s="1">
        <f t="shared" si="154"/>
        <v>0</v>
      </c>
      <c r="W1960" s="6">
        <f t="shared" si="157"/>
        <v>0</v>
      </c>
      <c r="X1960" s="6">
        <f t="shared" si="149"/>
        <v>0</v>
      </c>
      <c r="Y1960" s="1">
        <f t="shared" si="155"/>
        <v>1</v>
      </c>
      <c r="Z1960" s="1">
        <f>IF(COUNTIF($Y$6:Y1960,Y1960)=1,Y1960,Y1960+COUNTIF($Y$5:Y1959,Y1960))</f>
        <v>955</v>
      </c>
      <c r="AD1960" s="1" t="str">
        <f t="shared" si="156"/>
        <v/>
      </c>
      <c r="BA1960" s="1">
        <f>IF(W1960&lt;=Leltar_iv!$Y$1,I1960,0)</f>
        <v>0</v>
      </c>
    </row>
    <row r="1961" spans="1:53" s="1" customFormat="1" x14ac:dyDescent="0.25">
      <c r="A1961" s="18">
        <f>IF(COUNTIF($Y$6:Y1961,Y1961)=1,Y1961,Y1961+COUNTIF($Y$5:Y1960,Y1961))</f>
        <v>956</v>
      </c>
      <c r="B1961" s="1">
        <f>IF(AND(Kisero_iv!$N$2=C1961,Kisero_iv!$K$5=$B$3,SUM(I1961:L1965)&lt;&gt;0,$B$4=YEAR(W1961)),B1960+1,0)</f>
        <v>0</v>
      </c>
      <c r="C1961" s="1">
        <f t="shared" si="150"/>
        <v>956</v>
      </c>
      <c r="D1961" s="102" t="str">
        <f t="shared" si="151"/>
        <v/>
      </c>
      <c r="E1961" s="44"/>
      <c r="F1961" s="45"/>
      <c r="G1961" s="45"/>
      <c r="H1961" s="45"/>
      <c r="I1961" s="46"/>
      <c r="J1961" s="111" t="str">
        <f>IF(AND(G1961&lt;&gt;"",ISERROR(VLOOKUP(G1961,Keszlet!$C$5:$H$200,6,FALSE))=FALSE),VLOOKUP(G1961,Keszlet!$C$5:$H$200,6,FALSE),"")</f>
        <v/>
      </c>
      <c r="K1961" s="106" t="str">
        <f>IF(AND(G1961&lt;&gt;"",ISERROR(VLOOKUP(G1961,Keszlet!$C$5:$G$200,5,FALSE))=FALSE),VLOOKUP(G1961,Keszlet!$C$5:$G$200,5,FALSE),"")</f>
        <v/>
      </c>
      <c r="L1961" s="106" t="str">
        <f t="shared" si="152"/>
        <v/>
      </c>
      <c r="M1961" s="115" t="str">
        <f>IF(ISERROR(VLOOKUP(G1961,Keszlet!$C$5:$I$200,7,FALSE))=TRUE,"",IF(AND(J1960&lt;&gt;"",J1962=""),VLOOKUP(G1961,Keszlet!$C$5:$I$200,7,FALSE),""))</f>
        <v/>
      </c>
      <c r="Q1961" s="1">
        <f>VLOOKUP(G1961,Keszlet!$C$5:$E$205,3,FALSE)</f>
        <v>0</v>
      </c>
      <c r="T1961" s="1" t="str">
        <f t="shared" si="153"/>
        <v/>
      </c>
      <c r="U1961" s="1">
        <f t="shared" si="154"/>
        <v>0</v>
      </c>
      <c r="W1961" s="6">
        <f t="shared" si="157"/>
        <v>0</v>
      </c>
      <c r="X1961" s="6">
        <f t="shared" si="149"/>
        <v>0</v>
      </c>
      <c r="Y1961" s="1">
        <f t="shared" si="155"/>
        <v>1</v>
      </c>
      <c r="Z1961" s="1">
        <f>IF(COUNTIF($Y$6:Y1961,Y1961)=1,Y1961,Y1961+COUNTIF($Y$5:Y1960,Y1961))</f>
        <v>956</v>
      </c>
      <c r="AD1961" s="1" t="str">
        <f t="shared" si="156"/>
        <v/>
      </c>
      <c r="BA1961" s="1">
        <f>IF(W1961&lt;=Leltar_iv!$Y$1,I1961,0)</f>
        <v>0</v>
      </c>
    </row>
    <row r="1962" spans="1:53" s="1" customFormat="1" x14ac:dyDescent="0.25">
      <c r="A1962" s="18">
        <f>IF(COUNTIF($Y$6:Y1962,Y1962)=1,Y1962,Y1962+COUNTIF($Y$5:Y1961,Y1962))</f>
        <v>957</v>
      </c>
      <c r="B1962" s="1">
        <f>IF(AND(Kisero_iv!$N$2=C1962,Kisero_iv!$K$5=$B$3,SUM(I1962:L1966)&lt;&gt;0,$B$4=YEAR(W1962)),B1961+1,0)</f>
        <v>0</v>
      </c>
      <c r="C1962" s="1">
        <f t="shared" si="150"/>
        <v>957</v>
      </c>
      <c r="D1962" s="102" t="str">
        <f t="shared" si="151"/>
        <v/>
      </c>
      <c r="E1962" s="44"/>
      <c r="F1962" s="45"/>
      <c r="G1962" s="45"/>
      <c r="H1962" s="45"/>
      <c r="I1962" s="46"/>
      <c r="J1962" s="111" t="str">
        <f>IF(AND(G1962&lt;&gt;"",ISERROR(VLOOKUP(G1962,Keszlet!$C$5:$H$200,6,FALSE))=FALSE),VLOOKUP(G1962,Keszlet!$C$5:$H$200,6,FALSE),"")</f>
        <v/>
      </c>
      <c r="K1962" s="106" t="str">
        <f>IF(AND(G1962&lt;&gt;"",ISERROR(VLOOKUP(G1962,Keszlet!$C$5:$G$200,5,FALSE))=FALSE),VLOOKUP(G1962,Keszlet!$C$5:$G$200,5,FALSE),"")</f>
        <v/>
      </c>
      <c r="L1962" s="106" t="str">
        <f t="shared" si="152"/>
        <v/>
      </c>
      <c r="M1962" s="115" t="str">
        <f>IF(ISERROR(VLOOKUP(G1962,Keszlet!$C$5:$I$200,7,FALSE))=TRUE,"",IF(AND(J1961&lt;&gt;"",J1963=""),VLOOKUP(G1962,Keszlet!$C$5:$I$200,7,FALSE),""))</f>
        <v/>
      </c>
      <c r="Q1962" s="1">
        <f>VLOOKUP(G1962,Keszlet!$C$5:$E$205,3,FALSE)</f>
        <v>0</v>
      </c>
      <c r="T1962" s="1" t="str">
        <f t="shared" si="153"/>
        <v/>
      </c>
      <c r="U1962" s="1">
        <f t="shared" si="154"/>
        <v>0</v>
      </c>
      <c r="W1962" s="6">
        <f t="shared" si="157"/>
        <v>0</v>
      </c>
      <c r="X1962" s="6">
        <f t="shared" si="149"/>
        <v>0</v>
      </c>
      <c r="Y1962" s="1">
        <f t="shared" si="155"/>
        <v>1</v>
      </c>
      <c r="Z1962" s="1">
        <f>IF(COUNTIF($Y$6:Y1962,Y1962)=1,Y1962,Y1962+COUNTIF($Y$5:Y1961,Y1962))</f>
        <v>957</v>
      </c>
      <c r="AD1962" s="1" t="str">
        <f t="shared" si="156"/>
        <v/>
      </c>
      <c r="BA1962" s="1">
        <f>IF(W1962&lt;=Leltar_iv!$Y$1,I1962,0)</f>
        <v>0</v>
      </c>
    </row>
    <row r="1963" spans="1:53" s="1" customFormat="1" x14ac:dyDescent="0.25">
      <c r="A1963" s="18">
        <f>IF(COUNTIF($Y$6:Y1963,Y1963)=1,Y1963,Y1963+COUNTIF($Y$5:Y1962,Y1963))</f>
        <v>958</v>
      </c>
      <c r="B1963" s="1">
        <f>IF(AND(Kisero_iv!$N$2=C1963,Kisero_iv!$K$5=$B$3,SUM(I1963:L1967)&lt;&gt;0,$B$4=YEAR(W1963)),B1962+1,0)</f>
        <v>0</v>
      </c>
      <c r="C1963" s="1">
        <f t="shared" si="150"/>
        <v>958</v>
      </c>
      <c r="D1963" s="102" t="str">
        <f t="shared" si="151"/>
        <v/>
      </c>
      <c r="E1963" s="44"/>
      <c r="F1963" s="45"/>
      <c r="G1963" s="45"/>
      <c r="H1963" s="45"/>
      <c r="I1963" s="46"/>
      <c r="J1963" s="111" t="str">
        <f>IF(AND(G1963&lt;&gt;"",ISERROR(VLOOKUP(G1963,Keszlet!$C$5:$H$200,6,FALSE))=FALSE),VLOOKUP(G1963,Keszlet!$C$5:$H$200,6,FALSE),"")</f>
        <v/>
      </c>
      <c r="K1963" s="106" t="str">
        <f>IF(AND(G1963&lt;&gt;"",ISERROR(VLOOKUP(G1963,Keszlet!$C$5:$G$200,5,FALSE))=FALSE),VLOOKUP(G1963,Keszlet!$C$5:$G$200,5,FALSE),"")</f>
        <v/>
      </c>
      <c r="L1963" s="106" t="str">
        <f t="shared" si="152"/>
        <v/>
      </c>
      <c r="M1963" s="115" t="str">
        <f>IF(ISERROR(VLOOKUP(G1963,Keszlet!$C$5:$I$200,7,FALSE))=TRUE,"",IF(AND(J1962&lt;&gt;"",J1964=""),VLOOKUP(G1963,Keszlet!$C$5:$I$200,7,FALSE),""))</f>
        <v/>
      </c>
      <c r="Q1963" s="1">
        <f>VLOOKUP(G1963,Keszlet!$C$5:$E$205,3,FALSE)</f>
        <v>0</v>
      </c>
      <c r="T1963" s="1" t="str">
        <f t="shared" si="153"/>
        <v/>
      </c>
      <c r="U1963" s="1">
        <f t="shared" si="154"/>
        <v>0</v>
      </c>
      <c r="W1963" s="6">
        <f t="shared" si="157"/>
        <v>0</v>
      </c>
      <c r="X1963" s="6">
        <f t="shared" si="149"/>
        <v>0</v>
      </c>
      <c r="Y1963" s="1">
        <f t="shared" si="155"/>
        <v>1</v>
      </c>
      <c r="Z1963" s="1">
        <f>IF(COUNTIF($Y$6:Y1963,Y1963)=1,Y1963,Y1963+COUNTIF($Y$5:Y1962,Y1963))</f>
        <v>958</v>
      </c>
      <c r="AD1963" s="1" t="str">
        <f t="shared" si="156"/>
        <v/>
      </c>
      <c r="BA1963" s="1">
        <f>IF(W1963&lt;=Leltar_iv!$Y$1,I1963,0)</f>
        <v>0</v>
      </c>
    </row>
    <row r="1964" spans="1:53" s="1" customFormat="1" x14ac:dyDescent="0.25">
      <c r="A1964" s="18">
        <f>IF(COUNTIF($Y$6:Y1964,Y1964)=1,Y1964,Y1964+COUNTIF($Y$5:Y1963,Y1964))</f>
        <v>959</v>
      </c>
      <c r="B1964" s="1">
        <f>IF(AND(Kisero_iv!$N$2=C1964,Kisero_iv!$K$5=$B$3,SUM(I1964:L1968)&lt;&gt;0,$B$4=YEAR(W1964)),B1963+1,0)</f>
        <v>0</v>
      </c>
      <c r="C1964" s="1">
        <f t="shared" si="150"/>
        <v>959</v>
      </c>
      <c r="D1964" s="102" t="str">
        <f t="shared" si="151"/>
        <v/>
      </c>
      <c r="E1964" s="44"/>
      <c r="F1964" s="45"/>
      <c r="G1964" s="45"/>
      <c r="H1964" s="45"/>
      <c r="I1964" s="46"/>
      <c r="J1964" s="111" t="str">
        <f>IF(AND(G1964&lt;&gt;"",ISERROR(VLOOKUP(G1964,Keszlet!$C$5:$H$200,6,FALSE))=FALSE),VLOOKUP(G1964,Keszlet!$C$5:$H$200,6,FALSE),"")</f>
        <v/>
      </c>
      <c r="K1964" s="106" t="str">
        <f>IF(AND(G1964&lt;&gt;"",ISERROR(VLOOKUP(G1964,Keszlet!$C$5:$G$200,5,FALSE))=FALSE),VLOOKUP(G1964,Keszlet!$C$5:$G$200,5,FALSE),"")</f>
        <v/>
      </c>
      <c r="L1964" s="106" t="str">
        <f t="shared" si="152"/>
        <v/>
      </c>
      <c r="M1964" s="115" t="str">
        <f>IF(ISERROR(VLOOKUP(G1964,Keszlet!$C$5:$I$200,7,FALSE))=TRUE,"",IF(AND(J1963&lt;&gt;"",J1965=""),VLOOKUP(G1964,Keszlet!$C$5:$I$200,7,FALSE),""))</f>
        <v/>
      </c>
      <c r="Q1964" s="1">
        <f>VLOOKUP(G1964,Keszlet!$C$5:$E$205,3,FALSE)</f>
        <v>0</v>
      </c>
      <c r="T1964" s="1" t="str">
        <f t="shared" si="153"/>
        <v/>
      </c>
      <c r="U1964" s="1">
        <f t="shared" si="154"/>
        <v>0</v>
      </c>
      <c r="W1964" s="6">
        <f t="shared" si="157"/>
        <v>0</v>
      </c>
      <c r="X1964" s="6">
        <f t="shared" si="149"/>
        <v>0</v>
      </c>
      <c r="Y1964" s="1">
        <f t="shared" si="155"/>
        <v>1</v>
      </c>
      <c r="Z1964" s="1">
        <f>IF(COUNTIF($Y$6:Y1964,Y1964)=1,Y1964,Y1964+COUNTIF($Y$5:Y1963,Y1964))</f>
        <v>959</v>
      </c>
      <c r="AD1964" s="1" t="str">
        <f t="shared" si="156"/>
        <v/>
      </c>
      <c r="BA1964" s="1">
        <f>IF(W1964&lt;=Leltar_iv!$Y$1,I1964,0)</f>
        <v>0</v>
      </c>
    </row>
    <row r="1965" spans="1:53" s="1" customFormat="1" x14ac:dyDescent="0.25">
      <c r="A1965" s="18">
        <f>IF(COUNTIF($Y$6:Y1965,Y1965)=1,Y1965,Y1965+COUNTIF($Y$5:Y1964,Y1965))</f>
        <v>960</v>
      </c>
      <c r="B1965" s="1">
        <f>IF(AND(Kisero_iv!$N$2=C1965,Kisero_iv!$K$5=$B$3,SUM(I1965:L1969)&lt;&gt;0,$B$4=YEAR(W1965)),B1964+1,0)</f>
        <v>0</v>
      </c>
      <c r="C1965" s="1">
        <f t="shared" si="150"/>
        <v>960</v>
      </c>
      <c r="D1965" s="102" t="str">
        <f t="shared" si="151"/>
        <v/>
      </c>
      <c r="E1965" s="44"/>
      <c r="F1965" s="45"/>
      <c r="G1965" s="45"/>
      <c r="H1965" s="45"/>
      <c r="I1965" s="46"/>
      <c r="J1965" s="111" t="str">
        <f>IF(AND(G1965&lt;&gt;"",ISERROR(VLOOKUP(G1965,Keszlet!$C$5:$H$200,6,FALSE))=FALSE),VLOOKUP(G1965,Keszlet!$C$5:$H$200,6,FALSE),"")</f>
        <v/>
      </c>
      <c r="K1965" s="106" t="str">
        <f>IF(AND(G1965&lt;&gt;"",ISERROR(VLOOKUP(G1965,Keszlet!$C$5:$G$200,5,FALSE))=FALSE),VLOOKUP(G1965,Keszlet!$C$5:$G$200,5,FALSE),"")</f>
        <v/>
      </c>
      <c r="L1965" s="106" t="str">
        <f t="shared" si="152"/>
        <v/>
      </c>
      <c r="M1965" s="115" t="str">
        <f>IF(ISERROR(VLOOKUP(G1965,Keszlet!$C$5:$I$200,7,FALSE))=TRUE,"",IF(AND(J1964&lt;&gt;"",J1966=""),VLOOKUP(G1965,Keszlet!$C$5:$I$200,7,FALSE),""))</f>
        <v/>
      </c>
      <c r="Q1965" s="1">
        <f>VLOOKUP(G1965,Keszlet!$C$5:$E$205,3,FALSE)</f>
        <v>0</v>
      </c>
      <c r="T1965" s="1" t="str">
        <f t="shared" si="153"/>
        <v/>
      </c>
      <c r="U1965" s="1">
        <f t="shared" si="154"/>
        <v>0</v>
      </c>
      <c r="W1965" s="6">
        <f t="shared" si="157"/>
        <v>0</v>
      </c>
      <c r="X1965" s="6">
        <f t="shared" si="149"/>
        <v>0</v>
      </c>
      <c r="Y1965" s="1">
        <f t="shared" si="155"/>
        <v>1</v>
      </c>
      <c r="Z1965" s="1">
        <f>IF(COUNTIF($Y$6:Y1965,Y1965)=1,Y1965,Y1965+COUNTIF($Y$5:Y1964,Y1965))</f>
        <v>960</v>
      </c>
      <c r="AD1965" s="1" t="str">
        <f t="shared" si="156"/>
        <v/>
      </c>
      <c r="BA1965" s="1">
        <f>IF(W1965&lt;=Leltar_iv!$Y$1,I1965,0)</f>
        <v>0</v>
      </c>
    </row>
    <row r="1966" spans="1:53" s="1" customFormat="1" x14ac:dyDescent="0.25">
      <c r="A1966" s="18">
        <f>IF(COUNTIF($Y$6:Y1966,Y1966)=1,Y1966,Y1966+COUNTIF($Y$5:Y1965,Y1966))</f>
        <v>961</v>
      </c>
      <c r="B1966" s="1">
        <f>IF(AND(Kisero_iv!$N$2=C1966,Kisero_iv!$K$5=$B$3,SUM(I1966:L1970)&lt;&gt;0,$B$4=YEAR(W1966)),B1965+1,0)</f>
        <v>0</v>
      </c>
      <c r="C1966" s="1">
        <f t="shared" si="150"/>
        <v>961</v>
      </c>
      <c r="D1966" s="102" t="str">
        <f t="shared" si="151"/>
        <v/>
      </c>
      <c r="E1966" s="44"/>
      <c r="F1966" s="45"/>
      <c r="G1966" s="45"/>
      <c r="H1966" s="45"/>
      <c r="I1966" s="46"/>
      <c r="J1966" s="111" t="str">
        <f>IF(AND(G1966&lt;&gt;"",ISERROR(VLOOKUP(G1966,Keszlet!$C$5:$H$200,6,FALSE))=FALSE),VLOOKUP(G1966,Keszlet!$C$5:$H$200,6,FALSE),"")</f>
        <v/>
      </c>
      <c r="K1966" s="106" t="str">
        <f>IF(AND(G1966&lt;&gt;"",ISERROR(VLOOKUP(G1966,Keszlet!$C$5:$G$200,5,FALSE))=FALSE),VLOOKUP(G1966,Keszlet!$C$5:$G$200,5,FALSE),"")</f>
        <v/>
      </c>
      <c r="L1966" s="106" t="str">
        <f t="shared" si="152"/>
        <v/>
      </c>
      <c r="M1966" s="115" t="str">
        <f>IF(ISERROR(VLOOKUP(G1966,Keszlet!$C$5:$I$200,7,FALSE))=TRUE,"",IF(AND(J1965&lt;&gt;"",J1967=""),VLOOKUP(G1966,Keszlet!$C$5:$I$200,7,FALSE),""))</f>
        <v/>
      </c>
      <c r="Q1966" s="1">
        <f>VLOOKUP(G1966,Keszlet!$C$5:$E$205,3,FALSE)</f>
        <v>0</v>
      </c>
      <c r="T1966" s="1" t="str">
        <f t="shared" si="153"/>
        <v/>
      </c>
      <c r="U1966" s="1">
        <f t="shared" si="154"/>
        <v>0</v>
      </c>
      <c r="W1966" s="6">
        <f t="shared" si="157"/>
        <v>0</v>
      </c>
      <c r="X1966" s="6">
        <f t="shared" ref="X1966:X2000" si="158">IF(G1966=q,W1966,$X$1)</f>
        <v>0</v>
      </c>
      <c r="Y1966" s="1">
        <f t="shared" si="155"/>
        <v>1</v>
      </c>
      <c r="Z1966" s="1">
        <f>IF(COUNTIF($Y$6:Y1966,Y1966)=1,Y1966,Y1966+COUNTIF($Y$5:Y1965,Y1966))</f>
        <v>961</v>
      </c>
      <c r="AD1966" s="1" t="str">
        <f t="shared" si="156"/>
        <v/>
      </c>
      <c r="BA1966" s="1">
        <f>IF(W1966&lt;=Leltar_iv!$Y$1,I1966,0)</f>
        <v>0</v>
      </c>
    </row>
    <row r="1967" spans="1:53" s="1" customFormat="1" x14ac:dyDescent="0.25">
      <c r="A1967" s="18">
        <f>IF(COUNTIF($Y$6:Y1967,Y1967)=1,Y1967,Y1967+COUNTIF($Y$5:Y1966,Y1967))</f>
        <v>962</v>
      </c>
      <c r="B1967" s="1">
        <f>IF(AND(Kisero_iv!$N$2=C1967,Kisero_iv!$K$5=$B$3,SUM(I1967:L1971)&lt;&gt;0,$B$4=YEAR(W1967)),B1966+1,0)</f>
        <v>0</v>
      </c>
      <c r="C1967" s="1">
        <f t="shared" ref="C1967:C2000" si="159">IF(YEAR(W1966)&lt;&gt;YEAR(W1967),1,IF(T1967&lt;&gt;0,C1966+1,C1966))</f>
        <v>962</v>
      </c>
      <c r="D1967" s="102" t="str">
        <f t="shared" ref="D1967:D2000" si="160">IF(AND(OR(C1966&lt;&gt;C1967,C1967=1),SUM(L1967:L1987)&lt;&gt;0),YEAR(W1967)&amp;"/"&amp;C1967,"")</f>
        <v/>
      </c>
      <c r="E1967" s="44"/>
      <c r="F1967" s="45"/>
      <c r="G1967" s="45"/>
      <c r="H1967" s="45"/>
      <c r="I1967" s="46"/>
      <c r="J1967" s="111" t="str">
        <f>IF(AND(G1967&lt;&gt;"",ISERROR(VLOOKUP(G1967,Keszlet!$C$5:$H$200,6,FALSE))=FALSE),VLOOKUP(G1967,Keszlet!$C$5:$H$200,6,FALSE),"")</f>
        <v/>
      </c>
      <c r="K1967" s="106" t="str">
        <f>IF(AND(G1967&lt;&gt;"",ISERROR(VLOOKUP(G1967,Keszlet!$C$5:$G$200,5,FALSE))=FALSE),VLOOKUP(G1967,Keszlet!$C$5:$G$200,5,FALSE),"")</f>
        <v/>
      </c>
      <c r="L1967" s="106" t="str">
        <f t="shared" ref="L1967:L2000" si="161">IF(AND(G1967&lt;&gt;0,K1967&lt;&gt;""),I1967*K1967,"")</f>
        <v/>
      </c>
      <c r="M1967" s="115" t="str">
        <f>IF(ISERROR(VLOOKUP(G1967,Keszlet!$C$5:$I$200,7,FALSE))=TRUE,"",IF(AND(J1966&lt;&gt;"",J1968=""),VLOOKUP(G1967,Keszlet!$C$5:$I$200,7,FALSE),""))</f>
        <v/>
      </c>
      <c r="Q1967" s="1">
        <f>VLOOKUP(G1967,Keszlet!$C$5:$E$205,3,FALSE)</f>
        <v>0</v>
      </c>
      <c r="T1967" s="1" t="str">
        <f t="shared" ref="T1967:T2000" si="162">IF(OR(E1967&lt;&gt;0,COUNTIF(T1958:T1966,0)=9,F1967&lt;&gt;0,SUM(L1967:L1987)=0),E1967&amp;F1967,0)</f>
        <v/>
      </c>
      <c r="U1967" s="1">
        <f t="shared" ref="U1967:U2000" si="163">IF(F1967&lt;&gt;"",F1967,U1966)</f>
        <v>0</v>
      </c>
      <c r="W1967" s="6">
        <f t="shared" si="157"/>
        <v>0</v>
      </c>
      <c r="X1967" s="6">
        <f t="shared" si="158"/>
        <v>0</v>
      </c>
      <c r="Y1967" s="1">
        <f t="shared" ref="Y1967:Y2000" si="164">RANK(X1967,$X$6:$X$10000,1)</f>
        <v>1</v>
      </c>
      <c r="Z1967" s="1">
        <f>IF(COUNTIF($Y$6:Y1967,Y1967)=1,Y1967,Y1967+COUNTIF($Y$5:Y1966,Y1967))</f>
        <v>962</v>
      </c>
      <c r="AD1967" s="1" t="str">
        <f t="shared" ref="AD1967:AD2000" si="165">IF(AND(OR(C1966&lt;&gt;C1967,YEAR(W1967)&lt;&gt;YEAR(W1966)),SUM(L1967:L1987)&lt;&gt;0,$B$4=YEAR(W1967)),C1967,"")</f>
        <v/>
      </c>
      <c r="BA1967" s="1">
        <f>IF(W1967&lt;=Leltar_iv!$Y$1,I1967,0)</f>
        <v>0</v>
      </c>
    </row>
    <row r="1968" spans="1:53" s="1" customFormat="1" x14ac:dyDescent="0.25">
      <c r="A1968" s="18">
        <f>IF(COUNTIF($Y$6:Y1968,Y1968)=1,Y1968,Y1968+COUNTIF($Y$5:Y1967,Y1968))</f>
        <v>963</v>
      </c>
      <c r="B1968" s="1">
        <f>IF(AND(Kisero_iv!$N$2=C1968,Kisero_iv!$K$5=$B$3,SUM(I1968:L1972)&lt;&gt;0,$B$4=YEAR(W1968)),B1967+1,0)</f>
        <v>0</v>
      </c>
      <c r="C1968" s="1">
        <f t="shared" si="159"/>
        <v>963</v>
      </c>
      <c r="D1968" s="102" t="str">
        <f t="shared" si="160"/>
        <v/>
      </c>
      <c r="E1968" s="44"/>
      <c r="F1968" s="45"/>
      <c r="G1968" s="45"/>
      <c r="H1968" s="45"/>
      <c r="I1968" s="46"/>
      <c r="J1968" s="111" t="str">
        <f>IF(AND(G1968&lt;&gt;"",ISERROR(VLOOKUP(G1968,Keszlet!$C$5:$H$200,6,FALSE))=FALSE),VLOOKUP(G1968,Keszlet!$C$5:$H$200,6,FALSE),"")</f>
        <v/>
      </c>
      <c r="K1968" s="106" t="str">
        <f>IF(AND(G1968&lt;&gt;"",ISERROR(VLOOKUP(G1968,Keszlet!$C$5:$G$200,5,FALSE))=FALSE),VLOOKUP(G1968,Keszlet!$C$5:$G$200,5,FALSE),"")</f>
        <v/>
      </c>
      <c r="L1968" s="106" t="str">
        <f t="shared" si="161"/>
        <v/>
      </c>
      <c r="M1968" s="115" t="str">
        <f>IF(ISERROR(VLOOKUP(G1968,Keszlet!$C$5:$I$200,7,FALSE))=TRUE,"",IF(AND(J1967&lt;&gt;"",J1969=""),VLOOKUP(G1968,Keszlet!$C$5:$I$200,7,FALSE),""))</f>
        <v/>
      </c>
      <c r="Q1968" s="1">
        <f>VLOOKUP(G1968,Keszlet!$C$5:$E$205,3,FALSE)</f>
        <v>0</v>
      </c>
      <c r="T1968" s="1" t="str">
        <f t="shared" si="162"/>
        <v/>
      </c>
      <c r="U1968" s="1">
        <f t="shared" si="163"/>
        <v>0</v>
      </c>
      <c r="W1968" s="6">
        <f t="shared" si="157"/>
        <v>0</v>
      </c>
      <c r="X1968" s="6">
        <f t="shared" si="158"/>
        <v>0</v>
      </c>
      <c r="Y1968" s="1">
        <f t="shared" si="164"/>
        <v>1</v>
      </c>
      <c r="Z1968" s="1">
        <f>IF(COUNTIF($Y$6:Y1968,Y1968)=1,Y1968,Y1968+COUNTIF($Y$5:Y1967,Y1968))</f>
        <v>963</v>
      </c>
      <c r="AD1968" s="1" t="str">
        <f t="shared" si="165"/>
        <v/>
      </c>
      <c r="BA1968" s="1">
        <f>IF(W1968&lt;=Leltar_iv!$Y$1,I1968,0)</f>
        <v>0</v>
      </c>
    </row>
    <row r="1969" spans="1:53" s="1" customFormat="1" x14ac:dyDescent="0.25">
      <c r="A1969" s="18">
        <f>IF(COUNTIF($Y$6:Y1969,Y1969)=1,Y1969,Y1969+COUNTIF($Y$5:Y1968,Y1969))</f>
        <v>964</v>
      </c>
      <c r="B1969" s="1">
        <f>IF(AND(Kisero_iv!$N$2=C1969,Kisero_iv!$K$5=$B$3,SUM(I1969:L1973)&lt;&gt;0,$B$4=YEAR(W1969)),B1968+1,0)</f>
        <v>0</v>
      </c>
      <c r="C1969" s="1">
        <f t="shared" si="159"/>
        <v>964</v>
      </c>
      <c r="D1969" s="102" t="str">
        <f t="shared" si="160"/>
        <v/>
      </c>
      <c r="E1969" s="44"/>
      <c r="F1969" s="45"/>
      <c r="G1969" s="45"/>
      <c r="H1969" s="45"/>
      <c r="I1969" s="46"/>
      <c r="J1969" s="111" t="str">
        <f>IF(AND(G1969&lt;&gt;"",ISERROR(VLOOKUP(G1969,Keszlet!$C$5:$H$200,6,FALSE))=FALSE),VLOOKUP(G1969,Keszlet!$C$5:$H$200,6,FALSE),"")</f>
        <v/>
      </c>
      <c r="K1969" s="106" t="str">
        <f>IF(AND(G1969&lt;&gt;"",ISERROR(VLOOKUP(G1969,Keszlet!$C$5:$G$200,5,FALSE))=FALSE),VLOOKUP(G1969,Keszlet!$C$5:$G$200,5,FALSE),"")</f>
        <v/>
      </c>
      <c r="L1969" s="106" t="str">
        <f t="shared" si="161"/>
        <v/>
      </c>
      <c r="M1969" s="115" t="str">
        <f>IF(ISERROR(VLOOKUP(G1969,Keszlet!$C$5:$I$200,7,FALSE))=TRUE,"",IF(AND(J1968&lt;&gt;"",J1970=""),VLOOKUP(G1969,Keszlet!$C$5:$I$200,7,FALSE),""))</f>
        <v/>
      </c>
      <c r="Q1969" s="1">
        <f>VLOOKUP(G1969,Keszlet!$C$5:$E$205,3,FALSE)</f>
        <v>0</v>
      </c>
      <c r="T1969" s="1" t="str">
        <f t="shared" si="162"/>
        <v/>
      </c>
      <c r="U1969" s="1">
        <f t="shared" si="163"/>
        <v>0</v>
      </c>
      <c r="W1969" s="6">
        <f t="shared" ref="W1969:W2000" si="166">IF(E1969&lt;&gt;0,E1969,W1968)</f>
        <v>0</v>
      </c>
      <c r="X1969" s="6">
        <f t="shared" si="158"/>
        <v>0</v>
      </c>
      <c r="Y1969" s="1">
        <f t="shared" si="164"/>
        <v>1</v>
      </c>
      <c r="Z1969" s="1">
        <f>IF(COUNTIF($Y$6:Y1969,Y1969)=1,Y1969,Y1969+COUNTIF($Y$5:Y1968,Y1969))</f>
        <v>964</v>
      </c>
      <c r="AD1969" s="1" t="str">
        <f t="shared" si="165"/>
        <v/>
      </c>
      <c r="BA1969" s="1">
        <f>IF(W1969&lt;=Leltar_iv!$Y$1,I1969,0)</f>
        <v>0</v>
      </c>
    </row>
    <row r="1970" spans="1:53" s="1" customFormat="1" x14ac:dyDescent="0.25">
      <c r="A1970" s="18">
        <f>IF(COUNTIF($Y$6:Y1970,Y1970)=1,Y1970,Y1970+COUNTIF($Y$5:Y1969,Y1970))</f>
        <v>965</v>
      </c>
      <c r="B1970" s="1">
        <f>IF(AND(Kisero_iv!$N$2=C1970,Kisero_iv!$K$5=$B$3,SUM(I1970:L1974)&lt;&gt;0,$B$4=YEAR(W1970)),B1969+1,0)</f>
        <v>0</v>
      </c>
      <c r="C1970" s="1">
        <f t="shared" si="159"/>
        <v>965</v>
      </c>
      <c r="D1970" s="102" t="str">
        <f t="shared" si="160"/>
        <v/>
      </c>
      <c r="E1970" s="44"/>
      <c r="F1970" s="45"/>
      <c r="G1970" s="45"/>
      <c r="H1970" s="45"/>
      <c r="I1970" s="46"/>
      <c r="J1970" s="111" t="str">
        <f>IF(AND(G1970&lt;&gt;"",ISERROR(VLOOKUP(G1970,Keszlet!$C$5:$H$200,6,FALSE))=FALSE),VLOOKUP(G1970,Keszlet!$C$5:$H$200,6,FALSE),"")</f>
        <v/>
      </c>
      <c r="K1970" s="106" t="str">
        <f>IF(AND(G1970&lt;&gt;"",ISERROR(VLOOKUP(G1970,Keszlet!$C$5:$G$200,5,FALSE))=FALSE),VLOOKUP(G1970,Keszlet!$C$5:$G$200,5,FALSE),"")</f>
        <v/>
      </c>
      <c r="L1970" s="106" t="str">
        <f t="shared" si="161"/>
        <v/>
      </c>
      <c r="M1970" s="115" t="str">
        <f>IF(ISERROR(VLOOKUP(G1970,Keszlet!$C$5:$I$200,7,FALSE))=TRUE,"",IF(AND(J1969&lt;&gt;"",J1971=""),VLOOKUP(G1970,Keszlet!$C$5:$I$200,7,FALSE),""))</f>
        <v/>
      </c>
      <c r="Q1970" s="1">
        <f>VLOOKUP(G1970,Keszlet!$C$5:$E$205,3,FALSE)</f>
        <v>0</v>
      </c>
      <c r="T1970" s="1" t="str">
        <f t="shared" si="162"/>
        <v/>
      </c>
      <c r="U1970" s="1">
        <f t="shared" si="163"/>
        <v>0</v>
      </c>
      <c r="W1970" s="6">
        <f t="shared" si="166"/>
        <v>0</v>
      </c>
      <c r="X1970" s="6">
        <f t="shared" si="158"/>
        <v>0</v>
      </c>
      <c r="Y1970" s="1">
        <f t="shared" si="164"/>
        <v>1</v>
      </c>
      <c r="Z1970" s="1">
        <f>IF(COUNTIF($Y$6:Y1970,Y1970)=1,Y1970,Y1970+COUNTIF($Y$5:Y1969,Y1970))</f>
        <v>965</v>
      </c>
      <c r="AD1970" s="1" t="str">
        <f t="shared" si="165"/>
        <v/>
      </c>
      <c r="BA1970" s="1">
        <f>IF(W1970&lt;=Leltar_iv!$Y$1,I1970,0)</f>
        <v>0</v>
      </c>
    </row>
    <row r="1971" spans="1:53" s="1" customFormat="1" x14ac:dyDescent="0.25">
      <c r="A1971" s="18">
        <f>IF(COUNTIF($Y$6:Y1971,Y1971)=1,Y1971,Y1971+COUNTIF($Y$5:Y1970,Y1971))</f>
        <v>966</v>
      </c>
      <c r="B1971" s="1">
        <f>IF(AND(Kisero_iv!$N$2=C1971,Kisero_iv!$K$5=$B$3,SUM(I1971:L1975)&lt;&gt;0,$B$4=YEAR(W1971)),B1970+1,0)</f>
        <v>0</v>
      </c>
      <c r="C1971" s="1">
        <f t="shared" si="159"/>
        <v>966</v>
      </c>
      <c r="D1971" s="102" t="str">
        <f t="shared" si="160"/>
        <v/>
      </c>
      <c r="E1971" s="44"/>
      <c r="F1971" s="45"/>
      <c r="G1971" s="45"/>
      <c r="H1971" s="45"/>
      <c r="I1971" s="46"/>
      <c r="J1971" s="111" t="str">
        <f>IF(AND(G1971&lt;&gt;"",ISERROR(VLOOKUP(G1971,Keszlet!$C$5:$H$200,6,FALSE))=FALSE),VLOOKUP(G1971,Keszlet!$C$5:$H$200,6,FALSE),"")</f>
        <v/>
      </c>
      <c r="K1971" s="106" t="str">
        <f>IF(AND(G1971&lt;&gt;"",ISERROR(VLOOKUP(G1971,Keszlet!$C$5:$G$200,5,FALSE))=FALSE),VLOOKUP(G1971,Keszlet!$C$5:$G$200,5,FALSE),"")</f>
        <v/>
      </c>
      <c r="L1971" s="106" t="str">
        <f t="shared" si="161"/>
        <v/>
      </c>
      <c r="M1971" s="115" t="str">
        <f>IF(ISERROR(VLOOKUP(G1971,Keszlet!$C$5:$I$200,7,FALSE))=TRUE,"",IF(AND(J1970&lt;&gt;"",J1972=""),VLOOKUP(G1971,Keszlet!$C$5:$I$200,7,FALSE),""))</f>
        <v/>
      </c>
      <c r="Q1971" s="1">
        <f>VLOOKUP(G1971,Keszlet!$C$5:$E$205,3,FALSE)</f>
        <v>0</v>
      </c>
      <c r="T1971" s="1" t="str">
        <f t="shared" si="162"/>
        <v/>
      </c>
      <c r="U1971" s="1">
        <f t="shared" si="163"/>
        <v>0</v>
      </c>
      <c r="W1971" s="6">
        <f t="shared" si="166"/>
        <v>0</v>
      </c>
      <c r="X1971" s="6">
        <f t="shared" si="158"/>
        <v>0</v>
      </c>
      <c r="Y1971" s="1">
        <f t="shared" si="164"/>
        <v>1</v>
      </c>
      <c r="Z1971" s="1">
        <f>IF(COUNTIF($Y$6:Y1971,Y1971)=1,Y1971,Y1971+COUNTIF($Y$5:Y1970,Y1971))</f>
        <v>966</v>
      </c>
      <c r="AD1971" s="1" t="str">
        <f t="shared" si="165"/>
        <v/>
      </c>
      <c r="BA1971" s="1">
        <f>IF(W1971&lt;=Leltar_iv!$Y$1,I1971,0)</f>
        <v>0</v>
      </c>
    </row>
    <row r="1972" spans="1:53" s="1" customFormat="1" x14ac:dyDescent="0.25">
      <c r="A1972" s="18">
        <f>IF(COUNTIF($Y$6:Y1972,Y1972)=1,Y1972,Y1972+COUNTIF($Y$5:Y1971,Y1972))</f>
        <v>967</v>
      </c>
      <c r="B1972" s="1">
        <f>IF(AND(Kisero_iv!$N$2=C1972,Kisero_iv!$K$5=$B$3,SUM(I1972:L1976)&lt;&gt;0,$B$4=YEAR(W1972)),B1971+1,0)</f>
        <v>0</v>
      </c>
      <c r="C1972" s="1">
        <f t="shared" si="159"/>
        <v>967</v>
      </c>
      <c r="D1972" s="102" t="str">
        <f t="shared" si="160"/>
        <v/>
      </c>
      <c r="E1972" s="44"/>
      <c r="F1972" s="45"/>
      <c r="G1972" s="45"/>
      <c r="H1972" s="45"/>
      <c r="I1972" s="46"/>
      <c r="J1972" s="111" t="str">
        <f>IF(AND(G1972&lt;&gt;"",ISERROR(VLOOKUP(G1972,Keszlet!$C$5:$H$200,6,FALSE))=FALSE),VLOOKUP(G1972,Keszlet!$C$5:$H$200,6,FALSE),"")</f>
        <v/>
      </c>
      <c r="K1972" s="106" t="str">
        <f>IF(AND(G1972&lt;&gt;"",ISERROR(VLOOKUP(G1972,Keszlet!$C$5:$G$200,5,FALSE))=FALSE),VLOOKUP(G1972,Keszlet!$C$5:$G$200,5,FALSE),"")</f>
        <v/>
      </c>
      <c r="L1972" s="106" t="str">
        <f t="shared" si="161"/>
        <v/>
      </c>
      <c r="M1972" s="115" t="str">
        <f>IF(ISERROR(VLOOKUP(G1972,Keszlet!$C$5:$I$200,7,FALSE))=TRUE,"",IF(AND(J1971&lt;&gt;"",J1973=""),VLOOKUP(G1972,Keszlet!$C$5:$I$200,7,FALSE),""))</f>
        <v/>
      </c>
      <c r="Q1972" s="1">
        <f>VLOOKUP(G1972,Keszlet!$C$5:$E$205,3,FALSE)</f>
        <v>0</v>
      </c>
      <c r="T1972" s="1" t="str">
        <f t="shared" si="162"/>
        <v/>
      </c>
      <c r="U1972" s="1">
        <f t="shared" si="163"/>
        <v>0</v>
      </c>
      <c r="W1972" s="6">
        <f t="shared" si="166"/>
        <v>0</v>
      </c>
      <c r="X1972" s="6">
        <f t="shared" si="158"/>
        <v>0</v>
      </c>
      <c r="Y1972" s="1">
        <f t="shared" si="164"/>
        <v>1</v>
      </c>
      <c r="Z1972" s="1">
        <f>IF(COUNTIF($Y$6:Y1972,Y1972)=1,Y1972,Y1972+COUNTIF($Y$5:Y1971,Y1972))</f>
        <v>967</v>
      </c>
      <c r="AD1972" s="1" t="str">
        <f t="shared" si="165"/>
        <v/>
      </c>
      <c r="BA1972" s="1">
        <f>IF(W1972&lt;=Leltar_iv!$Y$1,I1972,0)</f>
        <v>0</v>
      </c>
    </row>
    <row r="1973" spans="1:53" s="1" customFormat="1" x14ac:dyDescent="0.25">
      <c r="A1973" s="18">
        <f>IF(COUNTIF($Y$6:Y1973,Y1973)=1,Y1973,Y1973+COUNTIF($Y$5:Y1972,Y1973))</f>
        <v>968</v>
      </c>
      <c r="B1973" s="1">
        <f>IF(AND(Kisero_iv!$N$2=C1973,Kisero_iv!$K$5=$B$3,SUM(I1973:L1977)&lt;&gt;0,$B$4=YEAR(W1973)),B1972+1,0)</f>
        <v>0</v>
      </c>
      <c r="C1973" s="1">
        <f t="shared" si="159"/>
        <v>968</v>
      </c>
      <c r="D1973" s="102" t="str">
        <f t="shared" si="160"/>
        <v/>
      </c>
      <c r="E1973" s="44"/>
      <c r="F1973" s="45"/>
      <c r="G1973" s="45"/>
      <c r="H1973" s="45"/>
      <c r="I1973" s="46"/>
      <c r="J1973" s="111" t="str">
        <f>IF(AND(G1973&lt;&gt;"",ISERROR(VLOOKUP(G1973,Keszlet!$C$5:$H$200,6,FALSE))=FALSE),VLOOKUP(G1973,Keszlet!$C$5:$H$200,6,FALSE),"")</f>
        <v/>
      </c>
      <c r="K1973" s="106" t="str">
        <f>IF(AND(G1973&lt;&gt;"",ISERROR(VLOOKUP(G1973,Keszlet!$C$5:$G$200,5,FALSE))=FALSE),VLOOKUP(G1973,Keszlet!$C$5:$G$200,5,FALSE),"")</f>
        <v/>
      </c>
      <c r="L1973" s="106" t="str">
        <f t="shared" si="161"/>
        <v/>
      </c>
      <c r="M1973" s="115" t="str">
        <f>IF(ISERROR(VLOOKUP(G1973,Keszlet!$C$5:$I$200,7,FALSE))=TRUE,"",IF(AND(J1972&lt;&gt;"",J1974=""),VLOOKUP(G1973,Keszlet!$C$5:$I$200,7,FALSE),""))</f>
        <v/>
      </c>
      <c r="Q1973" s="1">
        <f>VLOOKUP(G1973,Keszlet!$C$5:$E$205,3,FALSE)</f>
        <v>0</v>
      </c>
      <c r="T1973" s="1" t="str">
        <f t="shared" si="162"/>
        <v/>
      </c>
      <c r="U1973" s="1">
        <f t="shared" si="163"/>
        <v>0</v>
      </c>
      <c r="W1973" s="6">
        <f t="shared" si="166"/>
        <v>0</v>
      </c>
      <c r="X1973" s="6">
        <f t="shared" si="158"/>
        <v>0</v>
      </c>
      <c r="Y1973" s="1">
        <f t="shared" si="164"/>
        <v>1</v>
      </c>
      <c r="Z1973" s="1">
        <f>IF(COUNTIF($Y$6:Y1973,Y1973)=1,Y1973,Y1973+COUNTIF($Y$5:Y1972,Y1973))</f>
        <v>968</v>
      </c>
      <c r="AD1973" s="1" t="str">
        <f t="shared" si="165"/>
        <v/>
      </c>
      <c r="BA1973" s="1">
        <f>IF(W1973&lt;=Leltar_iv!$Y$1,I1973,0)</f>
        <v>0</v>
      </c>
    </row>
    <row r="1974" spans="1:53" s="1" customFormat="1" x14ac:dyDescent="0.25">
      <c r="A1974" s="18">
        <f>IF(COUNTIF($Y$6:Y1974,Y1974)=1,Y1974,Y1974+COUNTIF($Y$5:Y1973,Y1974))</f>
        <v>969</v>
      </c>
      <c r="B1974" s="1">
        <f>IF(AND(Kisero_iv!$N$2=C1974,Kisero_iv!$K$5=$B$3,SUM(I1974:L1978)&lt;&gt;0,$B$4=YEAR(W1974)),B1973+1,0)</f>
        <v>0</v>
      </c>
      <c r="C1974" s="1">
        <f t="shared" si="159"/>
        <v>969</v>
      </c>
      <c r="D1974" s="102" t="str">
        <f t="shared" si="160"/>
        <v/>
      </c>
      <c r="E1974" s="44"/>
      <c r="F1974" s="45"/>
      <c r="G1974" s="45"/>
      <c r="H1974" s="45"/>
      <c r="I1974" s="46"/>
      <c r="J1974" s="111" t="str">
        <f>IF(AND(G1974&lt;&gt;"",ISERROR(VLOOKUP(G1974,Keszlet!$C$5:$H$200,6,FALSE))=FALSE),VLOOKUP(G1974,Keszlet!$C$5:$H$200,6,FALSE),"")</f>
        <v/>
      </c>
      <c r="K1974" s="106" t="str">
        <f>IF(AND(G1974&lt;&gt;"",ISERROR(VLOOKUP(G1974,Keszlet!$C$5:$G$200,5,FALSE))=FALSE),VLOOKUP(G1974,Keszlet!$C$5:$G$200,5,FALSE),"")</f>
        <v/>
      </c>
      <c r="L1974" s="106" t="str">
        <f t="shared" si="161"/>
        <v/>
      </c>
      <c r="M1974" s="115" t="str">
        <f>IF(ISERROR(VLOOKUP(G1974,Keszlet!$C$5:$I$200,7,FALSE))=TRUE,"",IF(AND(J1973&lt;&gt;"",J1975=""),VLOOKUP(G1974,Keszlet!$C$5:$I$200,7,FALSE),""))</f>
        <v/>
      </c>
      <c r="Q1974" s="1">
        <f>VLOOKUP(G1974,Keszlet!$C$5:$E$205,3,FALSE)</f>
        <v>0</v>
      </c>
      <c r="T1974" s="1" t="str">
        <f t="shared" si="162"/>
        <v/>
      </c>
      <c r="U1974" s="1">
        <f t="shared" si="163"/>
        <v>0</v>
      </c>
      <c r="W1974" s="6">
        <f t="shared" si="166"/>
        <v>0</v>
      </c>
      <c r="X1974" s="6">
        <f t="shared" si="158"/>
        <v>0</v>
      </c>
      <c r="Y1974" s="1">
        <f t="shared" si="164"/>
        <v>1</v>
      </c>
      <c r="Z1974" s="1">
        <f>IF(COUNTIF($Y$6:Y1974,Y1974)=1,Y1974,Y1974+COUNTIF($Y$5:Y1973,Y1974))</f>
        <v>969</v>
      </c>
      <c r="AD1974" s="1" t="str">
        <f t="shared" si="165"/>
        <v/>
      </c>
      <c r="BA1974" s="1">
        <f>IF(W1974&lt;=Leltar_iv!$Y$1,I1974,0)</f>
        <v>0</v>
      </c>
    </row>
    <row r="1975" spans="1:53" s="1" customFormat="1" x14ac:dyDescent="0.25">
      <c r="A1975" s="18">
        <f>IF(COUNTIF($Y$6:Y1975,Y1975)=1,Y1975,Y1975+COUNTIF($Y$5:Y1974,Y1975))</f>
        <v>970</v>
      </c>
      <c r="B1975" s="1">
        <f>IF(AND(Kisero_iv!$N$2=C1975,Kisero_iv!$K$5=$B$3,SUM(I1975:L1979)&lt;&gt;0,$B$4=YEAR(W1975)),B1974+1,0)</f>
        <v>0</v>
      </c>
      <c r="C1975" s="1">
        <f t="shared" si="159"/>
        <v>970</v>
      </c>
      <c r="D1975" s="102" t="str">
        <f t="shared" si="160"/>
        <v/>
      </c>
      <c r="E1975" s="44"/>
      <c r="F1975" s="45"/>
      <c r="G1975" s="45"/>
      <c r="H1975" s="45"/>
      <c r="I1975" s="46"/>
      <c r="J1975" s="111" t="str">
        <f>IF(AND(G1975&lt;&gt;"",ISERROR(VLOOKUP(G1975,Keszlet!$C$5:$H$200,6,FALSE))=FALSE),VLOOKUP(G1975,Keszlet!$C$5:$H$200,6,FALSE),"")</f>
        <v/>
      </c>
      <c r="K1975" s="106" t="str">
        <f>IF(AND(G1975&lt;&gt;"",ISERROR(VLOOKUP(G1975,Keszlet!$C$5:$G$200,5,FALSE))=FALSE),VLOOKUP(G1975,Keszlet!$C$5:$G$200,5,FALSE),"")</f>
        <v/>
      </c>
      <c r="L1975" s="106" t="str">
        <f t="shared" si="161"/>
        <v/>
      </c>
      <c r="M1975" s="115" t="str">
        <f>IF(ISERROR(VLOOKUP(G1975,Keszlet!$C$5:$I$200,7,FALSE))=TRUE,"",IF(AND(J1974&lt;&gt;"",J1976=""),VLOOKUP(G1975,Keszlet!$C$5:$I$200,7,FALSE),""))</f>
        <v/>
      </c>
      <c r="Q1975" s="1">
        <f>VLOOKUP(G1975,Keszlet!$C$5:$E$205,3,FALSE)</f>
        <v>0</v>
      </c>
      <c r="T1975" s="1" t="str">
        <f t="shared" si="162"/>
        <v/>
      </c>
      <c r="U1975" s="1">
        <f t="shared" si="163"/>
        <v>0</v>
      </c>
      <c r="W1975" s="6">
        <f t="shared" si="166"/>
        <v>0</v>
      </c>
      <c r="X1975" s="6">
        <f t="shared" si="158"/>
        <v>0</v>
      </c>
      <c r="Y1975" s="1">
        <f t="shared" si="164"/>
        <v>1</v>
      </c>
      <c r="Z1975" s="1">
        <f>IF(COUNTIF($Y$6:Y1975,Y1975)=1,Y1975,Y1975+COUNTIF($Y$5:Y1974,Y1975))</f>
        <v>970</v>
      </c>
      <c r="AD1975" s="1" t="str">
        <f t="shared" si="165"/>
        <v/>
      </c>
      <c r="BA1975" s="1">
        <f>IF(W1975&lt;=Leltar_iv!$Y$1,I1975,0)</f>
        <v>0</v>
      </c>
    </row>
    <row r="1976" spans="1:53" s="1" customFormat="1" x14ac:dyDescent="0.25">
      <c r="A1976" s="18">
        <f>IF(COUNTIF($Y$6:Y1976,Y1976)=1,Y1976,Y1976+COUNTIF($Y$5:Y1975,Y1976))</f>
        <v>971</v>
      </c>
      <c r="B1976" s="1">
        <f>IF(AND(Kisero_iv!$N$2=C1976,Kisero_iv!$K$5=$B$3,SUM(I1976:L1980)&lt;&gt;0,$B$4=YEAR(W1976)),B1975+1,0)</f>
        <v>0</v>
      </c>
      <c r="C1976" s="1">
        <f t="shared" si="159"/>
        <v>971</v>
      </c>
      <c r="D1976" s="102" t="str">
        <f t="shared" si="160"/>
        <v/>
      </c>
      <c r="E1976" s="44"/>
      <c r="F1976" s="45"/>
      <c r="G1976" s="45"/>
      <c r="H1976" s="45"/>
      <c r="I1976" s="46"/>
      <c r="J1976" s="111" t="str">
        <f>IF(AND(G1976&lt;&gt;"",ISERROR(VLOOKUP(G1976,Keszlet!$C$5:$H$200,6,FALSE))=FALSE),VLOOKUP(G1976,Keszlet!$C$5:$H$200,6,FALSE),"")</f>
        <v/>
      </c>
      <c r="K1976" s="106" t="str">
        <f>IF(AND(G1976&lt;&gt;"",ISERROR(VLOOKUP(G1976,Keszlet!$C$5:$G$200,5,FALSE))=FALSE),VLOOKUP(G1976,Keszlet!$C$5:$G$200,5,FALSE),"")</f>
        <v/>
      </c>
      <c r="L1976" s="106" t="str">
        <f t="shared" si="161"/>
        <v/>
      </c>
      <c r="M1976" s="115" t="str">
        <f>IF(ISERROR(VLOOKUP(G1976,Keszlet!$C$5:$I$200,7,FALSE))=TRUE,"",IF(AND(J1975&lt;&gt;"",J1977=""),VLOOKUP(G1976,Keszlet!$C$5:$I$200,7,FALSE),""))</f>
        <v/>
      </c>
      <c r="Q1976" s="1">
        <f>VLOOKUP(G1976,Keszlet!$C$5:$E$205,3,FALSE)</f>
        <v>0</v>
      </c>
      <c r="T1976" s="1" t="str">
        <f t="shared" si="162"/>
        <v/>
      </c>
      <c r="U1976" s="1">
        <f t="shared" si="163"/>
        <v>0</v>
      </c>
      <c r="W1976" s="6">
        <f t="shared" si="166"/>
        <v>0</v>
      </c>
      <c r="X1976" s="6">
        <f t="shared" si="158"/>
        <v>0</v>
      </c>
      <c r="Y1976" s="1">
        <f t="shared" si="164"/>
        <v>1</v>
      </c>
      <c r="Z1976" s="1">
        <f>IF(COUNTIF($Y$6:Y1976,Y1976)=1,Y1976,Y1976+COUNTIF($Y$5:Y1975,Y1976))</f>
        <v>971</v>
      </c>
      <c r="AD1976" s="1" t="str">
        <f t="shared" si="165"/>
        <v/>
      </c>
      <c r="BA1976" s="1">
        <f>IF(W1976&lt;=Leltar_iv!$Y$1,I1976,0)</f>
        <v>0</v>
      </c>
    </row>
    <row r="1977" spans="1:53" s="1" customFormat="1" x14ac:dyDescent="0.25">
      <c r="A1977" s="18">
        <f>IF(COUNTIF($Y$6:Y1977,Y1977)=1,Y1977,Y1977+COUNTIF($Y$5:Y1976,Y1977))</f>
        <v>972</v>
      </c>
      <c r="B1977" s="1">
        <f>IF(AND(Kisero_iv!$N$2=C1977,Kisero_iv!$K$5=$B$3,SUM(I1977:L1981)&lt;&gt;0,$B$4=YEAR(W1977)),B1976+1,0)</f>
        <v>0</v>
      </c>
      <c r="C1977" s="1">
        <f t="shared" si="159"/>
        <v>972</v>
      </c>
      <c r="D1977" s="102" t="str">
        <f t="shared" si="160"/>
        <v/>
      </c>
      <c r="E1977" s="44"/>
      <c r="F1977" s="45"/>
      <c r="G1977" s="45"/>
      <c r="H1977" s="45"/>
      <c r="I1977" s="46"/>
      <c r="J1977" s="111" t="str">
        <f>IF(AND(G1977&lt;&gt;"",ISERROR(VLOOKUP(G1977,Keszlet!$C$5:$H$200,6,FALSE))=FALSE),VLOOKUP(G1977,Keszlet!$C$5:$H$200,6,FALSE),"")</f>
        <v/>
      </c>
      <c r="K1977" s="106" t="str">
        <f>IF(AND(G1977&lt;&gt;"",ISERROR(VLOOKUP(G1977,Keszlet!$C$5:$G$200,5,FALSE))=FALSE),VLOOKUP(G1977,Keszlet!$C$5:$G$200,5,FALSE),"")</f>
        <v/>
      </c>
      <c r="L1977" s="106" t="str">
        <f t="shared" si="161"/>
        <v/>
      </c>
      <c r="M1977" s="115" t="str">
        <f>IF(ISERROR(VLOOKUP(G1977,Keszlet!$C$5:$I$200,7,FALSE))=TRUE,"",IF(AND(J1976&lt;&gt;"",J1978=""),VLOOKUP(G1977,Keszlet!$C$5:$I$200,7,FALSE),""))</f>
        <v/>
      </c>
      <c r="Q1977" s="1">
        <f>VLOOKUP(G1977,Keszlet!$C$5:$E$205,3,FALSE)</f>
        <v>0</v>
      </c>
      <c r="T1977" s="1" t="str">
        <f t="shared" si="162"/>
        <v/>
      </c>
      <c r="U1977" s="1">
        <f t="shared" si="163"/>
        <v>0</v>
      </c>
      <c r="W1977" s="6">
        <f t="shared" si="166"/>
        <v>0</v>
      </c>
      <c r="X1977" s="6">
        <f t="shared" si="158"/>
        <v>0</v>
      </c>
      <c r="Y1977" s="1">
        <f t="shared" si="164"/>
        <v>1</v>
      </c>
      <c r="Z1977" s="1">
        <f>IF(COUNTIF($Y$6:Y1977,Y1977)=1,Y1977,Y1977+COUNTIF($Y$5:Y1976,Y1977))</f>
        <v>972</v>
      </c>
      <c r="AD1977" s="1" t="str">
        <f t="shared" si="165"/>
        <v/>
      </c>
      <c r="BA1977" s="1">
        <f>IF(W1977&lt;=Leltar_iv!$Y$1,I1977,0)</f>
        <v>0</v>
      </c>
    </row>
    <row r="1978" spans="1:53" s="1" customFormat="1" x14ac:dyDescent="0.25">
      <c r="A1978" s="18">
        <f>IF(COUNTIF($Y$6:Y1978,Y1978)=1,Y1978,Y1978+COUNTIF($Y$5:Y1977,Y1978))</f>
        <v>973</v>
      </c>
      <c r="B1978" s="1">
        <f>IF(AND(Kisero_iv!$N$2=C1978,Kisero_iv!$K$5=$B$3,SUM(I1978:L1982)&lt;&gt;0,$B$4=YEAR(W1978)),B1977+1,0)</f>
        <v>0</v>
      </c>
      <c r="C1978" s="1">
        <f t="shared" si="159"/>
        <v>973</v>
      </c>
      <c r="D1978" s="102" t="str">
        <f t="shared" si="160"/>
        <v/>
      </c>
      <c r="E1978" s="44"/>
      <c r="F1978" s="45"/>
      <c r="G1978" s="45"/>
      <c r="H1978" s="45"/>
      <c r="I1978" s="46"/>
      <c r="J1978" s="111" t="str">
        <f>IF(AND(G1978&lt;&gt;"",ISERROR(VLOOKUP(G1978,Keszlet!$C$5:$H$200,6,FALSE))=FALSE),VLOOKUP(G1978,Keszlet!$C$5:$H$200,6,FALSE),"")</f>
        <v/>
      </c>
      <c r="K1978" s="106" t="str">
        <f>IF(AND(G1978&lt;&gt;"",ISERROR(VLOOKUP(G1978,Keszlet!$C$5:$G$200,5,FALSE))=FALSE),VLOOKUP(G1978,Keszlet!$C$5:$G$200,5,FALSE),"")</f>
        <v/>
      </c>
      <c r="L1978" s="106" t="str">
        <f t="shared" si="161"/>
        <v/>
      </c>
      <c r="M1978" s="115" t="str">
        <f>IF(ISERROR(VLOOKUP(G1978,Keszlet!$C$5:$I$200,7,FALSE))=TRUE,"",IF(AND(J1977&lt;&gt;"",J1979=""),VLOOKUP(G1978,Keszlet!$C$5:$I$200,7,FALSE),""))</f>
        <v/>
      </c>
      <c r="Q1978" s="1">
        <f>VLOOKUP(G1978,Keszlet!$C$5:$E$205,3,FALSE)</f>
        <v>0</v>
      </c>
      <c r="T1978" s="1" t="str">
        <f t="shared" si="162"/>
        <v/>
      </c>
      <c r="U1978" s="1">
        <f t="shared" si="163"/>
        <v>0</v>
      </c>
      <c r="W1978" s="6">
        <f t="shared" si="166"/>
        <v>0</v>
      </c>
      <c r="X1978" s="6">
        <f t="shared" si="158"/>
        <v>0</v>
      </c>
      <c r="Y1978" s="1">
        <f t="shared" si="164"/>
        <v>1</v>
      </c>
      <c r="Z1978" s="1">
        <f>IF(COUNTIF($Y$6:Y1978,Y1978)=1,Y1978,Y1978+COUNTIF($Y$5:Y1977,Y1978))</f>
        <v>973</v>
      </c>
      <c r="AD1978" s="1" t="str">
        <f t="shared" si="165"/>
        <v/>
      </c>
      <c r="BA1978" s="1">
        <f>IF(W1978&lt;=Leltar_iv!$Y$1,I1978,0)</f>
        <v>0</v>
      </c>
    </row>
    <row r="1979" spans="1:53" s="1" customFormat="1" x14ac:dyDescent="0.25">
      <c r="A1979" s="18">
        <f>IF(COUNTIF($Y$6:Y1979,Y1979)=1,Y1979,Y1979+COUNTIF($Y$5:Y1978,Y1979))</f>
        <v>974</v>
      </c>
      <c r="B1979" s="1">
        <f>IF(AND(Kisero_iv!$N$2=C1979,Kisero_iv!$K$5=$B$3,SUM(I1979:L1983)&lt;&gt;0,$B$4=YEAR(W1979)),B1978+1,0)</f>
        <v>0</v>
      </c>
      <c r="C1979" s="1">
        <f t="shared" si="159"/>
        <v>974</v>
      </c>
      <c r="D1979" s="102" t="str">
        <f t="shared" si="160"/>
        <v/>
      </c>
      <c r="E1979" s="44"/>
      <c r="F1979" s="45"/>
      <c r="G1979" s="45"/>
      <c r="H1979" s="45"/>
      <c r="I1979" s="46"/>
      <c r="J1979" s="111" t="str">
        <f>IF(AND(G1979&lt;&gt;"",ISERROR(VLOOKUP(G1979,Keszlet!$C$5:$H$200,6,FALSE))=FALSE),VLOOKUP(G1979,Keszlet!$C$5:$H$200,6,FALSE),"")</f>
        <v/>
      </c>
      <c r="K1979" s="106" t="str">
        <f>IF(AND(G1979&lt;&gt;"",ISERROR(VLOOKUP(G1979,Keszlet!$C$5:$G$200,5,FALSE))=FALSE),VLOOKUP(G1979,Keszlet!$C$5:$G$200,5,FALSE),"")</f>
        <v/>
      </c>
      <c r="L1979" s="106" t="str">
        <f t="shared" si="161"/>
        <v/>
      </c>
      <c r="M1979" s="115" t="str">
        <f>IF(ISERROR(VLOOKUP(G1979,Keszlet!$C$5:$I$200,7,FALSE))=TRUE,"",IF(AND(J1978&lt;&gt;"",J1980=""),VLOOKUP(G1979,Keszlet!$C$5:$I$200,7,FALSE),""))</f>
        <v/>
      </c>
      <c r="Q1979" s="1">
        <f>VLOOKUP(G1979,Keszlet!$C$5:$E$205,3,FALSE)</f>
        <v>0</v>
      </c>
      <c r="T1979" s="1" t="str">
        <f t="shared" si="162"/>
        <v/>
      </c>
      <c r="U1979" s="1">
        <f t="shared" si="163"/>
        <v>0</v>
      </c>
      <c r="W1979" s="6">
        <f t="shared" si="166"/>
        <v>0</v>
      </c>
      <c r="X1979" s="6">
        <f t="shared" si="158"/>
        <v>0</v>
      </c>
      <c r="Y1979" s="1">
        <f t="shared" si="164"/>
        <v>1</v>
      </c>
      <c r="Z1979" s="1">
        <f>IF(COUNTIF($Y$6:Y1979,Y1979)=1,Y1979,Y1979+COUNTIF($Y$5:Y1978,Y1979))</f>
        <v>974</v>
      </c>
      <c r="AD1979" s="1" t="str">
        <f t="shared" si="165"/>
        <v/>
      </c>
      <c r="BA1979" s="1">
        <f>IF(W1979&lt;=Leltar_iv!$Y$1,I1979,0)</f>
        <v>0</v>
      </c>
    </row>
    <row r="1980" spans="1:53" s="1" customFormat="1" x14ac:dyDescent="0.25">
      <c r="A1980" s="18">
        <f>IF(COUNTIF($Y$6:Y1980,Y1980)=1,Y1980,Y1980+COUNTIF($Y$5:Y1979,Y1980))</f>
        <v>975</v>
      </c>
      <c r="B1980" s="1">
        <f>IF(AND(Kisero_iv!$N$2=C1980,Kisero_iv!$K$5=$B$3,SUM(I1980:L1984)&lt;&gt;0,$B$4=YEAR(W1980)),B1979+1,0)</f>
        <v>0</v>
      </c>
      <c r="C1980" s="1">
        <f t="shared" si="159"/>
        <v>975</v>
      </c>
      <c r="D1980" s="102" t="str">
        <f t="shared" si="160"/>
        <v/>
      </c>
      <c r="E1980" s="44"/>
      <c r="F1980" s="45"/>
      <c r="G1980" s="45"/>
      <c r="H1980" s="45"/>
      <c r="I1980" s="46"/>
      <c r="J1980" s="111" t="str">
        <f>IF(AND(G1980&lt;&gt;"",ISERROR(VLOOKUP(G1980,Keszlet!$C$5:$H$200,6,FALSE))=FALSE),VLOOKUP(G1980,Keszlet!$C$5:$H$200,6,FALSE),"")</f>
        <v/>
      </c>
      <c r="K1980" s="106" t="str">
        <f>IF(AND(G1980&lt;&gt;"",ISERROR(VLOOKUP(G1980,Keszlet!$C$5:$G$200,5,FALSE))=FALSE),VLOOKUP(G1980,Keszlet!$C$5:$G$200,5,FALSE),"")</f>
        <v/>
      </c>
      <c r="L1980" s="106" t="str">
        <f t="shared" si="161"/>
        <v/>
      </c>
      <c r="M1980" s="115" t="str">
        <f>IF(ISERROR(VLOOKUP(G1980,Keszlet!$C$5:$I$200,7,FALSE))=TRUE,"",IF(AND(J1979&lt;&gt;"",J1981=""),VLOOKUP(G1980,Keszlet!$C$5:$I$200,7,FALSE),""))</f>
        <v/>
      </c>
      <c r="Q1980" s="1">
        <f>VLOOKUP(G1980,Keszlet!$C$5:$E$205,3,FALSE)</f>
        <v>0</v>
      </c>
      <c r="T1980" s="1" t="str">
        <f t="shared" si="162"/>
        <v/>
      </c>
      <c r="U1980" s="1">
        <f t="shared" si="163"/>
        <v>0</v>
      </c>
      <c r="W1980" s="6">
        <f t="shared" si="166"/>
        <v>0</v>
      </c>
      <c r="X1980" s="6">
        <f t="shared" si="158"/>
        <v>0</v>
      </c>
      <c r="Y1980" s="1">
        <f t="shared" si="164"/>
        <v>1</v>
      </c>
      <c r="Z1980" s="1">
        <f>IF(COUNTIF($Y$6:Y1980,Y1980)=1,Y1980,Y1980+COUNTIF($Y$5:Y1979,Y1980))</f>
        <v>975</v>
      </c>
      <c r="AD1980" s="1" t="str">
        <f t="shared" si="165"/>
        <v/>
      </c>
      <c r="BA1980" s="1">
        <f>IF(W1980&lt;=Leltar_iv!$Y$1,I1980,0)</f>
        <v>0</v>
      </c>
    </row>
    <row r="1981" spans="1:53" s="1" customFormat="1" x14ac:dyDescent="0.25">
      <c r="A1981" s="18">
        <f>IF(COUNTIF($Y$6:Y1981,Y1981)=1,Y1981,Y1981+COUNTIF($Y$5:Y1980,Y1981))</f>
        <v>976</v>
      </c>
      <c r="B1981" s="1">
        <f>IF(AND(Kisero_iv!$N$2=C1981,Kisero_iv!$K$5=$B$3,SUM(I1981:L1985)&lt;&gt;0,$B$4=YEAR(W1981)),B1980+1,0)</f>
        <v>0</v>
      </c>
      <c r="C1981" s="1">
        <f t="shared" si="159"/>
        <v>976</v>
      </c>
      <c r="D1981" s="102" t="str">
        <f t="shared" si="160"/>
        <v/>
      </c>
      <c r="E1981" s="44"/>
      <c r="F1981" s="45"/>
      <c r="G1981" s="45"/>
      <c r="H1981" s="45"/>
      <c r="I1981" s="46"/>
      <c r="J1981" s="111" t="str">
        <f>IF(AND(G1981&lt;&gt;"",ISERROR(VLOOKUP(G1981,Keszlet!$C$5:$H$200,6,FALSE))=FALSE),VLOOKUP(G1981,Keszlet!$C$5:$H$200,6,FALSE),"")</f>
        <v/>
      </c>
      <c r="K1981" s="106" t="str">
        <f>IF(AND(G1981&lt;&gt;"",ISERROR(VLOOKUP(G1981,Keszlet!$C$5:$G$200,5,FALSE))=FALSE),VLOOKUP(G1981,Keszlet!$C$5:$G$200,5,FALSE),"")</f>
        <v/>
      </c>
      <c r="L1981" s="106" t="str">
        <f t="shared" si="161"/>
        <v/>
      </c>
      <c r="M1981" s="115" t="str">
        <f>IF(ISERROR(VLOOKUP(G1981,Keszlet!$C$5:$I$200,7,FALSE))=TRUE,"",IF(AND(J1980&lt;&gt;"",J1982=""),VLOOKUP(G1981,Keszlet!$C$5:$I$200,7,FALSE),""))</f>
        <v/>
      </c>
      <c r="Q1981" s="1">
        <f>VLOOKUP(G1981,Keszlet!$C$5:$E$205,3,FALSE)</f>
        <v>0</v>
      </c>
      <c r="T1981" s="1" t="str">
        <f t="shared" si="162"/>
        <v/>
      </c>
      <c r="U1981" s="1">
        <f t="shared" si="163"/>
        <v>0</v>
      </c>
      <c r="W1981" s="6">
        <f t="shared" si="166"/>
        <v>0</v>
      </c>
      <c r="X1981" s="6">
        <f t="shared" si="158"/>
        <v>0</v>
      </c>
      <c r="Y1981" s="1">
        <f t="shared" si="164"/>
        <v>1</v>
      </c>
      <c r="Z1981" s="1">
        <f>IF(COUNTIF($Y$6:Y1981,Y1981)=1,Y1981,Y1981+COUNTIF($Y$5:Y1980,Y1981))</f>
        <v>976</v>
      </c>
      <c r="AD1981" s="1" t="str">
        <f t="shared" si="165"/>
        <v/>
      </c>
      <c r="BA1981" s="1">
        <f>IF(W1981&lt;=Leltar_iv!$Y$1,I1981,0)</f>
        <v>0</v>
      </c>
    </row>
    <row r="1982" spans="1:53" s="1" customFormat="1" x14ac:dyDescent="0.25">
      <c r="A1982" s="18">
        <f>IF(COUNTIF($Y$6:Y1982,Y1982)=1,Y1982,Y1982+COUNTIF($Y$5:Y1981,Y1982))</f>
        <v>977</v>
      </c>
      <c r="B1982" s="1">
        <f>IF(AND(Kisero_iv!$N$2=C1982,Kisero_iv!$K$5=$B$3,SUM(I1982:L1986)&lt;&gt;0,$B$4=YEAR(W1982)),B1981+1,0)</f>
        <v>0</v>
      </c>
      <c r="C1982" s="1">
        <f t="shared" si="159"/>
        <v>977</v>
      </c>
      <c r="D1982" s="102" t="str">
        <f t="shared" si="160"/>
        <v/>
      </c>
      <c r="E1982" s="44"/>
      <c r="F1982" s="45"/>
      <c r="G1982" s="45"/>
      <c r="H1982" s="45"/>
      <c r="I1982" s="46"/>
      <c r="J1982" s="111" t="str">
        <f>IF(AND(G1982&lt;&gt;"",ISERROR(VLOOKUP(G1982,Keszlet!$C$5:$H$200,6,FALSE))=FALSE),VLOOKUP(G1982,Keszlet!$C$5:$H$200,6,FALSE),"")</f>
        <v/>
      </c>
      <c r="K1982" s="106" t="str">
        <f>IF(AND(G1982&lt;&gt;"",ISERROR(VLOOKUP(G1982,Keszlet!$C$5:$G$200,5,FALSE))=FALSE),VLOOKUP(G1982,Keszlet!$C$5:$G$200,5,FALSE),"")</f>
        <v/>
      </c>
      <c r="L1982" s="106" t="str">
        <f t="shared" si="161"/>
        <v/>
      </c>
      <c r="M1982" s="115" t="str">
        <f>IF(ISERROR(VLOOKUP(G1982,Keszlet!$C$5:$I$200,7,FALSE))=TRUE,"",IF(AND(J1981&lt;&gt;"",J1983=""),VLOOKUP(G1982,Keszlet!$C$5:$I$200,7,FALSE),""))</f>
        <v/>
      </c>
      <c r="Q1982" s="1">
        <f>VLOOKUP(G1982,Keszlet!$C$5:$E$205,3,FALSE)</f>
        <v>0</v>
      </c>
      <c r="T1982" s="1" t="str">
        <f t="shared" si="162"/>
        <v/>
      </c>
      <c r="U1982" s="1">
        <f t="shared" si="163"/>
        <v>0</v>
      </c>
      <c r="W1982" s="6">
        <f t="shared" si="166"/>
        <v>0</v>
      </c>
      <c r="X1982" s="6">
        <f t="shared" si="158"/>
        <v>0</v>
      </c>
      <c r="Y1982" s="1">
        <f t="shared" si="164"/>
        <v>1</v>
      </c>
      <c r="Z1982" s="1">
        <f>IF(COUNTIF($Y$6:Y1982,Y1982)=1,Y1982,Y1982+COUNTIF($Y$5:Y1981,Y1982))</f>
        <v>977</v>
      </c>
      <c r="AD1982" s="1" t="str">
        <f t="shared" si="165"/>
        <v/>
      </c>
      <c r="BA1982" s="1">
        <f>IF(W1982&lt;=Leltar_iv!$Y$1,I1982,0)</f>
        <v>0</v>
      </c>
    </row>
    <row r="1983" spans="1:53" s="1" customFormat="1" x14ac:dyDescent="0.25">
      <c r="A1983" s="18">
        <f>IF(COUNTIF($Y$6:Y1983,Y1983)=1,Y1983,Y1983+COUNTIF($Y$5:Y1982,Y1983))</f>
        <v>978</v>
      </c>
      <c r="B1983" s="1">
        <f>IF(AND(Kisero_iv!$N$2=C1983,Kisero_iv!$K$5=$B$3,SUM(I1983:L1987)&lt;&gt;0,$B$4=YEAR(W1983)),B1982+1,0)</f>
        <v>0</v>
      </c>
      <c r="C1983" s="1">
        <f t="shared" si="159"/>
        <v>978</v>
      </c>
      <c r="D1983" s="102" t="str">
        <f t="shared" si="160"/>
        <v/>
      </c>
      <c r="E1983" s="44"/>
      <c r="F1983" s="45"/>
      <c r="G1983" s="45"/>
      <c r="H1983" s="45"/>
      <c r="I1983" s="46"/>
      <c r="J1983" s="111" t="str">
        <f>IF(AND(G1983&lt;&gt;"",ISERROR(VLOOKUP(G1983,Keszlet!$C$5:$H$200,6,FALSE))=FALSE),VLOOKUP(G1983,Keszlet!$C$5:$H$200,6,FALSE),"")</f>
        <v/>
      </c>
      <c r="K1983" s="106" t="str">
        <f>IF(AND(G1983&lt;&gt;"",ISERROR(VLOOKUP(G1983,Keszlet!$C$5:$G$200,5,FALSE))=FALSE),VLOOKUP(G1983,Keszlet!$C$5:$G$200,5,FALSE),"")</f>
        <v/>
      </c>
      <c r="L1983" s="106" t="str">
        <f t="shared" si="161"/>
        <v/>
      </c>
      <c r="M1983" s="115" t="str">
        <f>IF(ISERROR(VLOOKUP(G1983,Keszlet!$C$5:$I$200,7,FALSE))=TRUE,"",IF(AND(J1982&lt;&gt;"",J1984=""),VLOOKUP(G1983,Keszlet!$C$5:$I$200,7,FALSE),""))</f>
        <v/>
      </c>
      <c r="Q1983" s="1">
        <f>VLOOKUP(G1983,Keszlet!$C$5:$E$205,3,FALSE)</f>
        <v>0</v>
      </c>
      <c r="T1983" s="1" t="str">
        <f t="shared" si="162"/>
        <v/>
      </c>
      <c r="U1983" s="1">
        <f t="shared" si="163"/>
        <v>0</v>
      </c>
      <c r="W1983" s="6">
        <f t="shared" si="166"/>
        <v>0</v>
      </c>
      <c r="X1983" s="6">
        <f t="shared" si="158"/>
        <v>0</v>
      </c>
      <c r="Y1983" s="1">
        <f t="shared" si="164"/>
        <v>1</v>
      </c>
      <c r="Z1983" s="1">
        <f>IF(COUNTIF($Y$6:Y1983,Y1983)=1,Y1983,Y1983+COUNTIF($Y$5:Y1982,Y1983))</f>
        <v>978</v>
      </c>
      <c r="AD1983" s="1" t="str">
        <f t="shared" si="165"/>
        <v/>
      </c>
      <c r="BA1983" s="1">
        <f>IF(W1983&lt;=Leltar_iv!$Y$1,I1983,0)</f>
        <v>0</v>
      </c>
    </row>
    <row r="1984" spans="1:53" s="1" customFormat="1" x14ac:dyDescent="0.25">
      <c r="A1984" s="18">
        <f>IF(COUNTIF($Y$6:Y1984,Y1984)=1,Y1984,Y1984+COUNTIF($Y$5:Y1983,Y1984))</f>
        <v>979</v>
      </c>
      <c r="B1984" s="1">
        <f>IF(AND(Kisero_iv!$N$2=C1984,Kisero_iv!$K$5=$B$3,SUM(I1984:L1988)&lt;&gt;0,$B$4=YEAR(W1984)),B1983+1,0)</f>
        <v>0</v>
      </c>
      <c r="C1984" s="1">
        <f t="shared" si="159"/>
        <v>979</v>
      </c>
      <c r="D1984" s="102" t="str">
        <f t="shared" si="160"/>
        <v/>
      </c>
      <c r="E1984" s="44"/>
      <c r="F1984" s="45"/>
      <c r="G1984" s="45"/>
      <c r="H1984" s="45"/>
      <c r="I1984" s="46"/>
      <c r="J1984" s="111" t="str">
        <f>IF(AND(G1984&lt;&gt;"",ISERROR(VLOOKUP(G1984,Keszlet!$C$5:$H$200,6,FALSE))=FALSE),VLOOKUP(G1984,Keszlet!$C$5:$H$200,6,FALSE),"")</f>
        <v/>
      </c>
      <c r="K1984" s="106" t="str">
        <f>IF(AND(G1984&lt;&gt;"",ISERROR(VLOOKUP(G1984,Keszlet!$C$5:$G$200,5,FALSE))=FALSE),VLOOKUP(G1984,Keszlet!$C$5:$G$200,5,FALSE),"")</f>
        <v/>
      </c>
      <c r="L1984" s="106" t="str">
        <f t="shared" si="161"/>
        <v/>
      </c>
      <c r="M1984" s="115" t="str">
        <f>IF(ISERROR(VLOOKUP(G1984,Keszlet!$C$5:$I$200,7,FALSE))=TRUE,"",IF(AND(J1983&lt;&gt;"",J1985=""),VLOOKUP(G1984,Keszlet!$C$5:$I$200,7,FALSE),""))</f>
        <v/>
      </c>
      <c r="Q1984" s="1">
        <f>VLOOKUP(G1984,Keszlet!$C$5:$E$205,3,FALSE)</f>
        <v>0</v>
      </c>
      <c r="T1984" s="1" t="str">
        <f t="shared" si="162"/>
        <v/>
      </c>
      <c r="U1984" s="1">
        <f t="shared" si="163"/>
        <v>0</v>
      </c>
      <c r="W1984" s="6">
        <f t="shared" si="166"/>
        <v>0</v>
      </c>
      <c r="X1984" s="6">
        <f t="shared" si="158"/>
        <v>0</v>
      </c>
      <c r="Y1984" s="1">
        <f t="shared" si="164"/>
        <v>1</v>
      </c>
      <c r="Z1984" s="1">
        <f>IF(COUNTIF($Y$6:Y1984,Y1984)=1,Y1984,Y1984+COUNTIF($Y$5:Y1983,Y1984))</f>
        <v>979</v>
      </c>
      <c r="AD1984" s="1" t="str">
        <f t="shared" si="165"/>
        <v/>
      </c>
      <c r="BA1984" s="1">
        <f>IF(W1984&lt;=Leltar_iv!$Y$1,I1984,0)</f>
        <v>0</v>
      </c>
    </row>
    <row r="1985" spans="1:53" s="1" customFormat="1" x14ac:dyDescent="0.25">
      <c r="A1985" s="18">
        <f>IF(COUNTIF($Y$6:Y1985,Y1985)=1,Y1985,Y1985+COUNTIF($Y$5:Y1984,Y1985))</f>
        <v>980</v>
      </c>
      <c r="B1985" s="1">
        <f>IF(AND(Kisero_iv!$N$2=C1985,Kisero_iv!$K$5=$B$3,SUM(I1985:L1989)&lt;&gt;0,$B$4=YEAR(W1985)),B1984+1,0)</f>
        <v>0</v>
      </c>
      <c r="C1985" s="1">
        <f t="shared" si="159"/>
        <v>980</v>
      </c>
      <c r="D1985" s="102" t="str">
        <f t="shared" si="160"/>
        <v/>
      </c>
      <c r="E1985" s="44"/>
      <c r="F1985" s="45"/>
      <c r="G1985" s="45"/>
      <c r="H1985" s="45"/>
      <c r="I1985" s="46"/>
      <c r="J1985" s="111" t="str">
        <f>IF(AND(G1985&lt;&gt;"",ISERROR(VLOOKUP(G1985,Keszlet!$C$5:$H$200,6,FALSE))=FALSE),VLOOKUP(G1985,Keszlet!$C$5:$H$200,6,FALSE),"")</f>
        <v/>
      </c>
      <c r="K1985" s="106" t="str">
        <f>IF(AND(G1985&lt;&gt;"",ISERROR(VLOOKUP(G1985,Keszlet!$C$5:$G$200,5,FALSE))=FALSE),VLOOKUP(G1985,Keszlet!$C$5:$G$200,5,FALSE),"")</f>
        <v/>
      </c>
      <c r="L1985" s="106" t="str">
        <f t="shared" si="161"/>
        <v/>
      </c>
      <c r="M1985" s="115" t="str">
        <f>IF(ISERROR(VLOOKUP(G1985,Keszlet!$C$5:$I$200,7,FALSE))=TRUE,"",IF(AND(J1984&lt;&gt;"",J1986=""),VLOOKUP(G1985,Keszlet!$C$5:$I$200,7,FALSE),""))</f>
        <v/>
      </c>
      <c r="Q1985" s="1">
        <f>VLOOKUP(G1985,Keszlet!$C$5:$E$205,3,FALSE)</f>
        <v>0</v>
      </c>
      <c r="T1985" s="1" t="str">
        <f t="shared" si="162"/>
        <v/>
      </c>
      <c r="U1985" s="1">
        <f t="shared" si="163"/>
        <v>0</v>
      </c>
      <c r="W1985" s="6">
        <f t="shared" si="166"/>
        <v>0</v>
      </c>
      <c r="X1985" s="6">
        <f t="shared" si="158"/>
        <v>0</v>
      </c>
      <c r="Y1985" s="1">
        <f t="shared" si="164"/>
        <v>1</v>
      </c>
      <c r="Z1985" s="1">
        <f>IF(COUNTIF($Y$6:Y1985,Y1985)=1,Y1985,Y1985+COUNTIF($Y$5:Y1984,Y1985))</f>
        <v>980</v>
      </c>
      <c r="AD1985" s="1" t="str">
        <f t="shared" si="165"/>
        <v/>
      </c>
      <c r="BA1985" s="1">
        <f>IF(W1985&lt;=Leltar_iv!$Y$1,I1985,0)</f>
        <v>0</v>
      </c>
    </row>
    <row r="1986" spans="1:53" s="1" customFormat="1" x14ac:dyDescent="0.25">
      <c r="A1986" s="18">
        <f>IF(COUNTIF($Y$6:Y1986,Y1986)=1,Y1986,Y1986+COUNTIF($Y$5:Y1985,Y1986))</f>
        <v>981</v>
      </c>
      <c r="B1986" s="1">
        <f>IF(AND(Kisero_iv!$N$2=C1986,Kisero_iv!$K$5=$B$3,SUM(I1986:L1990)&lt;&gt;0,$B$4=YEAR(W1986)),B1985+1,0)</f>
        <v>0</v>
      </c>
      <c r="C1986" s="1">
        <f t="shared" si="159"/>
        <v>981</v>
      </c>
      <c r="D1986" s="102" t="str">
        <f t="shared" si="160"/>
        <v/>
      </c>
      <c r="E1986" s="44"/>
      <c r="F1986" s="45"/>
      <c r="G1986" s="45"/>
      <c r="H1986" s="45"/>
      <c r="I1986" s="46"/>
      <c r="J1986" s="111" t="str">
        <f>IF(AND(G1986&lt;&gt;"",ISERROR(VLOOKUP(G1986,Keszlet!$C$5:$H$200,6,FALSE))=FALSE),VLOOKUP(G1986,Keszlet!$C$5:$H$200,6,FALSE),"")</f>
        <v/>
      </c>
      <c r="K1986" s="106" t="str">
        <f>IF(AND(G1986&lt;&gt;"",ISERROR(VLOOKUP(G1986,Keszlet!$C$5:$G$200,5,FALSE))=FALSE),VLOOKUP(G1986,Keszlet!$C$5:$G$200,5,FALSE),"")</f>
        <v/>
      </c>
      <c r="L1986" s="106" t="str">
        <f t="shared" si="161"/>
        <v/>
      </c>
      <c r="M1986" s="115" t="str">
        <f>IF(ISERROR(VLOOKUP(G1986,Keszlet!$C$5:$I$200,7,FALSE))=TRUE,"",IF(AND(J1985&lt;&gt;"",J1987=""),VLOOKUP(G1986,Keszlet!$C$5:$I$200,7,FALSE),""))</f>
        <v/>
      </c>
      <c r="Q1986" s="1">
        <f>VLOOKUP(G1986,Keszlet!$C$5:$E$205,3,FALSE)</f>
        <v>0</v>
      </c>
      <c r="T1986" s="1" t="str">
        <f t="shared" si="162"/>
        <v/>
      </c>
      <c r="U1986" s="1">
        <f t="shared" si="163"/>
        <v>0</v>
      </c>
      <c r="W1986" s="6">
        <f t="shared" si="166"/>
        <v>0</v>
      </c>
      <c r="X1986" s="6">
        <f t="shared" si="158"/>
        <v>0</v>
      </c>
      <c r="Y1986" s="1">
        <f t="shared" si="164"/>
        <v>1</v>
      </c>
      <c r="Z1986" s="1">
        <f>IF(COUNTIF($Y$6:Y1986,Y1986)=1,Y1986,Y1986+COUNTIF($Y$5:Y1985,Y1986))</f>
        <v>981</v>
      </c>
      <c r="AD1986" s="1" t="str">
        <f t="shared" si="165"/>
        <v/>
      </c>
      <c r="BA1986" s="1">
        <f>IF(W1986&lt;=Leltar_iv!$Y$1,I1986,0)</f>
        <v>0</v>
      </c>
    </row>
    <row r="1987" spans="1:53" s="1" customFormat="1" x14ac:dyDescent="0.25">
      <c r="A1987" s="18">
        <f>IF(COUNTIF($Y$6:Y1987,Y1987)=1,Y1987,Y1987+COUNTIF($Y$5:Y1986,Y1987))</f>
        <v>982</v>
      </c>
      <c r="B1987" s="1">
        <f>IF(AND(Kisero_iv!$N$2=C1987,Kisero_iv!$K$5=$B$3,SUM(I1987:L1991)&lt;&gt;0,$B$4=YEAR(W1987)),B1986+1,0)</f>
        <v>0</v>
      </c>
      <c r="C1987" s="1">
        <f t="shared" si="159"/>
        <v>982</v>
      </c>
      <c r="D1987" s="102" t="str">
        <f t="shared" si="160"/>
        <v/>
      </c>
      <c r="E1987" s="44"/>
      <c r="F1987" s="45"/>
      <c r="G1987" s="45"/>
      <c r="H1987" s="45"/>
      <c r="I1987" s="46"/>
      <c r="J1987" s="111" t="str">
        <f>IF(AND(G1987&lt;&gt;"",ISERROR(VLOOKUP(G1987,Keszlet!$C$5:$H$200,6,FALSE))=FALSE),VLOOKUP(G1987,Keszlet!$C$5:$H$200,6,FALSE),"")</f>
        <v/>
      </c>
      <c r="K1987" s="106" t="str">
        <f>IF(AND(G1987&lt;&gt;"",ISERROR(VLOOKUP(G1987,Keszlet!$C$5:$G$200,5,FALSE))=FALSE),VLOOKUP(G1987,Keszlet!$C$5:$G$200,5,FALSE),"")</f>
        <v/>
      </c>
      <c r="L1987" s="106" t="str">
        <f t="shared" si="161"/>
        <v/>
      </c>
      <c r="M1987" s="115" t="str">
        <f>IF(ISERROR(VLOOKUP(G1987,Keszlet!$C$5:$I$200,7,FALSE))=TRUE,"",IF(AND(J1986&lt;&gt;"",J1988=""),VLOOKUP(G1987,Keszlet!$C$5:$I$200,7,FALSE),""))</f>
        <v/>
      </c>
      <c r="Q1987" s="1">
        <f>VLOOKUP(G1987,Keszlet!$C$5:$E$205,3,FALSE)</f>
        <v>0</v>
      </c>
      <c r="T1987" s="1" t="str">
        <f t="shared" si="162"/>
        <v/>
      </c>
      <c r="U1987" s="1">
        <f t="shared" si="163"/>
        <v>0</v>
      </c>
      <c r="W1987" s="6">
        <f t="shared" si="166"/>
        <v>0</v>
      </c>
      <c r="X1987" s="6">
        <f t="shared" si="158"/>
        <v>0</v>
      </c>
      <c r="Y1987" s="1">
        <f t="shared" si="164"/>
        <v>1</v>
      </c>
      <c r="Z1987" s="1">
        <f>IF(COUNTIF($Y$6:Y1987,Y1987)=1,Y1987,Y1987+COUNTIF($Y$5:Y1986,Y1987))</f>
        <v>982</v>
      </c>
      <c r="AD1987" s="1" t="str">
        <f t="shared" si="165"/>
        <v/>
      </c>
      <c r="BA1987" s="1">
        <f>IF(W1987&lt;=Leltar_iv!$Y$1,I1987,0)</f>
        <v>0</v>
      </c>
    </row>
    <row r="1988" spans="1:53" s="1" customFormat="1" x14ac:dyDescent="0.25">
      <c r="A1988" s="18">
        <f>IF(COUNTIF($Y$6:Y1988,Y1988)=1,Y1988,Y1988+COUNTIF($Y$5:Y1987,Y1988))</f>
        <v>983</v>
      </c>
      <c r="B1988" s="1">
        <f>IF(AND(Kisero_iv!$N$2=C1988,Kisero_iv!$K$5=$B$3,SUM(I1988:L1992)&lt;&gt;0,$B$4=YEAR(W1988)),B1987+1,0)</f>
        <v>0</v>
      </c>
      <c r="C1988" s="1">
        <f t="shared" si="159"/>
        <v>983</v>
      </c>
      <c r="D1988" s="102" t="str">
        <f t="shared" si="160"/>
        <v/>
      </c>
      <c r="E1988" s="44"/>
      <c r="F1988" s="45"/>
      <c r="G1988" s="45"/>
      <c r="H1988" s="45"/>
      <c r="I1988" s="46"/>
      <c r="J1988" s="111" t="str">
        <f>IF(AND(G1988&lt;&gt;"",ISERROR(VLOOKUP(G1988,Keszlet!$C$5:$H$200,6,FALSE))=FALSE),VLOOKUP(G1988,Keszlet!$C$5:$H$200,6,FALSE),"")</f>
        <v/>
      </c>
      <c r="K1988" s="106" t="str">
        <f>IF(AND(G1988&lt;&gt;"",ISERROR(VLOOKUP(G1988,Keszlet!$C$5:$G$200,5,FALSE))=FALSE),VLOOKUP(G1988,Keszlet!$C$5:$G$200,5,FALSE),"")</f>
        <v/>
      </c>
      <c r="L1988" s="106" t="str">
        <f t="shared" si="161"/>
        <v/>
      </c>
      <c r="M1988" s="115" t="str">
        <f>IF(ISERROR(VLOOKUP(G1988,Keszlet!$C$5:$I$200,7,FALSE))=TRUE,"",IF(AND(J1987&lt;&gt;"",J1989=""),VLOOKUP(G1988,Keszlet!$C$5:$I$200,7,FALSE),""))</f>
        <v/>
      </c>
      <c r="Q1988" s="1">
        <f>VLOOKUP(G1988,Keszlet!$C$5:$E$205,3,FALSE)</f>
        <v>0</v>
      </c>
      <c r="T1988" s="1" t="str">
        <f t="shared" si="162"/>
        <v/>
      </c>
      <c r="U1988" s="1">
        <f t="shared" si="163"/>
        <v>0</v>
      </c>
      <c r="W1988" s="6">
        <f t="shared" si="166"/>
        <v>0</v>
      </c>
      <c r="X1988" s="6">
        <f t="shared" si="158"/>
        <v>0</v>
      </c>
      <c r="Y1988" s="1">
        <f t="shared" si="164"/>
        <v>1</v>
      </c>
      <c r="Z1988" s="1">
        <f>IF(COUNTIF($Y$6:Y1988,Y1988)=1,Y1988,Y1988+COUNTIF($Y$5:Y1987,Y1988))</f>
        <v>983</v>
      </c>
      <c r="AD1988" s="1" t="str">
        <f t="shared" si="165"/>
        <v/>
      </c>
      <c r="BA1988" s="1">
        <f>IF(W1988&lt;=Leltar_iv!$Y$1,I1988,0)</f>
        <v>0</v>
      </c>
    </row>
    <row r="1989" spans="1:53" s="1" customFormat="1" x14ac:dyDescent="0.25">
      <c r="A1989" s="18">
        <f>IF(COUNTIF($Y$6:Y1989,Y1989)=1,Y1989,Y1989+COUNTIF($Y$5:Y1988,Y1989))</f>
        <v>984</v>
      </c>
      <c r="B1989" s="1">
        <f>IF(AND(Kisero_iv!$N$2=C1989,Kisero_iv!$K$5=$B$3,SUM(I1989:L1993)&lt;&gt;0,$B$4=YEAR(W1989)),B1988+1,0)</f>
        <v>0</v>
      </c>
      <c r="C1989" s="1">
        <f t="shared" si="159"/>
        <v>984</v>
      </c>
      <c r="D1989" s="102" t="str">
        <f t="shared" si="160"/>
        <v/>
      </c>
      <c r="E1989" s="44"/>
      <c r="F1989" s="45"/>
      <c r="G1989" s="45"/>
      <c r="H1989" s="45"/>
      <c r="I1989" s="46"/>
      <c r="J1989" s="111" t="str">
        <f>IF(AND(G1989&lt;&gt;"",ISERROR(VLOOKUP(G1989,Keszlet!$C$5:$H$200,6,FALSE))=FALSE),VLOOKUP(G1989,Keszlet!$C$5:$H$200,6,FALSE),"")</f>
        <v/>
      </c>
      <c r="K1989" s="106" t="str">
        <f>IF(AND(G1989&lt;&gt;"",ISERROR(VLOOKUP(G1989,Keszlet!$C$5:$G$200,5,FALSE))=FALSE),VLOOKUP(G1989,Keszlet!$C$5:$G$200,5,FALSE),"")</f>
        <v/>
      </c>
      <c r="L1989" s="106" t="str">
        <f t="shared" si="161"/>
        <v/>
      </c>
      <c r="M1989" s="115" t="str">
        <f>IF(ISERROR(VLOOKUP(G1989,Keszlet!$C$5:$I$200,7,FALSE))=TRUE,"",IF(AND(J1988&lt;&gt;"",J1990=""),VLOOKUP(G1989,Keszlet!$C$5:$I$200,7,FALSE),""))</f>
        <v/>
      </c>
      <c r="Q1989" s="1">
        <f>VLOOKUP(G1989,Keszlet!$C$5:$E$205,3,FALSE)</f>
        <v>0</v>
      </c>
      <c r="T1989" s="1" t="str">
        <f t="shared" si="162"/>
        <v/>
      </c>
      <c r="U1989" s="1">
        <f t="shared" si="163"/>
        <v>0</v>
      </c>
      <c r="W1989" s="6">
        <f t="shared" si="166"/>
        <v>0</v>
      </c>
      <c r="X1989" s="6">
        <f t="shared" si="158"/>
        <v>0</v>
      </c>
      <c r="Y1989" s="1">
        <f t="shared" si="164"/>
        <v>1</v>
      </c>
      <c r="Z1989" s="1">
        <f>IF(COUNTIF($Y$6:Y1989,Y1989)=1,Y1989,Y1989+COUNTIF($Y$5:Y1988,Y1989))</f>
        <v>984</v>
      </c>
      <c r="AD1989" s="1" t="str">
        <f t="shared" si="165"/>
        <v/>
      </c>
      <c r="BA1989" s="1">
        <f>IF(W1989&lt;=Leltar_iv!$Y$1,I1989,0)</f>
        <v>0</v>
      </c>
    </row>
    <row r="1990" spans="1:53" s="1" customFormat="1" x14ac:dyDescent="0.25">
      <c r="A1990" s="18">
        <f>IF(COUNTIF($Y$6:Y1990,Y1990)=1,Y1990,Y1990+COUNTIF($Y$5:Y1989,Y1990))</f>
        <v>985</v>
      </c>
      <c r="B1990" s="1">
        <f>IF(AND(Kisero_iv!$N$2=C1990,Kisero_iv!$K$5=$B$3,SUM(I1990:L1994)&lt;&gt;0,$B$4=YEAR(W1990)),B1989+1,0)</f>
        <v>0</v>
      </c>
      <c r="C1990" s="1">
        <f t="shared" si="159"/>
        <v>985</v>
      </c>
      <c r="D1990" s="102" t="str">
        <f t="shared" si="160"/>
        <v/>
      </c>
      <c r="E1990" s="44"/>
      <c r="F1990" s="45"/>
      <c r="G1990" s="45"/>
      <c r="H1990" s="45"/>
      <c r="I1990" s="46"/>
      <c r="J1990" s="111" t="str">
        <f>IF(AND(G1990&lt;&gt;"",ISERROR(VLOOKUP(G1990,Keszlet!$C$5:$H$200,6,FALSE))=FALSE),VLOOKUP(G1990,Keszlet!$C$5:$H$200,6,FALSE),"")</f>
        <v/>
      </c>
      <c r="K1990" s="106" t="str">
        <f>IF(AND(G1990&lt;&gt;"",ISERROR(VLOOKUP(G1990,Keszlet!$C$5:$G$200,5,FALSE))=FALSE),VLOOKUP(G1990,Keszlet!$C$5:$G$200,5,FALSE),"")</f>
        <v/>
      </c>
      <c r="L1990" s="106" t="str">
        <f t="shared" si="161"/>
        <v/>
      </c>
      <c r="M1990" s="115" t="str">
        <f>IF(ISERROR(VLOOKUP(G1990,Keszlet!$C$5:$I$200,7,FALSE))=TRUE,"",IF(AND(J1989&lt;&gt;"",J1991=""),VLOOKUP(G1990,Keszlet!$C$5:$I$200,7,FALSE),""))</f>
        <v/>
      </c>
      <c r="Q1990" s="1">
        <f>VLOOKUP(G1990,Keszlet!$C$5:$E$205,3,FALSE)</f>
        <v>0</v>
      </c>
      <c r="T1990" s="1" t="str">
        <f t="shared" si="162"/>
        <v/>
      </c>
      <c r="U1990" s="1">
        <f t="shared" si="163"/>
        <v>0</v>
      </c>
      <c r="W1990" s="6">
        <f t="shared" si="166"/>
        <v>0</v>
      </c>
      <c r="X1990" s="6">
        <f t="shared" si="158"/>
        <v>0</v>
      </c>
      <c r="Y1990" s="1">
        <f t="shared" si="164"/>
        <v>1</v>
      </c>
      <c r="Z1990" s="1">
        <f>IF(COUNTIF($Y$6:Y1990,Y1990)=1,Y1990,Y1990+COUNTIF($Y$5:Y1989,Y1990))</f>
        <v>985</v>
      </c>
      <c r="AD1990" s="1" t="str">
        <f t="shared" si="165"/>
        <v/>
      </c>
      <c r="BA1990" s="1">
        <f>IF(W1990&lt;=Leltar_iv!$Y$1,I1990,0)</f>
        <v>0</v>
      </c>
    </row>
    <row r="1991" spans="1:53" s="1" customFormat="1" x14ac:dyDescent="0.25">
      <c r="A1991" s="18">
        <f>IF(COUNTIF($Y$6:Y1991,Y1991)=1,Y1991,Y1991+COUNTIF($Y$5:Y1990,Y1991))</f>
        <v>986</v>
      </c>
      <c r="B1991" s="1">
        <f>IF(AND(Kisero_iv!$N$2=C1991,Kisero_iv!$K$5=$B$3,SUM(I1991:L1995)&lt;&gt;0,$B$4=YEAR(W1991)),B1990+1,0)</f>
        <v>0</v>
      </c>
      <c r="C1991" s="1">
        <f t="shared" si="159"/>
        <v>986</v>
      </c>
      <c r="D1991" s="102" t="str">
        <f t="shared" si="160"/>
        <v/>
      </c>
      <c r="E1991" s="44"/>
      <c r="F1991" s="45"/>
      <c r="G1991" s="45"/>
      <c r="H1991" s="45"/>
      <c r="I1991" s="46"/>
      <c r="J1991" s="111" t="str">
        <f>IF(AND(G1991&lt;&gt;"",ISERROR(VLOOKUP(G1991,Keszlet!$C$5:$H$200,6,FALSE))=FALSE),VLOOKUP(G1991,Keszlet!$C$5:$H$200,6,FALSE),"")</f>
        <v/>
      </c>
      <c r="K1991" s="106" t="str">
        <f>IF(AND(G1991&lt;&gt;"",ISERROR(VLOOKUP(G1991,Keszlet!$C$5:$G$200,5,FALSE))=FALSE),VLOOKUP(G1991,Keszlet!$C$5:$G$200,5,FALSE),"")</f>
        <v/>
      </c>
      <c r="L1991" s="106" t="str">
        <f t="shared" si="161"/>
        <v/>
      </c>
      <c r="M1991" s="115" t="str">
        <f>IF(ISERROR(VLOOKUP(G1991,Keszlet!$C$5:$I$200,7,FALSE))=TRUE,"",IF(AND(J1990&lt;&gt;"",J1992=""),VLOOKUP(G1991,Keszlet!$C$5:$I$200,7,FALSE),""))</f>
        <v/>
      </c>
      <c r="Q1991" s="1">
        <f>VLOOKUP(G1991,Keszlet!$C$5:$E$205,3,FALSE)</f>
        <v>0</v>
      </c>
      <c r="T1991" s="1" t="str">
        <f t="shared" si="162"/>
        <v/>
      </c>
      <c r="U1991" s="1">
        <f t="shared" si="163"/>
        <v>0</v>
      </c>
      <c r="W1991" s="6">
        <f t="shared" si="166"/>
        <v>0</v>
      </c>
      <c r="X1991" s="6">
        <f t="shared" si="158"/>
        <v>0</v>
      </c>
      <c r="Y1991" s="1">
        <f t="shared" si="164"/>
        <v>1</v>
      </c>
      <c r="Z1991" s="1">
        <f>IF(COUNTIF($Y$6:Y1991,Y1991)=1,Y1991,Y1991+COUNTIF($Y$5:Y1990,Y1991))</f>
        <v>986</v>
      </c>
      <c r="AD1991" s="1" t="str">
        <f t="shared" si="165"/>
        <v/>
      </c>
      <c r="BA1991" s="1">
        <f>IF(W1991&lt;=Leltar_iv!$Y$1,I1991,0)</f>
        <v>0</v>
      </c>
    </row>
    <row r="1992" spans="1:53" s="1" customFormat="1" x14ac:dyDescent="0.25">
      <c r="A1992" s="18">
        <f>IF(COUNTIF($Y$6:Y1992,Y1992)=1,Y1992,Y1992+COUNTIF($Y$5:Y1991,Y1992))</f>
        <v>987</v>
      </c>
      <c r="B1992" s="1">
        <f>IF(AND(Kisero_iv!$N$2=C1992,Kisero_iv!$K$5=$B$3,SUM(I1992:L1996)&lt;&gt;0,$B$4=YEAR(W1992)),B1991+1,0)</f>
        <v>0</v>
      </c>
      <c r="C1992" s="1">
        <f t="shared" si="159"/>
        <v>987</v>
      </c>
      <c r="D1992" s="102" t="str">
        <f t="shared" si="160"/>
        <v/>
      </c>
      <c r="E1992" s="44"/>
      <c r="F1992" s="45"/>
      <c r="G1992" s="45"/>
      <c r="H1992" s="45"/>
      <c r="I1992" s="46"/>
      <c r="J1992" s="111" t="str">
        <f>IF(AND(G1992&lt;&gt;"",ISERROR(VLOOKUP(G1992,Keszlet!$C$5:$H$200,6,FALSE))=FALSE),VLOOKUP(G1992,Keszlet!$C$5:$H$200,6,FALSE),"")</f>
        <v/>
      </c>
      <c r="K1992" s="106" t="str">
        <f>IF(AND(G1992&lt;&gt;"",ISERROR(VLOOKUP(G1992,Keszlet!$C$5:$G$200,5,FALSE))=FALSE),VLOOKUP(G1992,Keszlet!$C$5:$G$200,5,FALSE),"")</f>
        <v/>
      </c>
      <c r="L1992" s="106" t="str">
        <f t="shared" si="161"/>
        <v/>
      </c>
      <c r="M1992" s="115" t="str">
        <f>IF(ISERROR(VLOOKUP(G1992,Keszlet!$C$5:$I$200,7,FALSE))=TRUE,"",IF(AND(J1991&lt;&gt;"",J1993=""),VLOOKUP(G1992,Keszlet!$C$5:$I$200,7,FALSE),""))</f>
        <v/>
      </c>
      <c r="Q1992" s="1">
        <f>VLOOKUP(G1992,Keszlet!$C$5:$E$205,3,FALSE)</f>
        <v>0</v>
      </c>
      <c r="T1992" s="1" t="str">
        <f t="shared" si="162"/>
        <v/>
      </c>
      <c r="U1992" s="1">
        <f t="shared" si="163"/>
        <v>0</v>
      </c>
      <c r="W1992" s="6">
        <f t="shared" si="166"/>
        <v>0</v>
      </c>
      <c r="X1992" s="6">
        <f t="shared" si="158"/>
        <v>0</v>
      </c>
      <c r="Y1992" s="1">
        <f t="shared" si="164"/>
        <v>1</v>
      </c>
      <c r="Z1992" s="1">
        <f>IF(COUNTIF($Y$6:Y1992,Y1992)=1,Y1992,Y1992+COUNTIF($Y$5:Y1991,Y1992))</f>
        <v>987</v>
      </c>
      <c r="AD1992" s="1" t="str">
        <f t="shared" si="165"/>
        <v/>
      </c>
      <c r="BA1992" s="1">
        <f>IF(W1992&lt;=Leltar_iv!$Y$1,I1992,0)</f>
        <v>0</v>
      </c>
    </row>
    <row r="1993" spans="1:53" s="1" customFormat="1" x14ac:dyDescent="0.25">
      <c r="A1993" s="18">
        <f>IF(COUNTIF($Y$6:Y1993,Y1993)=1,Y1993,Y1993+COUNTIF($Y$5:Y1992,Y1993))</f>
        <v>988</v>
      </c>
      <c r="B1993" s="1">
        <f>IF(AND(Kisero_iv!$N$2=C1993,Kisero_iv!$K$5=$B$3,SUM(I1993:L1997)&lt;&gt;0,$B$4=YEAR(W1993)),B1992+1,0)</f>
        <v>0</v>
      </c>
      <c r="C1993" s="1">
        <f t="shared" si="159"/>
        <v>988</v>
      </c>
      <c r="D1993" s="102" t="str">
        <f t="shared" si="160"/>
        <v/>
      </c>
      <c r="E1993" s="44"/>
      <c r="F1993" s="45"/>
      <c r="G1993" s="45"/>
      <c r="H1993" s="45"/>
      <c r="I1993" s="46"/>
      <c r="J1993" s="111" t="str">
        <f>IF(AND(G1993&lt;&gt;"",ISERROR(VLOOKUP(G1993,Keszlet!$C$5:$H$200,6,FALSE))=FALSE),VLOOKUP(G1993,Keszlet!$C$5:$H$200,6,FALSE),"")</f>
        <v/>
      </c>
      <c r="K1993" s="106" t="str">
        <f>IF(AND(G1993&lt;&gt;"",ISERROR(VLOOKUP(G1993,Keszlet!$C$5:$G$200,5,FALSE))=FALSE),VLOOKUP(G1993,Keszlet!$C$5:$G$200,5,FALSE),"")</f>
        <v/>
      </c>
      <c r="L1993" s="106" t="str">
        <f t="shared" si="161"/>
        <v/>
      </c>
      <c r="M1993" s="115" t="str">
        <f>IF(ISERROR(VLOOKUP(G1993,Keszlet!$C$5:$I$200,7,FALSE))=TRUE,"",IF(AND(J1992&lt;&gt;"",J1994=""),VLOOKUP(G1993,Keszlet!$C$5:$I$200,7,FALSE),""))</f>
        <v/>
      </c>
      <c r="Q1993" s="1">
        <f>VLOOKUP(G1993,Keszlet!$C$5:$E$205,3,FALSE)</f>
        <v>0</v>
      </c>
      <c r="T1993" s="1" t="str">
        <f t="shared" si="162"/>
        <v/>
      </c>
      <c r="U1993" s="1">
        <f t="shared" si="163"/>
        <v>0</v>
      </c>
      <c r="W1993" s="6">
        <f t="shared" si="166"/>
        <v>0</v>
      </c>
      <c r="X1993" s="6">
        <f t="shared" si="158"/>
        <v>0</v>
      </c>
      <c r="Y1993" s="1">
        <f t="shared" si="164"/>
        <v>1</v>
      </c>
      <c r="Z1993" s="1">
        <f>IF(COUNTIF($Y$6:Y1993,Y1993)=1,Y1993,Y1993+COUNTIF($Y$5:Y1992,Y1993))</f>
        <v>988</v>
      </c>
      <c r="AD1993" s="1" t="str">
        <f t="shared" si="165"/>
        <v/>
      </c>
      <c r="BA1993" s="1">
        <f>IF(W1993&lt;=Leltar_iv!$Y$1,I1993,0)</f>
        <v>0</v>
      </c>
    </row>
    <row r="1994" spans="1:53" s="1" customFormat="1" x14ac:dyDescent="0.25">
      <c r="A1994" s="18">
        <f>IF(COUNTIF($Y$6:Y1994,Y1994)=1,Y1994,Y1994+COUNTIF($Y$5:Y1993,Y1994))</f>
        <v>989</v>
      </c>
      <c r="B1994" s="1">
        <f>IF(AND(Kisero_iv!$N$2=C1994,Kisero_iv!$K$5=$B$3,SUM(I1994:L1998)&lt;&gt;0,$B$4=YEAR(W1994)),B1993+1,0)</f>
        <v>0</v>
      </c>
      <c r="C1994" s="1">
        <f t="shared" si="159"/>
        <v>989</v>
      </c>
      <c r="D1994" s="102" t="str">
        <f t="shared" si="160"/>
        <v/>
      </c>
      <c r="E1994" s="44"/>
      <c r="F1994" s="45"/>
      <c r="G1994" s="45"/>
      <c r="H1994" s="45"/>
      <c r="I1994" s="46"/>
      <c r="J1994" s="111" t="str">
        <f>IF(AND(G1994&lt;&gt;"",ISERROR(VLOOKUP(G1994,Keszlet!$C$5:$H$200,6,FALSE))=FALSE),VLOOKUP(G1994,Keszlet!$C$5:$H$200,6,FALSE),"")</f>
        <v/>
      </c>
      <c r="K1994" s="106" t="str">
        <f>IF(AND(G1994&lt;&gt;"",ISERROR(VLOOKUP(G1994,Keszlet!$C$5:$G$200,5,FALSE))=FALSE),VLOOKUP(G1994,Keszlet!$C$5:$G$200,5,FALSE),"")</f>
        <v/>
      </c>
      <c r="L1994" s="106" t="str">
        <f t="shared" si="161"/>
        <v/>
      </c>
      <c r="M1994" s="115" t="str">
        <f>IF(ISERROR(VLOOKUP(G1994,Keszlet!$C$5:$I$200,7,FALSE))=TRUE,"",IF(AND(J1993&lt;&gt;"",J1995=""),VLOOKUP(G1994,Keszlet!$C$5:$I$200,7,FALSE),""))</f>
        <v/>
      </c>
      <c r="Q1994" s="1">
        <f>VLOOKUP(G1994,Keszlet!$C$5:$E$205,3,FALSE)</f>
        <v>0</v>
      </c>
      <c r="T1994" s="1" t="str">
        <f t="shared" si="162"/>
        <v/>
      </c>
      <c r="U1994" s="1">
        <f t="shared" si="163"/>
        <v>0</v>
      </c>
      <c r="W1994" s="6">
        <f t="shared" si="166"/>
        <v>0</v>
      </c>
      <c r="X1994" s="6">
        <f t="shared" si="158"/>
        <v>0</v>
      </c>
      <c r="Y1994" s="1">
        <f t="shared" si="164"/>
        <v>1</v>
      </c>
      <c r="Z1994" s="1">
        <f>IF(COUNTIF($Y$6:Y1994,Y1994)=1,Y1994,Y1994+COUNTIF($Y$5:Y1993,Y1994))</f>
        <v>989</v>
      </c>
      <c r="AD1994" s="1" t="str">
        <f t="shared" si="165"/>
        <v/>
      </c>
      <c r="BA1994" s="1">
        <f>IF(W1994&lt;=Leltar_iv!$Y$1,I1994,0)</f>
        <v>0</v>
      </c>
    </row>
    <row r="1995" spans="1:53" s="1" customFormat="1" x14ac:dyDescent="0.25">
      <c r="A1995" s="18">
        <f>IF(COUNTIF($Y$6:Y1995,Y1995)=1,Y1995,Y1995+COUNTIF($Y$5:Y1994,Y1995))</f>
        <v>990</v>
      </c>
      <c r="B1995" s="1">
        <f>IF(AND(Kisero_iv!$N$2=C1995,Kisero_iv!$K$5=$B$3,SUM(I1995:L1999)&lt;&gt;0,$B$4=YEAR(W1995)),B1994+1,0)</f>
        <v>0</v>
      </c>
      <c r="C1995" s="1">
        <f t="shared" si="159"/>
        <v>990</v>
      </c>
      <c r="D1995" s="102" t="str">
        <f t="shared" si="160"/>
        <v/>
      </c>
      <c r="E1995" s="44"/>
      <c r="F1995" s="45"/>
      <c r="G1995" s="45"/>
      <c r="H1995" s="45"/>
      <c r="I1995" s="46"/>
      <c r="J1995" s="111" t="str">
        <f>IF(AND(G1995&lt;&gt;"",ISERROR(VLOOKUP(G1995,Keszlet!$C$5:$H$200,6,FALSE))=FALSE),VLOOKUP(G1995,Keszlet!$C$5:$H$200,6,FALSE),"")</f>
        <v/>
      </c>
      <c r="K1995" s="106" t="str">
        <f>IF(AND(G1995&lt;&gt;"",ISERROR(VLOOKUP(G1995,Keszlet!$C$5:$G$200,5,FALSE))=FALSE),VLOOKUP(G1995,Keszlet!$C$5:$G$200,5,FALSE),"")</f>
        <v/>
      </c>
      <c r="L1995" s="106" t="str">
        <f t="shared" si="161"/>
        <v/>
      </c>
      <c r="M1995" s="115" t="str">
        <f>IF(ISERROR(VLOOKUP(G1995,Keszlet!$C$5:$I$200,7,FALSE))=TRUE,"",IF(AND(J1994&lt;&gt;"",J1996=""),VLOOKUP(G1995,Keszlet!$C$5:$I$200,7,FALSE),""))</f>
        <v/>
      </c>
      <c r="Q1995" s="1">
        <f>VLOOKUP(G1995,Keszlet!$C$5:$E$205,3,FALSE)</f>
        <v>0</v>
      </c>
      <c r="T1995" s="1" t="str">
        <f t="shared" si="162"/>
        <v/>
      </c>
      <c r="U1995" s="1">
        <f t="shared" si="163"/>
        <v>0</v>
      </c>
      <c r="W1995" s="6">
        <f t="shared" si="166"/>
        <v>0</v>
      </c>
      <c r="X1995" s="6">
        <f t="shared" si="158"/>
        <v>0</v>
      </c>
      <c r="Y1995" s="1">
        <f t="shared" si="164"/>
        <v>1</v>
      </c>
      <c r="Z1995" s="1">
        <f>IF(COUNTIF($Y$6:Y1995,Y1995)=1,Y1995,Y1995+COUNTIF($Y$5:Y1994,Y1995))</f>
        <v>990</v>
      </c>
      <c r="AD1995" s="1" t="str">
        <f t="shared" si="165"/>
        <v/>
      </c>
      <c r="BA1995" s="1">
        <f>IF(W1995&lt;=Leltar_iv!$Y$1,I1995,0)</f>
        <v>0</v>
      </c>
    </row>
    <row r="1996" spans="1:53" s="1" customFormat="1" x14ac:dyDescent="0.25">
      <c r="A1996" s="18">
        <f>IF(COUNTIF($Y$6:Y1996,Y1996)=1,Y1996,Y1996+COUNTIF($Y$5:Y1995,Y1996))</f>
        <v>991</v>
      </c>
      <c r="B1996" s="1">
        <f>IF(AND(Kisero_iv!$N$2=C1996,Kisero_iv!$K$5=$B$3,SUM(I1996:L2000)&lt;&gt;0,$B$4=YEAR(W1996)),B1995+1,0)</f>
        <v>0</v>
      </c>
      <c r="C1996" s="1">
        <f t="shared" si="159"/>
        <v>991</v>
      </c>
      <c r="D1996" s="102" t="str">
        <f t="shared" si="160"/>
        <v/>
      </c>
      <c r="E1996" s="44"/>
      <c r="F1996" s="45"/>
      <c r="G1996" s="45"/>
      <c r="H1996" s="45"/>
      <c r="I1996" s="46"/>
      <c r="J1996" s="111" t="str">
        <f>IF(AND(G1996&lt;&gt;"",ISERROR(VLOOKUP(G1996,Keszlet!$C$5:$H$200,6,FALSE))=FALSE),VLOOKUP(G1996,Keszlet!$C$5:$H$200,6,FALSE),"")</f>
        <v/>
      </c>
      <c r="K1996" s="106" t="str">
        <f>IF(AND(G1996&lt;&gt;"",ISERROR(VLOOKUP(G1996,Keszlet!$C$5:$G$200,5,FALSE))=FALSE),VLOOKUP(G1996,Keszlet!$C$5:$G$200,5,FALSE),"")</f>
        <v/>
      </c>
      <c r="L1996" s="106" t="str">
        <f t="shared" si="161"/>
        <v/>
      </c>
      <c r="M1996" s="115" t="str">
        <f>IF(ISERROR(VLOOKUP(G1996,Keszlet!$C$5:$I$200,7,FALSE))=TRUE,"",IF(AND(J1995&lt;&gt;"",J1997=""),VLOOKUP(G1996,Keszlet!$C$5:$I$200,7,FALSE),""))</f>
        <v/>
      </c>
      <c r="Q1996" s="1">
        <f>VLOOKUP(G1996,Keszlet!$C$5:$E$205,3,FALSE)</f>
        <v>0</v>
      </c>
      <c r="T1996" s="1" t="str">
        <f t="shared" si="162"/>
        <v/>
      </c>
      <c r="U1996" s="1">
        <f t="shared" si="163"/>
        <v>0</v>
      </c>
      <c r="W1996" s="6">
        <f t="shared" si="166"/>
        <v>0</v>
      </c>
      <c r="X1996" s="6">
        <f t="shared" si="158"/>
        <v>0</v>
      </c>
      <c r="Y1996" s="1">
        <f t="shared" si="164"/>
        <v>1</v>
      </c>
      <c r="Z1996" s="1">
        <f>IF(COUNTIF($Y$6:Y1996,Y1996)=1,Y1996,Y1996+COUNTIF($Y$5:Y1995,Y1996))</f>
        <v>991</v>
      </c>
      <c r="AD1996" s="1" t="str">
        <f t="shared" si="165"/>
        <v/>
      </c>
      <c r="BA1996" s="1">
        <f>IF(W1996&lt;=Leltar_iv!$Y$1,I1996,0)</f>
        <v>0</v>
      </c>
    </row>
    <row r="1997" spans="1:53" s="1" customFormat="1" x14ac:dyDescent="0.25">
      <c r="A1997" s="18">
        <f>IF(COUNTIF($Y$6:Y1997,Y1997)=1,Y1997,Y1997+COUNTIF($Y$5:Y1996,Y1997))</f>
        <v>992</v>
      </c>
      <c r="B1997" s="1">
        <f>IF(AND(Kisero_iv!$N$2=C1997,Kisero_iv!$K$5=$B$3,SUM(I1997:L2001)&lt;&gt;0,$B$4=YEAR(W1997)),B1996+1,0)</f>
        <v>0</v>
      </c>
      <c r="C1997" s="1">
        <f t="shared" si="159"/>
        <v>992</v>
      </c>
      <c r="D1997" s="102" t="str">
        <f t="shared" si="160"/>
        <v/>
      </c>
      <c r="E1997" s="44"/>
      <c r="F1997" s="45"/>
      <c r="G1997" s="45"/>
      <c r="H1997" s="45"/>
      <c r="I1997" s="46"/>
      <c r="J1997" s="111" t="str">
        <f>IF(AND(G1997&lt;&gt;"",ISERROR(VLOOKUP(G1997,Keszlet!$C$5:$H$200,6,FALSE))=FALSE),VLOOKUP(G1997,Keszlet!$C$5:$H$200,6,FALSE),"")</f>
        <v/>
      </c>
      <c r="K1997" s="106" t="str">
        <f>IF(AND(G1997&lt;&gt;"",ISERROR(VLOOKUP(G1997,Keszlet!$C$5:$G$200,5,FALSE))=FALSE),VLOOKUP(G1997,Keszlet!$C$5:$G$200,5,FALSE),"")</f>
        <v/>
      </c>
      <c r="L1997" s="106" t="str">
        <f t="shared" si="161"/>
        <v/>
      </c>
      <c r="M1997" s="115" t="str">
        <f>IF(ISERROR(VLOOKUP(G1997,Keszlet!$C$5:$I$200,7,FALSE))=TRUE,"",IF(AND(J1996&lt;&gt;"",J1998=""),VLOOKUP(G1997,Keszlet!$C$5:$I$200,7,FALSE),""))</f>
        <v/>
      </c>
      <c r="Q1997" s="1">
        <f>VLOOKUP(G1997,Keszlet!$C$5:$E$205,3,FALSE)</f>
        <v>0</v>
      </c>
      <c r="T1997" s="1" t="str">
        <f t="shared" si="162"/>
        <v/>
      </c>
      <c r="U1997" s="1">
        <f t="shared" si="163"/>
        <v>0</v>
      </c>
      <c r="W1997" s="6">
        <f t="shared" si="166"/>
        <v>0</v>
      </c>
      <c r="X1997" s="6">
        <f t="shared" si="158"/>
        <v>0</v>
      </c>
      <c r="Y1997" s="1">
        <f t="shared" si="164"/>
        <v>1</v>
      </c>
      <c r="Z1997" s="1">
        <f>IF(COUNTIF($Y$6:Y1997,Y1997)=1,Y1997,Y1997+COUNTIF($Y$5:Y1996,Y1997))</f>
        <v>992</v>
      </c>
      <c r="AD1997" s="1" t="str">
        <f t="shared" si="165"/>
        <v/>
      </c>
      <c r="BA1997" s="1">
        <f>IF(W1997&lt;=Leltar_iv!$Y$1,I1997,0)</f>
        <v>0</v>
      </c>
    </row>
    <row r="1998" spans="1:53" s="1" customFormat="1" x14ac:dyDescent="0.25">
      <c r="A1998" s="18">
        <f>IF(COUNTIF($Y$6:Y1998,Y1998)=1,Y1998,Y1998+COUNTIF($Y$5:Y1997,Y1998))</f>
        <v>993</v>
      </c>
      <c r="B1998" s="1">
        <f>IF(AND(Kisero_iv!$N$2=C1998,Kisero_iv!$K$5=$B$3,SUM(I1998:L2002)&lt;&gt;0,$B$4=YEAR(W1998)),B1997+1,0)</f>
        <v>0</v>
      </c>
      <c r="C1998" s="1">
        <f t="shared" si="159"/>
        <v>993</v>
      </c>
      <c r="D1998" s="102" t="str">
        <f t="shared" si="160"/>
        <v/>
      </c>
      <c r="E1998" s="44"/>
      <c r="F1998" s="45"/>
      <c r="G1998" s="45"/>
      <c r="H1998" s="45"/>
      <c r="I1998" s="46"/>
      <c r="J1998" s="111" t="str">
        <f>IF(AND(G1998&lt;&gt;"",ISERROR(VLOOKUP(G1998,Keszlet!$C$5:$H$200,6,FALSE))=FALSE),VLOOKUP(G1998,Keszlet!$C$5:$H$200,6,FALSE),"")</f>
        <v/>
      </c>
      <c r="K1998" s="106" t="str">
        <f>IF(AND(G1998&lt;&gt;"",ISERROR(VLOOKUP(G1998,Keszlet!$C$5:$G$200,5,FALSE))=FALSE),VLOOKUP(G1998,Keszlet!$C$5:$G$200,5,FALSE),"")</f>
        <v/>
      </c>
      <c r="L1998" s="106" t="str">
        <f t="shared" si="161"/>
        <v/>
      </c>
      <c r="M1998" s="115" t="str">
        <f>IF(ISERROR(VLOOKUP(G1998,Keszlet!$C$5:$I$200,7,FALSE))=TRUE,"",IF(AND(J1997&lt;&gt;"",J1999=""),VLOOKUP(G1998,Keszlet!$C$5:$I$200,7,FALSE),""))</f>
        <v/>
      </c>
      <c r="Q1998" s="1">
        <f>VLOOKUP(G1998,Keszlet!$C$5:$E$205,3,FALSE)</f>
        <v>0</v>
      </c>
      <c r="T1998" s="1" t="str">
        <f t="shared" si="162"/>
        <v/>
      </c>
      <c r="U1998" s="1">
        <f t="shared" si="163"/>
        <v>0</v>
      </c>
      <c r="W1998" s="6">
        <f t="shared" si="166"/>
        <v>0</v>
      </c>
      <c r="X1998" s="6">
        <f t="shared" si="158"/>
        <v>0</v>
      </c>
      <c r="Y1998" s="1">
        <f t="shared" si="164"/>
        <v>1</v>
      </c>
      <c r="Z1998" s="1">
        <f>IF(COUNTIF($Y$6:Y1998,Y1998)=1,Y1998,Y1998+COUNTIF($Y$5:Y1997,Y1998))</f>
        <v>993</v>
      </c>
      <c r="AD1998" s="1" t="str">
        <f t="shared" si="165"/>
        <v/>
      </c>
      <c r="BA1998" s="1">
        <f>IF(W1998&lt;=Leltar_iv!$Y$1,I1998,0)</f>
        <v>0</v>
      </c>
    </row>
    <row r="1999" spans="1:53" s="1" customFormat="1" x14ac:dyDescent="0.25">
      <c r="A1999" s="18">
        <f>IF(COUNTIF($Y$6:Y1999,Y1999)=1,Y1999,Y1999+COUNTIF($Y$5:Y1998,Y1999))</f>
        <v>994</v>
      </c>
      <c r="B1999" s="1">
        <f>IF(AND(Kisero_iv!$N$2=C1999,Kisero_iv!$K$5=$B$3,SUM(I1999:L2003)&lt;&gt;0,$B$4=YEAR(W1999)),B1998+1,0)</f>
        <v>0</v>
      </c>
      <c r="C1999" s="1">
        <f t="shared" si="159"/>
        <v>994</v>
      </c>
      <c r="D1999" s="102" t="str">
        <f t="shared" si="160"/>
        <v/>
      </c>
      <c r="E1999" s="44"/>
      <c r="F1999" s="45"/>
      <c r="G1999" s="45"/>
      <c r="H1999" s="45"/>
      <c r="I1999" s="46"/>
      <c r="J1999" s="111" t="str">
        <f>IF(AND(G1999&lt;&gt;"",ISERROR(VLOOKUP(G1999,Keszlet!$C$5:$H$200,6,FALSE))=FALSE),VLOOKUP(G1999,Keszlet!$C$5:$H$200,6,FALSE),"")</f>
        <v/>
      </c>
      <c r="K1999" s="106" t="str">
        <f>IF(AND(G1999&lt;&gt;"",ISERROR(VLOOKUP(G1999,Keszlet!$C$5:$G$200,5,FALSE))=FALSE),VLOOKUP(G1999,Keszlet!$C$5:$G$200,5,FALSE),"")</f>
        <v/>
      </c>
      <c r="L1999" s="106" t="str">
        <f t="shared" si="161"/>
        <v/>
      </c>
      <c r="M1999" s="115" t="str">
        <f>IF(ISERROR(VLOOKUP(G1999,Keszlet!$C$5:$I$200,7,FALSE))=TRUE,"",IF(AND(J1998&lt;&gt;"",J2000=""),VLOOKUP(G1999,Keszlet!$C$5:$I$200,7,FALSE),""))</f>
        <v/>
      </c>
      <c r="Q1999" s="1">
        <f>VLOOKUP(G1999,Keszlet!$C$5:$E$205,3,FALSE)</f>
        <v>0</v>
      </c>
      <c r="T1999" s="1" t="str">
        <f t="shared" si="162"/>
        <v/>
      </c>
      <c r="U1999" s="1">
        <f t="shared" si="163"/>
        <v>0</v>
      </c>
      <c r="W1999" s="6">
        <f t="shared" si="166"/>
        <v>0</v>
      </c>
      <c r="X1999" s="6">
        <f t="shared" si="158"/>
        <v>0</v>
      </c>
      <c r="Y1999" s="1">
        <f t="shared" si="164"/>
        <v>1</v>
      </c>
      <c r="Z1999" s="1">
        <f>IF(COUNTIF($Y$6:Y1999,Y1999)=1,Y1999,Y1999+COUNTIF($Y$5:Y1998,Y1999))</f>
        <v>994</v>
      </c>
      <c r="AD1999" s="1" t="str">
        <f t="shared" si="165"/>
        <v/>
      </c>
      <c r="BA1999" s="1">
        <f>IF(W1999&lt;=Leltar_iv!$Y$1,I1999,0)</f>
        <v>0</v>
      </c>
    </row>
    <row r="2000" spans="1:53" s="1" customFormat="1" x14ac:dyDescent="0.25">
      <c r="A2000" s="18">
        <f>IF(COUNTIF($Y$6:Y2000,Y2000)=1,Y2000,Y2000+COUNTIF($Y$5:Y1999,Y2000))</f>
        <v>995</v>
      </c>
      <c r="B2000" s="1">
        <f>IF(AND(Kisero_iv!$N$2=C2000,Kisero_iv!$K$5=$B$3,SUM(I2000:L2004)&lt;&gt;0,$B$4=YEAR(W2000)),B1999+1,0)</f>
        <v>0</v>
      </c>
      <c r="C2000" s="1">
        <f t="shared" si="159"/>
        <v>995</v>
      </c>
      <c r="D2000" s="102" t="str">
        <f t="shared" si="160"/>
        <v/>
      </c>
      <c r="E2000" s="44"/>
      <c r="F2000" s="47"/>
      <c r="G2000" s="45"/>
      <c r="H2000" s="45"/>
      <c r="I2000" s="46"/>
      <c r="J2000" s="111" t="str">
        <f>IF(AND(G2000&lt;&gt;"",ISERROR(VLOOKUP(G2000,Keszlet!$C$5:$H$200,6,FALSE))=FALSE),VLOOKUP(G2000,Keszlet!$C$5:$H$200,6,FALSE),"")</f>
        <v/>
      </c>
      <c r="K2000" s="106" t="str">
        <f>IF(AND(G2000&lt;&gt;"",ISERROR(VLOOKUP(G2000,Keszlet!$C$5:$G$200,5,FALSE))=FALSE),VLOOKUP(G2000,Keszlet!$C$5:$G$200,5,FALSE),"")</f>
        <v/>
      </c>
      <c r="L2000" s="106" t="str">
        <f t="shared" si="161"/>
        <v/>
      </c>
      <c r="M2000" s="115" t="str">
        <f>IF(ISERROR(VLOOKUP(G2000,Keszlet!$C$5:$I$200,7,FALSE))=TRUE,"",IF(AND(J1999&lt;&gt;"",J2001=""),VLOOKUP(G2000,Keszlet!$C$5:$I$200,7,FALSE),""))</f>
        <v/>
      </c>
      <c r="Q2000" s="1">
        <f>VLOOKUP(G2000,Keszlet!$C$5:$E$205,3,FALSE)</f>
        <v>0</v>
      </c>
      <c r="T2000" s="1" t="str">
        <f t="shared" si="162"/>
        <v/>
      </c>
      <c r="U2000" s="1">
        <f t="shared" si="163"/>
        <v>0</v>
      </c>
      <c r="W2000" s="6">
        <f t="shared" si="166"/>
        <v>0</v>
      </c>
      <c r="X2000" s="6">
        <f t="shared" si="158"/>
        <v>0</v>
      </c>
      <c r="Y2000" s="1">
        <f t="shared" si="164"/>
        <v>1</v>
      </c>
      <c r="Z2000" s="1">
        <f>IF(COUNTIF($Y$6:Y2000,Y2000)=1,Y2000,Y2000+COUNTIF($Y$5:Y1999,Y2000))</f>
        <v>995</v>
      </c>
      <c r="AD2000" s="1" t="str">
        <f t="shared" si="165"/>
        <v/>
      </c>
      <c r="BA2000" s="1">
        <f>IF(W2000&lt;=Leltar_iv!$Y$1,I2000,0)</f>
        <v>0</v>
      </c>
    </row>
    <row r="2001" spans="1:24" s="1" customFormat="1" x14ac:dyDescent="0.25">
      <c r="A2001" s="18"/>
      <c r="D2001" s="102"/>
      <c r="E2001" s="42"/>
      <c r="F2001" s="42"/>
      <c r="G2001" s="42"/>
      <c r="H2001" s="42"/>
      <c r="I2001" s="48"/>
      <c r="J2001" s="106"/>
      <c r="K2001" s="106"/>
      <c r="L2001" s="106"/>
      <c r="M2001" s="107"/>
      <c r="W2001" s="6"/>
      <c r="X2001" s="6"/>
    </row>
  </sheetData>
  <sheetProtection algorithmName="SHA-512" hashValue="Dy9OTvUs9igvmKJN4FVPjUXSQvhTJNJ9fROv+9Vh+qtpK+y+PDszh4BGVvkhdToH/gXQ1f60C62PG2htYWfo1A==" saltValue="IAWQ8zYouXwYz0/ItH2ZvQ==" spinCount="100000" sheet="1" objects="1" scenarios="1"/>
  <mergeCells count="1">
    <mergeCell ref="E1004:I1004"/>
  </mergeCells>
  <phoneticPr fontId="2" type="noConversion"/>
  <conditionalFormatting sqref="D1006:M2000">
    <cfRule type="expression" dxfId="18" priority="3" stopIfTrue="1">
      <formula>$M1006=0</formula>
    </cfRule>
    <cfRule type="expression" dxfId="17" priority="4" stopIfTrue="1">
      <formula>$M1006&lt;0</formula>
    </cfRule>
  </conditionalFormatting>
  <conditionalFormatting sqref="E1006:I2001">
    <cfRule type="expression" dxfId="16" priority="2" stopIfTrue="1">
      <formula>ISERROR($Q1006)</formula>
    </cfRule>
  </conditionalFormatting>
  <conditionalFormatting sqref="D1007:M2000">
    <cfRule type="expression" dxfId="0" priority="1">
      <formula>YEAR($W1006)&lt;&gt;YEAR($W1007)</formula>
    </cfRule>
  </conditionalFormatting>
  <dataValidations count="7">
    <dataValidation type="list" allowBlank="1" showInputMessage="1" showErrorMessage="1" sqref="H201:H1000" xr:uid="{00000000-0002-0000-0200-000000000000}">
      <formula1>cimbev</formula1>
    </dataValidation>
    <dataValidation type="whole" operator="greaterThanOrEqual" allowBlank="1" showInputMessage="1" showErrorMessage="1" sqref="I201:J1000" xr:uid="{00000000-0002-0000-0200-000001000000}">
      <formula1>1</formula1>
    </dataValidation>
    <dataValidation type="date" operator="greaterThanOrEqual" allowBlank="1" showInputMessage="1" showErrorMessage="1" sqref="E201:E1000" xr:uid="{00000000-0002-0000-0200-000002000000}">
      <formula1>$D$1</formula1>
    </dataValidation>
    <dataValidation operator="greaterThanOrEqual" allowBlank="1" showInputMessage="1" showErrorMessage="1" sqref="D201:D1000 J1006:J2000 D1006:D2000" xr:uid="{00000000-0002-0000-0200-000003000000}"/>
    <dataValidation type="date" allowBlank="1" showErrorMessage="1" errorTitle="Hiba!" error="Ebbe az oszlopba csak dátum írható, növekvő sorrendben." sqref="E1006:E2000" xr:uid="{00000000-0002-0000-0200-000004000000}">
      <formula1>$E$1</formula1>
      <formula2>kvegez</formula2>
    </dataValidation>
    <dataValidation type="list" allowBlank="1" showInputMessage="1" showErrorMessage="1" errorTitle="Hiba" error="A helyes megnevezések elérhetőek a lenyílóban!_x000a_A lenyílóban azok a tételek jelennek meg, amiből van készlet." sqref="G1006:G2000" xr:uid="{00000000-0002-0000-0200-000005000000}">
      <formula1>cimkiad</formula1>
    </dataValidation>
    <dataValidation type="custom" operator="greaterThanOrEqual" allowBlank="1" showInputMessage="1" showErrorMessage="1" errorTitle="Hiba!" error="Nincs ennyi készlet!!!" sqref="I1006:I2000" xr:uid="{00000000-0002-0000-0200-000006000000}">
      <formula1>$M1006&gt;=0</formula1>
    </dataValidation>
  </dataValidations>
  <pageMargins left="0.75" right="0.75" top="1" bottom="1" header="0.5" footer="0.5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49"/>
  <sheetViews>
    <sheetView showGridLines="0" showRowColHeaders="0" topLeftCell="B1" workbookViewId="0">
      <selection activeCell="G3" sqref="G3"/>
    </sheetView>
  </sheetViews>
  <sheetFormatPr defaultColWidth="0" defaultRowHeight="12.75" zeroHeight="1" x14ac:dyDescent="0.2"/>
  <cols>
    <col min="1" max="1" width="0" style="1" hidden="1" customWidth="1"/>
    <col min="2" max="2" width="9.140625" style="1" customWidth="1"/>
    <col min="3" max="3" width="4.7109375" style="1" customWidth="1"/>
    <col min="4" max="4" width="48.140625" style="1" customWidth="1"/>
    <col min="5" max="5" width="10.28515625" style="1" customWidth="1"/>
    <col min="6" max="6" width="10.7109375" style="1" bestFit="1" customWidth="1"/>
    <col min="7" max="7" width="11.28515625" style="1" customWidth="1"/>
    <col min="8" max="8" width="10.7109375" style="1" customWidth="1"/>
    <col min="9" max="19" width="10.7109375" style="1" hidden="1" customWidth="1"/>
    <col min="20" max="20" width="31.7109375" style="1" hidden="1" customWidth="1"/>
    <col min="21" max="27" width="0" style="1" hidden="1" customWidth="1"/>
    <col min="28" max="16384" width="10.7109375" style="1" hidden="1"/>
  </cols>
  <sheetData>
    <row r="1" spans="3:27" ht="25.5" x14ac:dyDescent="0.2">
      <c r="C1" s="141" t="s">
        <v>107</v>
      </c>
      <c r="D1" s="142"/>
      <c r="E1" s="135" t="s">
        <v>9</v>
      </c>
      <c r="F1" s="135"/>
      <c r="G1" s="135"/>
      <c r="J1" s="100" t="s">
        <v>106</v>
      </c>
      <c r="N1" s="1">
        <f>IF(G2&lt;&gt;0,G2,YEAR(O1))</f>
        <v>1900</v>
      </c>
      <c r="O1" s="6">
        <f>MAX(Kiadas!W6:W2000)</f>
        <v>0</v>
      </c>
      <c r="AA1" s="6"/>
    </row>
    <row r="2" spans="3:27" ht="38.25" x14ac:dyDescent="0.2">
      <c r="C2" s="137" t="s">
        <v>85</v>
      </c>
      <c r="D2" s="138"/>
      <c r="E2" s="138"/>
      <c r="F2" s="138"/>
      <c r="G2" s="99"/>
      <c r="J2" s="100" t="s">
        <v>105</v>
      </c>
      <c r="K2" s="1" t="s">
        <v>38</v>
      </c>
      <c r="L2" s="1" t="s">
        <v>40</v>
      </c>
      <c r="M2" s="1" t="s">
        <v>42</v>
      </c>
      <c r="N2" s="1">
        <f>IF(G3&lt;&gt;0,G3,N5)</f>
        <v>0</v>
      </c>
      <c r="O2" s="8">
        <f>MAX(Kiadas!AD6:AD200)</f>
        <v>0</v>
      </c>
      <c r="AA2" s="6"/>
    </row>
    <row r="3" spans="3:27" ht="35.25" customHeight="1" x14ac:dyDescent="0.25">
      <c r="C3" s="137" t="s">
        <v>71</v>
      </c>
      <c r="D3" s="138"/>
      <c r="E3" s="138"/>
      <c r="F3" s="138"/>
      <c r="G3" s="99"/>
      <c r="J3" s="100" t="s">
        <v>106</v>
      </c>
      <c r="K3" s="1" t="s">
        <v>9</v>
      </c>
      <c r="L3" s="1" t="s">
        <v>39</v>
      </c>
      <c r="M3" s="1" t="s">
        <v>43</v>
      </c>
      <c r="N3" s="1" t="s">
        <v>8</v>
      </c>
      <c r="O3" s="8">
        <f>MAX(Kiadas!AD1006:AD10000)</f>
        <v>0</v>
      </c>
      <c r="AA3" s="6"/>
    </row>
    <row r="4" spans="3:27" ht="38.25" customHeight="1" x14ac:dyDescent="0.25">
      <c r="C4" s="36">
        <f>Keszlet!G3</f>
        <v>0</v>
      </c>
      <c r="K4" s="1" t="str">
        <f>IF(E1&lt;&gt;"",E1,K3)</f>
        <v>Anyagraktári kiadási utalvány</v>
      </c>
      <c r="N4" s="1">
        <f>MAX(Kiadas!B6:B10000)</f>
        <v>0</v>
      </c>
      <c r="AA4" s="6"/>
    </row>
    <row r="5" spans="3:27" x14ac:dyDescent="0.2">
      <c r="G5" s="2" t="str">
        <f>"Szám: "&amp;N1&amp;" / "&amp;N2</f>
        <v>Szám: 1900 / 0</v>
      </c>
      <c r="K5" s="1" t="str">
        <f>VLOOKUP(K4,K2:M3,3,FALSE)</f>
        <v>k</v>
      </c>
      <c r="N5" s="1">
        <f>VLOOKUP(K4,K2:O3,5,FALSE)</f>
        <v>0</v>
      </c>
      <c r="AA5" s="6"/>
    </row>
    <row r="6" spans="3:27" ht="18" x14ac:dyDescent="0.25">
      <c r="C6" s="136" t="str">
        <f>K4</f>
        <v>Anyagraktári kiadási utalvány</v>
      </c>
      <c r="D6" s="136"/>
      <c r="E6" s="136"/>
      <c r="F6" s="136"/>
      <c r="G6" s="136"/>
      <c r="N6" s="3"/>
      <c r="AA6" s="6"/>
    </row>
    <row r="7" spans="3:27" ht="23.25" customHeight="1" x14ac:dyDescent="0.2">
      <c r="C7" s="139" t="str">
        <f>VLOOKUP(K4,K2:L3,2,FALSE)</f>
        <v>Átvevő:</v>
      </c>
      <c r="D7" s="139"/>
      <c r="E7" s="139"/>
      <c r="F7" s="139"/>
      <c r="G7" s="139"/>
      <c r="AA7" s="6"/>
    </row>
    <row r="8" spans="3:27" ht="15.75" x14ac:dyDescent="0.25">
      <c r="C8" s="140" t="str">
        <f>IF(C11&lt;&gt;"",VLOOKUP(C11,Kiadas!$B$6:$W$10000,20,FALSE),"")</f>
        <v/>
      </c>
      <c r="D8" s="140"/>
      <c r="E8" s="140"/>
      <c r="F8" s="140"/>
      <c r="G8" s="140"/>
      <c r="AA8" s="6"/>
    </row>
    <row r="9" spans="3:27" x14ac:dyDescent="0.2">
      <c r="T9" s="1" t="s">
        <v>13</v>
      </c>
      <c r="AA9" s="6"/>
    </row>
    <row r="10" spans="3:27" x14ac:dyDescent="0.2">
      <c r="C10" s="38" t="s">
        <v>7</v>
      </c>
      <c r="D10" s="38" t="str">
        <f>IF(S10=10,T9,T10)</f>
        <v>Anyag megnevezése</v>
      </c>
      <c r="E10" s="38" t="s">
        <v>17</v>
      </c>
      <c r="F10" s="38" t="s">
        <v>1</v>
      </c>
      <c r="G10" s="38" t="s">
        <v>8</v>
      </c>
      <c r="S10" s="1">
        <f>COUNTIF(S11:S20,"")</f>
        <v>10</v>
      </c>
      <c r="T10" s="1" t="s">
        <v>83</v>
      </c>
      <c r="AA10" s="6"/>
    </row>
    <row r="11" spans="3:27" x14ac:dyDescent="0.2">
      <c r="C11" s="1" t="str">
        <f>IF(N11&lt;=$N$4,N11,"")</f>
        <v/>
      </c>
      <c r="D11" s="1" t="str">
        <f>IF(C11&lt;&gt;"",TRIM(T11&amp;" "&amp;S11),"")</f>
        <v/>
      </c>
      <c r="E11" s="14" t="str">
        <f>IF(C11&lt;&gt;"",K11&amp;" "&amp;L11,"")</f>
        <v/>
      </c>
      <c r="F11" s="15" t="str">
        <f>IF(C11&lt;&gt;"",VLOOKUP(C11,Kiadas!$B$6:$L$10000,10,FALSE),"")</f>
        <v/>
      </c>
      <c r="G11" s="15">
        <f>IF(C11&lt;&gt;"",K11*F11,IF(C10&lt;&gt;"",0,""))</f>
        <v>0</v>
      </c>
      <c r="K11" s="1" t="str">
        <f>IF(C11&lt;&gt;"",VLOOKUP(C11,Kiadas!$B$6:$L$10000,8,FALSE),"")</f>
        <v/>
      </c>
      <c r="L11" s="1" t="e">
        <f>VLOOKUP(U11,Keszlet!$C$5:$H$200,6,FALSE)</f>
        <v>#N/A</v>
      </c>
      <c r="N11" s="1">
        <v>1</v>
      </c>
      <c r="S11" s="1" t="str">
        <f>IF(C11&lt;&gt;"",IF(VLOOKUP(C11,Kiadas!$B$6:$L$10000,7,FALSE)&lt;&gt;0," / "&amp;VLOOKUP(C11,Kiadas!$B$6:$L$10000,7,FALSE),""),"")</f>
        <v/>
      </c>
      <c r="T11" s="1" t="str">
        <f>VLOOKUP(U11,Keszlet!$C$5:$E$205,3,FALSE)&amp;IF(VLOOKUP(U11,Keszlet!$C$5:$F$205,4,FALSE)&lt;&gt;0," - "&amp;VLOOKUP(U11,Keszlet!$C$5:$F$205,4,FALSE),"")</f>
        <v/>
      </c>
      <c r="U11" s="1" t="str">
        <f>IF(C11&lt;&gt;"",IF(VLOOKUP(C11,Kiadas!$B$6:$Q$10000,6,FALSE)&lt;&gt;0,VLOOKUP(C11,Kiadas!$B$6:$Q$10000,6,FALSE),""),"")</f>
        <v/>
      </c>
      <c r="AA11" s="6"/>
    </row>
    <row r="12" spans="3:27" x14ac:dyDescent="0.2">
      <c r="C12" s="1" t="str">
        <f t="shared" ref="C12:C20" si="0">IF(N12&lt;=$N$4,N12,"")</f>
        <v/>
      </c>
      <c r="D12" s="1" t="str">
        <f t="shared" ref="D12:D21" si="1">IF(C12&lt;&gt;"",TRIM(T12&amp;" "&amp;S12),"")</f>
        <v/>
      </c>
      <c r="E12" s="14" t="str">
        <f t="shared" ref="E12:E21" si="2">IF(C12&lt;&gt;"",K12&amp;" "&amp;L12,"")</f>
        <v/>
      </c>
      <c r="F12" s="15" t="str">
        <f>IF(C12&lt;&gt;"",VLOOKUP(C12,Kiadas!$B$6:$L$10000,10,FALSE),IF(C11&lt;&gt;"",$N$3,""))</f>
        <v/>
      </c>
      <c r="G12" s="15" t="str">
        <f>IF(C12&lt;&gt;"",K12*F12,IF(C11&lt;&gt;"",SUM($G$11:G11),""))</f>
        <v/>
      </c>
      <c r="K12" s="1" t="str">
        <f>IF(C12&lt;&gt;"",VLOOKUP(C12,Kiadas!$B$6:$L$10000,8,FALSE),"")</f>
        <v/>
      </c>
      <c r="L12" s="1" t="e">
        <f>VLOOKUP(U12,Keszlet!$C$5:$H$200,6,FALSE)</f>
        <v>#N/A</v>
      </c>
      <c r="N12" s="1">
        <v>2</v>
      </c>
      <c r="S12" s="1" t="str">
        <f>IF(C12&lt;&gt;"",IF(VLOOKUP(C12,Kiadas!$B$6:$L$10000,7,FALSE)&lt;&gt;0," / "&amp;VLOOKUP(C12,Kiadas!$B$6:$L$10000,7,FALSE),""),"")</f>
        <v/>
      </c>
      <c r="T12" s="1" t="str">
        <f>VLOOKUP(U12,Keszlet!$C$5:$E$205,3,FALSE)&amp;IF(VLOOKUP(U12,Keszlet!$C$5:$F$205,4,FALSE)&lt;&gt;0," - "&amp;VLOOKUP(U12,Keszlet!$C$5:$F$205,4,FALSE),"")</f>
        <v/>
      </c>
      <c r="U12" s="1" t="str">
        <f>IF(C12&lt;&gt;"",IF(VLOOKUP(C12,Kiadas!$B$6:$Q$10000,6,FALSE)&lt;&gt;0,VLOOKUP(C12,Kiadas!$B$6:$Q$10000,6,FALSE),""),"")</f>
        <v/>
      </c>
      <c r="AA12" s="6"/>
    </row>
    <row r="13" spans="3:27" x14ac:dyDescent="0.2">
      <c r="C13" s="1" t="str">
        <f t="shared" si="0"/>
        <v/>
      </c>
      <c r="D13" s="1" t="str">
        <f t="shared" si="1"/>
        <v/>
      </c>
      <c r="E13" s="14" t="str">
        <f t="shared" si="2"/>
        <v/>
      </c>
      <c r="F13" s="15" t="str">
        <f>IF(C13&lt;&gt;"",VLOOKUP(C13,Kiadas!$B$6:$L$10000,10,FALSE),IF(C12&lt;&gt;"",$N$3,""))</f>
        <v/>
      </c>
      <c r="G13" s="15" t="str">
        <f>IF(C13&lt;&gt;"",K13*F13,IF(C12&lt;&gt;"",SUM($G$11:G12),""))</f>
        <v/>
      </c>
      <c r="K13" s="1" t="str">
        <f>IF(C13&lt;&gt;"",VLOOKUP(C13,Kiadas!$B$6:$L$10000,8,FALSE),"")</f>
        <v/>
      </c>
      <c r="L13" s="1" t="e">
        <f>VLOOKUP(U13,Keszlet!$C$5:$H$200,6,FALSE)</f>
        <v>#N/A</v>
      </c>
      <c r="N13" s="1">
        <v>3</v>
      </c>
      <c r="S13" s="1" t="str">
        <f>IF(C13&lt;&gt;"",IF(VLOOKUP(C13,Kiadas!$B$6:$L$10000,7,FALSE)&lt;&gt;0," / "&amp;VLOOKUP(C13,Kiadas!$B$6:$L$10000,7,FALSE),""),"")</f>
        <v/>
      </c>
      <c r="T13" s="1" t="str">
        <f>VLOOKUP(U13,Keszlet!$C$5:$E$205,3,FALSE)&amp;IF(VLOOKUP(U13,Keszlet!$C$5:$F$205,4,FALSE)&lt;&gt;0," - "&amp;VLOOKUP(U13,Keszlet!$C$5:$F$205,4,FALSE),"")</f>
        <v/>
      </c>
      <c r="U13" s="1" t="str">
        <f>IF(C13&lt;&gt;"",IF(VLOOKUP(C13,Kiadas!$B$6:$Q$10000,6,FALSE)&lt;&gt;0,VLOOKUP(C13,Kiadas!$B$6:$Q$10000,6,FALSE),""),"")</f>
        <v/>
      </c>
      <c r="AA13" s="6"/>
    </row>
    <row r="14" spans="3:27" x14ac:dyDescent="0.2">
      <c r="C14" s="1" t="str">
        <f t="shared" si="0"/>
        <v/>
      </c>
      <c r="D14" s="1" t="str">
        <f t="shared" si="1"/>
        <v/>
      </c>
      <c r="E14" s="14" t="str">
        <f t="shared" si="2"/>
        <v/>
      </c>
      <c r="F14" s="15" t="str">
        <f>IF(C14&lt;&gt;"",VLOOKUP(C14,Kiadas!$B$6:$L$10000,10,FALSE),IF(C13&lt;&gt;"",$N$3,""))</f>
        <v/>
      </c>
      <c r="G14" s="15" t="str">
        <f>IF(C14&lt;&gt;"",K14*F14,IF(C13&lt;&gt;"",SUM($G$11:G13),""))</f>
        <v/>
      </c>
      <c r="K14" s="1" t="str">
        <f>IF(C14&lt;&gt;"",VLOOKUP(C14,Kiadas!$B$6:$L$10000,8,FALSE),"")</f>
        <v/>
      </c>
      <c r="L14" s="1" t="e">
        <f>VLOOKUP(U14,Keszlet!$C$5:$H$200,6,FALSE)</f>
        <v>#N/A</v>
      </c>
      <c r="N14" s="1">
        <v>4</v>
      </c>
      <c r="S14" s="1" t="str">
        <f>IF(C14&lt;&gt;"",IF(VLOOKUP(C14,Kiadas!$B$6:$L$10000,7,FALSE)&lt;&gt;0," / "&amp;VLOOKUP(C14,Kiadas!$B$6:$L$10000,7,FALSE),""),"")</f>
        <v/>
      </c>
      <c r="T14" s="1" t="str">
        <f>VLOOKUP(U14,Keszlet!$C$5:$E$205,3,FALSE)&amp;IF(VLOOKUP(U14,Keszlet!$C$5:$F$205,4,FALSE)&lt;&gt;0," - "&amp;VLOOKUP(U14,Keszlet!$C$5:$F$205,4,FALSE),"")</f>
        <v/>
      </c>
      <c r="U14" s="1" t="str">
        <f>IF(C14&lt;&gt;"",IF(VLOOKUP(C14,Kiadas!$B$6:$Q$10000,6,FALSE)&lt;&gt;0,VLOOKUP(C14,Kiadas!$B$6:$Q$10000,6,FALSE),""),"")</f>
        <v/>
      </c>
      <c r="AA14" s="6"/>
    </row>
    <row r="15" spans="3:27" x14ac:dyDescent="0.2">
      <c r="C15" s="1" t="str">
        <f t="shared" si="0"/>
        <v/>
      </c>
      <c r="D15" s="1" t="str">
        <f t="shared" si="1"/>
        <v/>
      </c>
      <c r="E15" s="14" t="str">
        <f t="shared" si="2"/>
        <v/>
      </c>
      <c r="F15" s="15" t="str">
        <f>IF(C15&lt;&gt;"",VLOOKUP(C15,Kiadas!$B$6:$L$10000,10,FALSE),IF(C14&lt;&gt;"",$N$3,""))</f>
        <v/>
      </c>
      <c r="G15" s="15" t="str">
        <f>IF(C15&lt;&gt;"",K15*F15,IF(C14&lt;&gt;"",SUM($G$11:G14),""))</f>
        <v/>
      </c>
      <c r="K15" s="1" t="str">
        <f>IF(C15&lt;&gt;"",VLOOKUP(C15,Kiadas!$B$6:$L$10000,8,FALSE),"")</f>
        <v/>
      </c>
      <c r="L15" s="1" t="e">
        <f>VLOOKUP(U15,Keszlet!$C$5:$H$200,6,FALSE)</f>
        <v>#N/A</v>
      </c>
      <c r="N15" s="1">
        <v>5</v>
      </c>
      <c r="S15" s="1" t="str">
        <f>IF(C15&lt;&gt;"",IF(VLOOKUP(C15,Kiadas!$B$6:$L$10000,7,FALSE)&lt;&gt;0," / "&amp;VLOOKUP(C15,Kiadas!$B$6:$L$10000,7,FALSE),""),"")</f>
        <v/>
      </c>
      <c r="T15" s="1" t="str">
        <f>VLOOKUP(U15,Keszlet!$C$5:$E$205,3,FALSE)&amp;IF(VLOOKUP(U15,Keszlet!$C$5:$F$205,4,FALSE)&lt;&gt;0," - "&amp;VLOOKUP(U15,Keszlet!$C$5:$F$205,4,FALSE),"")</f>
        <v/>
      </c>
      <c r="U15" s="1" t="str">
        <f>IF(C15&lt;&gt;"",IF(VLOOKUP(C15,Kiadas!$B$6:$Q$10000,6,FALSE)&lt;&gt;0,VLOOKUP(C15,Kiadas!$B$6:$Q$10000,6,FALSE),""),"")</f>
        <v/>
      </c>
      <c r="AA15" s="6"/>
    </row>
    <row r="16" spans="3:27" x14ac:dyDescent="0.2">
      <c r="C16" s="1" t="str">
        <f t="shared" si="0"/>
        <v/>
      </c>
      <c r="D16" s="1" t="str">
        <f t="shared" si="1"/>
        <v/>
      </c>
      <c r="E16" s="14" t="str">
        <f t="shared" si="2"/>
        <v/>
      </c>
      <c r="F16" s="15" t="str">
        <f>IF(C16&lt;&gt;"",VLOOKUP(C16,Kiadas!$B$6:$L$10000,10,FALSE),IF(C15&lt;&gt;"",$N$3,""))</f>
        <v/>
      </c>
      <c r="G16" s="15" t="str">
        <f>IF(C16&lt;&gt;"",K16*F16,IF(C15&lt;&gt;"",SUM($G$11:G15),""))</f>
        <v/>
      </c>
      <c r="K16" s="1" t="str">
        <f>IF(C16&lt;&gt;"",VLOOKUP(C16,Kiadas!$B$6:$L$10000,8,FALSE),"")</f>
        <v/>
      </c>
      <c r="L16" s="1" t="e">
        <f>VLOOKUP(U16,Keszlet!$C$5:$H$200,6,FALSE)</f>
        <v>#N/A</v>
      </c>
      <c r="N16" s="1">
        <v>6</v>
      </c>
      <c r="S16" s="1" t="str">
        <f>IF(C16&lt;&gt;"",IF(VLOOKUP(C16,Kiadas!$B$6:$L$10000,7,FALSE)&lt;&gt;0," / "&amp;VLOOKUP(C16,Kiadas!$B$6:$L$10000,7,FALSE),""),"")</f>
        <v/>
      </c>
      <c r="T16" s="1" t="str">
        <f>VLOOKUP(U16,Keszlet!$C$5:$E$205,3,FALSE)&amp;IF(VLOOKUP(U16,Keszlet!$C$5:$F$205,4,FALSE)&lt;&gt;0," - "&amp;VLOOKUP(U16,Keszlet!$C$5:$F$205,4,FALSE),"")</f>
        <v/>
      </c>
      <c r="U16" s="1" t="str">
        <f>IF(C16&lt;&gt;"",IF(VLOOKUP(C16,Kiadas!$B$6:$Q$10000,6,FALSE)&lt;&gt;0,VLOOKUP(C16,Kiadas!$B$6:$Q$10000,6,FALSE),""),"")</f>
        <v/>
      </c>
      <c r="AA16" s="6"/>
    </row>
    <row r="17" spans="3:27" x14ac:dyDescent="0.2">
      <c r="C17" s="1" t="str">
        <f t="shared" si="0"/>
        <v/>
      </c>
      <c r="D17" s="1" t="str">
        <f t="shared" si="1"/>
        <v/>
      </c>
      <c r="E17" s="14" t="str">
        <f t="shared" si="2"/>
        <v/>
      </c>
      <c r="F17" s="15" t="str">
        <f>IF(C17&lt;&gt;"",VLOOKUP(C17,Kiadas!$B$6:$L$10000,10,FALSE),IF(C16&lt;&gt;"",$N$3,""))</f>
        <v/>
      </c>
      <c r="G17" s="15" t="str">
        <f>IF(C17&lt;&gt;"",K17*F17,IF(C16&lt;&gt;"",SUM($G$11:G16),""))</f>
        <v/>
      </c>
      <c r="K17" s="1" t="str">
        <f>IF(C17&lt;&gt;"",VLOOKUP(C17,Kiadas!$B$6:$L$10000,8,FALSE),"")</f>
        <v/>
      </c>
      <c r="L17" s="1" t="e">
        <f>VLOOKUP(U17,Keszlet!$C$5:$H$200,6,FALSE)</f>
        <v>#N/A</v>
      </c>
      <c r="N17" s="1">
        <v>7</v>
      </c>
      <c r="S17" s="1" t="str">
        <f>IF(C17&lt;&gt;"",IF(VLOOKUP(C17,Kiadas!$B$6:$L$10000,7,FALSE)&lt;&gt;0," / "&amp;VLOOKUP(C17,Kiadas!$B$6:$L$10000,7,FALSE),""),"")</f>
        <v/>
      </c>
      <c r="T17" s="1" t="str">
        <f>VLOOKUP(U17,Keszlet!$C$5:$E$205,3,FALSE)&amp;IF(VLOOKUP(U17,Keszlet!$C$5:$F$205,4,FALSE)&lt;&gt;0," - "&amp;VLOOKUP(U17,Keszlet!$C$5:$F$205,4,FALSE),"")</f>
        <v/>
      </c>
      <c r="U17" s="1" t="str">
        <f>IF(C17&lt;&gt;"",IF(VLOOKUP(C17,Kiadas!$B$6:$Q$10000,6,FALSE)&lt;&gt;0,VLOOKUP(C17,Kiadas!$B$6:$Q$10000,6,FALSE),""),"")</f>
        <v/>
      </c>
      <c r="AA17" s="6"/>
    </row>
    <row r="18" spans="3:27" x14ac:dyDescent="0.2">
      <c r="C18" s="1" t="str">
        <f t="shared" si="0"/>
        <v/>
      </c>
      <c r="D18" s="1" t="str">
        <f t="shared" si="1"/>
        <v/>
      </c>
      <c r="E18" s="14" t="str">
        <f t="shared" si="2"/>
        <v/>
      </c>
      <c r="F18" s="15" t="str">
        <f>IF(C18&lt;&gt;"",VLOOKUP(C18,Kiadas!$B$6:$L$10000,10,FALSE),IF(C17&lt;&gt;"",$N$3,""))</f>
        <v/>
      </c>
      <c r="G18" s="15" t="str">
        <f>IF(C18&lt;&gt;"",K18*F18,IF(C17&lt;&gt;"",SUM($G$11:G17),""))</f>
        <v/>
      </c>
      <c r="K18" s="1" t="str">
        <f>IF(C18&lt;&gt;"",VLOOKUP(C18,Kiadas!$B$6:$L$10000,8,FALSE),"")</f>
        <v/>
      </c>
      <c r="L18" s="1" t="e">
        <f>VLOOKUP(U18,Keszlet!$C$5:$H$200,6,FALSE)</f>
        <v>#N/A</v>
      </c>
      <c r="N18" s="1">
        <v>8</v>
      </c>
      <c r="S18" s="1" t="str">
        <f>IF(C18&lt;&gt;"",IF(VLOOKUP(C18,Kiadas!$B$6:$L$10000,7,FALSE)&lt;&gt;0," / "&amp;VLOOKUP(C18,Kiadas!$B$6:$L$10000,7,FALSE),""),"")</f>
        <v/>
      </c>
      <c r="T18" s="1" t="str">
        <f>VLOOKUP(U18,Keszlet!$C$5:$E$205,3,FALSE)&amp;IF(VLOOKUP(U18,Keszlet!$C$5:$F$205,4,FALSE)&lt;&gt;0," - "&amp;VLOOKUP(U18,Keszlet!$C$5:$F$205,4,FALSE),"")</f>
        <v/>
      </c>
      <c r="U18" s="1" t="str">
        <f>IF(C18&lt;&gt;"",IF(VLOOKUP(C18,Kiadas!$B$6:$Q$10000,6,FALSE)&lt;&gt;0,VLOOKUP(C18,Kiadas!$B$6:$Q$10000,6,FALSE),""),"")</f>
        <v/>
      </c>
      <c r="AA18" s="6"/>
    </row>
    <row r="19" spans="3:27" x14ac:dyDescent="0.2">
      <c r="C19" s="1" t="str">
        <f t="shared" si="0"/>
        <v/>
      </c>
      <c r="D19" s="1" t="str">
        <f t="shared" si="1"/>
        <v/>
      </c>
      <c r="E19" s="14" t="str">
        <f t="shared" si="2"/>
        <v/>
      </c>
      <c r="F19" s="15" t="str">
        <f>IF(C19&lt;&gt;"",VLOOKUP(C19,Kiadas!$B$6:$L$10000,10,FALSE),IF(C18&lt;&gt;"",$N$3,""))</f>
        <v/>
      </c>
      <c r="G19" s="15" t="str">
        <f>IF(C19&lt;&gt;"",K19*F19,IF(C18&lt;&gt;"",SUM($G$11:G18),""))</f>
        <v/>
      </c>
      <c r="K19" s="1" t="str">
        <f>IF(C19&lt;&gt;"",VLOOKUP(C19,Kiadas!$B$6:$L$10000,8,FALSE),"")</f>
        <v/>
      </c>
      <c r="L19" s="1" t="e">
        <f>VLOOKUP(U19,Keszlet!$C$5:$H$200,6,FALSE)</f>
        <v>#N/A</v>
      </c>
      <c r="N19" s="1">
        <v>9</v>
      </c>
      <c r="S19" s="1" t="str">
        <f>IF(C19&lt;&gt;"",IF(VLOOKUP(C19,Kiadas!$B$6:$L$10000,7,FALSE)&lt;&gt;0," / "&amp;VLOOKUP(C19,Kiadas!$B$6:$L$10000,7,FALSE),""),"")</f>
        <v/>
      </c>
      <c r="T19" s="1" t="str">
        <f>VLOOKUP(U19,Keszlet!$C$5:$E$205,3,FALSE)&amp;IF(VLOOKUP(U19,Keszlet!$C$5:$F$205,4,FALSE)&lt;&gt;0," - "&amp;VLOOKUP(U19,Keszlet!$C$5:$F$205,4,FALSE),"")</f>
        <v/>
      </c>
      <c r="U19" s="1" t="str">
        <f>IF(C19&lt;&gt;"",IF(VLOOKUP(C19,Kiadas!$B$6:$Q$10000,6,FALSE)&lt;&gt;0,VLOOKUP(C19,Kiadas!$B$6:$Q$10000,6,FALSE),""),"")</f>
        <v/>
      </c>
      <c r="AA19" s="6"/>
    </row>
    <row r="20" spans="3:27" x14ac:dyDescent="0.2">
      <c r="C20" s="1" t="str">
        <f t="shared" si="0"/>
        <v/>
      </c>
      <c r="D20" s="1" t="str">
        <f t="shared" si="1"/>
        <v/>
      </c>
      <c r="E20" s="14" t="str">
        <f t="shared" si="2"/>
        <v/>
      </c>
      <c r="F20" s="15" t="str">
        <f>IF(C20&lt;&gt;"",VLOOKUP(C20,Kiadas!$B$6:$L$10000,10,FALSE),IF(C19&lt;&gt;"",$N$3,""))</f>
        <v/>
      </c>
      <c r="G20" s="15" t="str">
        <f>IF(C20&lt;&gt;"",K20*F20,IF(C19&lt;&gt;"",SUM($G$11:G19),""))</f>
        <v/>
      </c>
      <c r="K20" s="1" t="str">
        <f>IF(C20&lt;&gt;"",VLOOKUP(C20,Kiadas!$B$6:$L$10000,8,FALSE),"")</f>
        <v/>
      </c>
      <c r="L20" s="1" t="e">
        <f>VLOOKUP(U20,Keszlet!$C$5:$H$200,6,FALSE)</f>
        <v>#N/A</v>
      </c>
      <c r="N20" s="1">
        <v>10</v>
      </c>
      <c r="S20" s="1" t="str">
        <f>IF(C20&lt;&gt;"",IF(VLOOKUP(C20,Kiadas!$B$6:$L$10000,7,FALSE)&lt;&gt;0," / "&amp;VLOOKUP(C20,Kiadas!$B$6:$L$10000,7,FALSE),""),"")</f>
        <v/>
      </c>
      <c r="T20" s="1" t="str">
        <f>VLOOKUP(U20,Keszlet!$C$5:$E$205,3,FALSE)&amp;IF(VLOOKUP(U20,Keszlet!$C$5:$F$205,4,FALSE)&lt;&gt;0," - "&amp;VLOOKUP(U20,Keszlet!$C$5:$F$205,4,FALSE),"")</f>
        <v/>
      </c>
      <c r="U20" s="1" t="str">
        <f>IF(C20&lt;&gt;"",IF(VLOOKUP(C20,Kiadas!$B$6:$Q$10000,6,FALSE)&lt;&gt;0,VLOOKUP(C20,Kiadas!$B$6:$Q$10000,6,FALSE),""),"")</f>
        <v/>
      </c>
      <c r="AA20" s="6"/>
    </row>
    <row r="21" spans="3:27" x14ac:dyDescent="0.2">
      <c r="C21" s="1" t="str">
        <f>IF(N21&lt;=$N$4,N21,"")</f>
        <v/>
      </c>
      <c r="D21" s="1" t="str">
        <f t="shared" si="1"/>
        <v/>
      </c>
      <c r="E21" s="14" t="str">
        <f t="shared" si="2"/>
        <v/>
      </c>
      <c r="F21" s="15" t="str">
        <f>IF(C21&lt;&gt;"",VLOOKUP(C21,Kiadas!$B$6:$L$10000,10,FALSE),IF(C20&lt;&gt;"",$N$3,""))</f>
        <v/>
      </c>
      <c r="G21" s="15" t="str">
        <f>IF(C21&lt;&gt;"",K21*F21,IF(C20&lt;&gt;"",SUM($G$11:G20),""))</f>
        <v/>
      </c>
      <c r="K21" s="1" t="str">
        <f>IF(C21&lt;&gt;"",VLOOKUP(C21,Kiadas!$B$6:$L$10000,8,FALSE),"")</f>
        <v/>
      </c>
      <c r="L21" s="1" t="e">
        <f>VLOOKUP(U21,Keszlet!$C$5:$H$200,6,FALSE)</f>
        <v>#N/A</v>
      </c>
      <c r="N21" s="1">
        <v>100</v>
      </c>
      <c r="S21" s="1" t="str">
        <f>IF(C21&lt;&gt;"",IF(VLOOKUP(C21,Kiadas!$B$6:$L$10000,7,FALSE)&lt;&gt;0," / "&amp;VLOOKUP(C21,Kiadas!$B$6:$L$10000,7,FALSE),""),"")</f>
        <v/>
      </c>
      <c r="T21" s="1" t="str">
        <f>VLOOKUP(U21,Keszlet!$C$5:$E$205,3,FALSE)&amp;IF(VLOOKUP(U21,Keszlet!$C$5:$F$205,4,FALSE)&lt;&gt;0," - "&amp;VLOOKUP(U21,Keszlet!$C$5:$F$205,4,FALSE),"")</f>
        <v/>
      </c>
      <c r="U21" s="1" t="str">
        <f>IF(C21&lt;&gt;"",IF(VLOOKUP(C21,Kiadas!$B$6:$Q$10000,6,FALSE)&lt;&gt;0,VLOOKUP(C21,Kiadas!$B$6:$Q$10000,6,FALSE),""),"")</f>
        <v/>
      </c>
      <c r="AA21" s="6"/>
    </row>
    <row r="22" spans="3:27" x14ac:dyDescent="0.2">
      <c r="C22" s="1" t="s">
        <v>12</v>
      </c>
      <c r="D22" s="16" t="str">
        <f>IF(C11&lt;&gt;"",VLOOKUP(C11,Kiadas!$B$6:$W$10000,22,FALSE),"")</f>
        <v/>
      </c>
      <c r="E22" s="7"/>
      <c r="F22" s="7"/>
      <c r="G22" s="7"/>
      <c r="AA22" s="6"/>
    </row>
    <row r="23" spans="3:27" ht="26.25" customHeight="1" x14ac:dyDescent="0.2">
      <c r="D23" s="1" t="s">
        <v>11</v>
      </c>
      <c r="F23" s="1" t="s">
        <v>10</v>
      </c>
      <c r="AA23" s="6"/>
    </row>
    <row r="24" spans="3:27" x14ac:dyDescent="0.2">
      <c r="AA24" s="6"/>
    </row>
    <row r="25" spans="3:27" x14ac:dyDescent="0.2">
      <c r="AA25" s="6"/>
    </row>
    <row r="26" spans="3:27" ht="29.25" customHeight="1" x14ac:dyDescent="0.2">
      <c r="AA26" s="6"/>
    </row>
    <row r="27" spans="3:27" x14ac:dyDescent="0.2">
      <c r="C27" s="5"/>
      <c r="D27" s="5"/>
      <c r="E27" s="5"/>
      <c r="F27" s="5"/>
      <c r="G27" s="5"/>
      <c r="AA27" s="6"/>
    </row>
    <row r="28" spans="3:27" ht="86.25" customHeight="1" x14ac:dyDescent="0.25">
      <c r="C28" s="36">
        <f>C4</f>
        <v>0</v>
      </c>
      <c r="AA28" s="6"/>
    </row>
    <row r="29" spans="3:27" x14ac:dyDescent="0.2">
      <c r="G29" s="2" t="str">
        <f>G5</f>
        <v>Szám: 1900 / 0</v>
      </c>
      <c r="AA29" s="6"/>
    </row>
    <row r="30" spans="3:27" ht="18" x14ac:dyDescent="0.25">
      <c r="C30" s="136" t="str">
        <f>C6</f>
        <v>Anyagraktári kiadási utalvány</v>
      </c>
      <c r="D30" s="136"/>
      <c r="E30" s="136"/>
      <c r="F30" s="136"/>
      <c r="G30" s="136"/>
      <c r="AA30" s="6"/>
    </row>
    <row r="31" spans="3:27" ht="23.25" customHeight="1" x14ac:dyDescent="0.2">
      <c r="C31" s="133" t="str">
        <f>C7</f>
        <v>Átvevő:</v>
      </c>
      <c r="D31" s="133"/>
      <c r="E31" s="133"/>
      <c r="F31" s="133"/>
      <c r="G31" s="133"/>
    </row>
    <row r="32" spans="3:27" ht="15" customHeight="1" x14ac:dyDescent="0.2">
      <c r="C32" s="134" t="str">
        <f>C8</f>
        <v/>
      </c>
      <c r="D32" s="134"/>
      <c r="E32" s="134"/>
      <c r="F32" s="134"/>
      <c r="G32" s="134"/>
    </row>
    <row r="33" spans="3:7" x14ac:dyDescent="0.2"/>
    <row r="34" spans="3:7" x14ac:dyDescent="0.2">
      <c r="C34" s="1" t="str">
        <f t="shared" ref="C34:G42" si="3">C10</f>
        <v>Sz.</v>
      </c>
      <c r="D34" s="1" t="str">
        <f t="shared" si="3"/>
        <v>Anyag megnevezése</v>
      </c>
      <c r="E34" s="1" t="str">
        <f t="shared" si="3"/>
        <v>Mennyiség</v>
      </c>
      <c r="F34" s="1" t="str">
        <f t="shared" si="3"/>
        <v>Egységár</v>
      </c>
      <c r="G34" s="1" t="str">
        <f t="shared" si="3"/>
        <v>Összesen</v>
      </c>
    </row>
    <row r="35" spans="3:7" x14ac:dyDescent="0.2">
      <c r="C35" s="1" t="str">
        <f t="shared" si="3"/>
        <v/>
      </c>
      <c r="D35" s="1" t="str">
        <f t="shared" si="3"/>
        <v/>
      </c>
      <c r="E35" s="14" t="str">
        <f t="shared" si="3"/>
        <v/>
      </c>
      <c r="F35" s="15" t="str">
        <f t="shared" si="3"/>
        <v/>
      </c>
      <c r="G35" s="15">
        <f t="shared" si="3"/>
        <v>0</v>
      </c>
    </row>
    <row r="36" spans="3:7" x14ac:dyDescent="0.2">
      <c r="C36" s="1" t="str">
        <f t="shared" si="3"/>
        <v/>
      </c>
      <c r="D36" s="1" t="str">
        <f t="shared" si="3"/>
        <v/>
      </c>
      <c r="E36" s="14" t="str">
        <f t="shared" si="3"/>
        <v/>
      </c>
      <c r="F36" s="15" t="str">
        <f t="shared" si="3"/>
        <v/>
      </c>
      <c r="G36" s="15" t="str">
        <f t="shared" si="3"/>
        <v/>
      </c>
    </row>
    <row r="37" spans="3:7" x14ac:dyDescent="0.2">
      <c r="C37" s="1" t="str">
        <f t="shared" si="3"/>
        <v/>
      </c>
      <c r="D37" s="1" t="str">
        <f t="shared" si="3"/>
        <v/>
      </c>
      <c r="E37" s="14" t="str">
        <f t="shared" si="3"/>
        <v/>
      </c>
      <c r="F37" s="15" t="str">
        <f t="shared" si="3"/>
        <v/>
      </c>
      <c r="G37" s="15" t="str">
        <f t="shared" si="3"/>
        <v/>
      </c>
    </row>
    <row r="38" spans="3:7" x14ac:dyDescent="0.2">
      <c r="C38" s="1" t="str">
        <f t="shared" si="3"/>
        <v/>
      </c>
      <c r="D38" s="1" t="str">
        <f t="shared" si="3"/>
        <v/>
      </c>
      <c r="E38" s="14" t="str">
        <f t="shared" si="3"/>
        <v/>
      </c>
      <c r="F38" s="15" t="str">
        <f t="shared" si="3"/>
        <v/>
      </c>
      <c r="G38" s="15" t="str">
        <f t="shared" si="3"/>
        <v/>
      </c>
    </row>
    <row r="39" spans="3:7" x14ac:dyDescent="0.2">
      <c r="C39" s="1" t="str">
        <f t="shared" si="3"/>
        <v/>
      </c>
      <c r="D39" s="1" t="str">
        <f t="shared" si="3"/>
        <v/>
      </c>
      <c r="E39" s="14" t="str">
        <f t="shared" si="3"/>
        <v/>
      </c>
      <c r="F39" s="15" t="str">
        <f t="shared" si="3"/>
        <v/>
      </c>
      <c r="G39" s="15" t="str">
        <f t="shared" si="3"/>
        <v/>
      </c>
    </row>
    <row r="40" spans="3:7" x14ac:dyDescent="0.2">
      <c r="C40" s="1" t="str">
        <f t="shared" si="3"/>
        <v/>
      </c>
      <c r="D40" s="1" t="str">
        <f t="shared" si="3"/>
        <v/>
      </c>
      <c r="E40" s="14" t="str">
        <f t="shared" si="3"/>
        <v/>
      </c>
      <c r="F40" s="15" t="str">
        <f t="shared" si="3"/>
        <v/>
      </c>
      <c r="G40" s="15" t="str">
        <f t="shared" si="3"/>
        <v/>
      </c>
    </row>
    <row r="41" spans="3:7" x14ac:dyDescent="0.2">
      <c r="C41" s="1" t="str">
        <f t="shared" si="3"/>
        <v/>
      </c>
      <c r="D41" s="1" t="str">
        <f t="shared" si="3"/>
        <v/>
      </c>
      <c r="E41" s="14" t="str">
        <f t="shared" si="3"/>
        <v/>
      </c>
      <c r="F41" s="15" t="str">
        <f t="shared" si="3"/>
        <v/>
      </c>
      <c r="G41" s="15" t="str">
        <f t="shared" si="3"/>
        <v/>
      </c>
    </row>
    <row r="42" spans="3:7" x14ac:dyDescent="0.2">
      <c r="C42" s="1" t="str">
        <f t="shared" si="3"/>
        <v/>
      </c>
      <c r="D42" s="1" t="str">
        <f t="shared" si="3"/>
        <v/>
      </c>
      <c r="E42" s="14" t="str">
        <f t="shared" si="3"/>
        <v/>
      </c>
      <c r="F42" s="15" t="str">
        <f t="shared" si="3"/>
        <v/>
      </c>
      <c r="G42" s="15" t="str">
        <f t="shared" si="3"/>
        <v/>
      </c>
    </row>
    <row r="43" spans="3:7" x14ac:dyDescent="0.2">
      <c r="C43" s="1" t="str">
        <f>C19</f>
        <v/>
      </c>
      <c r="D43" s="1" t="str">
        <f>D19</f>
        <v/>
      </c>
      <c r="E43" s="14" t="str">
        <f>E19</f>
        <v/>
      </c>
      <c r="F43" s="15" t="str">
        <f>F19</f>
        <v/>
      </c>
      <c r="G43" s="15" t="str">
        <f>G19</f>
        <v/>
      </c>
    </row>
    <row r="44" spans="3:7" x14ac:dyDescent="0.2">
      <c r="C44" s="1" t="str">
        <f t="shared" ref="C44:G45" si="4">C20</f>
        <v/>
      </c>
      <c r="D44" s="1" t="str">
        <f t="shared" si="4"/>
        <v/>
      </c>
      <c r="E44" s="14" t="str">
        <f t="shared" si="4"/>
        <v/>
      </c>
      <c r="F44" s="15" t="str">
        <f t="shared" si="4"/>
        <v/>
      </c>
      <c r="G44" s="15" t="str">
        <f t="shared" si="4"/>
        <v/>
      </c>
    </row>
    <row r="45" spans="3:7" x14ac:dyDescent="0.2">
      <c r="C45" s="1" t="str">
        <f t="shared" si="4"/>
        <v/>
      </c>
      <c r="D45" s="1" t="str">
        <f t="shared" si="4"/>
        <v/>
      </c>
      <c r="E45" s="14" t="str">
        <f t="shared" si="4"/>
        <v/>
      </c>
      <c r="F45" s="15" t="str">
        <f t="shared" si="4"/>
        <v/>
      </c>
      <c r="G45" s="15" t="str">
        <f t="shared" si="4"/>
        <v/>
      </c>
    </row>
    <row r="46" spans="3:7" x14ac:dyDescent="0.2">
      <c r="C46" s="1" t="str">
        <f>C22</f>
        <v>Kelt:</v>
      </c>
      <c r="D46" s="16" t="str">
        <f>D22</f>
        <v/>
      </c>
      <c r="E46" s="7"/>
      <c r="F46" s="7"/>
      <c r="G46" s="7"/>
    </row>
    <row r="47" spans="3:7" ht="26.25" customHeight="1" x14ac:dyDescent="0.2">
      <c r="D47" s="1" t="str">
        <f>D23</f>
        <v>Átadta</v>
      </c>
      <c r="F47" s="1" t="str">
        <f>F23</f>
        <v>Átvette</v>
      </c>
    </row>
    <row r="48" spans="3:7" x14ac:dyDescent="0.2"/>
    <row r="49" x14ac:dyDescent="0.2"/>
  </sheetData>
  <sheetProtection algorithmName="SHA-512" hashValue="AUHaaTInDQ/XqC4k9RxYCQnSm/5BXVbfkRpqLbFaJJG26klzjoXmW3PwO3TSizLR5+LpgalW5qjOPfP2mHJvYw==" saltValue="rDlTMl34Di5Y4D94WiE5ag==" spinCount="100000" sheet="1" objects="1" scenarios="1"/>
  <mergeCells count="10">
    <mergeCell ref="C31:G31"/>
    <mergeCell ref="C32:G32"/>
    <mergeCell ref="E1:G1"/>
    <mergeCell ref="C6:G6"/>
    <mergeCell ref="C30:G30"/>
    <mergeCell ref="C2:F2"/>
    <mergeCell ref="C7:G7"/>
    <mergeCell ref="C8:G8"/>
    <mergeCell ref="C3:F3"/>
    <mergeCell ref="C1:D1"/>
  </mergeCells>
  <phoneticPr fontId="2" type="noConversion"/>
  <conditionalFormatting sqref="F10:G10 C10:E21 E34:G34 C34:D45 E35:E45">
    <cfRule type="expression" dxfId="15" priority="1" stopIfTrue="1">
      <formula>$G10&lt;&gt;""</formula>
    </cfRule>
  </conditionalFormatting>
  <conditionalFormatting sqref="F11:G21 F35:G45">
    <cfRule type="expression" dxfId="14" priority="2" stopIfTrue="1">
      <formula>$F11=$N$3</formula>
    </cfRule>
    <cfRule type="cellIs" dxfId="13" priority="3" stopIfTrue="1" operator="notEqual">
      <formula>""</formula>
    </cfRule>
  </conditionalFormatting>
  <dataValidations count="2">
    <dataValidation type="list" allowBlank="1" showInputMessage="1" showErrorMessage="1" sqref="E1:G1" xr:uid="{00000000-0002-0000-0300-000000000000}">
      <formula1>$K$2:$K$3</formula1>
    </dataValidation>
    <dataValidation type="whole" operator="greaterThanOrEqual" allowBlank="1" showInputMessage="1" showErrorMessage="1" sqref="G2" xr:uid="{8FC45CD6-9793-4F26-A578-C0B40838449B}">
      <formula1>2020</formula1>
    </dataValidation>
  </dataValidations>
  <pageMargins left="1.0236220472440944" right="0.6692913385826772" top="0.59055118110236227" bottom="0.98425196850393704" header="0.51181102362204722" footer="0.51181102362204722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47"/>
  <sheetViews>
    <sheetView showGridLines="0" showRowColHeaders="0" zoomScale="90" zoomScaleNormal="90" workbookViewId="0">
      <selection activeCell="F1" sqref="F1:K1"/>
    </sheetView>
  </sheetViews>
  <sheetFormatPr defaultColWidth="0" defaultRowHeight="12.75" zeroHeight="1" x14ac:dyDescent="0.2"/>
  <cols>
    <col min="1" max="1" width="9.140625" style="1" customWidth="1"/>
    <col min="2" max="2" width="5.28515625" style="1" customWidth="1"/>
    <col min="3" max="3" width="12.28515625" style="1" customWidth="1"/>
    <col min="4" max="4" width="10" style="1" customWidth="1"/>
    <col min="5" max="5" width="58.7109375" style="1" customWidth="1"/>
    <col min="6" max="8" width="9.7109375" style="1" customWidth="1"/>
    <col min="9" max="9" width="13.7109375" style="1" bestFit="1" customWidth="1"/>
    <col min="10" max="11" width="13.7109375" style="1" customWidth="1"/>
    <col min="12" max="12" width="10.7109375" style="1" customWidth="1"/>
    <col min="13" max="14" width="8.85546875" style="1" hidden="1" customWidth="1"/>
    <col min="15" max="15" width="19.5703125" style="1" hidden="1" customWidth="1"/>
    <col min="16" max="25" width="0" style="1" hidden="1" customWidth="1"/>
    <col min="26" max="16384" width="8.85546875" style="1" hidden="1"/>
  </cols>
  <sheetData>
    <row r="1" spans="1:25" s="18" customFormat="1" ht="18" x14ac:dyDescent="0.25">
      <c r="A1" s="140" t="s">
        <v>30</v>
      </c>
      <c r="B1" s="140"/>
      <c r="C1" s="140"/>
      <c r="D1" s="140"/>
      <c r="E1" s="147"/>
      <c r="F1" s="148"/>
      <c r="G1" s="149"/>
      <c r="H1" s="149"/>
      <c r="I1" s="149"/>
      <c r="J1" s="149"/>
      <c r="K1" s="149"/>
      <c r="O1" s="18">
        <f>F1</f>
        <v>0</v>
      </c>
      <c r="V1" s="19" t="s">
        <v>31</v>
      </c>
    </row>
    <row r="2" spans="1:25" ht="31.5" customHeight="1" x14ac:dyDescent="0.25">
      <c r="B2" s="145" t="str">
        <f>V1&amp;P4&amp;V2&amp;N3&amp;V3</f>
        <v>Ebben az anyagraktárkönyvben 0 lap van. Ebből jelenleg a(z) 1. lap látszik.
 A jobboldali, zöld cellában lehet megadni a listázni kívánt lap számát.</v>
      </c>
      <c r="C2" s="145"/>
      <c r="D2" s="145"/>
      <c r="E2" s="145"/>
      <c r="F2" s="145"/>
      <c r="G2" s="145"/>
      <c r="H2" s="145"/>
      <c r="I2" s="146"/>
      <c r="J2" s="26"/>
      <c r="O2" s="1" t="str">
        <f>VLOOKUP(O1,Keszlet!$C$5:$E$205,3,FALSE)&amp;IF(VLOOKUP(O1,Keszlet!$C$5:$F$205,4,FALSE)&lt;&gt;0," - "&amp;VLOOKUP(O1,Keszlet!$C$5:$F$205,4,FALSE),"")</f>
        <v/>
      </c>
      <c r="V2" s="1" t="s">
        <v>36</v>
      </c>
      <c r="Y2" s="20" t="s">
        <v>32</v>
      </c>
    </row>
    <row r="3" spans="1:25" ht="18" customHeight="1" x14ac:dyDescent="0.25">
      <c r="B3" s="18">
        <f>Keszlet!G3</f>
        <v>0</v>
      </c>
      <c r="N3" s="1">
        <f>IF(OR(J2=0,J2="",J2&gt;P4),1,J2)</f>
        <v>1</v>
      </c>
      <c r="O3" s="1">
        <f>IF(O1&lt;&gt;0,COUNTIF(Kiadas!G6:G10000,O1),0)</f>
        <v>0</v>
      </c>
      <c r="P3" s="1">
        <f>IF(O1&lt;&gt;0,COUNTIF(Kiadas!G6:G10000,O1),0)</f>
        <v>0</v>
      </c>
      <c r="R3" s="1" t="s">
        <v>28</v>
      </c>
      <c r="S3" s="1" t="s">
        <v>29</v>
      </c>
      <c r="T3" s="1" t="s">
        <v>34</v>
      </c>
      <c r="V3" s="27" t="s">
        <v>56</v>
      </c>
    </row>
    <row r="4" spans="1:25" ht="18" x14ac:dyDescent="0.25">
      <c r="B4" s="136" t="s">
        <v>24</v>
      </c>
      <c r="C4" s="136"/>
      <c r="D4" s="136"/>
      <c r="E4" s="136"/>
      <c r="F4" s="136"/>
      <c r="G4" s="136"/>
      <c r="H4" s="136"/>
      <c r="I4" s="136"/>
      <c r="J4" s="136"/>
      <c r="K4" s="136"/>
      <c r="O4" s="1">
        <f>IF(ISERROR(VLOOKUP(O1,Keszlet!C5:G1000,5,FALSE))=FALSE,VLOOKUP(O1,Keszlet!C5:G1000,5,FALSE),0)</f>
        <v>0</v>
      </c>
      <c r="P4" s="1">
        <f>ROUNDUP(P3/30,0)</f>
        <v>0</v>
      </c>
      <c r="Q4" s="1" t="str">
        <f>"&lt;="&amp;P5</f>
        <v>&lt;=0</v>
      </c>
      <c r="R4" s="1">
        <f>SUMIF(Kiadas!$A$6:$A$1000,Q4,Kiadas!$I$6:$I$1000)</f>
        <v>0</v>
      </c>
      <c r="S4" s="1">
        <f>SUMIF(Kiadas!$A$1006:$A$10000,Q4,Kiadas!$I$1006:$I$10000)</f>
        <v>0</v>
      </c>
      <c r="T4" s="1">
        <f>SUM(R4,-S4)</f>
        <v>0</v>
      </c>
      <c r="V4" s="1" t="s">
        <v>33</v>
      </c>
    </row>
    <row r="5" spans="1:25" ht="15.75" x14ac:dyDescent="0.25">
      <c r="B5" s="12"/>
      <c r="C5" s="12"/>
      <c r="D5" s="12"/>
      <c r="E5" s="12"/>
      <c r="F5" s="21" t="str">
        <f>O5</f>
        <v xml:space="preserve">Anyag megnevezése: </v>
      </c>
      <c r="G5" s="143" t="str">
        <f>O2</f>
        <v/>
      </c>
      <c r="H5" s="143"/>
      <c r="I5" s="143"/>
      <c r="J5" s="143"/>
      <c r="K5" s="143"/>
      <c r="O5" s="1" t="s">
        <v>25</v>
      </c>
      <c r="P5" s="1">
        <f>ROUND(SUM(N3,-1)*30,0)</f>
        <v>0</v>
      </c>
      <c r="V5" s="1" t="s">
        <v>37</v>
      </c>
    </row>
    <row r="6" spans="1:25" ht="15.75" customHeight="1" x14ac:dyDescent="0.25">
      <c r="F6" s="21" t="s">
        <v>109</v>
      </c>
      <c r="G6" s="144" t="str">
        <f>IF(O6=0,"",O6)</f>
        <v/>
      </c>
      <c r="H6" s="144"/>
      <c r="J6" s="22" t="s">
        <v>108</v>
      </c>
      <c r="K6" s="101" t="str">
        <f>IF(O4=0,"",O4)</f>
        <v/>
      </c>
      <c r="O6" s="1">
        <f>IF(ISERROR(VLOOKUP(O1,Keszlet!C5:K1000,6,FALSE))=FALSE,VLOOKUP(O1,Keszlet!C5:K1000,6,FALSE),0)</f>
        <v>0</v>
      </c>
    </row>
    <row r="7" spans="1:25" ht="5.25" customHeight="1" x14ac:dyDescent="0.2"/>
    <row r="8" spans="1:25" ht="14.25" x14ac:dyDescent="0.2">
      <c r="B8" s="60" t="s">
        <v>26</v>
      </c>
      <c r="C8" s="61" t="s">
        <v>21</v>
      </c>
      <c r="D8" s="61" t="s">
        <v>94</v>
      </c>
      <c r="E8" s="60" t="s">
        <v>15</v>
      </c>
      <c r="F8" s="150" t="s">
        <v>17</v>
      </c>
      <c r="G8" s="150"/>
      <c r="H8" s="150"/>
      <c r="I8" s="150" t="s">
        <v>0</v>
      </c>
      <c r="J8" s="150"/>
      <c r="K8" s="150"/>
    </row>
    <row r="9" spans="1:25" ht="14.25" x14ac:dyDescent="0.2">
      <c r="B9" s="60" t="s">
        <v>27</v>
      </c>
      <c r="C9" s="60" t="s">
        <v>22</v>
      </c>
      <c r="D9" s="60" t="s">
        <v>23</v>
      </c>
      <c r="E9" s="60" t="s">
        <v>93</v>
      </c>
      <c r="F9" s="62" t="s">
        <v>5</v>
      </c>
      <c r="G9" s="62" t="s">
        <v>6</v>
      </c>
      <c r="H9" s="62" t="s">
        <v>20</v>
      </c>
      <c r="I9" s="62" t="s">
        <v>5</v>
      </c>
      <c r="J9" s="62" t="s">
        <v>6</v>
      </c>
      <c r="K9" s="62" t="s">
        <v>20</v>
      </c>
    </row>
    <row r="10" spans="1:25" ht="14.25" x14ac:dyDescent="0.2">
      <c r="B10" s="58"/>
      <c r="C10" s="58"/>
      <c r="D10" s="58"/>
      <c r="E10" s="59" t="str">
        <f>IF(N3&gt;1,V4,"")</f>
        <v/>
      </c>
      <c r="F10" s="126"/>
      <c r="G10" s="126"/>
      <c r="H10" s="126" t="str">
        <f>IF(N3&gt;1,T4,"")</f>
        <v/>
      </c>
      <c r="I10" s="127"/>
      <c r="J10" s="128"/>
      <c r="K10" s="23" t="str">
        <f>IF(N3&gt;1,H10*K6,"")</f>
        <v/>
      </c>
    </row>
    <row r="11" spans="1:25" ht="14.25" x14ac:dyDescent="0.2">
      <c r="B11" s="24" t="str">
        <f>IF(O11&lt;=$O$3,O11,"")</f>
        <v/>
      </c>
      <c r="C11" s="25" t="str">
        <f>IF(O11&lt;=$O$3,VLOOKUP(O11,Kiadas!$A$6:$W$10000,23,FALSE),"")</f>
        <v/>
      </c>
      <c r="D11" s="24" t="str">
        <f>IF(O11&lt;=$O$3,VLOOKUP(O11,Kiadas!$A$6:$L$10000,3,FALSE),"")</f>
        <v/>
      </c>
      <c r="E11" s="24" t="str">
        <f>TRIM(IF(O11&lt;=$O$3,VLOOKUP(O11,Kiadas!$A$6:$U$10000,21,FALSE)&amp;" "&amp;VLOOKUP(O11,Kiadas!$A$6:$L$10000,8,FALSE),""))</f>
        <v/>
      </c>
      <c r="F11" s="23" t="str">
        <f>IF(O11&gt;$O$3,"",IF(ISERROR(VLOOKUP(O11,Kiadas!$A$6:$L$1000,9,FALSE))&lt;&gt;FALSE,"",VLOOKUP(O11,Kiadas!$A$6:$L$1000,9,FALSE)))</f>
        <v/>
      </c>
      <c r="G11" s="23" t="str">
        <f>IF(O11&gt;$O$3,"",IF(ISERROR(VLOOKUP(O11,Kiadas!$A$1006:$L$10000,9,FALSE))&lt;&gt;FALSE,"",VLOOKUP(O11,Kiadas!$A$1006:$L$10000,9,FALSE)))</f>
        <v/>
      </c>
      <c r="H11" s="23" t="str">
        <f>IF(O11&lt;=$O$3,SUM($H$10,$F$11:F11)-SUM($G$11:G11),"")</f>
        <v/>
      </c>
      <c r="I11" s="23" t="str">
        <f>IF(F11&lt;&gt;"",F11*$O$4,"")</f>
        <v/>
      </c>
      <c r="J11" s="23" t="str">
        <f>IF(G11&lt;&gt;"",G11*$O$4,"")</f>
        <v/>
      </c>
      <c r="K11" s="23" t="str">
        <f>IF(O11&lt;=$O$3,SUM($K$10,$I$11:I11)-SUM($J$11:J11),"")</f>
        <v/>
      </c>
      <c r="O11" s="1">
        <f>P5+1</f>
        <v>1</v>
      </c>
    </row>
    <row r="12" spans="1:25" ht="14.25" x14ac:dyDescent="0.2">
      <c r="B12" s="24" t="str">
        <f t="shared" ref="B12:B40" si="0">IF(O12&lt;=$O$3,O12,"")</f>
        <v/>
      </c>
      <c r="C12" s="25" t="str">
        <f>IF(O12&lt;=$O$3,VLOOKUP(O12,Kiadas!$A$6:$W$10000,23,FALSE),"")</f>
        <v/>
      </c>
      <c r="D12" s="24" t="str">
        <f>IF(O12&lt;=$O$3,VLOOKUP(O12,Kiadas!$A$6:$L$10000,3,FALSE),"")</f>
        <v/>
      </c>
      <c r="E12" s="24" t="str">
        <f>TRIM(IF(O12&lt;=$O$3,VLOOKUP(O12,Kiadas!$A$6:$U$10000,21,FALSE)&amp;" "&amp;VLOOKUP(O12,Kiadas!$A$6:$L$10000,8,FALSE),""))</f>
        <v/>
      </c>
      <c r="F12" s="23" t="str">
        <f>IF(O12&gt;$O$3,"",IF(ISERROR(VLOOKUP(O12,Kiadas!$A$6:$L$1000,9,FALSE))&lt;&gt;FALSE,"",VLOOKUP(O12,Kiadas!$A$6:$L$1000,9,FALSE)))</f>
        <v/>
      </c>
      <c r="G12" s="23" t="str">
        <f>IF(O12&gt;$O$3,"",IF(ISERROR(VLOOKUP(O12,Kiadas!$A$1006:$L$10000,9,FALSE))&lt;&gt;FALSE,"",VLOOKUP(O12,Kiadas!$A$1006:$L$10000,9,FALSE)))</f>
        <v/>
      </c>
      <c r="H12" s="23" t="str">
        <f>IF(O12&lt;=$O$3,SUM($H$10,$F$11:F12)-SUM($G$11:G12),"")</f>
        <v/>
      </c>
      <c r="I12" s="23" t="str">
        <f t="shared" ref="I12:I41" si="1">IF(F12&lt;&gt;"",F12*$O$4,"")</f>
        <v/>
      </c>
      <c r="J12" s="23" t="str">
        <f t="shared" ref="J12:J41" si="2">IF(G12&lt;&gt;"",G12*$O$4,"")</f>
        <v/>
      </c>
      <c r="K12" s="23" t="str">
        <f>IF(O12&lt;=$O$3,SUM($K$10,$I$11:I12)-SUM($J$11:J12),"")</f>
        <v/>
      </c>
      <c r="O12" s="1">
        <f>O11+1</f>
        <v>2</v>
      </c>
    </row>
    <row r="13" spans="1:25" ht="14.25" x14ac:dyDescent="0.2">
      <c r="B13" s="24" t="str">
        <f t="shared" si="0"/>
        <v/>
      </c>
      <c r="C13" s="25" t="str">
        <f>IF(O13&lt;=$O$3,VLOOKUP(O13,Kiadas!$A$6:$W$10000,23,FALSE),"")</f>
        <v/>
      </c>
      <c r="D13" s="24" t="str">
        <f>IF(O13&lt;=$O$3,VLOOKUP(O13,Kiadas!$A$6:$L$10000,3,FALSE),"")</f>
        <v/>
      </c>
      <c r="E13" s="24" t="str">
        <f>TRIM(IF(O13&lt;=$O$3,VLOOKUP(O13,Kiadas!$A$6:$U$10000,21,FALSE)&amp;" "&amp;VLOOKUP(O13,Kiadas!$A$6:$L$10000,8,FALSE),""))</f>
        <v/>
      </c>
      <c r="F13" s="23" t="str">
        <f>IF(O13&gt;$O$3,"",IF(ISERROR(VLOOKUP(O13,Kiadas!$A$6:$L$1000,9,FALSE))&lt;&gt;FALSE,"",VLOOKUP(O13,Kiadas!$A$6:$L$1000,9,FALSE)))</f>
        <v/>
      </c>
      <c r="G13" s="23" t="str">
        <f>IF(O13&gt;$O$3,"",IF(ISERROR(VLOOKUP(O13,Kiadas!$A$1006:$L$10000,9,FALSE))&lt;&gt;FALSE,"",VLOOKUP(O13,Kiadas!$A$1006:$L$10000,9,FALSE)))</f>
        <v/>
      </c>
      <c r="H13" s="23" t="str">
        <f>IF(O13&lt;=$O$3,SUM($H$10,$F$11:F13)-SUM($G$11:G13),"")</f>
        <v/>
      </c>
      <c r="I13" s="23" t="str">
        <f t="shared" si="1"/>
        <v/>
      </c>
      <c r="J13" s="23" t="str">
        <f t="shared" si="2"/>
        <v/>
      </c>
      <c r="K13" s="23" t="str">
        <f>IF(O13&lt;=$O$3,SUM($K$10,$I$11:I13)-SUM($J$11:J13),"")</f>
        <v/>
      </c>
      <c r="O13" s="1">
        <f t="shared" ref="O13:O40" si="3">O12+1</f>
        <v>3</v>
      </c>
    </row>
    <row r="14" spans="1:25" ht="14.25" x14ac:dyDescent="0.2">
      <c r="B14" s="24" t="str">
        <f t="shared" si="0"/>
        <v/>
      </c>
      <c r="C14" s="25" t="str">
        <f>IF(O14&lt;=$O$3,VLOOKUP(O14,Kiadas!$A$6:$W$10000,23,FALSE),"")</f>
        <v/>
      </c>
      <c r="D14" s="24" t="str">
        <f>IF(O14&lt;=$O$3,VLOOKUP(O14,Kiadas!$A$6:$L$10000,3,FALSE),"")</f>
        <v/>
      </c>
      <c r="E14" s="24" t="str">
        <f>TRIM(IF(O14&lt;=$O$3,VLOOKUP(O14,Kiadas!$A$6:$U$10000,21,FALSE)&amp;" "&amp;VLOOKUP(O14,Kiadas!$A$6:$L$10000,8,FALSE),""))</f>
        <v/>
      </c>
      <c r="F14" s="23" t="str">
        <f>IF(O14&gt;$O$3,"",IF(ISERROR(VLOOKUP(O14,Kiadas!$A$6:$L$1000,9,FALSE))&lt;&gt;FALSE,"",VLOOKUP(O14,Kiadas!$A$6:$L$1000,9,FALSE)))</f>
        <v/>
      </c>
      <c r="G14" s="23" t="str">
        <f>IF(O14&gt;$O$3,"",IF(ISERROR(VLOOKUP(O14,Kiadas!$A$1006:$L$10000,9,FALSE))&lt;&gt;FALSE,"",VLOOKUP(O14,Kiadas!$A$1006:$L$10000,9,FALSE)))</f>
        <v/>
      </c>
      <c r="H14" s="23" t="str">
        <f>IF(O14&lt;=$O$3,SUM($H$10,$F$11:F14)-SUM($G$11:G14),"")</f>
        <v/>
      </c>
      <c r="I14" s="23" t="str">
        <f t="shared" si="1"/>
        <v/>
      </c>
      <c r="J14" s="23" t="str">
        <f t="shared" si="2"/>
        <v/>
      </c>
      <c r="K14" s="23" t="str">
        <f>IF(O14&lt;=$O$3,SUM($K$10,$I$11:I14)-SUM($J$11:J14),"")</f>
        <v/>
      </c>
      <c r="O14" s="1">
        <f t="shared" si="3"/>
        <v>4</v>
      </c>
    </row>
    <row r="15" spans="1:25" ht="14.25" x14ac:dyDescent="0.2">
      <c r="B15" s="24" t="str">
        <f t="shared" si="0"/>
        <v/>
      </c>
      <c r="C15" s="25" t="str">
        <f>IF(O15&lt;=$O$3,VLOOKUP(O15,Kiadas!$A$6:$W$10000,23,FALSE),"")</f>
        <v/>
      </c>
      <c r="D15" s="24" t="str">
        <f>IF(O15&lt;=$O$3,VLOOKUP(O15,Kiadas!$A$6:$L$10000,3,FALSE),"")</f>
        <v/>
      </c>
      <c r="E15" s="24" t="str">
        <f>TRIM(IF(O15&lt;=$O$3,VLOOKUP(O15,Kiadas!$A$6:$U$10000,21,FALSE)&amp;" "&amp;VLOOKUP(O15,Kiadas!$A$6:$L$10000,8,FALSE),""))</f>
        <v/>
      </c>
      <c r="F15" s="23" t="str">
        <f>IF(O15&gt;$O$3,"",IF(ISERROR(VLOOKUP(O15,Kiadas!$A$6:$L$1000,9,FALSE))&lt;&gt;FALSE,"",VLOOKUP(O15,Kiadas!$A$6:$L$1000,9,FALSE)))</f>
        <v/>
      </c>
      <c r="G15" s="23" t="str">
        <f>IF(O15&gt;$O$3,"",IF(ISERROR(VLOOKUP(O15,Kiadas!$A$1006:$L$10000,9,FALSE))&lt;&gt;FALSE,"",VLOOKUP(O15,Kiadas!$A$1006:$L$10000,9,FALSE)))</f>
        <v/>
      </c>
      <c r="H15" s="23" t="str">
        <f>IF(O15&lt;=$O$3,SUM($H$10,$F$11:F15)-SUM($G$11:G15),"")</f>
        <v/>
      </c>
      <c r="I15" s="23" t="str">
        <f t="shared" si="1"/>
        <v/>
      </c>
      <c r="J15" s="23" t="str">
        <f t="shared" si="2"/>
        <v/>
      </c>
      <c r="K15" s="23" t="str">
        <f>IF(O15&lt;=$O$3,SUM($K$10,$I$11:I15)-SUM($J$11:J15),"")</f>
        <v/>
      </c>
      <c r="O15" s="1">
        <f t="shared" si="3"/>
        <v>5</v>
      </c>
    </row>
    <row r="16" spans="1:25" ht="14.25" x14ac:dyDescent="0.2">
      <c r="B16" s="24" t="str">
        <f t="shared" si="0"/>
        <v/>
      </c>
      <c r="C16" s="25" t="str">
        <f>IF(O16&lt;=$O$3,VLOOKUP(O16,Kiadas!$A$6:$W$10000,23,FALSE),"")</f>
        <v/>
      </c>
      <c r="D16" s="24" t="str">
        <f>IF(O16&lt;=$O$3,VLOOKUP(O16,Kiadas!$A$6:$L$10000,3,FALSE),"")</f>
        <v/>
      </c>
      <c r="E16" s="24" t="str">
        <f>TRIM(IF(O16&lt;=$O$3,VLOOKUP(O16,Kiadas!$A$6:$U$10000,21,FALSE)&amp;" "&amp;VLOOKUP(O16,Kiadas!$A$6:$L$10000,8,FALSE),""))</f>
        <v/>
      </c>
      <c r="F16" s="23" t="str">
        <f>IF(O16&gt;$O$3,"",IF(ISERROR(VLOOKUP(O16,Kiadas!$A$6:$L$1000,9,FALSE))&lt;&gt;FALSE,"",VLOOKUP(O16,Kiadas!$A$6:$L$1000,9,FALSE)))</f>
        <v/>
      </c>
      <c r="G16" s="23" t="str">
        <f>IF(O16&gt;$O$3,"",IF(ISERROR(VLOOKUP(O16,Kiadas!$A$1006:$L$10000,9,FALSE))&lt;&gt;FALSE,"",VLOOKUP(O16,Kiadas!$A$1006:$L$10000,9,FALSE)))</f>
        <v/>
      </c>
      <c r="H16" s="23" t="str">
        <f>IF(O16&lt;=$O$3,SUM($H$10,$F$11:F16)-SUM($G$11:G16),"")</f>
        <v/>
      </c>
      <c r="I16" s="23" t="str">
        <f t="shared" si="1"/>
        <v/>
      </c>
      <c r="J16" s="23" t="str">
        <f t="shared" si="2"/>
        <v/>
      </c>
      <c r="K16" s="23" t="str">
        <f>IF(O16&lt;=$O$3,SUM($K$10,$I$11:I16)-SUM($J$11:J16),"")</f>
        <v/>
      </c>
      <c r="O16" s="1">
        <f t="shared" si="3"/>
        <v>6</v>
      </c>
    </row>
    <row r="17" spans="2:15" ht="14.25" x14ac:dyDescent="0.2">
      <c r="B17" s="24" t="str">
        <f t="shared" si="0"/>
        <v/>
      </c>
      <c r="C17" s="25" t="str">
        <f>IF(O17&lt;=$O$3,VLOOKUP(O17,Kiadas!$A$6:$W$10000,23,FALSE),"")</f>
        <v/>
      </c>
      <c r="D17" s="24" t="str">
        <f>IF(O17&lt;=$O$3,VLOOKUP(O17,Kiadas!$A$6:$L$10000,3,FALSE),"")</f>
        <v/>
      </c>
      <c r="E17" s="24" t="str">
        <f>TRIM(IF(O17&lt;=$O$3,VLOOKUP(O17,Kiadas!$A$6:$U$10000,21,FALSE)&amp;" "&amp;VLOOKUP(O17,Kiadas!$A$6:$L$10000,8,FALSE),""))</f>
        <v/>
      </c>
      <c r="F17" s="23" t="str">
        <f>IF(O17&gt;$O$3,"",IF(ISERROR(VLOOKUP(O17,Kiadas!$A$6:$L$1000,9,FALSE))&lt;&gt;FALSE,"",VLOOKUP(O17,Kiadas!$A$6:$L$1000,9,FALSE)))</f>
        <v/>
      </c>
      <c r="G17" s="23" t="str">
        <f>IF(O17&gt;$O$3,"",IF(ISERROR(VLOOKUP(O17,Kiadas!$A$1006:$L$10000,9,FALSE))&lt;&gt;FALSE,"",VLOOKUP(O17,Kiadas!$A$1006:$L$10000,9,FALSE)))</f>
        <v/>
      </c>
      <c r="H17" s="23" t="str">
        <f>IF(O17&lt;=$O$3,SUM($H$10,$F$11:F17)-SUM($G$11:G17),"")</f>
        <v/>
      </c>
      <c r="I17" s="23" t="str">
        <f t="shared" si="1"/>
        <v/>
      </c>
      <c r="J17" s="23" t="str">
        <f t="shared" si="2"/>
        <v/>
      </c>
      <c r="K17" s="23" t="str">
        <f>IF(O17&lt;=$O$3,SUM($K$10,$I$11:I17)-SUM($J$11:J17),"")</f>
        <v/>
      </c>
      <c r="O17" s="1">
        <f t="shared" si="3"/>
        <v>7</v>
      </c>
    </row>
    <row r="18" spans="2:15" ht="14.25" x14ac:dyDescent="0.2">
      <c r="B18" s="24" t="str">
        <f t="shared" si="0"/>
        <v/>
      </c>
      <c r="C18" s="25" t="str">
        <f>IF(O18&lt;=$O$3,VLOOKUP(O18,Kiadas!$A$6:$W$10000,23,FALSE),"")</f>
        <v/>
      </c>
      <c r="D18" s="24" t="str">
        <f>IF(O18&lt;=$O$3,VLOOKUP(O18,Kiadas!$A$6:$L$10000,3,FALSE),"")</f>
        <v/>
      </c>
      <c r="E18" s="24" t="str">
        <f>TRIM(IF(O18&lt;=$O$3,VLOOKUP(O18,Kiadas!$A$6:$U$10000,21,FALSE)&amp;" "&amp;VLOOKUP(O18,Kiadas!$A$6:$L$10000,8,FALSE),""))</f>
        <v/>
      </c>
      <c r="F18" s="23" t="str">
        <f>IF(O18&gt;$O$3,"",IF(ISERROR(VLOOKUP(O18,Kiadas!$A$6:$L$1000,9,FALSE))&lt;&gt;FALSE,"",VLOOKUP(O18,Kiadas!$A$6:$L$1000,9,FALSE)))</f>
        <v/>
      </c>
      <c r="G18" s="23" t="str">
        <f>IF(O18&gt;$O$3,"",IF(ISERROR(VLOOKUP(O18,Kiadas!$A$1006:$L$10000,9,FALSE))&lt;&gt;FALSE,"",VLOOKUP(O18,Kiadas!$A$1006:$L$10000,9,FALSE)))</f>
        <v/>
      </c>
      <c r="H18" s="23" t="str">
        <f>IF(O18&lt;=$O$3,SUM($H$10,$F$11:F18)-SUM($G$11:G18),"")</f>
        <v/>
      </c>
      <c r="I18" s="23" t="str">
        <f t="shared" si="1"/>
        <v/>
      </c>
      <c r="J18" s="23" t="str">
        <f t="shared" si="2"/>
        <v/>
      </c>
      <c r="K18" s="23" t="str">
        <f>IF(O18&lt;=$O$3,SUM($K$10,$I$11:I18)-SUM($J$11:J18),"")</f>
        <v/>
      </c>
      <c r="O18" s="1">
        <f t="shared" si="3"/>
        <v>8</v>
      </c>
    </row>
    <row r="19" spans="2:15" ht="14.25" x14ac:dyDescent="0.2">
      <c r="B19" s="24" t="str">
        <f t="shared" si="0"/>
        <v/>
      </c>
      <c r="C19" s="25" t="str">
        <f>IF(O19&lt;=$O$3,VLOOKUP(O19,Kiadas!$A$6:$W$10000,23,FALSE),"")</f>
        <v/>
      </c>
      <c r="D19" s="24" t="str">
        <f>IF(O19&lt;=$O$3,VLOOKUP(O19,Kiadas!$A$6:$L$10000,3,FALSE),"")</f>
        <v/>
      </c>
      <c r="E19" s="24" t="str">
        <f>TRIM(IF(O19&lt;=$O$3,VLOOKUP(O19,Kiadas!$A$6:$U$10000,21,FALSE)&amp;" "&amp;VLOOKUP(O19,Kiadas!$A$6:$L$10000,8,FALSE),""))</f>
        <v/>
      </c>
      <c r="F19" s="23" t="str">
        <f>IF(O19&gt;$O$3,"",IF(ISERROR(VLOOKUP(O19,Kiadas!$A$6:$L$1000,9,FALSE))&lt;&gt;FALSE,"",VLOOKUP(O19,Kiadas!$A$6:$L$1000,9,FALSE)))</f>
        <v/>
      </c>
      <c r="G19" s="23" t="str">
        <f>IF(O19&gt;$O$3,"",IF(ISERROR(VLOOKUP(O19,Kiadas!$A$1006:$L$10000,9,FALSE))&lt;&gt;FALSE,"",VLOOKUP(O19,Kiadas!$A$1006:$L$10000,9,FALSE)))</f>
        <v/>
      </c>
      <c r="H19" s="23" t="str">
        <f>IF(O19&lt;=$O$3,SUM($H$10,$F$11:F19)-SUM($G$11:G19),"")</f>
        <v/>
      </c>
      <c r="I19" s="23" t="str">
        <f t="shared" si="1"/>
        <v/>
      </c>
      <c r="J19" s="23" t="str">
        <f t="shared" si="2"/>
        <v/>
      </c>
      <c r="K19" s="23" t="str">
        <f>IF(O19&lt;=$O$3,SUM($K$10,$I$11:I19)-SUM($J$11:J19),"")</f>
        <v/>
      </c>
      <c r="O19" s="1">
        <f t="shared" si="3"/>
        <v>9</v>
      </c>
    </row>
    <row r="20" spans="2:15" ht="14.25" x14ac:dyDescent="0.2">
      <c r="B20" s="24" t="str">
        <f t="shared" si="0"/>
        <v/>
      </c>
      <c r="C20" s="25" t="str">
        <f>IF(O20&lt;=$O$3,VLOOKUP(O20,Kiadas!$A$6:$W$10000,23,FALSE),"")</f>
        <v/>
      </c>
      <c r="D20" s="24" t="str">
        <f>IF(O20&lt;=$O$3,VLOOKUP(O20,Kiadas!$A$6:$L$10000,3,FALSE),"")</f>
        <v/>
      </c>
      <c r="E20" s="24" t="str">
        <f>TRIM(IF(O20&lt;=$O$3,VLOOKUP(O20,Kiadas!$A$6:$U$10000,21,FALSE)&amp;" "&amp;VLOOKUP(O20,Kiadas!$A$6:$L$10000,8,FALSE),""))</f>
        <v/>
      </c>
      <c r="F20" s="23" t="str">
        <f>IF(O20&gt;$O$3,"",IF(ISERROR(VLOOKUP(O20,Kiadas!$A$6:$L$1000,9,FALSE))&lt;&gt;FALSE,"",VLOOKUP(O20,Kiadas!$A$6:$L$1000,9,FALSE)))</f>
        <v/>
      </c>
      <c r="G20" s="23" t="str">
        <f>IF(O20&gt;$O$3,"",IF(ISERROR(VLOOKUP(O20,Kiadas!$A$1006:$L$10000,9,FALSE))&lt;&gt;FALSE,"",VLOOKUP(O20,Kiadas!$A$1006:$L$10000,9,FALSE)))</f>
        <v/>
      </c>
      <c r="H20" s="23" t="str">
        <f>IF(O20&lt;=$O$3,SUM($H$10,$F$11:F20)-SUM($G$11:G20),"")</f>
        <v/>
      </c>
      <c r="I20" s="23" t="str">
        <f t="shared" si="1"/>
        <v/>
      </c>
      <c r="J20" s="23" t="str">
        <f t="shared" si="2"/>
        <v/>
      </c>
      <c r="K20" s="23" t="str">
        <f>IF(O20&lt;=$O$3,SUM($K$10,$I$11:I20)-SUM($J$11:J20),"")</f>
        <v/>
      </c>
      <c r="O20" s="1">
        <f t="shared" si="3"/>
        <v>10</v>
      </c>
    </row>
    <row r="21" spans="2:15" ht="14.25" x14ac:dyDescent="0.2">
      <c r="B21" s="24" t="str">
        <f t="shared" si="0"/>
        <v/>
      </c>
      <c r="C21" s="25" t="str">
        <f>IF(O21&lt;=$O$3,VLOOKUP(O21,Kiadas!$A$6:$W$10000,23,FALSE),"")</f>
        <v/>
      </c>
      <c r="D21" s="24" t="str">
        <f>IF(O21&lt;=$O$3,VLOOKUP(O21,Kiadas!$A$6:$L$10000,3,FALSE),"")</f>
        <v/>
      </c>
      <c r="E21" s="24" t="str">
        <f>TRIM(IF(O21&lt;=$O$3,VLOOKUP(O21,Kiadas!$A$6:$U$10000,21,FALSE)&amp;" "&amp;VLOOKUP(O21,Kiadas!$A$6:$L$10000,8,FALSE),""))</f>
        <v/>
      </c>
      <c r="F21" s="23" t="str">
        <f>IF(O21&gt;$O$3,"",IF(ISERROR(VLOOKUP(O21,Kiadas!$A$6:$L$1000,9,FALSE))&lt;&gt;FALSE,"",VLOOKUP(O21,Kiadas!$A$6:$L$1000,9,FALSE)))</f>
        <v/>
      </c>
      <c r="G21" s="23" t="str">
        <f>IF(O21&gt;$O$3,"",IF(ISERROR(VLOOKUP(O21,Kiadas!$A$1006:$L$10000,9,FALSE))&lt;&gt;FALSE,"",VLOOKUP(O21,Kiadas!$A$1006:$L$10000,9,FALSE)))</f>
        <v/>
      </c>
      <c r="H21" s="23" t="str">
        <f>IF(O21&lt;=$O$3,SUM($H$10,$F$11:F21)-SUM($G$11:G21),"")</f>
        <v/>
      </c>
      <c r="I21" s="23" t="str">
        <f t="shared" si="1"/>
        <v/>
      </c>
      <c r="J21" s="23" t="str">
        <f t="shared" si="2"/>
        <v/>
      </c>
      <c r="K21" s="23" t="str">
        <f>IF(O21&lt;=$O$3,SUM($K$10,$I$11:I21)-SUM($J$11:J21),"")</f>
        <v/>
      </c>
      <c r="O21" s="1">
        <f t="shared" si="3"/>
        <v>11</v>
      </c>
    </row>
    <row r="22" spans="2:15" ht="14.25" x14ac:dyDescent="0.2">
      <c r="B22" s="24" t="str">
        <f t="shared" si="0"/>
        <v/>
      </c>
      <c r="C22" s="25" t="str">
        <f>IF(O22&lt;=$O$3,VLOOKUP(O22,Kiadas!$A$6:$W$10000,23,FALSE),"")</f>
        <v/>
      </c>
      <c r="D22" s="24" t="str">
        <f>IF(O22&lt;=$O$3,VLOOKUP(O22,Kiadas!$A$6:$L$10000,3,FALSE),"")</f>
        <v/>
      </c>
      <c r="E22" s="24" t="str">
        <f>TRIM(IF(O22&lt;=$O$3,VLOOKUP(O22,Kiadas!$A$6:$U$10000,21,FALSE)&amp;" "&amp;VLOOKUP(O22,Kiadas!$A$6:$L$10000,8,FALSE),""))</f>
        <v/>
      </c>
      <c r="F22" s="23" t="str">
        <f>IF(O22&gt;$O$3,"",IF(ISERROR(VLOOKUP(O22,Kiadas!$A$6:$L$1000,9,FALSE))&lt;&gt;FALSE,"",VLOOKUP(O22,Kiadas!$A$6:$L$1000,9,FALSE)))</f>
        <v/>
      </c>
      <c r="G22" s="23" t="str">
        <f>IF(O22&gt;$O$3,"",IF(ISERROR(VLOOKUP(O22,Kiadas!$A$1006:$L$10000,9,FALSE))&lt;&gt;FALSE,"",VLOOKUP(O22,Kiadas!$A$1006:$L$10000,9,FALSE)))</f>
        <v/>
      </c>
      <c r="H22" s="23" t="str">
        <f>IF(O22&lt;=$O$3,SUM($H$10,$F$11:F22)-SUM($G$11:G22),"")</f>
        <v/>
      </c>
      <c r="I22" s="23" t="str">
        <f t="shared" si="1"/>
        <v/>
      </c>
      <c r="J22" s="23" t="str">
        <f t="shared" si="2"/>
        <v/>
      </c>
      <c r="K22" s="23" t="str">
        <f>IF(O22&lt;=$O$3,SUM($K$10,$I$11:I22)-SUM($J$11:J22),"")</f>
        <v/>
      </c>
      <c r="O22" s="1">
        <f t="shared" si="3"/>
        <v>12</v>
      </c>
    </row>
    <row r="23" spans="2:15" ht="14.25" x14ac:dyDescent="0.2">
      <c r="B23" s="24" t="str">
        <f t="shared" si="0"/>
        <v/>
      </c>
      <c r="C23" s="25" t="str">
        <f>IF(O23&lt;=$O$3,VLOOKUP(O23,Kiadas!$A$6:$W$10000,23,FALSE),"")</f>
        <v/>
      </c>
      <c r="D23" s="24" t="str">
        <f>IF(O23&lt;=$O$3,VLOOKUP(O23,Kiadas!$A$6:$L$10000,3,FALSE),"")</f>
        <v/>
      </c>
      <c r="E23" s="24" t="str">
        <f>TRIM(IF(O23&lt;=$O$3,VLOOKUP(O23,Kiadas!$A$6:$U$10000,21,FALSE)&amp;" "&amp;VLOOKUP(O23,Kiadas!$A$6:$L$10000,8,FALSE),""))</f>
        <v/>
      </c>
      <c r="F23" s="23" t="str">
        <f>IF(O23&gt;$O$3,"",IF(ISERROR(VLOOKUP(O23,Kiadas!$A$6:$L$1000,9,FALSE))&lt;&gt;FALSE,"",VLOOKUP(O23,Kiadas!$A$6:$L$1000,9,FALSE)))</f>
        <v/>
      </c>
      <c r="G23" s="23" t="str">
        <f>IF(O23&gt;$O$3,"",IF(ISERROR(VLOOKUP(O23,Kiadas!$A$1006:$L$10000,9,FALSE))&lt;&gt;FALSE,"",VLOOKUP(O23,Kiadas!$A$1006:$L$10000,9,FALSE)))</f>
        <v/>
      </c>
      <c r="H23" s="23" t="str">
        <f>IF(O23&lt;=$O$3,SUM($H$10,$F$11:F23)-SUM($G$11:G23),"")</f>
        <v/>
      </c>
      <c r="I23" s="23" t="str">
        <f t="shared" si="1"/>
        <v/>
      </c>
      <c r="J23" s="23" t="str">
        <f t="shared" si="2"/>
        <v/>
      </c>
      <c r="K23" s="23" t="str">
        <f>IF(O23&lt;=$O$3,SUM($K$10,$I$11:I23)-SUM($J$11:J23),"")</f>
        <v/>
      </c>
      <c r="O23" s="1">
        <f t="shared" si="3"/>
        <v>13</v>
      </c>
    </row>
    <row r="24" spans="2:15" ht="14.25" x14ac:dyDescent="0.2">
      <c r="B24" s="24" t="str">
        <f t="shared" si="0"/>
        <v/>
      </c>
      <c r="C24" s="25" t="str">
        <f>IF(O24&lt;=$O$3,VLOOKUP(O24,Kiadas!$A$6:$W$10000,23,FALSE),"")</f>
        <v/>
      </c>
      <c r="D24" s="24" t="str">
        <f>IF(O24&lt;=$O$3,VLOOKUP(O24,Kiadas!$A$6:$L$10000,3,FALSE),"")</f>
        <v/>
      </c>
      <c r="E24" s="24" t="str">
        <f>TRIM(IF(O24&lt;=$O$3,VLOOKUP(O24,Kiadas!$A$6:$U$10000,21,FALSE)&amp;" "&amp;VLOOKUP(O24,Kiadas!$A$6:$L$10000,8,FALSE),""))</f>
        <v/>
      </c>
      <c r="F24" s="23" t="str">
        <f>IF(O24&gt;$O$3,"",IF(ISERROR(VLOOKUP(O24,Kiadas!$A$6:$L$1000,9,FALSE))&lt;&gt;FALSE,"",VLOOKUP(O24,Kiadas!$A$6:$L$1000,9,FALSE)))</f>
        <v/>
      </c>
      <c r="G24" s="23" t="str">
        <f>IF(O24&gt;$O$3,"",IF(ISERROR(VLOOKUP(O24,Kiadas!$A$1006:$L$10000,9,FALSE))&lt;&gt;FALSE,"",VLOOKUP(O24,Kiadas!$A$1006:$L$10000,9,FALSE)))</f>
        <v/>
      </c>
      <c r="H24" s="23" t="str">
        <f>IF(O24&lt;=$O$3,SUM($H$10,$F$11:F24)-SUM($G$11:G24),"")</f>
        <v/>
      </c>
      <c r="I24" s="23" t="str">
        <f t="shared" si="1"/>
        <v/>
      </c>
      <c r="J24" s="23" t="str">
        <f t="shared" si="2"/>
        <v/>
      </c>
      <c r="K24" s="23" t="str">
        <f>IF(O24&lt;=$O$3,SUM($K$10,$I$11:I24)-SUM($J$11:J24),"")</f>
        <v/>
      </c>
      <c r="O24" s="1">
        <f t="shared" si="3"/>
        <v>14</v>
      </c>
    </row>
    <row r="25" spans="2:15" ht="14.25" x14ac:dyDescent="0.2">
      <c r="B25" s="24" t="str">
        <f t="shared" si="0"/>
        <v/>
      </c>
      <c r="C25" s="25" t="str">
        <f>IF(O25&lt;=$O$3,VLOOKUP(O25,Kiadas!$A$6:$W$10000,23,FALSE),"")</f>
        <v/>
      </c>
      <c r="D25" s="24" t="str">
        <f>IF(O25&lt;=$O$3,VLOOKUP(O25,Kiadas!$A$6:$L$10000,3,FALSE),"")</f>
        <v/>
      </c>
      <c r="E25" s="24" t="str">
        <f>TRIM(IF(O25&lt;=$O$3,VLOOKUP(O25,Kiadas!$A$6:$U$10000,21,FALSE)&amp;" "&amp;VLOOKUP(O25,Kiadas!$A$6:$L$10000,8,FALSE),""))</f>
        <v/>
      </c>
      <c r="F25" s="23" t="str">
        <f>IF(O25&gt;$O$3,"",IF(ISERROR(VLOOKUP(O25,Kiadas!$A$6:$L$1000,9,FALSE))&lt;&gt;FALSE,"",VLOOKUP(O25,Kiadas!$A$6:$L$1000,9,FALSE)))</f>
        <v/>
      </c>
      <c r="G25" s="23" t="str">
        <f>IF(O25&gt;$O$3,"",IF(ISERROR(VLOOKUP(O25,Kiadas!$A$1006:$L$10000,9,FALSE))&lt;&gt;FALSE,"",VLOOKUP(O25,Kiadas!$A$1006:$L$10000,9,FALSE)))</f>
        <v/>
      </c>
      <c r="H25" s="23" t="str">
        <f>IF(O25&lt;=$O$3,SUM($H$10,$F$11:F25)-SUM($G$11:G25),"")</f>
        <v/>
      </c>
      <c r="I25" s="23" t="str">
        <f t="shared" si="1"/>
        <v/>
      </c>
      <c r="J25" s="23" t="str">
        <f t="shared" si="2"/>
        <v/>
      </c>
      <c r="K25" s="23" t="str">
        <f>IF(O25&lt;=$O$3,SUM($K$10,$I$11:I25)-SUM($J$11:J25),"")</f>
        <v/>
      </c>
      <c r="O25" s="1">
        <f t="shared" si="3"/>
        <v>15</v>
      </c>
    </row>
    <row r="26" spans="2:15" ht="14.25" x14ac:dyDescent="0.2">
      <c r="B26" s="24" t="str">
        <f t="shared" si="0"/>
        <v/>
      </c>
      <c r="C26" s="25" t="str">
        <f>IF(O26&lt;=$O$3,VLOOKUP(O26,Kiadas!$A$6:$W$10000,23,FALSE),"")</f>
        <v/>
      </c>
      <c r="D26" s="24" t="str">
        <f>IF(O26&lt;=$O$3,VLOOKUP(O26,Kiadas!$A$6:$L$10000,3,FALSE),"")</f>
        <v/>
      </c>
      <c r="E26" s="24" t="str">
        <f>TRIM(IF(O26&lt;=$O$3,VLOOKUP(O26,Kiadas!$A$6:$U$10000,21,FALSE)&amp;" "&amp;VLOOKUP(O26,Kiadas!$A$6:$L$10000,8,FALSE),""))</f>
        <v/>
      </c>
      <c r="F26" s="23" t="str">
        <f>IF(O26&gt;$O$3,"",IF(ISERROR(VLOOKUP(O26,Kiadas!$A$6:$L$1000,9,FALSE))&lt;&gt;FALSE,"",VLOOKUP(O26,Kiadas!$A$6:$L$1000,9,FALSE)))</f>
        <v/>
      </c>
      <c r="G26" s="23" t="str">
        <f>IF(O26&gt;$O$3,"",IF(ISERROR(VLOOKUP(O26,Kiadas!$A$1006:$L$10000,9,FALSE))&lt;&gt;FALSE,"",VLOOKUP(O26,Kiadas!$A$1006:$L$10000,9,FALSE)))</f>
        <v/>
      </c>
      <c r="H26" s="23" t="str">
        <f>IF(O26&lt;=$O$3,SUM($H$10,$F$11:F26)-SUM($G$11:G26),"")</f>
        <v/>
      </c>
      <c r="I26" s="23" t="str">
        <f t="shared" si="1"/>
        <v/>
      </c>
      <c r="J26" s="23" t="str">
        <f t="shared" si="2"/>
        <v/>
      </c>
      <c r="K26" s="23" t="str">
        <f>IF(O26&lt;=$O$3,SUM($K$10,$I$11:I26)-SUM($J$11:J26),"")</f>
        <v/>
      </c>
      <c r="O26" s="1">
        <f t="shared" si="3"/>
        <v>16</v>
      </c>
    </row>
    <row r="27" spans="2:15" ht="14.25" x14ac:dyDescent="0.2">
      <c r="B27" s="24" t="str">
        <f t="shared" si="0"/>
        <v/>
      </c>
      <c r="C27" s="25" t="str">
        <f>IF(O27&lt;=$O$3,VLOOKUP(O27,Kiadas!$A$6:$W$10000,23,FALSE),"")</f>
        <v/>
      </c>
      <c r="D27" s="24" t="str">
        <f>IF(O27&lt;=$O$3,VLOOKUP(O27,Kiadas!$A$6:$L$10000,3,FALSE),"")</f>
        <v/>
      </c>
      <c r="E27" s="24" t="str">
        <f>TRIM(IF(O27&lt;=$O$3,VLOOKUP(O27,Kiadas!$A$6:$U$10000,21,FALSE)&amp;" "&amp;VLOOKUP(O27,Kiadas!$A$6:$L$10000,8,FALSE),""))</f>
        <v/>
      </c>
      <c r="F27" s="23" t="str">
        <f>IF(O27&gt;$O$3,"",IF(ISERROR(VLOOKUP(O27,Kiadas!$A$6:$L$1000,9,FALSE))&lt;&gt;FALSE,"",VLOOKUP(O27,Kiadas!$A$6:$L$1000,9,FALSE)))</f>
        <v/>
      </c>
      <c r="G27" s="23" t="str">
        <f>IF(O27&gt;$O$3,"",IF(ISERROR(VLOOKUP(O27,Kiadas!$A$1006:$L$10000,9,FALSE))&lt;&gt;FALSE,"",VLOOKUP(O27,Kiadas!$A$1006:$L$10000,9,FALSE)))</f>
        <v/>
      </c>
      <c r="H27" s="23" t="str">
        <f>IF(O27&lt;=$O$3,SUM($H$10,$F$11:F27)-SUM($G$11:G27),"")</f>
        <v/>
      </c>
      <c r="I27" s="23" t="str">
        <f t="shared" si="1"/>
        <v/>
      </c>
      <c r="J27" s="23" t="str">
        <f t="shared" si="2"/>
        <v/>
      </c>
      <c r="K27" s="23" t="str">
        <f>IF(O27&lt;=$O$3,SUM($K$10,$I$11:I27)-SUM($J$11:J27),"")</f>
        <v/>
      </c>
      <c r="O27" s="1">
        <f t="shared" si="3"/>
        <v>17</v>
      </c>
    </row>
    <row r="28" spans="2:15" ht="14.25" x14ac:dyDescent="0.2">
      <c r="B28" s="24" t="str">
        <f t="shared" si="0"/>
        <v/>
      </c>
      <c r="C28" s="25" t="str">
        <f>IF(O28&lt;=$O$3,VLOOKUP(O28,Kiadas!$A$6:$W$10000,23,FALSE),"")</f>
        <v/>
      </c>
      <c r="D28" s="24" t="str">
        <f>IF(O28&lt;=$O$3,VLOOKUP(O28,Kiadas!$A$6:$L$10000,3,FALSE),"")</f>
        <v/>
      </c>
      <c r="E28" s="24" t="str">
        <f>TRIM(IF(O28&lt;=$O$3,VLOOKUP(O28,Kiadas!$A$6:$U$10000,21,FALSE)&amp;" "&amp;VLOOKUP(O28,Kiadas!$A$6:$L$10000,8,FALSE),""))</f>
        <v/>
      </c>
      <c r="F28" s="23" t="str">
        <f>IF(O28&gt;$O$3,"",IF(ISERROR(VLOOKUP(O28,Kiadas!$A$6:$L$1000,9,FALSE))&lt;&gt;FALSE,"",VLOOKUP(O28,Kiadas!$A$6:$L$1000,9,FALSE)))</f>
        <v/>
      </c>
      <c r="G28" s="23" t="str">
        <f>IF(O28&gt;$O$3,"",IF(ISERROR(VLOOKUP(O28,Kiadas!$A$1006:$L$10000,9,FALSE))&lt;&gt;FALSE,"",VLOOKUP(O28,Kiadas!$A$1006:$L$10000,9,FALSE)))</f>
        <v/>
      </c>
      <c r="H28" s="23" t="str">
        <f>IF(O28&lt;=$O$3,SUM($H$10,$F$11:F28)-SUM($G$11:G28),"")</f>
        <v/>
      </c>
      <c r="I28" s="23" t="str">
        <f t="shared" si="1"/>
        <v/>
      </c>
      <c r="J28" s="23" t="str">
        <f t="shared" si="2"/>
        <v/>
      </c>
      <c r="K28" s="23" t="str">
        <f>IF(O28&lt;=$O$3,SUM($K$10,$I$11:I28)-SUM($J$11:J28),"")</f>
        <v/>
      </c>
      <c r="O28" s="1">
        <f t="shared" si="3"/>
        <v>18</v>
      </c>
    </row>
    <row r="29" spans="2:15" ht="14.25" x14ac:dyDescent="0.2">
      <c r="B29" s="24" t="str">
        <f t="shared" si="0"/>
        <v/>
      </c>
      <c r="C29" s="25" t="str">
        <f>IF(O29&lt;=$O$3,VLOOKUP(O29,Kiadas!$A$6:$W$10000,23,FALSE),"")</f>
        <v/>
      </c>
      <c r="D29" s="24" t="str">
        <f>IF(O29&lt;=$O$3,VLOOKUP(O29,Kiadas!$A$6:$L$10000,3,FALSE),"")</f>
        <v/>
      </c>
      <c r="E29" s="24" t="str">
        <f>TRIM(IF(O29&lt;=$O$3,VLOOKUP(O29,Kiadas!$A$6:$U$10000,21,FALSE)&amp;" "&amp;VLOOKUP(O29,Kiadas!$A$6:$L$10000,8,FALSE),""))</f>
        <v/>
      </c>
      <c r="F29" s="23" t="str">
        <f>IF(O29&gt;$O$3,"",IF(ISERROR(VLOOKUP(O29,Kiadas!$A$6:$L$1000,9,FALSE))&lt;&gt;FALSE,"",VLOOKUP(O29,Kiadas!$A$6:$L$1000,9,FALSE)))</f>
        <v/>
      </c>
      <c r="G29" s="23" t="str">
        <f>IF(O29&gt;$O$3,"",IF(ISERROR(VLOOKUP(O29,Kiadas!$A$1006:$L$10000,9,FALSE))&lt;&gt;FALSE,"",VLOOKUP(O29,Kiadas!$A$1006:$L$10000,9,FALSE)))</f>
        <v/>
      </c>
      <c r="H29" s="23" t="str">
        <f>IF(O29&lt;=$O$3,SUM($H$10,$F$11:F29)-SUM($G$11:G29),"")</f>
        <v/>
      </c>
      <c r="I29" s="23" t="str">
        <f t="shared" si="1"/>
        <v/>
      </c>
      <c r="J29" s="23" t="str">
        <f t="shared" si="2"/>
        <v/>
      </c>
      <c r="K29" s="23" t="str">
        <f>IF(O29&lt;=$O$3,SUM($K$10,$I$11:I29)-SUM($J$11:J29),"")</f>
        <v/>
      </c>
      <c r="O29" s="1">
        <f t="shared" si="3"/>
        <v>19</v>
      </c>
    </row>
    <row r="30" spans="2:15" ht="14.25" x14ac:dyDescent="0.2">
      <c r="B30" s="24" t="str">
        <f t="shared" si="0"/>
        <v/>
      </c>
      <c r="C30" s="25" t="str">
        <f>IF(O30&lt;=$O$3,VLOOKUP(O30,Kiadas!$A$6:$W$10000,23,FALSE),"")</f>
        <v/>
      </c>
      <c r="D30" s="24" t="str">
        <f>IF(O30&lt;=$O$3,VLOOKUP(O30,Kiadas!$A$6:$L$10000,3,FALSE),"")</f>
        <v/>
      </c>
      <c r="E30" s="24" t="str">
        <f>TRIM(IF(O30&lt;=$O$3,VLOOKUP(O30,Kiadas!$A$6:$U$10000,21,FALSE)&amp;" "&amp;VLOOKUP(O30,Kiadas!$A$6:$L$10000,8,FALSE),""))</f>
        <v/>
      </c>
      <c r="F30" s="23" t="str">
        <f>IF(O30&gt;$O$3,"",IF(ISERROR(VLOOKUP(O30,Kiadas!$A$6:$L$1000,9,FALSE))&lt;&gt;FALSE,"",VLOOKUP(O30,Kiadas!$A$6:$L$1000,9,FALSE)))</f>
        <v/>
      </c>
      <c r="G30" s="23" t="str">
        <f>IF(O30&gt;$O$3,"",IF(ISERROR(VLOOKUP(O30,Kiadas!$A$1006:$L$10000,9,FALSE))&lt;&gt;FALSE,"",VLOOKUP(O30,Kiadas!$A$1006:$L$10000,9,FALSE)))</f>
        <v/>
      </c>
      <c r="H30" s="23" t="str">
        <f>IF(O30&lt;=$O$3,SUM($H$10,$F$11:F30)-SUM($G$11:G30),"")</f>
        <v/>
      </c>
      <c r="I30" s="23" t="str">
        <f t="shared" si="1"/>
        <v/>
      </c>
      <c r="J30" s="23" t="str">
        <f t="shared" si="2"/>
        <v/>
      </c>
      <c r="K30" s="23" t="str">
        <f>IF(O30&lt;=$O$3,SUM($K$10,$I$11:I30)-SUM($J$11:J30),"")</f>
        <v/>
      </c>
      <c r="O30" s="1">
        <f t="shared" si="3"/>
        <v>20</v>
      </c>
    </row>
    <row r="31" spans="2:15" ht="14.25" x14ac:dyDescent="0.2">
      <c r="B31" s="24" t="str">
        <f t="shared" si="0"/>
        <v/>
      </c>
      <c r="C31" s="25" t="str">
        <f>IF(O31&lt;=$O$3,VLOOKUP(O31,Kiadas!$A$6:$W$10000,23,FALSE),"")</f>
        <v/>
      </c>
      <c r="D31" s="24" t="str">
        <f>IF(O31&lt;=$O$3,VLOOKUP(O31,Kiadas!$A$6:$L$10000,3,FALSE),"")</f>
        <v/>
      </c>
      <c r="E31" s="24" t="str">
        <f>TRIM(IF(O31&lt;=$O$3,VLOOKUP(O31,Kiadas!$A$6:$U$10000,21,FALSE)&amp;" "&amp;VLOOKUP(O31,Kiadas!$A$6:$L$10000,8,FALSE),""))</f>
        <v/>
      </c>
      <c r="F31" s="23" t="str">
        <f>IF(O31&gt;$O$3,"",IF(ISERROR(VLOOKUP(O31,Kiadas!$A$6:$L$1000,9,FALSE))&lt;&gt;FALSE,"",VLOOKUP(O31,Kiadas!$A$6:$L$1000,9,FALSE)))</f>
        <v/>
      </c>
      <c r="G31" s="23" t="str">
        <f>IF(O31&gt;$O$3,"",IF(ISERROR(VLOOKUP(O31,Kiadas!$A$1006:$L$10000,9,FALSE))&lt;&gt;FALSE,"",VLOOKUP(O31,Kiadas!$A$1006:$L$10000,9,FALSE)))</f>
        <v/>
      </c>
      <c r="H31" s="23" t="str">
        <f>IF(O31&lt;=$O$3,SUM($H$10,$F$11:F31)-SUM($G$11:G31),"")</f>
        <v/>
      </c>
      <c r="I31" s="23" t="str">
        <f t="shared" si="1"/>
        <v/>
      </c>
      <c r="J31" s="23" t="str">
        <f t="shared" si="2"/>
        <v/>
      </c>
      <c r="K31" s="23" t="str">
        <f>IF(O31&lt;=$O$3,SUM($K$10,$I$11:I31)-SUM($J$11:J31),"")</f>
        <v/>
      </c>
      <c r="O31" s="1">
        <f t="shared" si="3"/>
        <v>21</v>
      </c>
    </row>
    <row r="32" spans="2:15" ht="14.25" x14ac:dyDescent="0.2">
      <c r="B32" s="24" t="str">
        <f t="shared" si="0"/>
        <v/>
      </c>
      <c r="C32" s="25" t="str">
        <f>IF(O32&lt;=$O$3,VLOOKUP(O32,Kiadas!$A$6:$W$10000,23,FALSE),"")</f>
        <v/>
      </c>
      <c r="D32" s="24" t="str">
        <f>IF(O32&lt;=$O$3,VLOOKUP(O32,Kiadas!$A$6:$L$10000,3,FALSE),"")</f>
        <v/>
      </c>
      <c r="E32" s="24" t="str">
        <f>TRIM(IF(O32&lt;=$O$3,VLOOKUP(O32,Kiadas!$A$6:$U$10000,21,FALSE)&amp;" "&amp;VLOOKUP(O32,Kiadas!$A$6:$L$10000,8,FALSE),""))</f>
        <v/>
      </c>
      <c r="F32" s="23" t="str">
        <f>IF(O32&gt;$O$3,"",IF(ISERROR(VLOOKUP(O32,Kiadas!$A$6:$L$1000,9,FALSE))&lt;&gt;FALSE,"",VLOOKUP(O32,Kiadas!$A$6:$L$1000,9,FALSE)))</f>
        <v/>
      </c>
      <c r="G32" s="23" t="str">
        <f>IF(O32&gt;$O$3,"",IF(ISERROR(VLOOKUP(O32,Kiadas!$A$1006:$L$10000,9,FALSE))&lt;&gt;FALSE,"",VLOOKUP(O32,Kiadas!$A$1006:$L$10000,9,FALSE)))</f>
        <v/>
      </c>
      <c r="H32" s="23" t="str">
        <f>IF(O32&lt;=$O$3,SUM($H$10,$F$11:F32)-SUM($G$11:G32),"")</f>
        <v/>
      </c>
      <c r="I32" s="23" t="str">
        <f t="shared" si="1"/>
        <v/>
      </c>
      <c r="J32" s="23" t="str">
        <f t="shared" si="2"/>
        <v/>
      </c>
      <c r="K32" s="23" t="str">
        <f>IF(O32&lt;=$O$3,SUM($K$10,$I$11:I32)-SUM($J$11:J32),"")</f>
        <v/>
      </c>
      <c r="O32" s="1">
        <f t="shared" si="3"/>
        <v>22</v>
      </c>
    </row>
    <row r="33" spans="2:15" ht="14.25" x14ac:dyDescent="0.2">
      <c r="B33" s="24" t="str">
        <f t="shared" si="0"/>
        <v/>
      </c>
      <c r="C33" s="25" t="str">
        <f>IF(O33&lt;=$O$3,VLOOKUP(O33,Kiadas!$A$6:$W$10000,23,FALSE),"")</f>
        <v/>
      </c>
      <c r="D33" s="24" t="str">
        <f>IF(O33&lt;=$O$3,VLOOKUP(O33,Kiadas!$A$6:$L$10000,3,FALSE),"")</f>
        <v/>
      </c>
      <c r="E33" s="24" t="str">
        <f>TRIM(IF(O33&lt;=$O$3,VLOOKUP(O33,Kiadas!$A$6:$U$10000,21,FALSE)&amp;" "&amp;VLOOKUP(O33,Kiadas!$A$6:$L$10000,8,FALSE),""))</f>
        <v/>
      </c>
      <c r="F33" s="23" t="str">
        <f>IF(O33&gt;$O$3,"",IF(ISERROR(VLOOKUP(O33,Kiadas!$A$6:$L$1000,9,FALSE))&lt;&gt;FALSE,"",VLOOKUP(O33,Kiadas!$A$6:$L$1000,9,FALSE)))</f>
        <v/>
      </c>
      <c r="G33" s="23" t="str">
        <f>IF(O33&gt;$O$3,"",IF(ISERROR(VLOOKUP(O33,Kiadas!$A$1006:$L$10000,9,FALSE))&lt;&gt;FALSE,"",VLOOKUP(O33,Kiadas!$A$1006:$L$10000,9,FALSE)))</f>
        <v/>
      </c>
      <c r="H33" s="23" t="str">
        <f>IF(O33&lt;=$O$3,SUM($H$10,$F$11:F33)-SUM($G$11:G33),"")</f>
        <v/>
      </c>
      <c r="I33" s="23" t="str">
        <f t="shared" si="1"/>
        <v/>
      </c>
      <c r="J33" s="23" t="str">
        <f t="shared" si="2"/>
        <v/>
      </c>
      <c r="K33" s="23" t="str">
        <f>IF(O33&lt;=$O$3,SUM($K$10,$I$11:I33)-SUM($J$11:J33),"")</f>
        <v/>
      </c>
      <c r="O33" s="1">
        <f t="shared" si="3"/>
        <v>23</v>
      </c>
    </row>
    <row r="34" spans="2:15" ht="14.25" x14ac:dyDescent="0.2">
      <c r="B34" s="24" t="str">
        <f t="shared" si="0"/>
        <v/>
      </c>
      <c r="C34" s="25" t="str">
        <f>IF(O34&lt;=$O$3,VLOOKUP(O34,Kiadas!$A$6:$W$10000,23,FALSE),"")</f>
        <v/>
      </c>
      <c r="D34" s="24" t="str">
        <f>IF(O34&lt;=$O$3,VLOOKUP(O34,Kiadas!$A$6:$L$10000,3,FALSE),"")</f>
        <v/>
      </c>
      <c r="E34" s="24" t="str">
        <f>TRIM(IF(O34&lt;=$O$3,VLOOKUP(O34,Kiadas!$A$6:$U$10000,21,FALSE)&amp;" "&amp;VLOOKUP(O34,Kiadas!$A$6:$L$10000,8,FALSE),""))</f>
        <v/>
      </c>
      <c r="F34" s="23" t="str">
        <f>IF(O34&gt;$O$3,"",IF(ISERROR(VLOOKUP(O34,Kiadas!$A$6:$L$1000,9,FALSE))&lt;&gt;FALSE,"",VLOOKUP(O34,Kiadas!$A$6:$L$1000,9,FALSE)))</f>
        <v/>
      </c>
      <c r="G34" s="23" t="str">
        <f>IF(O34&gt;$O$3,"",IF(ISERROR(VLOOKUP(O34,Kiadas!$A$1006:$L$10000,9,FALSE))&lt;&gt;FALSE,"",VLOOKUP(O34,Kiadas!$A$1006:$L$10000,9,FALSE)))</f>
        <v/>
      </c>
      <c r="H34" s="23" t="str">
        <f>IF(O34&lt;=$O$3,SUM($H$10,$F$11:F34)-SUM($G$11:G34),"")</f>
        <v/>
      </c>
      <c r="I34" s="23" t="str">
        <f t="shared" si="1"/>
        <v/>
      </c>
      <c r="J34" s="23" t="str">
        <f t="shared" si="2"/>
        <v/>
      </c>
      <c r="K34" s="23" t="str">
        <f>IF(O34&lt;=$O$3,SUM($K$10,$I$11:I34)-SUM($J$11:J34),"")</f>
        <v/>
      </c>
      <c r="O34" s="1">
        <f t="shared" si="3"/>
        <v>24</v>
      </c>
    </row>
    <row r="35" spans="2:15" ht="14.25" x14ac:dyDescent="0.2">
      <c r="B35" s="24" t="str">
        <f t="shared" si="0"/>
        <v/>
      </c>
      <c r="C35" s="25" t="str">
        <f>IF(O35&lt;=$O$3,VLOOKUP(O35,Kiadas!$A$6:$W$10000,23,FALSE),"")</f>
        <v/>
      </c>
      <c r="D35" s="24" t="str">
        <f>IF(O35&lt;=$O$3,VLOOKUP(O35,Kiadas!$A$6:$L$10000,3,FALSE),"")</f>
        <v/>
      </c>
      <c r="E35" s="24" t="str">
        <f>TRIM(IF(O35&lt;=$O$3,VLOOKUP(O35,Kiadas!$A$6:$U$10000,21,FALSE)&amp;" "&amp;VLOOKUP(O35,Kiadas!$A$6:$L$10000,8,FALSE),""))</f>
        <v/>
      </c>
      <c r="F35" s="23" t="str">
        <f>IF(O35&gt;$O$3,"",IF(ISERROR(VLOOKUP(O35,Kiadas!$A$6:$L$1000,9,FALSE))&lt;&gt;FALSE,"",VLOOKUP(O35,Kiadas!$A$6:$L$1000,9,FALSE)))</f>
        <v/>
      </c>
      <c r="G35" s="23" t="str">
        <f>IF(O35&gt;$O$3,"",IF(ISERROR(VLOOKUP(O35,Kiadas!$A$1006:$L$10000,9,FALSE))&lt;&gt;FALSE,"",VLOOKUP(O35,Kiadas!$A$1006:$L$10000,9,FALSE)))</f>
        <v/>
      </c>
      <c r="H35" s="23" t="str">
        <f>IF(O35&lt;=$O$3,SUM($H$10,$F$11:F35)-SUM($G$11:G35),"")</f>
        <v/>
      </c>
      <c r="I35" s="23" t="str">
        <f t="shared" si="1"/>
        <v/>
      </c>
      <c r="J35" s="23" t="str">
        <f t="shared" si="2"/>
        <v/>
      </c>
      <c r="K35" s="23" t="str">
        <f>IF(O35&lt;=$O$3,SUM($K$10,$I$11:I35)-SUM($J$11:J35),"")</f>
        <v/>
      </c>
      <c r="O35" s="1">
        <f t="shared" si="3"/>
        <v>25</v>
      </c>
    </row>
    <row r="36" spans="2:15" ht="14.25" x14ac:dyDescent="0.2">
      <c r="B36" s="24" t="str">
        <f t="shared" si="0"/>
        <v/>
      </c>
      <c r="C36" s="25" t="str">
        <f>IF(O36&lt;=$O$3,VLOOKUP(O36,Kiadas!$A$6:$W$10000,23,FALSE),"")</f>
        <v/>
      </c>
      <c r="D36" s="24" t="str">
        <f>IF(O36&lt;=$O$3,VLOOKUP(O36,Kiadas!$A$6:$L$10000,3,FALSE),"")</f>
        <v/>
      </c>
      <c r="E36" s="24" t="str">
        <f>TRIM(IF(O36&lt;=$O$3,VLOOKUP(O36,Kiadas!$A$6:$U$10000,21,FALSE)&amp;" "&amp;VLOOKUP(O36,Kiadas!$A$6:$L$10000,8,FALSE),""))</f>
        <v/>
      </c>
      <c r="F36" s="23" t="str">
        <f>IF(O36&gt;$O$3,"",IF(ISERROR(VLOOKUP(O36,Kiadas!$A$6:$L$1000,9,FALSE))&lt;&gt;FALSE,"",VLOOKUP(O36,Kiadas!$A$6:$L$1000,9,FALSE)))</f>
        <v/>
      </c>
      <c r="G36" s="23" t="str">
        <f>IF(O36&gt;$O$3,"",IF(ISERROR(VLOOKUP(O36,Kiadas!$A$1006:$L$10000,9,FALSE))&lt;&gt;FALSE,"",VLOOKUP(O36,Kiadas!$A$1006:$L$10000,9,FALSE)))</f>
        <v/>
      </c>
      <c r="H36" s="23" t="str">
        <f>IF(O36&lt;=$O$3,SUM($H$10,$F$11:F36)-SUM($G$11:G36),"")</f>
        <v/>
      </c>
      <c r="I36" s="23" t="str">
        <f t="shared" si="1"/>
        <v/>
      </c>
      <c r="J36" s="23" t="str">
        <f t="shared" si="2"/>
        <v/>
      </c>
      <c r="K36" s="23" t="str">
        <f>IF(O36&lt;=$O$3,SUM($K$10,$I$11:I36)-SUM($J$11:J36),"")</f>
        <v/>
      </c>
      <c r="O36" s="1">
        <f t="shared" si="3"/>
        <v>26</v>
      </c>
    </row>
    <row r="37" spans="2:15" ht="14.25" x14ac:dyDescent="0.2">
      <c r="B37" s="24" t="str">
        <f t="shared" si="0"/>
        <v/>
      </c>
      <c r="C37" s="25" t="str">
        <f>IF(O37&lt;=$O$3,VLOOKUP(O37,Kiadas!$A$6:$W$10000,23,FALSE),"")</f>
        <v/>
      </c>
      <c r="D37" s="24" t="str">
        <f>IF(O37&lt;=$O$3,VLOOKUP(O37,Kiadas!$A$6:$L$10000,3,FALSE),"")</f>
        <v/>
      </c>
      <c r="E37" s="24" t="str">
        <f>TRIM(IF(O37&lt;=$O$3,VLOOKUP(O37,Kiadas!$A$6:$U$10000,21,FALSE)&amp;" "&amp;VLOOKUP(O37,Kiadas!$A$6:$L$10000,8,FALSE),""))</f>
        <v/>
      </c>
      <c r="F37" s="23" t="str">
        <f>IF(O37&gt;$O$3,"",IF(ISERROR(VLOOKUP(O37,Kiadas!$A$6:$L$1000,9,FALSE))&lt;&gt;FALSE,"",VLOOKUP(O37,Kiadas!$A$6:$L$1000,9,FALSE)))</f>
        <v/>
      </c>
      <c r="G37" s="23" t="str">
        <f>IF(O37&gt;$O$3,"",IF(ISERROR(VLOOKUP(O37,Kiadas!$A$1006:$L$10000,9,FALSE))&lt;&gt;FALSE,"",VLOOKUP(O37,Kiadas!$A$1006:$L$10000,9,FALSE)))</f>
        <v/>
      </c>
      <c r="H37" s="23" t="str">
        <f>IF(O37&lt;=$O$3,SUM($H$10,$F$11:F37)-SUM($G$11:G37),"")</f>
        <v/>
      </c>
      <c r="I37" s="23" t="str">
        <f t="shared" si="1"/>
        <v/>
      </c>
      <c r="J37" s="23" t="str">
        <f t="shared" si="2"/>
        <v/>
      </c>
      <c r="K37" s="23" t="str">
        <f>IF(O37&lt;=$O$3,SUM($K$10,$I$11:I37)-SUM($J$11:J37),"")</f>
        <v/>
      </c>
      <c r="O37" s="1">
        <f t="shared" si="3"/>
        <v>27</v>
      </c>
    </row>
    <row r="38" spans="2:15" ht="14.25" x14ac:dyDescent="0.2">
      <c r="B38" s="24" t="str">
        <f t="shared" si="0"/>
        <v/>
      </c>
      <c r="C38" s="25" t="str">
        <f>IF(O38&lt;=$O$3,VLOOKUP(O38,Kiadas!$A$6:$W$10000,23,FALSE),"")</f>
        <v/>
      </c>
      <c r="D38" s="24" t="str">
        <f>IF(O38&lt;=$O$3,VLOOKUP(O38,Kiadas!$A$6:$L$10000,3,FALSE),"")</f>
        <v/>
      </c>
      <c r="E38" s="24" t="str">
        <f>TRIM(IF(O38&lt;=$O$3,VLOOKUP(O38,Kiadas!$A$6:$U$10000,21,FALSE)&amp;" "&amp;VLOOKUP(O38,Kiadas!$A$6:$L$10000,8,FALSE),""))</f>
        <v/>
      </c>
      <c r="F38" s="23" t="str">
        <f>IF(O38&gt;$O$3,"",IF(ISERROR(VLOOKUP(O38,Kiadas!$A$6:$L$1000,9,FALSE))&lt;&gt;FALSE,"",VLOOKUP(O38,Kiadas!$A$6:$L$1000,9,FALSE)))</f>
        <v/>
      </c>
      <c r="G38" s="23" t="str">
        <f>IF(O38&gt;$O$3,"",IF(ISERROR(VLOOKUP(O38,Kiadas!$A$1006:$L$10000,9,FALSE))&lt;&gt;FALSE,"",VLOOKUP(O38,Kiadas!$A$1006:$L$10000,9,FALSE)))</f>
        <v/>
      </c>
      <c r="H38" s="23" t="str">
        <f>IF(O38&lt;=$O$3,SUM($H$10,$F$11:F38)-SUM($G$11:G38),"")</f>
        <v/>
      </c>
      <c r="I38" s="23" t="str">
        <f t="shared" si="1"/>
        <v/>
      </c>
      <c r="J38" s="23" t="str">
        <f t="shared" si="2"/>
        <v/>
      </c>
      <c r="K38" s="23" t="str">
        <f>IF(O38&lt;=$O$3,SUM($K$10,$I$11:I38)-SUM($J$11:J38),"")</f>
        <v/>
      </c>
      <c r="O38" s="1">
        <f t="shared" si="3"/>
        <v>28</v>
      </c>
    </row>
    <row r="39" spans="2:15" ht="14.25" x14ac:dyDescent="0.2">
      <c r="B39" s="24" t="str">
        <f t="shared" si="0"/>
        <v/>
      </c>
      <c r="C39" s="25" t="str">
        <f>IF(O39&lt;=$O$3,VLOOKUP(O39,Kiadas!$A$6:$W$10000,23,FALSE),"")</f>
        <v/>
      </c>
      <c r="D39" s="24" t="str">
        <f>IF(O39&lt;=$O$3,VLOOKUP(O39,Kiadas!$A$6:$L$10000,3,FALSE),"")</f>
        <v/>
      </c>
      <c r="E39" s="24" t="str">
        <f>TRIM(IF(O39&lt;=$O$3,VLOOKUP(O39,Kiadas!$A$6:$U$10000,21,FALSE)&amp;" "&amp;VLOOKUP(O39,Kiadas!$A$6:$L$10000,8,FALSE),""))</f>
        <v/>
      </c>
      <c r="F39" s="23" t="str">
        <f>IF(O39&gt;$O$3,"",IF(ISERROR(VLOOKUP(O39,Kiadas!$A$6:$L$1000,9,FALSE))&lt;&gt;FALSE,"",VLOOKUP(O39,Kiadas!$A$6:$L$1000,9,FALSE)))</f>
        <v/>
      </c>
      <c r="G39" s="23" t="str">
        <f>IF(O39&gt;$O$3,"",IF(ISERROR(VLOOKUP(O39,Kiadas!$A$1006:$L$10000,9,FALSE))&lt;&gt;FALSE,"",VLOOKUP(O39,Kiadas!$A$1006:$L$10000,9,FALSE)))</f>
        <v/>
      </c>
      <c r="H39" s="23" t="str">
        <f>IF(O39&lt;=$O$3,SUM($H$10,$F$11:F39)-SUM($G$11:G39),"")</f>
        <v/>
      </c>
      <c r="I39" s="23" t="str">
        <f t="shared" si="1"/>
        <v/>
      </c>
      <c r="J39" s="23" t="str">
        <f t="shared" si="2"/>
        <v/>
      </c>
      <c r="K39" s="23" t="str">
        <f>IF(O39&lt;=$O$3,SUM($K$10,$I$11:I39)-SUM($J$11:J39),"")</f>
        <v/>
      </c>
      <c r="O39" s="1">
        <f t="shared" si="3"/>
        <v>29</v>
      </c>
    </row>
    <row r="40" spans="2:15" ht="14.25" x14ac:dyDescent="0.2">
      <c r="B40" s="24" t="str">
        <f t="shared" si="0"/>
        <v/>
      </c>
      <c r="C40" s="25" t="str">
        <f>IF(O40&lt;=$O$3,VLOOKUP(O40,Kiadas!$A$6:$W$10000,23,FALSE),"")</f>
        <v/>
      </c>
      <c r="D40" s="24" t="str">
        <f>IF(O40&lt;=$O$3,VLOOKUP(O40,Kiadas!$A$6:$L$10000,3,FALSE),"")</f>
        <v/>
      </c>
      <c r="E40" s="24" t="str">
        <f>TRIM(IF(O40&lt;=$O$3,VLOOKUP(O40,Kiadas!$A$6:$U$10000,21,FALSE)&amp;" "&amp;VLOOKUP(O40,Kiadas!$A$6:$L$10000,8,FALSE),""))</f>
        <v/>
      </c>
      <c r="F40" s="23" t="str">
        <f>IF(O40&gt;$O$3,"",IF(ISERROR(VLOOKUP(O40,Kiadas!$A$6:$L$1000,9,FALSE))&lt;&gt;FALSE,"",VLOOKUP(O40,Kiadas!$A$6:$L$1000,9,FALSE)))</f>
        <v/>
      </c>
      <c r="G40" s="23" t="str">
        <f>IF(O40&gt;$O$3,"",IF(ISERROR(VLOOKUP(O40,Kiadas!$A$1006:$L$10000,9,FALSE))&lt;&gt;FALSE,"",VLOOKUP(O40,Kiadas!$A$1006:$L$10000,9,FALSE)))</f>
        <v/>
      </c>
      <c r="H40" s="23" t="str">
        <f>IF(O40&lt;=$O$3,SUM($H$10,$F$11:F40)-SUM($G$11:G40),"")</f>
        <v/>
      </c>
      <c r="I40" s="23" t="str">
        <f t="shared" si="1"/>
        <v/>
      </c>
      <c r="J40" s="23" t="str">
        <f t="shared" si="2"/>
        <v/>
      </c>
      <c r="K40" s="23" t="str">
        <f>IF(O40&lt;=$O$3,SUM($K$10,$I$11:I40)-SUM($J$11:J40),"")</f>
        <v/>
      </c>
      <c r="O40" s="1">
        <f t="shared" si="3"/>
        <v>30</v>
      </c>
    </row>
    <row r="41" spans="2:15" ht="14.25" x14ac:dyDescent="0.2">
      <c r="B41" s="24"/>
      <c r="C41" s="25"/>
      <c r="D41" s="24"/>
      <c r="E41" s="4" t="str">
        <f>IF(O40&lt;=$O$3,V5,"")</f>
        <v/>
      </c>
      <c r="F41" s="23"/>
      <c r="G41" s="23"/>
      <c r="H41" s="23" t="str">
        <f>IF(O40&lt;=$O$3,H40,"")</f>
        <v/>
      </c>
      <c r="I41" s="23" t="str">
        <f t="shared" si="1"/>
        <v/>
      </c>
      <c r="J41" s="23" t="str">
        <f t="shared" si="2"/>
        <v/>
      </c>
      <c r="K41" s="23" t="str">
        <f>IF(O40&lt;=$O$3,K40,"")</f>
        <v/>
      </c>
    </row>
    <row r="42" spans="2:15" x14ac:dyDescent="0.2"/>
    <row r="43" spans="2:15" x14ac:dyDescent="0.2">
      <c r="B43" s="151" t="s">
        <v>54</v>
      </c>
      <c r="C43" s="151"/>
      <c r="D43" s="151"/>
      <c r="I43" s="151" t="s">
        <v>55</v>
      </c>
      <c r="J43" s="151"/>
      <c r="K43" s="151"/>
    </row>
    <row r="44" spans="2:15" x14ac:dyDescent="0.2">
      <c r="B44" s="151"/>
      <c r="C44" s="151"/>
      <c r="D44" s="151"/>
      <c r="I44" s="151"/>
      <c r="J44" s="151"/>
      <c r="K44" s="151"/>
    </row>
    <row r="45" spans="2:15" x14ac:dyDescent="0.2"/>
    <row r="46" spans="2:15" x14ac:dyDescent="0.2"/>
    <row r="47" spans="2:15" x14ac:dyDescent="0.2"/>
  </sheetData>
  <sheetProtection algorithmName="SHA-512" hashValue="v8xUy8wXlNrMXanBdJhpA4QkCwhri3VxWdJs7brrwFRPHx64GzTDDous7QOKJkAYeT1ImfnCs2HTdmjMynzSYw==" saltValue="G3LzeGusq27kwrN26pRnWg==" spinCount="100000" sheet="1" objects="1" scenarios="1"/>
  <mergeCells count="12">
    <mergeCell ref="F8:H8"/>
    <mergeCell ref="I8:K8"/>
    <mergeCell ref="B44:D44"/>
    <mergeCell ref="B43:D43"/>
    <mergeCell ref="I43:K43"/>
    <mergeCell ref="I44:K44"/>
    <mergeCell ref="G5:K5"/>
    <mergeCell ref="G6:H6"/>
    <mergeCell ref="B2:I2"/>
    <mergeCell ref="B4:K4"/>
    <mergeCell ref="A1:E1"/>
    <mergeCell ref="F1:K1"/>
  </mergeCells>
  <phoneticPr fontId="2" type="noConversion"/>
  <conditionalFormatting sqref="B2">
    <cfRule type="expression" dxfId="12" priority="2" stopIfTrue="1">
      <formula>$P4=1</formula>
    </cfRule>
  </conditionalFormatting>
  <conditionalFormatting sqref="B41:K41">
    <cfRule type="expression" dxfId="11" priority="5" stopIfTrue="1">
      <formula>$B40&lt;&gt;""</formula>
    </cfRule>
  </conditionalFormatting>
  <conditionalFormatting sqref="J2">
    <cfRule type="expression" dxfId="10" priority="3" stopIfTrue="1">
      <formula>P4&lt;=1</formula>
    </cfRule>
    <cfRule type="expression" dxfId="9" priority="4" stopIfTrue="1">
      <formula>P4&gt;1</formula>
    </cfRule>
  </conditionalFormatting>
  <conditionalFormatting sqref="K10:K40 B11:J40">
    <cfRule type="expression" dxfId="8" priority="1" stopIfTrue="1">
      <formula>$B10&lt;&gt;""</formula>
    </cfRule>
  </conditionalFormatting>
  <dataValidations count="2">
    <dataValidation type="list" allowBlank="1" showInputMessage="1" showErrorMessage="1" sqref="F1" xr:uid="{00000000-0002-0000-0400-000000000000}">
      <formula1>cimbev</formula1>
    </dataValidation>
    <dataValidation type="whole" operator="lessThanOrEqual" allowBlank="1" showInputMessage="1" showErrorMessage="1" sqref="J2" xr:uid="{00000000-0002-0000-0400-000001000000}">
      <formula1>P4</formula1>
    </dataValidation>
  </dataValidations>
  <pageMargins left="0.59055118110236227" right="0.39370078740157483" top="0.59055118110236227" bottom="0.59055118110236227" header="0.51181102362204722" footer="0.51181102362204722"/>
  <pageSetup paperSize="9" scale="8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64"/>
  <sheetViews>
    <sheetView showGridLines="0" showRowColHeader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I2" sqref="I2"/>
    </sheetView>
  </sheetViews>
  <sheetFormatPr defaultColWidth="0" defaultRowHeight="12.75" zeroHeight="1" x14ac:dyDescent="0.2"/>
  <cols>
    <col min="1" max="1" width="9.140625" style="1" customWidth="1"/>
    <col min="2" max="2" width="5.28515625" style="1" bestFit="1" customWidth="1"/>
    <col min="3" max="3" width="35.5703125" style="1" customWidth="1"/>
    <col min="4" max="4" width="9.140625" style="1" customWidth="1"/>
    <col min="5" max="5" width="5.28515625" style="1" customWidth="1"/>
    <col min="6" max="6" width="7.7109375" style="1" bestFit="1" customWidth="1"/>
    <col min="7" max="7" width="10.5703125" style="1" customWidth="1"/>
    <col min="8" max="8" width="14.28515625" style="1" customWidth="1"/>
    <col min="9" max="9" width="10.5703125" style="1" customWidth="1"/>
    <col min="10" max="10" width="9.140625" style="1" customWidth="1"/>
    <col min="11" max="22" width="9.140625" style="1" hidden="1"/>
    <col min="23" max="25" width="10.140625" style="1" hidden="1"/>
    <col min="26" max="16384" width="9.140625" style="1" hidden="1"/>
  </cols>
  <sheetData>
    <row r="1" spans="2:27" ht="37.5" customHeight="1" x14ac:dyDescent="0.2">
      <c r="B1" s="152" t="str">
        <f>IF(O2&gt;1,Q1&amp;O2&amp;Q2&amp;N1&amp;Q3,"")</f>
        <v/>
      </c>
      <c r="C1" s="152"/>
      <c r="D1" s="152"/>
      <c r="E1" s="152"/>
      <c r="F1" s="152"/>
      <c r="G1" s="152"/>
      <c r="H1" s="152"/>
      <c r="I1" s="29"/>
      <c r="N1" s="1">
        <f>IF(OR(I1=0,I1="",I1&gt;O2),1,I1)</f>
        <v>1</v>
      </c>
      <c r="O1" s="1">
        <f>MAX(Keszlet!B5:B200)</f>
        <v>0</v>
      </c>
      <c r="Q1" s="1" t="s">
        <v>58</v>
      </c>
      <c r="W1" s="6">
        <f>MAX(Kiadas!W6:W20000)</f>
        <v>0</v>
      </c>
      <c r="X1" s="6">
        <f>kkezd</f>
        <v>45658</v>
      </c>
      <c r="Y1" s="6">
        <f>IF(I2=0,W1,IF(I2&lt;X1,W1,I2))</f>
        <v>0</v>
      </c>
      <c r="Z1" s="1">
        <f>MONTH(Y1)</f>
        <v>1</v>
      </c>
      <c r="AA1" s="1">
        <f>DAY(Y1)</f>
        <v>0</v>
      </c>
    </row>
    <row r="2" spans="2:27" ht="18" x14ac:dyDescent="0.25">
      <c r="B2" s="156" t="s">
        <v>87</v>
      </c>
      <c r="C2" s="156"/>
      <c r="D2" s="156"/>
      <c r="E2" s="156"/>
      <c r="F2" s="156"/>
      <c r="G2" s="156"/>
      <c r="H2" s="156"/>
      <c r="I2" s="95"/>
      <c r="J2" s="17"/>
      <c r="O2" s="1">
        <f>ROUNDUP(O1/50,0)</f>
        <v>0</v>
      </c>
      <c r="Q2" s="1" t="s">
        <v>59</v>
      </c>
      <c r="Y2" s="1">
        <f>YEAR(Y1)</f>
        <v>1900</v>
      </c>
      <c r="Z2" s="1" t="str">
        <f>IF(Z1&lt;10,"0"&amp;Z1,Z1)</f>
        <v>01</v>
      </c>
      <c r="AA2" s="1" t="str">
        <f>IF(AA1&lt;10,"0"&amp;AA1,AA1)</f>
        <v>00</v>
      </c>
    </row>
    <row r="3" spans="2:27" ht="15.75" x14ac:dyDescent="0.25">
      <c r="B3" s="155">
        <f>Keszlet!G3</f>
        <v>0</v>
      </c>
      <c r="C3" s="155"/>
      <c r="D3" s="155"/>
      <c r="E3" s="155"/>
      <c r="F3" s="155"/>
      <c r="G3" s="155"/>
      <c r="I3" s="28" t="str">
        <f>"pg. "&amp;N1&amp;" / "&amp;Y2&amp;"."&amp;Z2&amp;"."&amp;AA2</f>
        <v>pg. 1 / 1900.01.00</v>
      </c>
      <c r="J3" s="17"/>
      <c r="O3" s="1">
        <f>SUMIF(Keszlet!R5:R200,"&gt;0",Keszlet!U5:U200)</f>
        <v>0</v>
      </c>
      <c r="Q3" s="1" t="s">
        <v>60</v>
      </c>
    </row>
    <row r="4" spans="2:27" ht="15" x14ac:dyDescent="0.2">
      <c r="B4" s="153" t="s">
        <v>53</v>
      </c>
      <c r="C4" s="153"/>
      <c r="D4" s="153"/>
      <c r="E4" s="153"/>
      <c r="F4" s="153"/>
      <c r="G4" s="153"/>
      <c r="H4" s="153"/>
      <c r="I4" s="153"/>
      <c r="O4" s="1" t="s">
        <v>70</v>
      </c>
    </row>
    <row r="5" spans="2:27" ht="23.25" customHeight="1" x14ac:dyDescent="0.2">
      <c r="B5" s="154" t="s">
        <v>61</v>
      </c>
      <c r="C5" s="154"/>
      <c r="D5" s="154"/>
      <c r="E5" s="154"/>
      <c r="F5" s="154"/>
      <c r="G5" s="154"/>
      <c r="H5" s="154"/>
      <c r="I5" s="154"/>
    </row>
    <row r="6" spans="2:27" ht="45" x14ac:dyDescent="0.2">
      <c r="B6" s="53" t="s">
        <v>44</v>
      </c>
      <c r="C6" s="53" t="s">
        <v>45</v>
      </c>
      <c r="D6" s="53" t="s">
        <v>46</v>
      </c>
      <c r="E6" s="53" t="s">
        <v>47</v>
      </c>
      <c r="F6" s="53" t="s">
        <v>48</v>
      </c>
      <c r="G6" s="53" t="s">
        <v>49</v>
      </c>
      <c r="H6" s="53" t="s">
        <v>50</v>
      </c>
      <c r="I6" s="53" t="s">
        <v>52</v>
      </c>
      <c r="J6" s="65"/>
    </row>
    <row r="7" spans="2:27" x14ac:dyDescent="0.2">
      <c r="B7" s="54">
        <v>0</v>
      </c>
      <c r="C7" s="54">
        <v>1</v>
      </c>
      <c r="D7" s="54">
        <v>2</v>
      </c>
      <c r="E7" s="54">
        <v>3</v>
      </c>
      <c r="F7" s="54">
        <v>4</v>
      </c>
      <c r="G7" s="54">
        <v>5</v>
      </c>
      <c r="H7" s="48" t="s">
        <v>51</v>
      </c>
      <c r="I7" s="54">
        <v>7</v>
      </c>
      <c r="J7" s="66"/>
    </row>
    <row r="8" spans="2:27" x14ac:dyDescent="0.2">
      <c r="B8" s="1" t="str">
        <f>IF(O8&lt;=$O$1,O8,"")</f>
        <v/>
      </c>
      <c r="C8" s="1" t="str">
        <f>TRIM(IF(O8&lt;=$O$1,VLOOKUP(O8,Keszlet!$B$5:$I$200,4,FALSE)&amp;" "&amp;VLOOKUP(O8,Keszlet!$B$5:$I$200,5,FALSE),IF(O7=$O$1,$O$4,"")))</f>
        <v>Total / Összesen:</v>
      </c>
      <c r="E8" s="88" t="str">
        <f>TRIM(IF(O8&lt;=$O$1,VLOOKUP(O8,Keszlet!$B$5:$I$200,7,FALSE),""))</f>
        <v/>
      </c>
      <c r="F8" s="15" t="str">
        <f>IF(O8&lt;=$O$1,VLOOKUP(O8,Keszlet!$B$5:$R$200,17,FALSE),"")</f>
        <v/>
      </c>
      <c r="G8" s="15" t="str">
        <f>IF(O8&lt;=$O$1,VLOOKUP(O8,Keszlet!$B$5:$I$200,6,FALSE),"")</f>
        <v/>
      </c>
      <c r="H8" s="15" t="str">
        <f>IF(O8&lt;=$O$1,ROUND(PRODUCT(F8,G8),2),"")</f>
        <v/>
      </c>
      <c r="O8" s="1">
        <f>IF(N1=1,1,SUM(N1,-1)*50+1)</f>
        <v>1</v>
      </c>
    </row>
    <row r="9" spans="2:27" x14ac:dyDescent="0.2">
      <c r="B9" s="1" t="str">
        <f t="shared" ref="B9:B47" si="0">IF(O9&lt;=$O$1,O9,"")</f>
        <v/>
      </c>
      <c r="C9" s="1" t="str">
        <f>TRIM(IF(O9&lt;=$O$1,VLOOKUP(O9,Keszlet!$B$5:$I$200,4,FALSE)&amp;" "&amp;VLOOKUP(O9,Keszlet!$B$5:$I$200,5,FALSE),IF(O8=$O$1,$O$4,"")))</f>
        <v/>
      </c>
      <c r="E9" s="88" t="str">
        <f>TRIM(IF(O9&lt;=$O$1,VLOOKUP(O9,Keszlet!$B$5:$I$200,7,FALSE),""))</f>
        <v/>
      </c>
      <c r="F9" s="15" t="str">
        <f>IF(O9&lt;=$O$1,VLOOKUP(O9,Keszlet!$B$5:$R$200,17,FALSE),"")</f>
        <v/>
      </c>
      <c r="G9" s="15" t="str">
        <f>IF(O9&lt;=$O$1,VLOOKUP(O9,Keszlet!$B$5:$I$200,6,FALSE),"")</f>
        <v/>
      </c>
      <c r="H9" s="15" t="str">
        <f>IF(O9&lt;=$O$1,ROUND(PRODUCT(F9,G9),2),IF(O8=$O$1,$O$3,""))</f>
        <v/>
      </c>
      <c r="O9" s="1">
        <f>O8+1</f>
        <v>2</v>
      </c>
    </row>
    <row r="10" spans="2:27" x14ac:dyDescent="0.2">
      <c r="B10" s="1" t="str">
        <f t="shared" si="0"/>
        <v/>
      </c>
      <c r="C10" s="1" t="str">
        <f>TRIM(IF(O10&lt;=$O$1,VLOOKUP(O10,Keszlet!$B$5:$I$200,4,FALSE)&amp;" "&amp;VLOOKUP(O10,Keszlet!$B$5:$I$200,5,FALSE),IF(O9=$O$1,$O$4,"")))</f>
        <v/>
      </c>
      <c r="E10" s="88" t="str">
        <f>TRIM(IF(O10&lt;=$O$1,VLOOKUP(O10,Keszlet!$B$5:$I$200,7,FALSE),""))</f>
        <v/>
      </c>
      <c r="F10" s="15" t="str">
        <f>IF(O10&lt;=$O$1,VLOOKUP(O10,Keszlet!$B$5:$R$200,17,FALSE),"")</f>
        <v/>
      </c>
      <c r="G10" s="15" t="str">
        <f>IF(O10&lt;=$O$1,VLOOKUP(O10,Keszlet!$B$5:$I$200,6,FALSE),"")</f>
        <v/>
      </c>
      <c r="H10" s="15" t="str">
        <f t="shared" ref="H10:H57" si="1">IF(O10&lt;=$O$1,ROUND(PRODUCT(F10,G10),2),IF(O9=$O$1,$O$3,""))</f>
        <v/>
      </c>
      <c r="O10" s="1">
        <f t="shared" ref="O10:O57" si="2">O9+1</f>
        <v>3</v>
      </c>
    </row>
    <row r="11" spans="2:27" x14ac:dyDescent="0.2">
      <c r="B11" s="1" t="str">
        <f t="shared" si="0"/>
        <v/>
      </c>
      <c r="C11" s="1" t="str">
        <f>TRIM(IF(O11&lt;=$O$1,VLOOKUP(O11,Keszlet!$B$5:$I$200,4,FALSE)&amp;" "&amp;VLOOKUP(O11,Keszlet!$B$5:$I$200,5,FALSE),IF(O10=$O$1,$O$4,"")))</f>
        <v/>
      </c>
      <c r="E11" s="88" t="str">
        <f>TRIM(IF(O11&lt;=$O$1,VLOOKUP(O11,Keszlet!$B$5:$I$200,7,FALSE),""))</f>
        <v/>
      </c>
      <c r="F11" s="15" t="str">
        <f>IF(O11&lt;=$O$1,VLOOKUP(O11,Keszlet!$B$5:$R$200,17,FALSE),"")</f>
        <v/>
      </c>
      <c r="G11" s="15" t="str">
        <f>IF(O11&lt;=$O$1,VLOOKUP(O11,Keszlet!$B$5:$I$200,6,FALSE),"")</f>
        <v/>
      </c>
      <c r="H11" s="15" t="str">
        <f t="shared" si="1"/>
        <v/>
      </c>
      <c r="O11" s="1">
        <f t="shared" si="2"/>
        <v>4</v>
      </c>
    </row>
    <row r="12" spans="2:27" x14ac:dyDescent="0.2">
      <c r="B12" s="1" t="str">
        <f t="shared" si="0"/>
        <v/>
      </c>
      <c r="C12" s="1" t="str">
        <f>TRIM(IF(O12&lt;=$O$1,VLOOKUP(O12,Keszlet!$B$5:$I$200,4,FALSE)&amp;" "&amp;VLOOKUP(O12,Keszlet!$B$5:$I$200,5,FALSE),IF(O11=$O$1,$O$4,"")))</f>
        <v/>
      </c>
      <c r="E12" s="88" t="str">
        <f>TRIM(IF(O12&lt;=$O$1,VLOOKUP(O12,Keszlet!$B$5:$I$200,7,FALSE),""))</f>
        <v/>
      </c>
      <c r="F12" s="15" t="str">
        <f>IF(O12&lt;=$O$1,VLOOKUP(O12,Keszlet!$B$5:$R$200,17,FALSE),"")</f>
        <v/>
      </c>
      <c r="G12" s="15" t="str">
        <f>IF(O12&lt;=$O$1,VLOOKUP(O12,Keszlet!$B$5:$I$200,6,FALSE),"")</f>
        <v/>
      </c>
      <c r="H12" s="15" t="str">
        <f t="shared" si="1"/>
        <v/>
      </c>
      <c r="O12" s="1">
        <f t="shared" si="2"/>
        <v>5</v>
      </c>
    </row>
    <row r="13" spans="2:27" x14ac:dyDescent="0.2">
      <c r="B13" s="1" t="str">
        <f t="shared" si="0"/>
        <v/>
      </c>
      <c r="C13" s="1" t="str">
        <f>TRIM(IF(O13&lt;=$O$1,VLOOKUP(O13,Keszlet!$B$5:$I$200,4,FALSE)&amp;" "&amp;VLOOKUP(O13,Keszlet!$B$5:$I$200,5,FALSE),IF(O12=$O$1,$O$4,"")))</f>
        <v/>
      </c>
      <c r="E13" s="88" t="str">
        <f>TRIM(IF(O13&lt;=$O$1,VLOOKUP(O13,Keszlet!$B$5:$I$200,7,FALSE),""))</f>
        <v/>
      </c>
      <c r="F13" s="15" t="str">
        <f>IF(O13&lt;=$O$1,VLOOKUP(O13,Keszlet!$B$5:$R$200,17,FALSE),"")</f>
        <v/>
      </c>
      <c r="G13" s="15" t="str">
        <f>IF(O13&lt;=$O$1,VLOOKUP(O13,Keszlet!$B$5:$I$200,6,FALSE),"")</f>
        <v/>
      </c>
      <c r="H13" s="15" t="str">
        <f t="shared" si="1"/>
        <v/>
      </c>
      <c r="O13" s="1">
        <f t="shared" si="2"/>
        <v>6</v>
      </c>
    </row>
    <row r="14" spans="2:27" x14ac:dyDescent="0.2">
      <c r="B14" s="1" t="str">
        <f t="shared" si="0"/>
        <v/>
      </c>
      <c r="C14" s="1" t="str">
        <f>TRIM(IF(O14&lt;=$O$1,VLOOKUP(O14,Keszlet!$B$5:$I$200,4,FALSE)&amp;" "&amp;VLOOKUP(O14,Keszlet!$B$5:$I$200,5,FALSE),IF(O13=$O$1,$O$4,"")))</f>
        <v/>
      </c>
      <c r="E14" s="88" t="str">
        <f>TRIM(IF(O14&lt;=$O$1,VLOOKUP(O14,Keszlet!$B$5:$I$200,7,FALSE),""))</f>
        <v/>
      </c>
      <c r="F14" s="15" t="str">
        <f>IF(O14&lt;=$O$1,VLOOKUP(O14,Keszlet!$B$5:$R$200,17,FALSE),"")</f>
        <v/>
      </c>
      <c r="G14" s="15" t="str">
        <f>IF(O14&lt;=$O$1,VLOOKUP(O14,Keszlet!$B$5:$I$200,6,FALSE),"")</f>
        <v/>
      </c>
      <c r="H14" s="15" t="str">
        <f t="shared" si="1"/>
        <v/>
      </c>
      <c r="O14" s="1">
        <f t="shared" si="2"/>
        <v>7</v>
      </c>
    </row>
    <row r="15" spans="2:27" x14ac:dyDescent="0.2">
      <c r="B15" s="1" t="str">
        <f t="shared" si="0"/>
        <v/>
      </c>
      <c r="C15" s="1" t="str">
        <f>TRIM(IF(O15&lt;=$O$1,VLOOKUP(O15,Keszlet!$B$5:$I$200,4,FALSE)&amp;" "&amp;VLOOKUP(O15,Keszlet!$B$5:$I$200,5,FALSE),IF(O14=$O$1,$O$4,"")))</f>
        <v/>
      </c>
      <c r="E15" s="88" t="str">
        <f>TRIM(IF(O15&lt;=$O$1,VLOOKUP(O15,Keszlet!$B$5:$I$200,7,FALSE),""))</f>
        <v/>
      </c>
      <c r="F15" s="15" t="str">
        <f>IF(O15&lt;=$O$1,VLOOKUP(O15,Keszlet!$B$5:$R$200,17,FALSE),"")</f>
        <v/>
      </c>
      <c r="G15" s="15" t="str">
        <f>IF(O15&lt;=$O$1,VLOOKUP(O15,Keszlet!$B$5:$I$200,6,FALSE),"")</f>
        <v/>
      </c>
      <c r="H15" s="15" t="str">
        <f t="shared" si="1"/>
        <v/>
      </c>
      <c r="O15" s="1">
        <f t="shared" si="2"/>
        <v>8</v>
      </c>
    </row>
    <row r="16" spans="2:27" x14ac:dyDescent="0.2">
      <c r="B16" s="1" t="str">
        <f t="shared" si="0"/>
        <v/>
      </c>
      <c r="C16" s="1" t="str">
        <f>TRIM(IF(O16&lt;=$O$1,VLOOKUP(O16,Keszlet!$B$5:$I$200,4,FALSE)&amp;" "&amp;VLOOKUP(O16,Keszlet!$B$5:$I$200,5,FALSE),IF(O15=$O$1,$O$4,"")))</f>
        <v/>
      </c>
      <c r="E16" s="88" t="str">
        <f>TRIM(IF(O16&lt;=$O$1,VLOOKUP(O16,Keszlet!$B$5:$I$200,7,FALSE),""))</f>
        <v/>
      </c>
      <c r="F16" s="15" t="str">
        <f>IF(O16&lt;=$O$1,VLOOKUP(O16,Keszlet!$B$5:$R$200,17,FALSE),"")</f>
        <v/>
      </c>
      <c r="G16" s="15" t="str">
        <f>IF(O16&lt;=$O$1,VLOOKUP(O16,Keszlet!$B$5:$I$200,6,FALSE),"")</f>
        <v/>
      </c>
      <c r="H16" s="15" t="str">
        <f t="shared" si="1"/>
        <v/>
      </c>
      <c r="O16" s="1">
        <f t="shared" si="2"/>
        <v>9</v>
      </c>
    </row>
    <row r="17" spans="2:15" x14ac:dyDescent="0.2">
      <c r="B17" s="1" t="str">
        <f t="shared" si="0"/>
        <v/>
      </c>
      <c r="C17" s="1" t="str">
        <f>TRIM(IF(O17&lt;=$O$1,VLOOKUP(O17,Keszlet!$B$5:$I$200,4,FALSE)&amp;" "&amp;VLOOKUP(O17,Keszlet!$B$5:$I$200,5,FALSE),IF(O16=$O$1,$O$4,"")))</f>
        <v/>
      </c>
      <c r="E17" s="88" t="str">
        <f>TRIM(IF(O17&lt;=$O$1,VLOOKUP(O17,Keszlet!$B$5:$I$200,7,FALSE),""))</f>
        <v/>
      </c>
      <c r="F17" s="15" t="str">
        <f>IF(O17&lt;=$O$1,VLOOKUP(O17,Keszlet!$B$5:$R$200,17,FALSE),"")</f>
        <v/>
      </c>
      <c r="G17" s="15" t="str">
        <f>IF(O17&lt;=$O$1,VLOOKUP(O17,Keszlet!$B$5:$I$200,6,FALSE),"")</f>
        <v/>
      </c>
      <c r="H17" s="15" t="str">
        <f t="shared" si="1"/>
        <v/>
      </c>
      <c r="O17" s="1">
        <f t="shared" si="2"/>
        <v>10</v>
      </c>
    </row>
    <row r="18" spans="2:15" x14ac:dyDescent="0.2">
      <c r="B18" s="1" t="str">
        <f t="shared" si="0"/>
        <v/>
      </c>
      <c r="C18" s="1" t="str">
        <f>TRIM(IF(O18&lt;=$O$1,VLOOKUP(O18,Keszlet!$B$5:$I$200,4,FALSE)&amp;" "&amp;VLOOKUP(O18,Keszlet!$B$5:$I$200,5,FALSE),IF(O17=$O$1,$O$4,"")))</f>
        <v/>
      </c>
      <c r="E18" s="88" t="str">
        <f>TRIM(IF(O18&lt;=$O$1,VLOOKUP(O18,Keszlet!$B$5:$I$200,7,FALSE),""))</f>
        <v/>
      </c>
      <c r="F18" s="15" t="str">
        <f>IF(O18&lt;=$O$1,VLOOKUP(O18,Keszlet!$B$5:$R$200,17,FALSE),"")</f>
        <v/>
      </c>
      <c r="G18" s="15" t="str">
        <f>IF(O18&lt;=$O$1,VLOOKUP(O18,Keszlet!$B$5:$I$200,6,FALSE),"")</f>
        <v/>
      </c>
      <c r="H18" s="15" t="str">
        <f t="shared" si="1"/>
        <v/>
      </c>
      <c r="O18" s="1">
        <f t="shared" si="2"/>
        <v>11</v>
      </c>
    </row>
    <row r="19" spans="2:15" x14ac:dyDescent="0.2">
      <c r="B19" s="1" t="str">
        <f t="shared" si="0"/>
        <v/>
      </c>
      <c r="C19" s="1" t="str">
        <f>TRIM(IF(O19&lt;=$O$1,VLOOKUP(O19,Keszlet!$B$5:$I$200,4,FALSE)&amp;" "&amp;VLOOKUP(O19,Keszlet!$B$5:$I$200,5,FALSE),IF(O18=$O$1,$O$4,"")))</f>
        <v/>
      </c>
      <c r="E19" s="88" t="str">
        <f>TRIM(IF(O19&lt;=$O$1,VLOOKUP(O19,Keszlet!$B$5:$I$200,7,FALSE),""))</f>
        <v/>
      </c>
      <c r="F19" s="15" t="str">
        <f>IF(O19&lt;=$O$1,VLOOKUP(O19,Keszlet!$B$5:$R$200,17,FALSE),"")</f>
        <v/>
      </c>
      <c r="G19" s="15" t="str">
        <f>IF(O19&lt;=$O$1,VLOOKUP(O19,Keszlet!$B$5:$I$200,6,FALSE),"")</f>
        <v/>
      </c>
      <c r="H19" s="15" t="str">
        <f t="shared" si="1"/>
        <v/>
      </c>
      <c r="O19" s="1">
        <f t="shared" si="2"/>
        <v>12</v>
      </c>
    </row>
    <row r="20" spans="2:15" x14ac:dyDescent="0.2">
      <c r="B20" s="1" t="str">
        <f t="shared" si="0"/>
        <v/>
      </c>
      <c r="C20" s="1" t="str">
        <f>TRIM(IF(O20&lt;=$O$1,VLOOKUP(O20,Keszlet!$B$5:$I$200,4,FALSE)&amp;" "&amp;VLOOKUP(O20,Keszlet!$B$5:$I$200,5,FALSE),IF(O19=$O$1,$O$4,"")))</f>
        <v/>
      </c>
      <c r="E20" s="88" t="str">
        <f>TRIM(IF(O20&lt;=$O$1,VLOOKUP(O20,Keszlet!$B$5:$I$200,7,FALSE),""))</f>
        <v/>
      </c>
      <c r="F20" s="15" t="str">
        <f>IF(O20&lt;=$O$1,VLOOKUP(O20,Keszlet!$B$5:$R$200,17,FALSE),"")</f>
        <v/>
      </c>
      <c r="G20" s="15" t="str">
        <f>IF(O20&lt;=$O$1,VLOOKUP(O20,Keszlet!$B$5:$I$200,6,FALSE),"")</f>
        <v/>
      </c>
      <c r="H20" s="15" t="str">
        <f t="shared" si="1"/>
        <v/>
      </c>
      <c r="O20" s="1">
        <f t="shared" si="2"/>
        <v>13</v>
      </c>
    </row>
    <row r="21" spans="2:15" x14ac:dyDescent="0.2">
      <c r="B21" s="1" t="str">
        <f t="shared" si="0"/>
        <v/>
      </c>
      <c r="C21" s="1" t="str">
        <f>TRIM(IF(O21&lt;=$O$1,VLOOKUP(O21,Keszlet!$B$5:$I$200,4,FALSE)&amp;" "&amp;VLOOKUP(O21,Keszlet!$B$5:$I$200,5,FALSE),IF(O20=$O$1,$O$4,"")))</f>
        <v/>
      </c>
      <c r="E21" s="88" t="str">
        <f>TRIM(IF(O21&lt;=$O$1,VLOOKUP(O21,Keszlet!$B$5:$I$200,7,FALSE),""))</f>
        <v/>
      </c>
      <c r="F21" s="15" t="str">
        <f>IF(O21&lt;=$O$1,VLOOKUP(O21,Keszlet!$B$5:$R$200,17,FALSE),"")</f>
        <v/>
      </c>
      <c r="G21" s="15" t="str">
        <f>IF(O21&lt;=$O$1,VLOOKUP(O21,Keszlet!$B$5:$I$200,6,FALSE),"")</f>
        <v/>
      </c>
      <c r="H21" s="15" t="str">
        <f t="shared" si="1"/>
        <v/>
      </c>
      <c r="O21" s="1">
        <f t="shared" si="2"/>
        <v>14</v>
      </c>
    </row>
    <row r="22" spans="2:15" x14ac:dyDescent="0.2">
      <c r="B22" s="1" t="str">
        <f t="shared" si="0"/>
        <v/>
      </c>
      <c r="C22" s="1" t="str">
        <f>TRIM(IF(O22&lt;=$O$1,VLOOKUP(O22,Keszlet!$B$5:$I$200,4,FALSE)&amp;" "&amp;VLOOKUP(O22,Keszlet!$B$5:$I$200,5,FALSE),IF(O21=$O$1,$O$4,"")))</f>
        <v/>
      </c>
      <c r="E22" s="88" t="str">
        <f>TRIM(IF(O22&lt;=$O$1,VLOOKUP(O22,Keszlet!$B$5:$I$200,7,FALSE),""))</f>
        <v/>
      </c>
      <c r="F22" s="15" t="str">
        <f>IF(O22&lt;=$O$1,VLOOKUP(O22,Keszlet!$B$5:$R$200,17,FALSE),"")</f>
        <v/>
      </c>
      <c r="G22" s="15" t="str">
        <f>IF(O22&lt;=$O$1,VLOOKUP(O22,Keszlet!$B$5:$I$200,6,FALSE),"")</f>
        <v/>
      </c>
      <c r="H22" s="15" t="str">
        <f t="shared" si="1"/>
        <v/>
      </c>
      <c r="O22" s="1">
        <f t="shared" si="2"/>
        <v>15</v>
      </c>
    </row>
    <row r="23" spans="2:15" x14ac:dyDescent="0.2">
      <c r="B23" s="1" t="str">
        <f t="shared" si="0"/>
        <v/>
      </c>
      <c r="C23" s="1" t="str">
        <f>TRIM(IF(O23&lt;=$O$1,VLOOKUP(O23,Keszlet!$B$5:$I$200,4,FALSE)&amp;" "&amp;VLOOKUP(O23,Keszlet!$B$5:$I$200,5,FALSE),IF(O22=$O$1,$O$4,"")))</f>
        <v/>
      </c>
      <c r="E23" s="88" t="str">
        <f>TRIM(IF(O23&lt;=$O$1,VLOOKUP(O23,Keszlet!$B$5:$I$200,7,FALSE),""))</f>
        <v/>
      </c>
      <c r="F23" s="15" t="str">
        <f>IF(O23&lt;=$O$1,VLOOKUP(O23,Keszlet!$B$5:$R$200,17,FALSE),"")</f>
        <v/>
      </c>
      <c r="G23" s="15" t="str">
        <f>IF(O23&lt;=$O$1,VLOOKUP(O23,Keszlet!$B$5:$I$200,6,FALSE),"")</f>
        <v/>
      </c>
      <c r="H23" s="15" t="str">
        <f t="shared" si="1"/>
        <v/>
      </c>
      <c r="O23" s="1">
        <f t="shared" si="2"/>
        <v>16</v>
      </c>
    </row>
    <row r="24" spans="2:15" x14ac:dyDescent="0.2">
      <c r="B24" s="1" t="str">
        <f t="shared" si="0"/>
        <v/>
      </c>
      <c r="C24" s="1" t="str">
        <f>TRIM(IF(O24&lt;=$O$1,VLOOKUP(O24,Keszlet!$B$5:$I$200,4,FALSE)&amp;" "&amp;VLOOKUP(O24,Keszlet!$B$5:$I$200,5,FALSE),IF(O23=$O$1,$O$4,"")))</f>
        <v/>
      </c>
      <c r="E24" s="88" t="str">
        <f>TRIM(IF(O24&lt;=$O$1,VLOOKUP(O24,Keszlet!$B$5:$I$200,7,FALSE),""))</f>
        <v/>
      </c>
      <c r="F24" s="15" t="str">
        <f>IF(O24&lt;=$O$1,VLOOKUP(O24,Keszlet!$B$5:$R$200,17,FALSE),"")</f>
        <v/>
      </c>
      <c r="G24" s="15" t="str">
        <f>IF(O24&lt;=$O$1,VLOOKUP(O24,Keszlet!$B$5:$I$200,6,FALSE),"")</f>
        <v/>
      </c>
      <c r="H24" s="15" t="str">
        <f t="shared" si="1"/>
        <v/>
      </c>
      <c r="O24" s="1">
        <f t="shared" si="2"/>
        <v>17</v>
      </c>
    </row>
    <row r="25" spans="2:15" x14ac:dyDescent="0.2">
      <c r="B25" s="1" t="str">
        <f t="shared" si="0"/>
        <v/>
      </c>
      <c r="C25" s="1" t="str">
        <f>TRIM(IF(O25&lt;=$O$1,VLOOKUP(O25,Keszlet!$B$5:$I$200,4,FALSE)&amp;" "&amp;VLOOKUP(O25,Keszlet!$B$5:$I$200,5,FALSE),IF(O24=$O$1,$O$4,"")))</f>
        <v/>
      </c>
      <c r="E25" s="88" t="str">
        <f>TRIM(IF(O25&lt;=$O$1,VLOOKUP(O25,Keszlet!$B$5:$I$200,7,FALSE),""))</f>
        <v/>
      </c>
      <c r="F25" s="15" t="str">
        <f>IF(O25&lt;=$O$1,VLOOKUP(O25,Keszlet!$B$5:$R$200,17,FALSE),"")</f>
        <v/>
      </c>
      <c r="G25" s="15" t="str">
        <f>IF(O25&lt;=$O$1,VLOOKUP(O25,Keszlet!$B$5:$I$200,6,FALSE),"")</f>
        <v/>
      </c>
      <c r="H25" s="15" t="str">
        <f t="shared" si="1"/>
        <v/>
      </c>
      <c r="O25" s="1">
        <f t="shared" si="2"/>
        <v>18</v>
      </c>
    </row>
    <row r="26" spans="2:15" x14ac:dyDescent="0.2">
      <c r="B26" s="1" t="str">
        <f t="shared" si="0"/>
        <v/>
      </c>
      <c r="C26" s="1" t="str">
        <f>TRIM(IF(O26&lt;=$O$1,VLOOKUP(O26,Keszlet!$B$5:$I$200,4,FALSE)&amp;" "&amp;VLOOKUP(O26,Keszlet!$B$5:$I$200,5,FALSE),IF(O25=$O$1,$O$4,"")))</f>
        <v/>
      </c>
      <c r="E26" s="88" t="str">
        <f>TRIM(IF(O26&lt;=$O$1,VLOOKUP(O26,Keszlet!$B$5:$I$200,7,FALSE),""))</f>
        <v/>
      </c>
      <c r="F26" s="15" t="str">
        <f>IF(O26&lt;=$O$1,VLOOKUP(O26,Keszlet!$B$5:$R$200,17,FALSE),"")</f>
        <v/>
      </c>
      <c r="G26" s="15" t="str">
        <f>IF(O26&lt;=$O$1,VLOOKUP(O26,Keszlet!$B$5:$I$200,6,FALSE),"")</f>
        <v/>
      </c>
      <c r="H26" s="15" t="str">
        <f t="shared" si="1"/>
        <v/>
      </c>
      <c r="O26" s="1">
        <f t="shared" si="2"/>
        <v>19</v>
      </c>
    </row>
    <row r="27" spans="2:15" x14ac:dyDescent="0.2">
      <c r="B27" s="1" t="str">
        <f t="shared" si="0"/>
        <v/>
      </c>
      <c r="C27" s="1" t="str">
        <f>TRIM(IF(O27&lt;=$O$1,VLOOKUP(O27,Keszlet!$B$5:$I$200,4,FALSE)&amp;" "&amp;VLOOKUP(O27,Keszlet!$B$5:$I$200,5,FALSE),IF(O26=$O$1,$O$4,"")))</f>
        <v/>
      </c>
      <c r="E27" s="88" t="str">
        <f>TRIM(IF(O27&lt;=$O$1,VLOOKUP(O27,Keszlet!$B$5:$I$200,7,FALSE),""))</f>
        <v/>
      </c>
      <c r="F27" s="15" t="str">
        <f>IF(O27&lt;=$O$1,VLOOKUP(O27,Keszlet!$B$5:$R$200,17,FALSE),"")</f>
        <v/>
      </c>
      <c r="G27" s="15" t="str">
        <f>IF(O27&lt;=$O$1,VLOOKUP(O27,Keszlet!$B$5:$I$200,6,FALSE),"")</f>
        <v/>
      </c>
      <c r="H27" s="15" t="str">
        <f t="shared" si="1"/>
        <v/>
      </c>
      <c r="O27" s="1">
        <f t="shared" si="2"/>
        <v>20</v>
      </c>
    </row>
    <row r="28" spans="2:15" x14ac:dyDescent="0.2">
      <c r="B28" s="1" t="str">
        <f t="shared" si="0"/>
        <v/>
      </c>
      <c r="C28" s="1" t="str">
        <f>TRIM(IF(O28&lt;=$O$1,VLOOKUP(O28,Keszlet!$B$5:$I$200,4,FALSE)&amp;" "&amp;VLOOKUP(O28,Keszlet!$B$5:$I$200,5,FALSE),IF(O27=$O$1,$O$4,"")))</f>
        <v/>
      </c>
      <c r="E28" s="88" t="str">
        <f>TRIM(IF(O28&lt;=$O$1,VLOOKUP(O28,Keszlet!$B$5:$I$200,7,FALSE),""))</f>
        <v/>
      </c>
      <c r="F28" s="15" t="str">
        <f>IF(O28&lt;=$O$1,VLOOKUP(O28,Keszlet!$B$5:$R$200,17,FALSE),"")</f>
        <v/>
      </c>
      <c r="G28" s="15" t="str">
        <f>IF(O28&lt;=$O$1,VLOOKUP(O28,Keszlet!$B$5:$I$200,6,FALSE),"")</f>
        <v/>
      </c>
      <c r="H28" s="15" t="str">
        <f t="shared" si="1"/>
        <v/>
      </c>
      <c r="O28" s="1">
        <f t="shared" si="2"/>
        <v>21</v>
      </c>
    </row>
    <row r="29" spans="2:15" x14ac:dyDescent="0.2">
      <c r="B29" s="1" t="str">
        <f t="shared" si="0"/>
        <v/>
      </c>
      <c r="C29" s="1" t="str">
        <f>TRIM(IF(O29&lt;=$O$1,VLOOKUP(O29,Keszlet!$B$5:$I$200,4,FALSE)&amp;" "&amp;VLOOKUP(O29,Keszlet!$B$5:$I$200,5,FALSE),IF(O28=$O$1,$O$4,"")))</f>
        <v/>
      </c>
      <c r="E29" s="88" t="str">
        <f>TRIM(IF(O29&lt;=$O$1,VLOOKUP(O29,Keszlet!$B$5:$I$200,7,FALSE),""))</f>
        <v/>
      </c>
      <c r="F29" s="15" t="str">
        <f>IF(O29&lt;=$O$1,VLOOKUP(O29,Keszlet!$B$5:$R$200,17,FALSE),"")</f>
        <v/>
      </c>
      <c r="G29" s="15" t="str">
        <f>IF(O29&lt;=$O$1,VLOOKUP(O29,Keszlet!$B$5:$I$200,6,FALSE),"")</f>
        <v/>
      </c>
      <c r="H29" s="15" t="str">
        <f t="shared" si="1"/>
        <v/>
      </c>
      <c r="O29" s="1">
        <f t="shared" si="2"/>
        <v>22</v>
      </c>
    </row>
    <row r="30" spans="2:15" x14ac:dyDescent="0.2">
      <c r="B30" s="1" t="str">
        <f t="shared" si="0"/>
        <v/>
      </c>
      <c r="C30" s="1" t="str">
        <f>TRIM(IF(O30&lt;=$O$1,VLOOKUP(O30,Keszlet!$B$5:$I$200,4,FALSE)&amp;" "&amp;VLOOKUP(O30,Keszlet!$B$5:$I$200,5,FALSE),IF(O29=$O$1,$O$4,"")))</f>
        <v/>
      </c>
      <c r="E30" s="88" t="str">
        <f>TRIM(IF(O30&lt;=$O$1,VLOOKUP(O30,Keszlet!$B$5:$I$200,7,FALSE),""))</f>
        <v/>
      </c>
      <c r="F30" s="15" t="str">
        <f>IF(O30&lt;=$O$1,VLOOKUP(O30,Keszlet!$B$5:$R$200,17,FALSE),"")</f>
        <v/>
      </c>
      <c r="G30" s="15" t="str">
        <f>IF(O30&lt;=$O$1,VLOOKUP(O30,Keszlet!$B$5:$I$200,6,FALSE),"")</f>
        <v/>
      </c>
      <c r="H30" s="15" t="str">
        <f t="shared" si="1"/>
        <v/>
      </c>
      <c r="O30" s="1">
        <f t="shared" si="2"/>
        <v>23</v>
      </c>
    </row>
    <row r="31" spans="2:15" x14ac:dyDescent="0.2">
      <c r="B31" s="1" t="str">
        <f t="shared" si="0"/>
        <v/>
      </c>
      <c r="C31" s="1" t="str">
        <f>TRIM(IF(O31&lt;=$O$1,VLOOKUP(O31,Keszlet!$B$5:$I$200,4,FALSE)&amp;" "&amp;VLOOKUP(O31,Keszlet!$B$5:$I$200,5,FALSE),IF(O30=$O$1,$O$4,"")))</f>
        <v/>
      </c>
      <c r="E31" s="88" t="str">
        <f>TRIM(IF(O31&lt;=$O$1,VLOOKUP(O31,Keszlet!$B$5:$I$200,7,FALSE),""))</f>
        <v/>
      </c>
      <c r="F31" s="15" t="str">
        <f>IF(O31&lt;=$O$1,VLOOKUP(O31,Keszlet!$B$5:$R$200,17,FALSE),"")</f>
        <v/>
      </c>
      <c r="G31" s="15" t="str">
        <f>IF(O31&lt;=$O$1,VLOOKUP(O31,Keszlet!$B$5:$I$200,6,FALSE),"")</f>
        <v/>
      </c>
      <c r="H31" s="15" t="str">
        <f t="shared" si="1"/>
        <v/>
      </c>
      <c r="O31" s="1">
        <f t="shared" si="2"/>
        <v>24</v>
      </c>
    </row>
    <row r="32" spans="2:15" x14ac:dyDescent="0.2">
      <c r="B32" s="1" t="str">
        <f t="shared" si="0"/>
        <v/>
      </c>
      <c r="C32" s="1" t="str">
        <f>TRIM(IF(O32&lt;=$O$1,VLOOKUP(O32,Keszlet!$B$5:$I$200,4,FALSE)&amp;" "&amp;VLOOKUP(O32,Keszlet!$B$5:$I$200,5,FALSE),IF(O31=$O$1,$O$4,"")))</f>
        <v/>
      </c>
      <c r="E32" s="88" t="str">
        <f>TRIM(IF(O32&lt;=$O$1,VLOOKUP(O32,Keszlet!$B$5:$I$200,7,FALSE),""))</f>
        <v/>
      </c>
      <c r="F32" s="15" t="str">
        <f>IF(O32&lt;=$O$1,VLOOKUP(O32,Keszlet!$B$5:$R$200,17,FALSE),"")</f>
        <v/>
      </c>
      <c r="G32" s="15" t="str">
        <f>IF(O32&lt;=$O$1,VLOOKUP(O32,Keszlet!$B$5:$I$200,6,FALSE),"")</f>
        <v/>
      </c>
      <c r="H32" s="15" t="str">
        <f t="shared" si="1"/>
        <v/>
      </c>
      <c r="O32" s="1">
        <f t="shared" si="2"/>
        <v>25</v>
      </c>
    </row>
    <row r="33" spans="2:15" x14ac:dyDescent="0.2">
      <c r="B33" s="1" t="str">
        <f t="shared" si="0"/>
        <v/>
      </c>
      <c r="C33" s="1" t="str">
        <f>TRIM(IF(O33&lt;=$O$1,VLOOKUP(O33,Keszlet!$B$5:$I$200,4,FALSE)&amp;" "&amp;VLOOKUP(O33,Keszlet!$B$5:$I$200,5,FALSE),IF(O32=$O$1,$O$4,"")))</f>
        <v/>
      </c>
      <c r="E33" s="88" t="str">
        <f>TRIM(IF(O33&lt;=$O$1,VLOOKUP(O33,Keszlet!$B$5:$I$200,7,FALSE),""))</f>
        <v/>
      </c>
      <c r="F33" s="15" t="str">
        <f>IF(O33&lt;=$O$1,VLOOKUP(O33,Keszlet!$B$5:$R$200,17,FALSE),"")</f>
        <v/>
      </c>
      <c r="G33" s="15" t="str">
        <f>IF(O33&lt;=$O$1,VLOOKUP(O33,Keszlet!$B$5:$I$200,6,FALSE),"")</f>
        <v/>
      </c>
      <c r="H33" s="15" t="str">
        <f t="shared" si="1"/>
        <v/>
      </c>
      <c r="O33" s="1">
        <f t="shared" si="2"/>
        <v>26</v>
      </c>
    </row>
    <row r="34" spans="2:15" x14ac:dyDescent="0.2">
      <c r="B34" s="1" t="str">
        <f t="shared" si="0"/>
        <v/>
      </c>
      <c r="C34" s="1" t="str">
        <f>TRIM(IF(O34&lt;=$O$1,VLOOKUP(O34,Keszlet!$B$5:$I$200,4,FALSE)&amp;" "&amp;VLOOKUP(O34,Keszlet!$B$5:$I$200,5,FALSE),IF(O33=$O$1,$O$4,"")))</f>
        <v/>
      </c>
      <c r="E34" s="88" t="str">
        <f>TRIM(IF(O34&lt;=$O$1,VLOOKUP(O34,Keszlet!$B$5:$I$200,7,FALSE),""))</f>
        <v/>
      </c>
      <c r="F34" s="15" t="str">
        <f>IF(O34&lt;=$O$1,VLOOKUP(O34,Keszlet!$B$5:$R$200,17,FALSE),"")</f>
        <v/>
      </c>
      <c r="G34" s="15" t="str">
        <f>IF(O34&lt;=$O$1,VLOOKUP(O34,Keszlet!$B$5:$I$200,6,FALSE),"")</f>
        <v/>
      </c>
      <c r="H34" s="15" t="str">
        <f t="shared" si="1"/>
        <v/>
      </c>
      <c r="O34" s="1">
        <f t="shared" si="2"/>
        <v>27</v>
      </c>
    </row>
    <row r="35" spans="2:15" x14ac:dyDescent="0.2">
      <c r="B35" s="1" t="str">
        <f t="shared" si="0"/>
        <v/>
      </c>
      <c r="C35" s="1" t="str">
        <f>TRIM(IF(O35&lt;=$O$1,VLOOKUP(O35,Keszlet!$B$5:$I$200,4,FALSE)&amp;" "&amp;VLOOKUP(O35,Keszlet!$B$5:$I$200,5,FALSE),IF(O34=$O$1,$O$4,"")))</f>
        <v/>
      </c>
      <c r="E35" s="88" t="str">
        <f>TRIM(IF(O35&lt;=$O$1,VLOOKUP(O35,Keszlet!$B$5:$I$200,7,FALSE),""))</f>
        <v/>
      </c>
      <c r="F35" s="15" t="str">
        <f>IF(O35&lt;=$O$1,VLOOKUP(O35,Keszlet!$B$5:$R$200,17,FALSE),"")</f>
        <v/>
      </c>
      <c r="G35" s="15" t="str">
        <f>IF(O35&lt;=$O$1,VLOOKUP(O35,Keszlet!$B$5:$I$200,6,FALSE),"")</f>
        <v/>
      </c>
      <c r="H35" s="15" t="str">
        <f t="shared" si="1"/>
        <v/>
      </c>
      <c r="O35" s="1">
        <f t="shared" si="2"/>
        <v>28</v>
      </c>
    </row>
    <row r="36" spans="2:15" x14ac:dyDescent="0.2">
      <c r="B36" s="1" t="str">
        <f t="shared" si="0"/>
        <v/>
      </c>
      <c r="C36" s="1" t="str">
        <f>TRIM(IF(O36&lt;=$O$1,VLOOKUP(O36,Keszlet!$B$5:$I$200,4,FALSE)&amp;" "&amp;VLOOKUP(O36,Keszlet!$B$5:$I$200,5,FALSE),IF(O35=$O$1,$O$4,"")))</f>
        <v/>
      </c>
      <c r="E36" s="88" t="str">
        <f>TRIM(IF(O36&lt;=$O$1,VLOOKUP(O36,Keszlet!$B$5:$I$200,7,FALSE),""))</f>
        <v/>
      </c>
      <c r="F36" s="15" t="str">
        <f>IF(O36&lt;=$O$1,VLOOKUP(O36,Keszlet!$B$5:$R$200,17,FALSE),"")</f>
        <v/>
      </c>
      <c r="G36" s="15" t="str">
        <f>IF(O36&lt;=$O$1,VLOOKUP(O36,Keszlet!$B$5:$I$200,6,FALSE),"")</f>
        <v/>
      </c>
      <c r="H36" s="15" t="str">
        <f t="shared" si="1"/>
        <v/>
      </c>
      <c r="O36" s="1">
        <f t="shared" si="2"/>
        <v>29</v>
      </c>
    </row>
    <row r="37" spans="2:15" x14ac:dyDescent="0.2">
      <c r="B37" s="1" t="str">
        <f t="shared" si="0"/>
        <v/>
      </c>
      <c r="C37" s="1" t="str">
        <f>TRIM(IF(O37&lt;=$O$1,VLOOKUP(O37,Keszlet!$B$5:$I$200,4,FALSE)&amp;" "&amp;VLOOKUP(O37,Keszlet!$B$5:$I$200,5,FALSE),IF(O36=$O$1,$O$4,"")))</f>
        <v/>
      </c>
      <c r="E37" s="88" t="str">
        <f>TRIM(IF(O37&lt;=$O$1,VLOOKUP(O37,Keszlet!$B$5:$I$200,7,FALSE),""))</f>
        <v/>
      </c>
      <c r="F37" s="15" t="str">
        <f>IF(O37&lt;=$O$1,VLOOKUP(O37,Keszlet!$B$5:$R$200,17,FALSE),"")</f>
        <v/>
      </c>
      <c r="G37" s="15" t="str">
        <f>IF(O37&lt;=$O$1,VLOOKUP(O37,Keszlet!$B$5:$I$200,6,FALSE),"")</f>
        <v/>
      </c>
      <c r="H37" s="15" t="str">
        <f t="shared" si="1"/>
        <v/>
      </c>
      <c r="O37" s="1">
        <f t="shared" si="2"/>
        <v>30</v>
      </c>
    </row>
    <row r="38" spans="2:15" x14ac:dyDescent="0.2">
      <c r="B38" s="1" t="str">
        <f t="shared" si="0"/>
        <v/>
      </c>
      <c r="C38" s="1" t="str">
        <f>TRIM(IF(O38&lt;=$O$1,VLOOKUP(O38,Keszlet!$B$5:$I$200,4,FALSE)&amp;" "&amp;VLOOKUP(O38,Keszlet!$B$5:$I$200,5,FALSE),IF(O37=$O$1,$O$4,"")))</f>
        <v/>
      </c>
      <c r="E38" s="88" t="str">
        <f>TRIM(IF(O38&lt;=$O$1,VLOOKUP(O38,Keszlet!$B$5:$I$200,7,FALSE),""))</f>
        <v/>
      </c>
      <c r="F38" s="15" t="str">
        <f>IF(O38&lt;=$O$1,VLOOKUP(O38,Keszlet!$B$5:$R$200,17,FALSE),"")</f>
        <v/>
      </c>
      <c r="G38" s="15" t="str">
        <f>IF(O38&lt;=$O$1,VLOOKUP(O38,Keszlet!$B$5:$I$200,6,FALSE),"")</f>
        <v/>
      </c>
      <c r="H38" s="15" t="str">
        <f t="shared" si="1"/>
        <v/>
      </c>
      <c r="O38" s="1">
        <f t="shared" si="2"/>
        <v>31</v>
      </c>
    </row>
    <row r="39" spans="2:15" x14ac:dyDescent="0.2">
      <c r="B39" s="1" t="str">
        <f t="shared" si="0"/>
        <v/>
      </c>
      <c r="C39" s="1" t="str">
        <f>TRIM(IF(O39&lt;=$O$1,VLOOKUP(O39,Keszlet!$B$5:$I$200,4,FALSE)&amp;" "&amp;VLOOKUP(O39,Keszlet!$B$5:$I$200,5,FALSE),IF(O38=$O$1,$O$4,"")))</f>
        <v/>
      </c>
      <c r="E39" s="88" t="str">
        <f>TRIM(IF(O39&lt;=$O$1,VLOOKUP(O39,Keszlet!$B$5:$I$200,7,FALSE),""))</f>
        <v/>
      </c>
      <c r="F39" s="15" t="str">
        <f>IF(O39&lt;=$O$1,VLOOKUP(O39,Keszlet!$B$5:$R$200,17,FALSE),"")</f>
        <v/>
      </c>
      <c r="G39" s="15" t="str">
        <f>IF(O39&lt;=$O$1,VLOOKUP(O39,Keszlet!$B$5:$I$200,6,FALSE),"")</f>
        <v/>
      </c>
      <c r="H39" s="15" t="str">
        <f t="shared" si="1"/>
        <v/>
      </c>
      <c r="O39" s="1">
        <f t="shared" si="2"/>
        <v>32</v>
      </c>
    </row>
    <row r="40" spans="2:15" x14ac:dyDescent="0.2">
      <c r="B40" s="1" t="str">
        <f t="shared" si="0"/>
        <v/>
      </c>
      <c r="C40" s="1" t="str">
        <f>TRIM(IF(O40&lt;=$O$1,VLOOKUP(O40,Keszlet!$B$5:$I$200,4,FALSE)&amp;" "&amp;VLOOKUP(O40,Keszlet!$B$5:$I$200,5,FALSE),IF(O39=$O$1,$O$4,"")))</f>
        <v/>
      </c>
      <c r="E40" s="88" t="str">
        <f>TRIM(IF(O40&lt;=$O$1,VLOOKUP(O40,Keszlet!$B$5:$I$200,7,FALSE),""))</f>
        <v/>
      </c>
      <c r="F40" s="15" t="str">
        <f>IF(O40&lt;=$O$1,VLOOKUP(O40,Keszlet!$B$5:$R$200,17,FALSE),"")</f>
        <v/>
      </c>
      <c r="G40" s="15" t="str">
        <f>IF(O40&lt;=$O$1,VLOOKUP(O40,Keszlet!$B$5:$I$200,6,FALSE),"")</f>
        <v/>
      </c>
      <c r="H40" s="15" t="str">
        <f t="shared" si="1"/>
        <v/>
      </c>
      <c r="O40" s="1">
        <f t="shared" si="2"/>
        <v>33</v>
      </c>
    </row>
    <row r="41" spans="2:15" x14ac:dyDescent="0.2">
      <c r="B41" s="1" t="str">
        <f t="shared" si="0"/>
        <v/>
      </c>
      <c r="C41" s="1" t="str">
        <f>TRIM(IF(O41&lt;=$O$1,VLOOKUP(O41,Keszlet!$B$5:$I$200,4,FALSE)&amp;" "&amp;VLOOKUP(O41,Keszlet!$B$5:$I$200,5,FALSE),IF(O40=$O$1,$O$4,"")))</f>
        <v/>
      </c>
      <c r="E41" s="88" t="str">
        <f>TRIM(IF(O41&lt;=$O$1,VLOOKUP(O41,Keszlet!$B$5:$I$200,7,FALSE),""))</f>
        <v/>
      </c>
      <c r="F41" s="15" t="str">
        <f>IF(O41&lt;=$O$1,VLOOKUP(O41,Keszlet!$B$5:$R$200,17,FALSE),"")</f>
        <v/>
      </c>
      <c r="G41" s="15" t="str">
        <f>IF(O41&lt;=$O$1,VLOOKUP(O41,Keszlet!$B$5:$I$200,6,FALSE),"")</f>
        <v/>
      </c>
      <c r="H41" s="15" t="str">
        <f t="shared" si="1"/>
        <v/>
      </c>
      <c r="O41" s="1">
        <f t="shared" si="2"/>
        <v>34</v>
      </c>
    </row>
    <row r="42" spans="2:15" x14ac:dyDescent="0.2">
      <c r="B42" s="1" t="str">
        <f t="shared" si="0"/>
        <v/>
      </c>
      <c r="C42" s="1" t="str">
        <f>TRIM(IF(O42&lt;=$O$1,VLOOKUP(O42,Keszlet!$B$5:$I$200,4,FALSE)&amp;" "&amp;VLOOKUP(O42,Keszlet!$B$5:$I$200,5,FALSE),IF(O41=$O$1,$O$4,"")))</f>
        <v/>
      </c>
      <c r="E42" s="88" t="str">
        <f>TRIM(IF(O42&lt;=$O$1,VLOOKUP(O42,Keszlet!$B$5:$I$200,7,FALSE),""))</f>
        <v/>
      </c>
      <c r="F42" s="15" t="str">
        <f>IF(O42&lt;=$O$1,VLOOKUP(O42,Keszlet!$B$5:$R$200,17,FALSE),"")</f>
        <v/>
      </c>
      <c r="G42" s="15" t="str">
        <f>IF(O42&lt;=$O$1,VLOOKUP(O42,Keszlet!$B$5:$I$200,6,FALSE),"")</f>
        <v/>
      </c>
      <c r="H42" s="15" t="str">
        <f t="shared" si="1"/>
        <v/>
      </c>
      <c r="O42" s="1">
        <f t="shared" si="2"/>
        <v>35</v>
      </c>
    </row>
    <row r="43" spans="2:15" x14ac:dyDescent="0.2">
      <c r="B43" s="1" t="str">
        <f t="shared" si="0"/>
        <v/>
      </c>
      <c r="C43" s="1" t="str">
        <f>TRIM(IF(O43&lt;=$O$1,VLOOKUP(O43,Keszlet!$B$5:$I$200,4,FALSE)&amp;" "&amp;VLOOKUP(O43,Keszlet!$B$5:$I$200,5,FALSE),IF(O42=$O$1,$O$4,"")))</f>
        <v/>
      </c>
      <c r="E43" s="88" t="str">
        <f>TRIM(IF(O43&lt;=$O$1,VLOOKUP(O43,Keszlet!$B$5:$I$200,7,FALSE),""))</f>
        <v/>
      </c>
      <c r="F43" s="15" t="str">
        <f>IF(O43&lt;=$O$1,VLOOKUP(O43,Keszlet!$B$5:$R$200,17,FALSE),"")</f>
        <v/>
      </c>
      <c r="G43" s="15" t="str">
        <f>IF(O43&lt;=$O$1,VLOOKUP(O43,Keszlet!$B$5:$I$200,6,FALSE),"")</f>
        <v/>
      </c>
      <c r="H43" s="15" t="str">
        <f t="shared" si="1"/>
        <v/>
      </c>
      <c r="O43" s="1">
        <f t="shared" si="2"/>
        <v>36</v>
      </c>
    </row>
    <row r="44" spans="2:15" x14ac:dyDescent="0.2">
      <c r="B44" s="1" t="str">
        <f t="shared" si="0"/>
        <v/>
      </c>
      <c r="C44" s="1" t="str">
        <f>TRIM(IF(O44&lt;=$O$1,VLOOKUP(O44,Keszlet!$B$5:$I$200,4,FALSE)&amp;" "&amp;VLOOKUP(O44,Keszlet!$B$5:$I$200,5,FALSE),IF(O43=$O$1,$O$4,"")))</f>
        <v/>
      </c>
      <c r="E44" s="88" t="str">
        <f>TRIM(IF(O44&lt;=$O$1,VLOOKUP(O44,Keszlet!$B$5:$I$200,7,FALSE),""))</f>
        <v/>
      </c>
      <c r="F44" s="15" t="str">
        <f>IF(O44&lt;=$O$1,VLOOKUP(O44,Keszlet!$B$5:$R$200,17,FALSE),"")</f>
        <v/>
      </c>
      <c r="G44" s="15" t="str">
        <f>IF(O44&lt;=$O$1,VLOOKUP(O44,Keszlet!$B$5:$I$200,6,FALSE),"")</f>
        <v/>
      </c>
      <c r="H44" s="15" t="str">
        <f t="shared" si="1"/>
        <v/>
      </c>
      <c r="O44" s="1">
        <f t="shared" si="2"/>
        <v>37</v>
      </c>
    </row>
    <row r="45" spans="2:15" x14ac:dyDescent="0.2">
      <c r="B45" s="1" t="str">
        <f t="shared" si="0"/>
        <v/>
      </c>
      <c r="C45" s="1" t="str">
        <f>TRIM(IF(O45&lt;=$O$1,VLOOKUP(O45,Keszlet!$B$5:$I$200,4,FALSE)&amp;" "&amp;VLOOKUP(O45,Keszlet!$B$5:$I$200,5,FALSE),IF(O44=$O$1,$O$4,"")))</f>
        <v/>
      </c>
      <c r="E45" s="88" t="str">
        <f>TRIM(IF(O45&lt;=$O$1,VLOOKUP(O45,Keszlet!$B$5:$I$200,7,FALSE),""))</f>
        <v/>
      </c>
      <c r="F45" s="15" t="str">
        <f>IF(O45&lt;=$O$1,VLOOKUP(O45,Keszlet!$B$5:$R$200,17,FALSE),"")</f>
        <v/>
      </c>
      <c r="G45" s="15" t="str">
        <f>IF(O45&lt;=$O$1,VLOOKUP(O45,Keszlet!$B$5:$I$200,6,FALSE),"")</f>
        <v/>
      </c>
      <c r="H45" s="15" t="str">
        <f t="shared" si="1"/>
        <v/>
      </c>
      <c r="O45" s="1">
        <f t="shared" si="2"/>
        <v>38</v>
      </c>
    </row>
    <row r="46" spans="2:15" x14ac:dyDescent="0.2">
      <c r="B46" s="1" t="str">
        <f t="shared" si="0"/>
        <v/>
      </c>
      <c r="C46" s="1" t="str">
        <f>TRIM(IF(O46&lt;=$O$1,VLOOKUP(O46,Keszlet!$B$5:$I$200,4,FALSE)&amp;" "&amp;VLOOKUP(O46,Keszlet!$B$5:$I$200,5,FALSE),IF(O45=$O$1,$O$4,"")))</f>
        <v/>
      </c>
      <c r="E46" s="88" t="str">
        <f>TRIM(IF(O46&lt;=$O$1,VLOOKUP(O46,Keszlet!$B$5:$I$200,7,FALSE),""))</f>
        <v/>
      </c>
      <c r="F46" s="15" t="str">
        <f>IF(O46&lt;=$O$1,VLOOKUP(O46,Keszlet!$B$5:$R$200,17,FALSE),"")</f>
        <v/>
      </c>
      <c r="G46" s="15" t="str">
        <f>IF(O46&lt;=$O$1,VLOOKUP(O46,Keszlet!$B$5:$I$200,6,FALSE),"")</f>
        <v/>
      </c>
      <c r="H46" s="15" t="str">
        <f t="shared" si="1"/>
        <v/>
      </c>
      <c r="O46" s="1">
        <f t="shared" si="2"/>
        <v>39</v>
      </c>
    </row>
    <row r="47" spans="2:15" x14ac:dyDescent="0.2">
      <c r="B47" s="1" t="str">
        <f t="shared" si="0"/>
        <v/>
      </c>
      <c r="C47" s="1" t="str">
        <f>TRIM(IF(O47&lt;=$O$1,VLOOKUP(O47,Keszlet!$B$5:$I$200,4,FALSE)&amp;" "&amp;VLOOKUP(O47,Keszlet!$B$5:$I$200,5,FALSE),IF(O46=$O$1,$O$4,"")))</f>
        <v/>
      </c>
      <c r="E47" s="88" t="str">
        <f>TRIM(IF(O47&lt;=$O$1,VLOOKUP(O47,Keszlet!$B$5:$I$200,7,FALSE),""))</f>
        <v/>
      </c>
      <c r="F47" s="15" t="str">
        <f>IF(O47&lt;=$O$1,VLOOKUP(O47,Keszlet!$B$5:$R$200,17,FALSE),"")</f>
        <v/>
      </c>
      <c r="G47" s="15" t="str">
        <f>IF(O47&lt;=$O$1,VLOOKUP(O47,Keszlet!$B$5:$I$200,6,FALSE),"")</f>
        <v/>
      </c>
      <c r="H47" s="15" t="str">
        <f t="shared" si="1"/>
        <v/>
      </c>
      <c r="O47" s="1">
        <f t="shared" si="2"/>
        <v>40</v>
      </c>
    </row>
    <row r="48" spans="2:15" x14ac:dyDescent="0.2">
      <c r="B48" s="1" t="str">
        <f t="shared" ref="B48:B57" si="3">IF(O48&lt;=$O$1,O48,"")</f>
        <v/>
      </c>
      <c r="C48" s="1" t="str">
        <f>TRIM(IF(O48&lt;=$O$1,VLOOKUP(O48,Keszlet!$B$5:$I$200,4,FALSE)&amp;" "&amp;VLOOKUP(O48,Keszlet!$B$5:$I$200,5,FALSE),IF(O47=$O$1,$O$4,"")))</f>
        <v/>
      </c>
      <c r="E48" s="88" t="str">
        <f>TRIM(IF(O48&lt;=$O$1,VLOOKUP(O48,Keszlet!$B$5:$I$200,7,FALSE),""))</f>
        <v/>
      </c>
      <c r="F48" s="15" t="str">
        <f>IF(O48&lt;=$O$1,VLOOKUP(O48,Keszlet!$B$5:$R$200,17,FALSE),"")</f>
        <v/>
      </c>
      <c r="G48" s="15" t="str">
        <f>IF(O48&lt;=$O$1,VLOOKUP(O48,Keszlet!$B$5:$I$200,6,FALSE),"")</f>
        <v/>
      </c>
      <c r="H48" s="15" t="str">
        <f t="shared" si="1"/>
        <v/>
      </c>
      <c r="O48" s="1">
        <f t="shared" si="2"/>
        <v>41</v>
      </c>
    </row>
    <row r="49" spans="2:15" x14ac:dyDescent="0.2">
      <c r="B49" s="1" t="str">
        <f t="shared" si="3"/>
        <v/>
      </c>
      <c r="C49" s="1" t="str">
        <f>TRIM(IF(O49&lt;=$O$1,VLOOKUP(O49,Keszlet!$B$5:$I$200,4,FALSE)&amp;" "&amp;VLOOKUP(O49,Keszlet!$B$5:$I$200,5,FALSE),IF(O48=$O$1,$O$4,"")))</f>
        <v/>
      </c>
      <c r="E49" s="88" t="str">
        <f>TRIM(IF(O49&lt;=$O$1,VLOOKUP(O49,Keszlet!$B$5:$I$200,7,FALSE),""))</f>
        <v/>
      </c>
      <c r="F49" s="15" t="str">
        <f>IF(O49&lt;=$O$1,VLOOKUP(O49,Keszlet!$B$5:$R$200,17,FALSE),"")</f>
        <v/>
      </c>
      <c r="G49" s="15" t="str">
        <f>IF(O49&lt;=$O$1,VLOOKUP(O49,Keszlet!$B$5:$I$200,6,FALSE),"")</f>
        <v/>
      </c>
      <c r="H49" s="15" t="str">
        <f t="shared" si="1"/>
        <v/>
      </c>
      <c r="O49" s="1">
        <f t="shared" si="2"/>
        <v>42</v>
      </c>
    </row>
    <row r="50" spans="2:15" x14ac:dyDescent="0.2">
      <c r="B50" s="1" t="str">
        <f t="shared" si="3"/>
        <v/>
      </c>
      <c r="C50" s="1" t="str">
        <f>TRIM(IF(O50&lt;=$O$1,VLOOKUP(O50,Keszlet!$B$5:$I$200,4,FALSE)&amp;" "&amp;VLOOKUP(O50,Keszlet!$B$5:$I$200,5,FALSE),IF(O49=$O$1,$O$4,"")))</f>
        <v/>
      </c>
      <c r="E50" s="88" t="str">
        <f>TRIM(IF(O50&lt;=$O$1,VLOOKUP(O50,Keszlet!$B$5:$I$200,7,FALSE),""))</f>
        <v/>
      </c>
      <c r="F50" s="15" t="str">
        <f>IF(O50&lt;=$O$1,VLOOKUP(O50,Keszlet!$B$5:$R$200,17,FALSE),"")</f>
        <v/>
      </c>
      <c r="G50" s="15" t="str">
        <f>IF(O50&lt;=$O$1,VLOOKUP(O50,Keszlet!$B$5:$I$200,6,FALSE),"")</f>
        <v/>
      </c>
      <c r="H50" s="15" t="str">
        <f t="shared" si="1"/>
        <v/>
      </c>
      <c r="O50" s="1">
        <f t="shared" si="2"/>
        <v>43</v>
      </c>
    </row>
    <row r="51" spans="2:15" x14ac:dyDescent="0.2">
      <c r="B51" s="1" t="str">
        <f t="shared" si="3"/>
        <v/>
      </c>
      <c r="C51" s="1" t="str">
        <f>TRIM(IF(O51&lt;=$O$1,VLOOKUP(O51,Keszlet!$B$5:$I$200,4,FALSE)&amp;" "&amp;VLOOKUP(O51,Keszlet!$B$5:$I$200,5,FALSE),IF(O50=$O$1,$O$4,"")))</f>
        <v/>
      </c>
      <c r="E51" s="88" t="str">
        <f>TRIM(IF(O51&lt;=$O$1,VLOOKUP(O51,Keszlet!$B$5:$I$200,7,FALSE),""))</f>
        <v/>
      </c>
      <c r="F51" s="15" t="str">
        <f>IF(O51&lt;=$O$1,VLOOKUP(O51,Keszlet!$B$5:$R$200,17,FALSE),"")</f>
        <v/>
      </c>
      <c r="G51" s="15" t="str">
        <f>IF(O51&lt;=$O$1,VLOOKUP(O51,Keszlet!$B$5:$I$200,6,FALSE),"")</f>
        <v/>
      </c>
      <c r="H51" s="15" t="str">
        <f t="shared" si="1"/>
        <v/>
      </c>
      <c r="O51" s="1">
        <f t="shared" si="2"/>
        <v>44</v>
      </c>
    </row>
    <row r="52" spans="2:15" x14ac:dyDescent="0.2">
      <c r="B52" s="1" t="str">
        <f t="shared" si="3"/>
        <v/>
      </c>
      <c r="C52" s="1" t="str">
        <f>TRIM(IF(O52&lt;=$O$1,VLOOKUP(O52,Keszlet!$B$5:$I$200,4,FALSE)&amp;" "&amp;VLOOKUP(O52,Keszlet!$B$5:$I$200,5,FALSE),IF(O51=$O$1,$O$4,"")))</f>
        <v/>
      </c>
      <c r="E52" s="88" t="str">
        <f>TRIM(IF(O52&lt;=$O$1,VLOOKUP(O52,Keszlet!$B$5:$I$200,7,FALSE),""))</f>
        <v/>
      </c>
      <c r="F52" s="15" t="str">
        <f>IF(O52&lt;=$O$1,VLOOKUP(O52,Keszlet!$B$5:$R$200,17,FALSE),"")</f>
        <v/>
      </c>
      <c r="G52" s="15" t="str">
        <f>IF(O52&lt;=$O$1,VLOOKUP(O52,Keszlet!$B$5:$I$200,6,FALSE),"")</f>
        <v/>
      </c>
      <c r="H52" s="15" t="str">
        <f t="shared" si="1"/>
        <v/>
      </c>
      <c r="O52" s="1">
        <f t="shared" si="2"/>
        <v>45</v>
      </c>
    </row>
    <row r="53" spans="2:15" x14ac:dyDescent="0.2">
      <c r="B53" s="1" t="str">
        <f t="shared" si="3"/>
        <v/>
      </c>
      <c r="C53" s="1" t="str">
        <f>TRIM(IF(O53&lt;=$O$1,VLOOKUP(O53,Keszlet!$B$5:$I$200,4,FALSE)&amp;" "&amp;VLOOKUP(O53,Keszlet!$B$5:$I$200,5,FALSE),IF(O52=$O$1,$O$4,"")))</f>
        <v/>
      </c>
      <c r="E53" s="88" t="str">
        <f>TRIM(IF(O53&lt;=$O$1,VLOOKUP(O53,Keszlet!$B$5:$I$200,7,FALSE),""))</f>
        <v/>
      </c>
      <c r="F53" s="15" t="str">
        <f>IF(O53&lt;=$O$1,VLOOKUP(O53,Keszlet!$B$5:$R$200,17,FALSE),"")</f>
        <v/>
      </c>
      <c r="G53" s="15" t="str">
        <f>IF(O53&lt;=$O$1,VLOOKUP(O53,Keszlet!$B$5:$I$200,6,FALSE),"")</f>
        <v/>
      </c>
      <c r="H53" s="15" t="str">
        <f t="shared" si="1"/>
        <v/>
      </c>
      <c r="O53" s="1">
        <f t="shared" si="2"/>
        <v>46</v>
      </c>
    </row>
    <row r="54" spans="2:15" x14ac:dyDescent="0.2">
      <c r="B54" s="1" t="str">
        <f t="shared" si="3"/>
        <v/>
      </c>
      <c r="C54" s="1" t="str">
        <f>TRIM(IF(O54&lt;=$O$1,VLOOKUP(O54,Keszlet!$B$5:$I$200,4,FALSE)&amp;" "&amp;VLOOKUP(O54,Keszlet!$B$5:$I$200,5,FALSE),IF(O53=$O$1,$O$4,"")))</f>
        <v/>
      </c>
      <c r="E54" s="88" t="str">
        <f>TRIM(IF(O54&lt;=$O$1,VLOOKUP(O54,Keszlet!$B$5:$I$200,7,FALSE),""))</f>
        <v/>
      </c>
      <c r="F54" s="15" t="str">
        <f>IF(O54&lt;=$O$1,VLOOKUP(O54,Keszlet!$B$5:$R$200,17,FALSE),"")</f>
        <v/>
      </c>
      <c r="G54" s="15" t="str">
        <f>IF(O54&lt;=$O$1,VLOOKUP(O54,Keszlet!$B$5:$I$200,6,FALSE),"")</f>
        <v/>
      </c>
      <c r="H54" s="15" t="str">
        <f t="shared" si="1"/>
        <v/>
      </c>
      <c r="O54" s="1">
        <f t="shared" si="2"/>
        <v>47</v>
      </c>
    </row>
    <row r="55" spans="2:15" x14ac:dyDescent="0.2">
      <c r="B55" s="1" t="str">
        <f t="shared" si="3"/>
        <v/>
      </c>
      <c r="C55" s="1" t="str">
        <f>TRIM(IF(O55&lt;=$O$1,VLOOKUP(O55,Keszlet!$B$5:$I$200,4,FALSE)&amp;" "&amp;VLOOKUP(O55,Keszlet!$B$5:$I$200,5,FALSE),IF(O54=$O$1,$O$4,"")))</f>
        <v/>
      </c>
      <c r="E55" s="88" t="str">
        <f>TRIM(IF(O55&lt;=$O$1,VLOOKUP(O55,Keszlet!$B$5:$I$200,7,FALSE),""))</f>
        <v/>
      </c>
      <c r="F55" s="15" t="str">
        <f>IF(O55&lt;=$O$1,VLOOKUP(O55,Keszlet!$B$5:$R$200,17,FALSE),"")</f>
        <v/>
      </c>
      <c r="G55" s="15" t="str">
        <f>IF(O55&lt;=$O$1,VLOOKUP(O55,Keszlet!$B$5:$I$200,6,FALSE),"")</f>
        <v/>
      </c>
      <c r="H55" s="15" t="str">
        <f t="shared" si="1"/>
        <v/>
      </c>
      <c r="O55" s="1">
        <f t="shared" si="2"/>
        <v>48</v>
      </c>
    </row>
    <row r="56" spans="2:15" x14ac:dyDescent="0.2">
      <c r="B56" s="1" t="str">
        <f t="shared" si="3"/>
        <v/>
      </c>
      <c r="C56" s="1" t="str">
        <f>TRIM(IF(O56&lt;=$O$1,VLOOKUP(O56,Keszlet!$B$5:$I$200,4,FALSE)&amp;" "&amp;VLOOKUP(O56,Keszlet!$B$5:$I$200,5,FALSE),IF(O55=$O$1,$O$4,"")))</f>
        <v/>
      </c>
      <c r="E56" s="88" t="str">
        <f>TRIM(IF(O56&lt;=$O$1,VLOOKUP(O56,Keszlet!$B$5:$I$200,7,FALSE),""))</f>
        <v/>
      </c>
      <c r="F56" s="15" t="str">
        <f>IF(O56&lt;=$O$1,VLOOKUP(O56,Keszlet!$B$5:$R$200,17,FALSE),"")</f>
        <v/>
      </c>
      <c r="G56" s="15" t="str">
        <f>IF(O56&lt;=$O$1,VLOOKUP(O56,Keszlet!$B$5:$I$200,6,FALSE),"")</f>
        <v/>
      </c>
      <c r="H56" s="15" t="str">
        <f t="shared" si="1"/>
        <v/>
      </c>
      <c r="O56" s="1">
        <f t="shared" si="2"/>
        <v>49</v>
      </c>
    </row>
    <row r="57" spans="2:15" x14ac:dyDescent="0.2">
      <c r="B57" s="1" t="str">
        <f t="shared" si="3"/>
        <v/>
      </c>
      <c r="C57" s="1" t="str">
        <f>TRIM(IF(O57&lt;=$O$1,VLOOKUP(O57,Keszlet!$B$5:$I$200,4,FALSE)&amp;" "&amp;VLOOKUP(O57,Keszlet!$B$5:$I$200,5,FALSE),IF(O56=$O$1,$O$4,"")))</f>
        <v/>
      </c>
      <c r="E57" s="88" t="str">
        <f>TRIM(IF(O57&lt;=$O$1,VLOOKUP(O57,Keszlet!$B$5:$I$200,7,FALSE),""))</f>
        <v/>
      </c>
      <c r="F57" s="15" t="str">
        <f>IF(O57&lt;=$O$1,VLOOKUP(O57,Keszlet!$B$5:$R$200,17,FALSE),"")</f>
        <v/>
      </c>
      <c r="G57" s="15" t="str">
        <f>IF(O57&lt;=$O$1,VLOOKUP(O57,Keszlet!$B$5:$I$200,6,FALSE),"")</f>
        <v/>
      </c>
      <c r="H57" s="15" t="str">
        <f t="shared" si="1"/>
        <v/>
      </c>
      <c r="O57" s="1">
        <f t="shared" si="2"/>
        <v>50</v>
      </c>
    </row>
    <row r="58" spans="2:15" x14ac:dyDescent="0.2"/>
    <row r="59" spans="2:15" x14ac:dyDescent="0.2">
      <c r="C59" s="1" t="s">
        <v>62</v>
      </c>
      <c r="H59" s="1" t="s">
        <v>63</v>
      </c>
      <c r="I59" s="1" t="s">
        <v>64</v>
      </c>
    </row>
    <row r="60" spans="2:15" x14ac:dyDescent="0.2">
      <c r="B60" s="1" t="s">
        <v>65</v>
      </c>
      <c r="D60" s="1" t="s">
        <v>66</v>
      </c>
      <c r="H60" s="1" t="s">
        <v>69</v>
      </c>
    </row>
    <row r="61" spans="2:15" x14ac:dyDescent="0.2">
      <c r="B61" s="1" t="s">
        <v>67</v>
      </c>
      <c r="D61" s="1" t="s">
        <v>66</v>
      </c>
      <c r="H61" s="1" t="s">
        <v>69</v>
      </c>
    </row>
    <row r="62" spans="2:15" x14ac:dyDescent="0.2">
      <c r="B62" s="1" t="s">
        <v>68</v>
      </c>
    </row>
    <row r="63" spans="2:15" x14ac:dyDescent="0.2"/>
    <row r="64" spans="2:15" x14ac:dyDescent="0.2"/>
  </sheetData>
  <sheetProtection algorithmName="SHA-512" hashValue="KrkZ2v1znqJq111Hv4yWzWZ9Q2zPFaM3c1jDRajIbGURCDYHgwoCGpwbe6Q5j8JuscOehepedUjTwE8oVjzMZQ==" saltValue="OlicjDbVFHodx5TO02ZC7g==" spinCount="100000" sheet="1" objects="1" scenarios="1" selectLockedCells="1"/>
  <mergeCells count="5">
    <mergeCell ref="B1:H1"/>
    <mergeCell ref="B4:I4"/>
    <mergeCell ref="B5:I5"/>
    <mergeCell ref="B3:G3"/>
    <mergeCell ref="B2:H2"/>
  </mergeCells>
  <phoneticPr fontId="2" type="noConversion"/>
  <conditionalFormatting sqref="B7:I7">
    <cfRule type="expression" dxfId="7" priority="2" stopIfTrue="1">
      <formula>$G7&lt;&gt;""</formula>
    </cfRule>
  </conditionalFormatting>
  <conditionalFormatting sqref="B8:I57">
    <cfRule type="expression" dxfId="6" priority="1" stopIfTrue="1">
      <formula>$F8&lt;0</formula>
    </cfRule>
    <cfRule type="expression" dxfId="5" priority="3" stopIfTrue="1">
      <formula>$H8&lt;&gt;""</formula>
    </cfRule>
  </conditionalFormatting>
  <conditionalFormatting sqref="I1">
    <cfRule type="expression" dxfId="4" priority="4" stopIfTrue="1">
      <formula>O2&gt;1</formula>
    </cfRule>
    <cfRule type="expression" dxfId="3" priority="5" stopIfTrue="1">
      <formula>O2=1</formula>
    </cfRule>
  </conditionalFormatting>
  <dataValidations count="2">
    <dataValidation type="whole" operator="lessThanOrEqual" allowBlank="1" showInputMessage="1" showErrorMessage="1" sqref="I1" xr:uid="{00000000-0002-0000-0500-000000000000}">
      <formula1>O2</formula1>
    </dataValidation>
    <dataValidation type="date" operator="greaterThanOrEqual" allowBlank="1" showInputMessage="1" showErrorMessage="1" sqref="I2" xr:uid="{4B6351DA-3E2C-47F7-ABC4-62EBF0B59ABB}">
      <formula1>X1</formula1>
    </dataValidation>
  </dataValidations>
  <pageMargins left="0.78740157480314965" right="0.39" top="0.6" bottom="0.78740157480314965" header="0.51181102362204722" footer="0.51181102362204722"/>
  <pageSetup paperSize="9" scale="92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97"/>
  <sheetViews>
    <sheetView showGridLines="0" showRowColHeaders="0" workbookViewId="0">
      <selection activeCell="A2" sqref="A2"/>
    </sheetView>
  </sheetViews>
  <sheetFormatPr defaultColWidth="0" defaultRowHeight="12.75" zeroHeight="1" x14ac:dyDescent="0.2"/>
  <cols>
    <col min="1" max="1" width="3.140625" style="1" customWidth="1"/>
    <col min="2" max="2" width="9.42578125" style="1" customWidth="1"/>
    <col min="3" max="3" width="72" style="1" bestFit="1" customWidth="1"/>
    <col min="4" max="7" width="17.28515625" style="1" bestFit="1" customWidth="1"/>
    <col min="8" max="9" width="10.7109375" style="1" customWidth="1"/>
    <col min="10" max="10" width="10.7109375" style="96" customWidth="1"/>
    <col min="11" max="21" width="10.7109375" style="96" hidden="1" customWidth="1"/>
    <col min="22" max="25" width="10.7109375" style="1" hidden="1" customWidth="1"/>
    <col min="26" max="26" width="58.42578125" style="1" hidden="1" customWidth="1"/>
    <col min="27" max="16384" width="10.7109375" style="1" hidden="1"/>
  </cols>
  <sheetData>
    <row r="1" spans="2:35" ht="20.25" x14ac:dyDescent="0.3">
      <c r="B1" s="93" t="str">
        <f>M2&amp;O1&amp;M4&amp;N1&amp;M4&amp;M1&amp;M4&amp;M3</f>
        <v>Jelenleg 1900.01.00. dátum szerint látható az anyagraktári egyenleg. A dátumot a "Leltár_ív" munkalapon lehet módosítani.</v>
      </c>
      <c r="M1" s="96" t="str">
        <f>IF(DAY(Q1)&lt;10,"0"&amp;DAY(Q1),DAY(Q1))</f>
        <v>00</v>
      </c>
      <c r="N1" s="96" t="str">
        <f>IF(MONTH(Q1)&lt;10,"0"&amp;MONTH(Q1),MONTH(Q1))</f>
        <v>01</v>
      </c>
      <c r="O1" s="96">
        <f>YEAR(Q1)</f>
        <v>1900</v>
      </c>
      <c r="P1" s="97">
        <f>DATE(O1,1,1)</f>
        <v>1</v>
      </c>
      <c r="Q1" s="97">
        <f>Leltar_iv!Y1</f>
        <v>0</v>
      </c>
      <c r="X1" s="1" t="str">
        <f>Keszlet!C3</f>
        <v>zzzzzzzzzzz</v>
      </c>
      <c r="Y1" s="1">
        <f>IF(MATCH(X1,Z1:Z197,0)&gt;1,MATCH(X1,Z1:Z197,0)-1,1)</f>
        <v>1</v>
      </c>
      <c r="Z1" s="1" t="str">
        <f>IF(ISERROR(VLOOKUP(AA1,Keszlet!$A$5:$C$201,3,FALSE))=FALSE,VLOOKUP(AA1,Keszlet!$A$5:$C$201,3,FALSE),$X$1)</f>
        <v>zzzzzzzzzzz</v>
      </c>
      <c r="AA1" s="1">
        <v>1</v>
      </c>
      <c r="AB1" s="1" t="str">
        <f>IF(ISERROR(VLOOKUP(AA1,$AH$1:$AI$197,2,FALSE))=FALSE,VLOOKUP(AA1,$AH$1:$AI$197,2,FALSE),$X$1)</f>
        <v>zzzzzzzzzzz</v>
      </c>
      <c r="AH1" s="1">
        <f>IF(AI1&lt;&gt;"",1,0)</f>
        <v>0</v>
      </c>
      <c r="AI1" s="1" t="str">
        <f>IF(Keszlet!I5&gt;0,Keszlet!C5,"")</f>
        <v/>
      </c>
    </row>
    <row r="2" spans="2:35" ht="18" x14ac:dyDescent="0.25">
      <c r="B2" s="157" t="s">
        <v>100</v>
      </c>
      <c r="C2" s="157"/>
      <c r="D2" s="157"/>
      <c r="E2" s="157"/>
      <c r="F2" s="157"/>
      <c r="G2" s="157"/>
      <c r="M2" s="96" t="s">
        <v>97</v>
      </c>
      <c r="Y2" s="1">
        <f>IF(MATCH(X1,AB1:AB197,0)&gt;1,MATCH(X1,AB1:AB197,0)-1,1)</f>
        <v>1</v>
      </c>
      <c r="Z2" s="1" t="str">
        <f>IF(ISERROR(VLOOKUP(AA2,Keszlet!$A$5:$C$201,3,FALSE))=FALSE,VLOOKUP(AA2,Keszlet!$A$5:$C$201,3,FALSE),$X$1)</f>
        <v>zzzzzzzzzzz</v>
      </c>
      <c r="AA2" s="1">
        <v>2</v>
      </c>
      <c r="AB2" s="1" t="str">
        <f t="shared" ref="AB2:AB65" si="0">IF(ISERROR(VLOOKUP(AA2,$AH$1:$AI$197,2,FALSE))=FALSE,VLOOKUP(AA2,$AH$1:$AI$197,2,FALSE),$X$1)</f>
        <v>zzzzzzzzzzz</v>
      </c>
      <c r="AH2" s="1">
        <f>IF(AI2&lt;&gt;"",AH1+1,AH1)</f>
        <v>0</v>
      </c>
      <c r="AI2" s="1" t="str">
        <f>IF(Keszlet!I6&gt;0,Keszlet!C6,"")</f>
        <v/>
      </c>
    </row>
    <row r="3" spans="2:35" s="30" customFormat="1" ht="40.5" x14ac:dyDescent="0.3">
      <c r="C3" s="158" t="s">
        <v>104</v>
      </c>
      <c r="D3" s="159"/>
      <c r="E3" s="159"/>
      <c r="F3" s="159"/>
      <c r="G3" s="159"/>
      <c r="H3" s="159"/>
      <c r="I3" s="159"/>
      <c r="J3" s="159"/>
      <c r="K3" s="96"/>
      <c r="L3" s="98" t="s">
        <v>91</v>
      </c>
      <c r="M3" s="96" t="s">
        <v>99</v>
      </c>
      <c r="N3" s="96"/>
      <c r="O3" s="96" t="s">
        <v>28</v>
      </c>
      <c r="P3" s="96">
        <f>SUMIF(Kiadas!W6:W200,"&lt;"&amp;P1,Kiadas!L6:L200)</f>
        <v>0</v>
      </c>
      <c r="Q3" s="96">
        <f>SUMIF(Kiadas!W6:W200,"&lt;="&amp;Q1,Kiadas!L6:L200)</f>
        <v>0</v>
      </c>
      <c r="R3" s="96">
        <f>SUM(-P3,Q3)</f>
        <v>0</v>
      </c>
      <c r="S3" s="96"/>
      <c r="T3" s="96"/>
      <c r="U3" s="96"/>
      <c r="Z3" s="1" t="str">
        <f>IF(ISERROR(VLOOKUP(AA3,Keszlet!$A$5:$C$201,3,FALSE))=FALSE,VLOOKUP(AA3,Keszlet!$A$5:$C$201,3,FALSE),$X$1)</f>
        <v>zzzzzzzzzzz</v>
      </c>
      <c r="AA3" s="1">
        <v>3</v>
      </c>
      <c r="AB3" s="1" t="str">
        <f t="shared" si="0"/>
        <v>zzzzzzzzzzz</v>
      </c>
      <c r="AH3" s="1">
        <f t="shared" ref="AH3:AH66" si="1">IF(AI3&lt;&gt;"",AH2+1,AH2)</f>
        <v>0</v>
      </c>
      <c r="AI3" s="1" t="str">
        <f>IF(Keszlet!I7&gt;0,Keszlet!C7,"")</f>
        <v/>
      </c>
    </row>
    <row r="4" spans="2:35" x14ac:dyDescent="0.2">
      <c r="M4" s="96" t="s">
        <v>98</v>
      </c>
      <c r="O4" s="96" t="s">
        <v>29</v>
      </c>
      <c r="P4" s="96">
        <f>SUMIF(Kiadas!W1006:W2000,"&lt;"&amp;P1,Kiadas!L1006:L2000)</f>
        <v>0</v>
      </c>
      <c r="Q4" s="96">
        <f>SUMIF(Kiadas!W1006:W2000,"&lt;="&amp;Q1,Kiadas!L1006:L2000)</f>
        <v>0</v>
      </c>
      <c r="R4" s="96">
        <f>SUM(-P4,Q4)</f>
        <v>0</v>
      </c>
      <c r="Z4" s="1" t="str">
        <f>IF(ISERROR(VLOOKUP(AA4,Keszlet!$A$5:$C$201,3,FALSE))=FALSE,VLOOKUP(AA4,Keszlet!$A$5:$C$201,3,FALSE),$X$1)</f>
        <v>zzzzzzzzzzz</v>
      </c>
      <c r="AA4" s="1">
        <v>4</v>
      </c>
      <c r="AB4" s="1" t="str">
        <f t="shared" si="0"/>
        <v>zzzzzzzzzzz</v>
      </c>
      <c r="AH4" s="1">
        <f t="shared" si="1"/>
        <v>0</v>
      </c>
      <c r="AI4" s="1" t="str">
        <f>IF(Keszlet!I8&gt;0,Keszlet!C8,"")</f>
        <v/>
      </c>
    </row>
    <row r="5" spans="2:35" ht="47.25" x14ac:dyDescent="0.25">
      <c r="C5" s="31" t="s">
        <v>76</v>
      </c>
      <c r="D5" s="32" t="s">
        <v>74</v>
      </c>
      <c r="E5" s="32" t="s">
        <v>75</v>
      </c>
      <c r="F5" s="32" t="s">
        <v>79</v>
      </c>
      <c r="G5" s="32" t="s">
        <v>101</v>
      </c>
      <c r="P5" s="96">
        <f>SUM(P3,-P4)</f>
        <v>0</v>
      </c>
      <c r="Z5" s="1" t="str">
        <f>IF(ISERROR(VLOOKUP(AA5,Keszlet!$A$5:$C$201,3,FALSE))=FALSE,VLOOKUP(AA5,Keszlet!$A$5:$C$201,3,FALSE),$X$1)</f>
        <v>zzzzzzzzzzz</v>
      </c>
      <c r="AA5" s="1">
        <v>5</v>
      </c>
      <c r="AB5" s="1" t="str">
        <f t="shared" si="0"/>
        <v>zzzzzzzzzzz</v>
      </c>
      <c r="AH5" s="1">
        <f t="shared" si="1"/>
        <v>0</v>
      </c>
      <c r="AI5" s="1" t="str">
        <f>IF(Keszlet!I9&gt;0,Keszlet!C9,"")</f>
        <v/>
      </c>
    </row>
    <row r="6" spans="2:35" ht="15.75" x14ac:dyDescent="0.25">
      <c r="C6" s="31" t="s">
        <v>77</v>
      </c>
      <c r="D6" s="63"/>
      <c r="E6" s="63"/>
      <c r="F6" s="63"/>
      <c r="G6" s="63"/>
      <c r="Z6" s="1" t="str">
        <f>IF(ISERROR(VLOOKUP(AA6,Keszlet!$A$5:$C$201,3,FALSE))=FALSE,VLOOKUP(AA6,Keszlet!$A$5:$C$201,3,FALSE),$X$1)</f>
        <v>zzzzzzzzzzz</v>
      </c>
      <c r="AA6" s="1">
        <v>6</v>
      </c>
      <c r="AB6" s="1" t="str">
        <f t="shared" si="0"/>
        <v>zzzzzzzzzzz</v>
      </c>
      <c r="AH6" s="1">
        <f t="shared" si="1"/>
        <v>0</v>
      </c>
      <c r="AI6" s="1" t="str">
        <f>IF(Keszlet!I10&gt;0,Keszlet!C10,"")</f>
        <v/>
      </c>
    </row>
    <row r="7" spans="2:35" ht="15.75" x14ac:dyDescent="0.25">
      <c r="C7" s="31" t="s">
        <v>73</v>
      </c>
      <c r="D7" s="94">
        <f>P5</f>
        <v>0</v>
      </c>
      <c r="E7" s="33">
        <f>R3</f>
        <v>0</v>
      </c>
      <c r="F7" s="33">
        <f>R4</f>
        <v>0</v>
      </c>
      <c r="G7" s="94">
        <f>SUM(D7:E7,-F7)</f>
        <v>0</v>
      </c>
      <c r="Z7" s="1" t="str">
        <f>IF(ISERROR(VLOOKUP(AA7,Keszlet!$A$5:$C$201,3,FALSE))=FALSE,VLOOKUP(AA7,Keszlet!$A$5:$C$201,3,FALSE),$X$1)</f>
        <v>zzzzzzzzzzz</v>
      </c>
      <c r="AA7" s="1">
        <v>7</v>
      </c>
      <c r="AB7" s="1" t="str">
        <f t="shared" si="0"/>
        <v>zzzzzzzzzzz</v>
      </c>
      <c r="AH7" s="1">
        <f t="shared" si="1"/>
        <v>0</v>
      </c>
      <c r="AI7" s="1" t="str">
        <f>IF(Keszlet!I11&gt;0,Keszlet!C11,"")</f>
        <v/>
      </c>
    </row>
    <row r="8" spans="2:35" ht="15.75" x14ac:dyDescent="0.25">
      <c r="C8" s="31" t="s">
        <v>78</v>
      </c>
      <c r="D8" s="31"/>
      <c r="E8" s="31"/>
      <c r="F8" s="31"/>
      <c r="G8" s="31"/>
      <c r="Z8" s="1" t="str">
        <f>IF(ISERROR(VLOOKUP(AA8,Keszlet!$A$5:$C$201,3,FALSE))=FALSE,VLOOKUP(AA8,Keszlet!$A$5:$C$201,3,FALSE),$X$1)</f>
        <v>zzzzzzzzzzz</v>
      </c>
      <c r="AA8" s="1">
        <v>8</v>
      </c>
      <c r="AB8" s="1" t="str">
        <f t="shared" si="0"/>
        <v>zzzzzzzzzzz</v>
      </c>
      <c r="AH8" s="1">
        <f t="shared" si="1"/>
        <v>0</v>
      </c>
      <c r="AI8" s="1" t="str">
        <f>IF(Keszlet!I12&gt;0,Keszlet!C12,"")</f>
        <v/>
      </c>
    </row>
    <row r="9" spans="2:35" ht="18" x14ac:dyDescent="0.25">
      <c r="C9" s="34" t="str">
        <f>IF(C14&lt;&gt;0,C18,"")</f>
        <v/>
      </c>
      <c r="Z9" s="1" t="str">
        <f>IF(ISERROR(VLOOKUP(AA9,Keszlet!$A$5:$C$201,3,FALSE))=FALSE,VLOOKUP(AA9,Keszlet!$A$5:$C$201,3,FALSE),$X$1)</f>
        <v>zzzzzzzzzzz</v>
      </c>
      <c r="AA9" s="1">
        <v>9</v>
      </c>
      <c r="AB9" s="1" t="str">
        <f t="shared" si="0"/>
        <v>zzzzzzzzzzz</v>
      </c>
      <c r="AH9" s="1">
        <f t="shared" si="1"/>
        <v>0</v>
      </c>
      <c r="AI9" s="1" t="str">
        <f>IF(Keszlet!I13&gt;0,Keszlet!C13,"")</f>
        <v/>
      </c>
    </row>
    <row r="10" spans="2:35" x14ac:dyDescent="0.2">
      <c r="C10" s="35" t="str">
        <f>IF(C14&lt;&gt;0,C15&amp;C14&amp;C16,"")</f>
        <v/>
      </c>
      <c r="Z10" s="1" t="str">
        <f>IF(ISERROR(VLOOKUP(AA10,Keszlet!$A$5:$C$201,3,FALSE))=FALSE,VLOOKUP(AA10,Keszlet!$A$5:$C$201,3,FALSE),$X$1)</f>
        <v>zzzzzzzzzzz</v>
      </c>
      <c r="AA10" s="1">
        <v>10</v>
      </c>
      <c r="AB10" s="1" t="str">
        <f t="shared" si="0"/>
        <v>zzzzzzzzzzz</v>
      </c>
      <c r="AH10" s="1">
        <f t="shared" si="1"/>
        <v>0</v>
      </c>
      <c r="AI10" s="1" t="str">
        <f>IF(Keszlet!I14&gt;0,Keszlet!C14,"")</f>
        <v/>
      </c>
    </row>
    <row r="11" spans="2:35" x14ac:dyDescent="0.2">
      <c r="C11" s="35" t="str">
        <f>IF(C14&lt;&gt;0,C17,"")</f>
        <v/>
      </c>
      <c r="Z11" s="1" t="str">
        <f>IF(ISERROR(VLOOKUP(AA11,Keszlet!$A$5:$C$201,3,FALSE))=FALSE,VLOOKUP(AA11,Keszlet!$A$5:$C$201,3,FALSE),$X$1)</f>
        <v>zzzzzzzzzzz</v>
      </c>
      <c r="AA11" s="1">
        <v>11</v>
      </c>
      <c r="AB11" s="1" t="str">
        <f t="shared" si="0"/>
        <v>zzzzzzzzzzz</v>
      </c>
      <c r="AH11" s="1">
        <f t="shared" si="1"/>
        <v>0</v>
      </c>
      <c r="AI11" s="1" t="str">
        <f>IF(Keszlet!I15&gt;0,Keszlet!C15,"")</f>
        <v/>
      </c>
    </row>
    <row r="12" spans="2:35" x14ac:dyDescent="0.2">
      <c r="D12" s="6"/>
      <c r="Z12" s="1" t="str">
        <f>IF(ISERROR(VLOOKUP(AA12,Keszlet!$A$5:$C$201,3,FALSE))=FALSE,VLOOKUP(AA12,Keszlet!$A$5:$C$201,3,FALSE),$X$1)</f>
        <v>zzzzzzzzzzz</v>
      </c>
      <c r="AA12" s="1">
        <v>12</v>
      </c>
      <c r="AB12" s="1" t="str">
        <f t="shared" si="0"/>
        <v>zzzzzzzzzzz</v>
      </c>
      <c r="AH12" s="1">
        <f t="shared" si="1"/>
        <v>0</v>
      </c>
      <c r="AI12" s="1" t="str">
        <f>IF(Keszlet!I16&gt;0,Keszlet!C16,"")</f>
        <v/>
      </c>
    </row>
    <row r="13" spans="2:35" hidden="1" x14ac:dyDescent="0.2">
      <c r="Z13" s="1" t="str">
        <f>IF(ISERROR(VLOOKUP(AA13,Keszlet!$A$5:$C$201,3,FALSE))=FALSE,VLOOKUP(AA13,Keszlet!$A$5:$C$201,3,FALSE),$X$1)</f>
        <v>zzzzzzzzzzz</v>
      </c>
      <c r="AA13" s="1">
        <v>13</v>
      </c>
      <c r="AB13" s="1" t="str">
        <f t="shared" si="0"/>
        <v>zzzzzzzzzzz</v>
      </c>
      <c r="AH13" s="1">
        <f t="shared" si="1"/>
        <v>0</v>
      </c>
      <c r="AI13" s="1" t="str">
        <f>IF(Keszlet!I17&gt;0,Keszlet!C17,"")</f>
        <v/>
      </c>
    </row>
    <row r="14" spans="2:35" hidden="1" x14ac:dyDescent="0.2">
      <c r="C14" s="7">
        <f>ROUND(G7,2)-ROUND(Leltar_iv!O3,2)</f>
        <v>0</v>
      </c>
      <c r="Z14" s="1" t="str">
        <f>IF(ISERROR(VLOOKUP(AA14,Keszlet!$A$5:$C$201,3,FALSE))=FALSE,VLOOKUP(AA14,Keszlet!$A$5:$C$201,3,FALSE),$X$1)</f>
        <v>zzzzzzzzzzz</v>
      </c>
      <c r="AA14" s="1">
        <v>14</v>
      </c>
      <c r="AB14" s="1" t="str">
        <f t="shared" si="0"/>
        <v>zzzzzzzzzzz</v>
      </c>
      <c r="AH14" s="1">
        <f t="shared" si="1"/>
        <v>0</v>
      </c>
      <c r="AI14" s="1" t="str">
        <f>IF(Keszlet!I18&gt;0,Keszlet!C18,"")</f>
        <v/>
      </c>
    </row>
    <row r="15" spans="2:35" hidden="1" x14ac:dyDescent="0.2">
      <c r="C15" s="96" t="s">
        <v>102</v>
      </c>
      <c r="Z15" s="1" t="str">
        <f>IF(ISERROR(VLOOKUP(AA15,Keszlet!$A$5:$C$201,3,FALSE))=FALSE,VLOOKUP(AA15,Keszlet!$A$5:$C$201,3,FALSE),$X$1)</f>
        <v>zzzzzzzzzzz</v>
      </c>
      <c r="AA15" s="1">
        <v>15</v>
      </c>
      <c r="AB15" s="1" t="str">
        <f t="shared" si="0"/>
        <v>zzzzzzzzzzz</v>
      </c>
      <c r="AH15" s="1">
        <f t="shared" si="1"/>
        <v>0</v>
      </c>
      <c r="AI15" s="1" t="str">
        <f>IF(Keszlet!I19&gt;0,Keszlet!C19,"")</f>
        <v/>
      </c>
    </row>
    <row r="16" spans="2:35" hidden="1" x14ac:dyDescent="0.2">
      <c r="C16" s="1" t="s">
        <v>81</v>
      </c>
      <c r="Z16" s="1" t="str">
        <f>IF(ISERROR(VLOOKUP(AA16,Keszlet!$A$5:$C$201,3,FALSE))=FALSE,VLOOKUP(AA16,Keszlet!$A$5:$C$201,3,FALSE),$X$1)</f>
        <v>zzzzzzzzzzz</v>
      </c>
      <c r="AA16" s="1">
        <v>16</v>
      </c>
      <c r="AB16" s="1" t="str">
        <f t="shared" si="0"/>
        <v>zzzzzzzzzzz</v>
      </c>
      <c r="AH16" s="1">
        <f t="shared" si="1"/>
        <v>0</v>
      </c>
      <c r="AI16" s="1" t="str">
        <f>IF(Keszlet!I20&gt;0,Keszlet!C20,"")</f>
        <v/>
      </c>
    </row>
    <row r="17" spans="3:35" hidden="1" x14ac:dyDescent="0.2">
      <c r="C17" s="96" t="s">
        <v>103</v>
      </c>
      <c r="Z17" s="1" t="str">
        <f>IF(ISERROR(VLOOKUP(AA17,Keszlet!$A$5:$C$201,3,FALSE))=FALSE,VLOOKUP(AA17,Keszlet!$A$5:$C$201,3,FALSE),$X$1)</f>
        <v>zzzzzzzzzzz</v>
      </c>
      <c r="AA17" s="1">
        <v>17</v>
      </c>
      <c r="AB17" s="1" t="str">
        <f t="shared" si="0"/>
        <v>zzzzzzzzzzz</v>
      </c>
      <c r="AH17" s="1">
        <f t="shared" si="1"/>
        <v>0</v>
      </c>
      <c r="AI17" s="1" t="str">
        <f>IF(Keszlet!I21&gt;0,Keszlet!C21,"")</f>
        <v/>
      </c>
    </row>
    <row r="18" spans="3:35" hidden="1" x14ac:dyDescent="0.2">
      <c r="C18" s="1" t="s">
        <v>80</v>
      </c>
      <c r="Z18" s="1" t="str">
        <f>IF(ISERROR(VLOOKUP(AA18,Keszlet!$A$5:$C$201,3,FALSE))=FALSE,VLOOKUP(AA18,Keszlet!$A$5:$C$201,3,FALSE),$X$1)</f>
        <v>zzzzzzzzzzz</v>
      </c>
      <c r="AA18" s="1">
        <v>18</v>
      </c>
      <c r="AB18" s="1" t="str">
        <f t="shared" si="0"/>
        <v>zzzzzzzzzzz</v>
      </c>
      <c r="AH18" s="1">
        <f t="shared" si="1"/>
        <v>0</v>
      </c>
      <c r="AI18" s="1" t="str">
        <f>IF(Keszlet!I22&gt;0,Keszlet!C22,"")</f>
        <v/>
      </c>
    </row>
    <row r="19" spans="3:35" hidden="1" x14ac:dyDescent="0.2">
      <c r="Z19" s="1" t="str">
        <f>IF(ISERROR(VLOOKUP(AA19,Keszlet!$A$5:$C$201,3,FALSE))=FALSE,VLOOKUP(AA19,Keszlet!$A$5:$C$201,3,FALSE),$X$1)</f>
        <v>zzzzzzzzzzz</v>
      </c>
      <c r="AA19" s="1">
        <v>19</v>
      </c>
      <c r="AB19" s="1" t="str">
        <f t="shared" si="0"/>
        <v>zzzzzzzzzzz</v>
      </c>
      <c r="AH19" s="1">
        <f t="shared" si="1"/>
        <v>0</v>
      </c>
      <c r="AI19" s="1" t="str">
        <f>IF(Keszlet!I23&gt;0,Keszlet!C23,"")</f>
        <v/>
      </c>
    </row>
    <row r="20" spans="3:35" hidden="1" x14ac:dyDescent="0.2">
      <c r="Z20" s="1" t="str">
        <f>IF(ISERROR(VLOOKUP(AA20,Keszlet!$A$5:$C$201,3,FALSE))=FALSE,VLOOKUP(AA20,Keszlet!$A$5:$C$201,3,FALSE),$X$1)</f>
        <v>zzzzzzzzzzz</v>
      </c>
      <c r="AA20" s="1">
        <v>20</v>
      </c>
      <c r="AB20" s="1" t="str">
        <f t="shared" si="0"/>
        <v>zzzzzzzzzzz</v>
      </c>
      <c r="AH20" s="1">
        <f t="shared" si="1"/>
        <v>0</v>
      </c>
      <c r="AI20" s="1" t="str">
        <f>IF(Keszlet!I24&gt;0,Keszlet!C24,"")</f>
        <v/>
      </c>
    </row>
    <row r="21" spans="3:35" hidden="1" x14ac:dyDescent="0.2">
      <c r="Z21" s="1" t="str">
        <f>IF(ISERROR(VLOOKUP(AA21,Keszlet!$A$5:$C$201,3,FALSE))=FALSE,VLOOKUP(AA21,Keszlet!$A$5:$C$201,3,FALSE),$X$1)</f>
        <v>zzzzzzzzzzz</v>
      </c>
      <c r="AA21" s="1">
        <v>21</v>
      </c>
      <c r="AB21" s="1" t="str">
        <f t="shared" si="0"/>
        <v>zzzzzzzzzzz</v>
      </c>
      <c r="AH21" s="1">
        <f t="shared" si="1"/>
        <v>0</v>
      </c>
      <c r="AI21" s="1" t="str">
        <f>IF(Keszlet!I25&gt;0,Keszlet!C25,"")</f>
        <v/>
      </c>
    </row>
    <row r="22" spans="3:35" hidden="1" x14ac:dyDescent="0.2">
      <c r="Z22" s="1" t="str">
        <f>IF(ISERROR(VLOOKUP(AA22,Keszlet!$A$5:$C$201,3,FALSE))=FALSE,VLOOKUP(AA22,Keszlet!$A$5:$C$201,3,FALSE),$X$1)</f>
        <v>zzzzzzzzzzz</v>
      </c>
      <c r="AA22" s="1">
        <v>22</v>
      </c>
      <c r="AB22" s="1" t="str">
        <f t="shared" si="0"/>
        <v>zzzzzzzzzzz</v>
      </c>
      <c r="AH22" s="1">
        <f t="shared" si="1"/>
        <v>0</v>
      </c>
      <c r="AI22" s="1" t="str">
        <f>IF(Keszlet!I26&gt;0,Keszlet!C26,"")</f>
        <v/>
      </c>
    </row>
    <row r="23" spans="3:35" hidden="1" x14ac:dyDescent="0.2">
      <c r="Z23" s="1" t="str">
        <f>IF(ISERROR(VLOOKUP(AA23,Keszlet!$A$5:$C$201,3,FALSE))=FALSE,VLOOKUP(AA23,Keszlet!$A$5:$C$201,3,FALSE),$X$1)</f>
        <v>zzzzzzzzzzz</v>
      </c>
      <c r="AA23" s="1">
        <v>23</v>
      </c>
      <c r="AB23" s="1" t="str">
        <f t="shared" si="0"/>
        <v>zzzzzzzzzzz</v>
      </c>
      <c r="AH23" s="1">
        <f t="shared" si="1"/>
        <v>0</v>
      </c>
      <c r="AI23" s="1" t="str">
        <f>IF(Keszlet!I27&gt;0,Keszlet!C27,"")</f>
        <v/>
      </c>
    </row>
    <row r="24" spans="3:35" hidden="1" x14ac:dyDescent="0.2">
      <c r="Z24" s="1" t="str">
        <f>IF(ISERROR(VLOOKUP(AA24,Keszlet!$A$5:$C$201,3,FALSE))=FALSE,VLOOKUP(AA24,Keszlet!$A$5:$C$201,3,FALSE),$X$1)</f>
        <v>zzzzzzzzzzz</v>
      </c>
      <c r="AA24" s="1">
        <v>24</v>
      </c>
      <c r="AB24" s="1" t="str">
        <f t="shared" si="0"/>
        <v>zzzzzzzzzzz</v>
      </c>
      <c r="AH24" s="1">
        <f t="shared" si="1"/>
        <v>0</v>
      </c>
      <c r="AI24" s="1" t="str">
        <f>IF(Keszlet!I28&gt;0,Keszlet!C28,"")</f>
        <v/>
      </c>
    </row>
    <row r="25" spans="3:35" hidden="1" x14ac:dyDescent="0.2">
      <c r="Z25" s="1" t="str">
        <f>IF(ISERROR(VLOOKUP(AA25,Keszlet!$A$5:$C$201,3,FALSE))=FALSE,VLOOKUP(AA25,Keszlet!$A$5:$C$201,3,FALSE),$X$1)</f>
        <v>zzzzzzzzzzz</v>
      </c>
      <c r="AA25" s="1">
        <v>25</v>
      </c>
      <c r="AB25" s="1" t="str">
        <f t="shared" si="0"/>
        <v>zzzzzzzzzzz</v>
      </c>
      <c r="AH25" s="1">
        <f t="shared" si="1"/>
        <v>0</v>
      </c>
      <c r="AI25" s="1" t="str">
        <f>IF(Keszlet!I29&gt;0,Keszlet!C29,"")</f>
        <v/>
      </c>
    </row>
    <row r="26" spans="3:35" hidden="1" x14ac:dyDescent="0.2">
      <c r="Z26" s="1" t="str">
        <f>IF(ISERROR(VLOOKUP(AA26,Keszlet!$A$5:$C$201,3,FALSE))=FALSE,VLOOKUP(AA26,Keszlet!$A$5:$C$201,3,FALSE),$X$1)</f>
        <v>zzzzzzzzzzz</v>
      </c>
      <c r="AA26" s="1">
        <v>26</v>
      </c>
      <c r="AB26" s="1" t="str">
        <f t="shared" si="0"/>
        <v>zzzzzzzzzzz</v>
      </c>
      <c r="AH26" s="1">
        <f t="shared" si="1"/>
        <v>0</v>
      </c>
      <c r="AI26" s="1" t="str">
        <f>IF(Keszlet!I30&gt;0,Keszlet!C30,"")</f>
        <v/>
      </c>
    </row>
    <row r="27" spans="3:35" hidden="1" x14ac:dyDescent="0.2">
      <c r="Z27" s="1" t="str">
        <f>IF(ISERROR(VLOOKUP(AA27,Keszlet!$A$5:$C$201,3,FALSE))=FALSE,VLOOKUP(AA27,Keszlet!$A$5:$C$201,3,FALSE),$X$1)</f>
        <v>zzzzzzzzzzz</v>
      </c>
      <c r="AA27" s="1">
        <v>27</v>
      </c>
      <c r="AB27" s="1" t="str">
        <f t="shared" si="0"/>
        <v>zzzzzzzzzzz</v>
      </c>
      <c r="AH27" s="1">
        <f t="shared" si="1"/>
        <v>0</v>
      </c>
      <c r="AI27" s="1" t="str">
        <f>IF(Keszlet!I31&gt;0,Keszlet!C31,"")</f>
        <v/>
      </c>
    </row>
    <row r="28" spans="3:35" hidden="1" x14ac:dyDescent="0.2">
      <c r="Z28" s="1" t="str">
        <f>IF(ISERROR(VLOOKUP(AA28,Keszlet!$A$5:$C$201,3,FALSE))=FALSE,VLOOKUP(AA28,Keszlet!$A$5:$C$201,3,FALSE),$X$1)</f>
        <v>zzzzzzzzzzz</v>
      </c>
      <c r="AA28" s="1">
        <v>28</v>
      </c>
      <c r="AB28" s="1" t="str">
        <f t="shared" si="0"/>
        <v>zzzzzzzzzzz</v>
      </c>
      <c r="AH28" s="1">
        <f t="shared" si="1"/>
        <v>0</v>
      </c>
      <c r="AI28" s="1" t="str">
        <f>IF(Keszlet!I32&gt;0,Keszlet!C32,"")</f>
        <v/>
      </c>
    </row>
    <row r="29" spans="3:35" hidden="1" x14ac:dyDescent="0.2">
      <c r="Z29" s="1" t="str">
        <f>IF(ISERROR(VLOOKUP(AA29,Keszlet!$A$5:$C$201,3,FALSE))=FALSE,VLOOKUP(AA29,Keszlet!$A$5:$C$201,3,FALSE),$X$1)</f>
        <v>zzzzzzzzzzz</v>
      </c>
      <c r="AA29" s="1">
        <v>29</v>
      </c>
      <c r="AB29" s="1" t="str">
        <f t="shared" si="0"/>
        <v>zzzzzzzzzzz</v>
      </c>
      <c r="AH29" s="1">
        <f t="shared" si="1"/>
        <v>0</v>
      </c>
      <c r="AI29" s="1" t="str">
        <f>IF(Keszlet!I33&gt;0,Keszlet!C33,"")</f>
        <v/>
      </c>
    </row>
    <row r="30" spans="3:35" hidden="1" x14ac:dyDescent="0.2">
      <c r="Z30" s="1" t="str">
        <f>IF(ISERROR(VLOOKUP(AA30,Keszlet!$A$5:$C$201,3,FALSE))=FALSE,VLOOKUP(AA30,Keszlet!$A$5:$C$201,3,FALSE),$X$1)</f>
        <v>zzzzzzzzzzz</v>
      </c>
      <c r="AA30" s="1">
        <v>30</v>
      </c>
      <c r="AB30" s="1" t="str">
        <f t="shared" si="0"/>
        <v>zzzzzzzzzzz</v>
      </c>
      <c r="AH30" s="1">
        <f t="shared" si="1"/>
        <v>0</v>
      </c>
      <c r="AI30" s="1" t="str">
        <f>IF(Keszlet!I34&gt;0,Keszlet!C34,"")</f>
        <v/>
      </c>
    </row>
    <row r="31" spans="3:35" hidden="1" x14ac:dyDescent="0.2">
      <c r="Z31" s="1" t="str">
        <f>IF(ISERROR(VLOOKUP(AA31,Keszlet!$A$5:$C$201,3,FALSE))=FALSE,VLOOKUP(AA31,Keszlet!$A$5:$C$201,3,FALSE),$X$1)</f>
        <v>zzzzzzzzzzz</v>
      </c>
      <c r="AA31" s="1">
        <v>31</v>
      </c>
      <c r="AB31" s="1" t="str">
        <f t="shared" si="0"/>
        <v>zzzzzzzzzzz</v>
      </c>
      <c r="AH31" s="1">
        <f t="shared" si="1"/>
        <v>0</v>
      </c>
      <c r="AI31" s="1" t="str">
        <f>IF(Keszlet!I35&gt;0,Keszlet!C35,"")</f>
        <v/>
      </c>
    </row>
    <row r="32" spans="3:35" hidden="1" x14ac:dyDescent="0.2">
      <c r="Z32" s="1" t="str">
        <f>IF(ISERROR(VLOOKUP(AA32,Keszlet!$A$5:$C$201,3,FALSE))=FALSE,VLOOKUP(AA32,Keszlet!$A$5:$C$201,3,FALSE),$X$1)</f>
        <v>zzzzzzzzzzz</v>
      </c>
      <c r="AA32" s="1">
        <v>32</v>
      </c>
      <c r="AB32" s="1" t="str">
        <f t="shared" si="0"/>
        <v>zzzzzzzzzzz</v>
      </c>
      <c r="AH32" s="1">
        <f t="shared" si="1"/>
        <v>0</v>
      </c>
      <c r="AI32" s="1" t="str">
        <f>IF(Keszlet!I36&gt;0,Keszlet!C36,"")</f>
        <v/>
      </c>
    </row>
    <row r="33" spans="26:35" hidden="1" x14ac:dyDescent="0.2">
      <c r="Z33" s="1" t="str">
        <f>IF(ISERROR(VLOOKUP(AA33,Keszlet!$A$5:$C$201,3,FALSE))=FALSE,VLOOKUP(AA33,Keszlet!$A$5:$C$201,3,FALSE),$X$1)</f>
        <v>zzzzzzzzzzz</v>
      </c>
      <c r="AA33" s="1">
        <v>33</v>
      </c>
      <c r="AB33" s="1" t="str">
        <f t="shared" si="0"/>
        <v>zzzzzzzzzzz</v>
      </c>
      <c r="AH33" s="1">
        <f t="shared" si="1"/>
        <v>0</v>
      </c>
      <c r="AI33" s="1" t="str">
        <f>IF(Keszlet!I37&gt;0,Keszlet!C37,"")</f>
        <v/>
      </c>
    </row>
    <row r="34" spans="26:35" hidden="1" x14ac:dyDescent="0.2">
      <c r="Z34" s="1" t="str">
        <f>IF(ISERROR(VLOOKUP(AA34,Keszlet!$A$5:$C$201,3,FALSE))=FALSE,VLOOKUP(AA34,Keszlet!$A$5:$C$201,3,FALSE),$X$1)</f>
        <v>zzzzzzzzzzz</v>
      </c>
      <c r="AA34" s="1">
        <v>34</v>
      </c>
      <c r="AB34" s="1" t="str">
        <f t="shared" si="0"/>
        <v>zzzzzzzzzzz</v>
      </c>
      <c r="AH34" s="1">
        <f t="shared" si="1"/>
        <v>0</v>
      </c>
      <c r="AI34" s="1" t="str">
        <f>IF(Keszlet!I38&gt;0,Keszlet!C38,"")</f>
        <v/>
      </c>
    </row>
    <row r="35" spans="26:35" hidden="1" x14ac:dyDescent="0.2">
      <c r="Z35" s="1" t="str">
        <f>IF(ISERROR(VLOOKUP(AA35,Keszlet!$A$5:$C$201,3,FALSE))=FALSE,VLOOKUP(AA35,Keszlet!$A$5:$C$201,3,FALSE),$X$1)</f>
        <v>zzzzzzzzzzz</v>
      </c>
      <c r="AA35" s="1">
        <v>35</v>
      </c>
      <c r="AB35" s="1" t="str">
        <f t="shared" si="0"/>
        <v>zzzzzzzzzzz</v>
      </c>
      <c r="AH35" s="1">
        <f t="shared" si="1"/>
        <v>0</v>
      </c>
      <c r="AI35" s="1" t="str">
        <f>IF(Keszlet!I39&gt;0,Keszlet!C39,"")</f>
        <v/>
      </c>
    </row>
    <row r="36" spans="26:35" hidden="1" x14ac:dyDescent="0.2">
      <c r="Z36" s="1" t="str">
        <f>IF(ISERROR(VLOOKUP(AA36,Keszlet!$A$5:$C$201,3,FALSE))=FALSE,VLOOKUP(AA36,Keszlet!$A$5:$C$201,3,FALSE),$X$1)</f>
        <v>zzzzzzzzzzz</v>
      </c>
      <c r="AA36" s="1">
        <v>36</v>
      </c>
      <c r="AB36" s="1" t="str">
        <f t="shared" si="0"/>
        <v>zzzzzzzzzzz</v>
      </c>
      <c r="AH36" s="1">
        <f t="shared" si="1"/>
        <v>0</v>
      </c>
      <c r="AI36" s="1" t="str">
        <f>IF(Keszlet!I40&gt;0,Keszlet!C40,"")</f>
        <v/>
      </c>
    </row>
    <row r="37" spans="26:35" hidden="1" x14ac:dyDescent="0.2">
      <c r="Z37" s="1" t="str">
        <f>IF(ISERROR(VLOOKUP(AA37,Keszlet!$A$5:$C$201,3,FALSE))=FALSE,VLOOKUP(AA37,Keszlet!$A$5:$C$201,3,FALSE),$X$1)</f>
        <v>zzzzzzzzzzz</v>
      </c>
      <c r="AA37" s="1">
        <v>37</v>
      </c>
      <c r="AB37" s="1" t="str">
        <f t="shared" si="0"/>
        <v>zzzzzzzzzzz</v>
      </c>
      <c r="AH37" s="1">
        <f t="shared" si="1"/>
        <v>0</v>
      </c>
      <c r="AI37" s="1" t="str">
        <f>IF(Keszlet!I41&gt;0,Keszlet!C41,"")</f>
        <v/>
      </c>
    </row>
    <row r="38" spans="26:35" hidden="1" x14ac:dyDescent="0.2">
      <c r="Z38" s="1" t="str">
        <f>IF(ISERROR(VLOOKUP(AA38,Keszlet!$A$5:$C$201,3,FALSE))=FALSE,VLOOKUP(AA38,Keszlet!$A$5:$C$201,3,FALSE),$X$1)</f>
        <v>zzzzzzzzzzz</v>
      </c>
      <c r="AA38" s="1">
        <v>38</v>
      </c>
      <c r="AB38" s="1" t="str">
        <f t="shared" si="0"/>
        <v>zzzzzzzzzzz</v>
      </c>
      <c r="AH38" s="1">
        <f t="shared" si="1"/>
        <v>0</v>
      </c>
      <c r="AI38" s="1" t="str">
        <f>IF(Keszlet!I42&gt;0,Keszlet!C42,"")</f>
        <v/>
      </c>
    </row>
    <row r="39" spans="26:35" hidden="1" x14ac:dyDescent="0.2">
      <c r="Z39" s="1" t="str">
        <f>IF(ISERROR(VLOOKUP(AA39,Keszlet!$A$5:$C$201,3,FALSE))=FALSE,VLOOKUP(AA39,Keszlet!$A$5:$C$201,3,FALSE),$X$1)</f>
        <v>zzzzzzzzzzz</v>
      </c>
      <c r="AA39" s="1">
        <v>39</v>
      </c>
      <c r="AB39" s="1" t="str">
        <f t="shared" si="0"/>
        <v>zzzzzzzzzzz</v>
      </c>
      <c r="AH39" s="1">
        <f t="shared" si="1"/>
        <v>0</v>
      </c>
      <c r="AI39" s="1" t="str">
        <f>IF(Keszlet!I43&gt;0,Keszlet!C43,"")</f>
        <v/>
      </c>
    </row>
    <row r="40" spans="26:35" hidden="1" x14ac:dyDescent="0.2">
      <c r="Z40" s="1" t="str">
        <f>IF(ISERROR(VLOOKUP(AA40,Keszlet!$A$5:$C$201,3,FALSE))=FALSE,VLOOKUP(AA40,Keszlet!$A$5:$C$201,3,FALSE),$X$1)</f>
        <v>zzzzzzzzzzz</v>
      </c>
      <c r="AA40" s="1">
        <v>40</v>
      </c>
      <c r="AB40" s="1" t="str">
        <f t="shared" si="0"/>
        <v>zzzzzzzzzzz</v>
      </c>
      <c r="AH40" s="1">
        <f t="shared" si="1"/>
        <v>0</v>
      </c>
      <c r="AI40" s="1" t="str">
        <f>IF(Keszlet!I44&gt;0,Keszlet!C44,"")</f>
        <v/>
      </c>
    </row>
    <row r="41" spans="26:35" hidden="1" x14ac:dyDescent="0.2">
      <c r="Z41" s="1" t="str">
        <f>IF(ISERROR(VLOOKUP(AA41,Keszlet!$A$5:$C$201,3,FALSE))=FALSE,VLOOKUP(AA41,Keszlet!$A$5:$C$201,3,FALSE),$X$1)</f>
        <v>zzzzzzzzzzz</v>
      </c>
      <c r="AA41" s="1">
        <v>41</v>
      </c>
      <c r="AB41" s="1" t="str">
        <f t="shared" si="0"/>
        <v>zzzzzzzzzzz</v>
      </c>
      <c r="AH41" s="1">
        <f t="shared" si="1"/>
        <v>0</v>
      </c>
      <c r="AI41" s="1" t="str">
        <f>IF(Keszlet!I45&gt;0,Keszlet!C45,"")</f>
        <v/>
      </c>
    </row>
    <row r="42" spans="26:35" hidden="1" x14ac:dyDescent="0.2">
      <c r="Z42" s="1" t="str">
        <f>IF(ISERROR(VLOOKUP(AA42,Keszlet!$A$5:$C$201,3,FALSE))=FALSE,VLOOKUP(AA42,Keszlet!$A$5:$C$201,3,FALSE),$X$1)</f>
        <v>zzzzzzzzzzz</v>
      </c>
      <c r="AA42" s="1">
        <v>42</v>
      </c>
      <c r="AB42" s="1" t="str">
        <f t="shared" si="0"/>
        <v>zzzzzzzzzzz</v>
      </c>
      <c r="AH42" s="1">
        <f t="shared" si="1"/>
        <v>0</v>
      </c>
      <c r="AI42" s="1" t="str">
        <f>IF(Keszlet!I46&gt;0,Keszlet!C46,"")</f>
        <v/>
      </c>
    </row>
    <row r="43" spans="26:35" hidden="1" x14ac:dyDescent="0.2">
      <c r="Z43" s="1" t="str">
        <f>IF(ISERROR(VLOOKUP(AA43,Keszlet!$A$5:$C$201,3,FALSE))=FALSE,VLOOKUP(AA43,Keszlet!$A$5:$C$201,3,FALSE),$X$1)</f>
        <v>zzzzzzzzzzz</v>
      </c>
      <c r="AA43" s="1">
        <v>43</v>
      </c>
      <c r="AB43" s="1" t="str">
        <f t="shared" si="0"/>
        <v>zzzzzzzzzzz</v>
      </c>
      <c r="AH43" s="1">
        <f t="shared" si="1"/>
        <v>0</v>
      </c>
      <c r="AI43" s="1" t="str">
        <f>IF(Keszlet!I47&gt;0,Keszlet!C47,"")</f>
        <v/>
      </c>
    </row>
    <row r="44" spans="26:35" hidden="1" x14ac:dyDescent="0.2">
      <c r="Z44" s="1" t="str">
        <f>IF(ISERROR(VLOOKUP(AA44,Keszlet!$A$5:$C$201,3,FALSE))=FALSE,VLOOKUP(AA44,Keszlet!$A$5:$C$201,3,FALSE),$X$1)</f>
        <v>zzzzzzzzzzz</v>
      </c>
      <c r="AA44" s="1">
        <v>44</v>
      </c>
      <c r="AB44" s="1" t="str">
        <f t="shared" si="0"/>
        <v>zzzzzzzzzzz</v>
      </c>
      <c r="AH44" s="1">
        <f t="shared" si="1"/>
        <v>0</v>
      </c>
      <c r="AI44" s="1" t="str">
        <f>IF(Keszlet!I48&gt;0,Keszlet!C48,"")</f>
        <v/>
      </c>
    </row>
    <row r="45" spans="26:35" hidden="1" x14ac:dyDescent="0.2">
      <c r="Z45" s="1" t="str">
        <f>IF(ISERROR(VLOOKUP(AA45,Keszlet!$A$5:$C$201,3,FALSE))=FALSE,VLOOKUP(AA45,Keszlet!$A$5:$C$201,3,FALSE),$X$1)</f>
        <v>zzzzzzzzzzz</v>
      </c>
      <c r="AA45" s="1">
        <v>45</v>
      </c>
      <c r="AB45" s="1" t="str">
        <f t="shared" si="0"/>
        <v>zzzzzzzzzzz</v>
      </c>
      <c r="AH45" s="1">
        <f t="shared" si="1"/>
        <v>0</v>
      </c>
      <c r="AI45" s="1" t="str">
        <f>IF(Keszlet!I49&gt;0,Keszlet!C49,"")</f>
        <v/>
      </c>
    </row>
    <row r="46" spans="26:35" hidden="1" x14ac:dyDescent="0.2">
      <c r="Z46" s="1" t="str">
        <f>IF(ISERROR(VLOOKUP(AA46,Keszlet!$A$5:$C$201,3,FALSE))=FALSE,VLOOKUP(AA46,Keszlet!$A$5:$C$201,3,FALSE),$X$1)</f>
        <v>zzzzzzzzzzz</v>
      </c>
      <c r="AA46" s="1">
        <v>46</v>
      </c>
      <c r="AB46" s="1" t="str">
        <f t="shared" si="0"/>
        <v>zzzzzzzzzzz</v>
      </c>
      <c r="AH46" s="1">
        <f t="shared" si="1"/>
        <v>0</v>
      </c>
      <c r="AI46" s="1" t="str">
        <f>IF(Keszlet!I50&gt;0,Keszlet!C50,"")</f>
        <v/>
      </c>
    </row>
    <row r="47" spans="26:35" hidden="1" x14ac:dyDescent="0.2">
      <c r="Z47" s="1" t="str">
        <f>IF(ISERROR(VLOOKUP(AA47,Keszlet!$A$5:$C$201,3,FALSE))=FALSE,VLOOKUP(AA47,Keszlet!$A$5:$C$201,3,FALSE),$X$1)</f>
        <v>zzzzzzzzzzz</v>
      </c>
      <c r="AA47" s="1">
        <v>47</v>
      </c>
      <c r="AB47" s="1" t="str">
        <f t="shared" si="0"/>
        <v>zzzzzzzzzzz</v>
      </c>
      <c r="AH47" s="1">
        <f t="shared" si="1"/>
        <v>0</v>
      </c>
      <c r="AI47" s="1" t="str">
        <f>IF(Keszlet!I51&gt;0,Keszlet!C51,"")</f>
        <v/>
      </c>
    </row>
    <row r="48" spans="26:35" hidden="1" x14ac:dyDescent="0.2">
      <c r="Z48" s="1" t="str">
        <f>IF(ISERROR(VLOOKUP(AA48,Keszlet!$A$5:$C$201,3,FALSE))=FALSE,VLOOKUP(AA48,Keszlet!$A$5:$C$201,3,FALSE),$X$1)</f>
        <v>zzzzzzzzzzz</v>
      </c>
      <c r="AA48" s="1">
        <v>48</v>
      </c>
      <c r="AB48" s="1" t="str">
        <f t="shared" si="0"/>
        <v>zzzzzzzzzzz</v>
      </c>
      <c r="AH48" s="1">
        <f t="shared" si="1"/>
        <v>0</v>
      </c>
      <c r="AI48" s="1" t="str">
        <f>IF(Keszlet!I52&gt;0,Keszlet!C52,"")</f>
        <v/>
      </c>
    </row>
    <row r="49" spans="26:35" hidden="1" x14ac:dyDescent="0.2">
      <c r="Z49" s="1" t="str">
        <f>IF(ISERROR(VLOOKUP(AA49,Keszlet!$A$5:$C$201,3,FALSE))=FALSE,VLOOKUP(AA49,Keszlet!$A$5:$C$201,3,FALSE),$X$1)</f>
        <v>zzzzzzzzzzz</v>
      </c>
      <c r="AA49" s="1">
        <v>49</v>
      </c>
      <c r="AB49" s="1" t="str">
        <f t="shared" si="0"/>
        <v>zzzzzzzzzzz</v>
      </c>
      <c r="AH49" s="1">
        <f t="shared" si="1"/>
        <v>0</v>
      </c>
      <c r="AI49" s="1" t="str">
        <f>IF(Keszlet!I53&gt;0,Keszlet!C53,"")</f>
        <v/>
      </c>
    </row>
    <row r="50" spans="26:35" hidden="1" x14ac:dyDescent="0.2">
      <c r="Z50" s="1" t="str">
        <f>IF(ISERROR(VLOOKUP(AA50,Keszlet!$A$5:$C$201,3,FALSE))=FALSE,VLOOKUP(AA50,Keszlet!$A$5:$C$201,3,FALSE),$X$1)</f>
        <v>zzzzzzzzzzz</v>
      </c>
      <c r="AA50" s="1">
        <v>50</v>
      </c>
      <c r="AB50" s="1" t="str">
        <f t="shared" si="0"/>
        <v>zzzzzzzzzzz</v>
      </c>
      <c r="AH50" s="1">
        <f t="shared" si="1"/>
        <v>0</v>
      </c>
      <c r="AI50" s="1" t="str">
        <f>IF(Keszlet!I54&gt;0,Keszlet!C54,"")</f>
        <v/>
      </c>
    </row>
    <row r="51" spans="26:35" hidden="1" x14ac:dyDescent="0.2">
      <c r="Z51" s="1" t="str">
        <f>IF(ISERROR(VLOOKUP(AA51,Keszlet!$A$5:$C$201,3,FALSE))=FALSE,VLOOKUP(AA51,Keszlet!$A$5:$C$201,3,FALSE),$X$1)</f>
        <v>zzzzzzzzzzz</v>
      </c>
      <c r="AA51" s="1">
        <v>51</v>
      </c>
      <c r="AB51" s="1" t="str">
        <f t="shared" si="0"/>
        <v>zzzzzzzzzzz</v>
      </c>
      <c r="AH51" s="1">
        <f t="shared" si="1"/>
        <v>0</v>
      </c>
      <c r="AI51" s="1" t="str">
        <f>IF(Keszlet!I55&gt;0,Keszlet!C55,"")</f>
        <v/>
      </c>
    </row>
    <row r="52" spans="26:35" hidden="1" x14ac:dyDescent="0.2">
      <c r="Z52" s="1" t="str">
        <f>IF(ISERROR(VLOOKUP(AA52,Keszlet!$A$5:$C$201,3,FALSE))=FALSE,VLOOKUP(AA52,Keszlet!$A$5:$C$201,3,FALSE),$X$1)</f>
        <v>zzzzzzzzzzz</v>
      </c>
      <c r="AA52" s="1">
        <v>52</v>
      </c>
      <c r="AB52" s="1" t="str">
        <f t="shared" si="0"/>
        <v>zzzzzzzzzzz</v>
      </c>
      <c r="AH52" s="1">
        <f t="shared" si="1"/>
        <v>0</v>
      </c>
      <c r="AI52" s="1" t="str">
        <f>IF(Keszlet!I56&gt;0,Keszlet!C56,"")</f>
        <v/>
      </c>
    </row>
    <row r="53" spans="26:35" hidden="1" x14ac:dyDescent="0.2">
      <c r="Z53" s="1" t="str">
        <f>IF(ISERROR(VLOOKUP(AA53,Keszlet!$A$5:$C$201,3,FALSE))=FALSE,VLOOKUP(AA53,Keszlet!$A$5:$C$201,3,FALSE),$X$1)</f>
        <v>zzzzzzzzzzz</v>
      </c>
      <c r="AA53" s="1">
        <v>53</v>
      </c>
      <c r="AB53" s="1" t="str">
        <f t="shared" si="0"/>
        <v>zzzzzzzzzzz</v>
      </c>
      <c r="AH53" s="1">
        <f t="shared" si="1"/>
        <v>0</v>
      </c>
      <c r="AI53" s="1" t="str">
        <f>IF(Keszlet!I57&gt;0,Keszlet!C57,"")</f>
        <v/>
      </c>
    </row>
    <row r="54" spans="26:35" hidden="1" x14ac:dyDescent="0.2">
      <c r="Z54" s="1" t="str">
        <f>IF(ISERROR(VLOOKUP(AA54,Keszlet!$A$5:$C$201,3,FALSE))=FALSE,VLOOKUP(AA54,Keszlet!$A$5:$C$201,3,FALSE),$X$1)</f>
        <v>zzzzzzzzzzz</v>
      </c>
      <c r="AA54" s="1">
        <v>54</v>
      </c>
      <c r="AB54" s="1" t="str">
        <f t="shared" si="0"/>
        <v>zzzzzzzzzzz</v>
      </c>
      <c r="AH54" s="1">
        <f t="shared" si="1"/>
        <v>0</v>
      </c>
      <c r="AI54" s="1" t="str">
        <f>IF(Keszlet!I58&gt;0,Keszlet!C58,"")</f>
        <v/>
      </c>
    </row>
    <row r="55" spans="26:35" hidden="1" x14ac:dyDescent="0.2">
      <c r="Z55" s="1" t="str">
        <f>IF(ISERROR(VLOOKUP(AA55,Keszlet!$A$5:$C$201,3,FALSE))=FALSE,VLOOKUP(AA55,Keszlet!$A$5:$C$201,3,FALSE),$X$1)</f>
        <v>zzzzzzzzzzz</v>
      </c>
      <c r="AA55" s="1">
        <v>55</v>
      </c>
      <c r="AB55" s="1" t="str">
        <f t="shared" si="0"/>
        <v>zzzzzzzzzzz</v>
      </c>
      <c r="AH55" s="1">
        <f t="shared" si="1"/>
        <v>0</v>
      </c>
      <c r="AI55" s="1" t="str">
        <f>IF(Keszlet!I59&gt;0,Keszlet!C59,"")</f>
        <v/>
      </c>
    </row>
    <row r="56" spans="26:35" hidden="1" x14ac:dyDescent="0.2">
      <c r="Z56" s="1" t="str">
        <f>IF(ISERROR(VLOOKUP(AA56,Keszlet!$A$5:$C$201,3,FALSE))=FALSE,VLOOKUP(AA56,Keszlet!$A$5:$C$201,3,FALSE),$X$1)</f>
        <v>zzzzzzzzzzz</v>
      </c>
      <c r="AA56" s="1">
        <v>56</v>
      </c>
      <c r="AB56" s="1" t="str">
        <f t="shared" si="0"/>
        <v>zzzzzzzzzzz</v>
      </c>
      <c r="AH56" s="1">
        <f t="shared" si="1"/>
        <v>0</v>
      </c>
      <c r="AI56" s="1" t="str">
        <f>IF(Keszlet!I60&gt;0,Keszlet!C60,"")</f>
        <v/>
      </c>
    </row>
    <row r="57" spans="26:35" hidden="1" x14ac:dyDescent="0.2">
      <c r="Z57" s="1" t="str">
        <f>IF(ISERROR(VLOOKUP(AA57,Keszlet!$A$5:$C$201,3,FALSE))=FALSE,VLOOKUP(AA57,Keszlet!$A$5:$C$201,3,FALSE),$X$1)</f>
        <v>zzzzzzzzzzz</v>
      </c>
      <c r="AA57" s="1">
        <v>57</v>
      </c>
      <c r="AB57" s="1" t="str">
        <f t="shared" si="0"/>
        <v>zzzzzzzzzzz</v>
      </c>
      <c r="AH57" s="1">
        <f t="shared" si="1"/>
        <v>0</v>
      </c>
      <c r="AI57" s="1" t="str">
        <f>IF(Keszlet!I61&gt;0,Keszlet!C61,"")</f>
        <v/>
      </c>
    </row>
    <row r="58" spans="26:35" hidden="1" x14ac:dyDescent="0.2">
      <c r="Z58" s="1" t="str">
        <f>IF(ISERROR(VLOOKUP(AA58,Keszlet!$A$5:$C$201,3,FALSE))=FALSE,VLOOKUP(AA58,Keszlet!$A$5:$C$201,3,FALSE),$X$1)</f>
        <v>zzzzzzzzzzz</v>
      </c>
      <c r="AA58" s="1">
        <v>58</v>
      </c>
      <c r="AB58" s="1" t="str">
        <f t="shared" si="0"/>
        <v>zzzzzzzzzzz</v>
      </c>
      <c r="AH58" s="1">
        <f t="shared" si="1"/>
        <v>0</v>
      </c>
      <c r="AI58" s="1" t="str">
        <f>IF(Keszlet!I62&gt;0,Keszlet!C62,"")</f>
        <v/>
      </c>
    </row>
    <row r="59" spans="26:35" hidden="1" x14ac:dyDescent="0.2">
      <c r="Z59" s="1" t="str">
        <f>IF(ISERROR(VLOOKUP(AA59,Keszlet!$A$5:$C$201,3,FALSE))=FALSE,VLOOKUP(AA59,Keszlet!$A$5:$C$201,3,FALSE),$X$1)</f>
        <v>zzzzzzzzzzz</v>
      </c>
      <c r="AA59" s="1">
        <v>59</v>
      </c>
      <c r="AB59" s="1" t="str">
        <f t="shared" si="0"/>
        <v>zzzzzzzzzzz</v>
      </c>
      <c r="AH59" s="1">
        <f t="shared" si="1"/>
        <v>0</v>
      </c>
      <c r="AI59" s="1" t="str">
        <f>IF(Keszlet!I63&gt;0,Keszlet!C63,"")</f>
        <v/>
      </c>
    </row>
    <row r="60" spans="26:35" hidden="1" x14ac:dyDescent="0.2">
      <c r="Z60" s="1" t="str">
        <f>IF(ISERROR(VLOOKUP(AA60,Keszlet!$A$5:$C$201,3,FALSE))=FALSE,VLOOKUP(AA60,Keszlet!$A$5:$C$201,3,FALSE),$X$1)</f>
        <v>zzzzzzzzzzz</v>
      </c>
      <c r="AA60" s="1">
        <v>60</v>
      </c>
      <c r="AB60" s="1" t="str">
        <f t="shared" si="0"/>
        <v>zzzzzzzzzzz</v>
      </c>
      <c r="AH60" s="1">
        <f t="shared" si="1"/>
        <v>0</v>
      </c>
      <c r="AI60" s="1" t="str">
        <f>IF(Keszlet!I64&gt;0,Keszlet!C64,"")</f>
        <v/>
      </c>
    </row>
    <row r="61" spans="26:35" hidden="1" x14ac:dyDescent="0.2">
      <c r="Z61" s="1" t="str">
        <f>IF(ISERROR(VLOOKUP(AA61,Keszlet!$A$5:$C$201,3,FALSE))=FALSE,VLOOKUP(AA61,Keszlet!$A$5:$C$201,3,FALSE),$X$1)</f>
        <v>zzzzzzzzzzz</v>
      </c>
      <c r="AA61" s="1">
        <v>61</v>
      </c>
      <c r="AB61" s="1" t="str">
        <f t="shared" si="0"/>
        <v>zzzzzzzzzzz</v>
      </c>
      <c r="AH61" s="1">
        <f t="shared" si="1"/>
        <v>0</v>
      </c>
      <c r="AI61" s="1" t="str">
        <f>IF(Keszlet!I65&gt;0,Keszlet!C65,"")</f>
        <v/>
      </c>
    </row>
    <row r="62" spans="26:35" hidden="1" x14ac:dyDescent="0.2">
      <c r="Z62" s="1" t="str">
        <f>IF(ISERROR(VLOOKUP(AA62,Keszlet!$A$5:$C$201,3,FALSE))=FALSE,VLOOKUP(AA62,Keszlet!$A$5:$C$201,3,FALSE),$X$1)</f>
        <v>zzzzzzzzzzz</v>
      </c>
      <c r="AA62" s="1">
        <v>62</v>
      </c>
      <c r="AB62" s="1" t="str">
        <f t="shared" si="0"/>
        <v>zzzzzzzzzzz</v>
      </c>
      <c r="AH62" s="1">
        <f t="shared" si="1"/>
        <v>0</v>
      </c>
      <c r="AI62" s="1" t="str">
        <f>IF(Keszlet!I66&gt;0,Keszlet!C66,"")</f>
        <v/>
      </c>
    </row>
    <row r="63" spans="26:35" hidden="1" x14ac:dyDescent="0.2">
      <c r="Z63" s="1" t="str">
        <f>IF(ISERROR(VLOOKUP(AA63,Keszlet!$A$5:$C$201,3,FALSE))=FALSE,VLOOKUP(AA63,Keszlet!$A$5:$C$201,3,FALSE),$X$1)</f>
        <v>zzzzzzzzzzz</v>
      </c>
      <c r="AA63" s="1">
        <v>63</v>
      </c>
      <c r="AB63" s="1" t="str">
        <f t="shared" si="0"/>
        <v>zzzzzzzzzzz</v>
      </c>
      <c r="AH63" s="1">
        <f t="shared" si="1"/>
        <v>0</v>
      </c>
      <c r="AI63" s="1" t="str">
        <f>IF(Keszlet!I67&gt;0,Keszlet!C67,"")</f>
        <v/>
      </c>
    </row>
    <row r="64" spans="26:35" hidden="1" x14ac:dyDescent="0.2">
      <c r="Z64" s="1" t="str">
        <f>IF(ISERROR(VLOOKUP(AA64,Keszlet!$A$5:$C$201,3,FALSE))=FALSE,VLOOKUP(AA64,Keszlet!$A$5:$C$201,3,FALSE),$X$1)</f>
        <v>zzzzzzzzzzz</v>
      </c>
      <c r="AA64" s="1">
        <v>64</v>
      </c>
      <c r="AB64" s="1" t="str">
        <f t="shared" si="0"/>
        <v>zzzzzzzzzzz</v>
      </c>
      <c r="AH64" s="1">
        <f t="shared" si="1"/>
        <v>0</v>
      </c>
      <c r="AI64" s="1" t="str">
        <f>IF(Keszlet!I68&gt;0,Keszlet!C68,"")</f>
        <v/>
      </c>
    </row>
    <row r="65" spans="26:35" hidden="1" x14ac:dyDescent="0.2">
      <c r="Z65" s="1" t="str">
        <f>IF(ISERROR(VLOOKUP(AA65,Keszlet!$A$5:$C$201,3,FALSE))=FALSE,VLOOKUP(AA65,Keszlet!$A$5:$C$201,3,FALSE),$X$1)</f>
        <v>zzzzzzzzzzz</v>
      </c>
      <c r="AA65" s="1">
        <v>65</v>
      </c>
      <c r="AB65" s="1" t="str">
        <f t="shared" si="0"/>
        <v>zzzzzzzzzzz</v>
      </c>
      <c r="AH65" s="1">
        <f t="shared" si="1"/>
        <v>0</v>
      </c>
      <c r="AI65" s="1" t="str">
        <f>IF(Keszlet!I69&gt;0,Keszlet!C69,"")</f>
        <v/>
      </c>
    </row>
    <row r="66" spans="26:35" hidden="1" x14ac:dyDescent="0.2">
      <c r="Z66" s="1" t="str">
        <f>IF(ISERROR(VLOOKUP(AA66,Keszlet!$A$5:$C$201,3,FALSE))=FALSE,VLOOKUP(AA66,Keszlet!$A$5:$C$201,3,FALSE),$X$1)</f>
        <v>zzzzzzzzzzz</v>
      </c>
      <c r="AA66" s="1">
        <v>66</v>
      </c>
      <c r="AB66" s="1" t="str">
        <f t="shared" ref="AB66:AB129" si="2">IF(ISERROR(VLOOKUP(AA66,$AH$1:$AI$197,2,FALSE))=FALSE,VLOOKUP(AA66,$AH$1:$AI$197,2,FALSE),$X$1)</f>
        <v>zzzzzzzzzzz</v>
      </c>
      <c r="AH66" s="1">
        <f t="shared" si="1"/>
        <v>0</v>
      </c>
      <c r="AI66" s="1" t="str">
        <f>IF(Keszlet!I70&gt;0,Keszlet!C70,"")</f>
        <v/>
      </c>
    </row>
    <row r="67" spans="26:35" hidden="1" x14ac:dyDescent="0.2">
      <c r="Z67" s="1" t="str">
        <f>IF(ISERROR(VLOOKUP(AA67,Keszlet!$A$5:$C$201,3,FALSE))=FALSE,VLOOKUP(AA67,Keszlet!$A$5:$C$201,3,FALSE),$X$1)</f>
        <v>zzzzzzzzzzz</v>
      </c>
      <c r="AA67" s="1">
        <v>67</v>
      </c>
      <c r="AB67" s="1" t="str">
        <f t="shared" si="2"/>
        <v>zzzzzzzzzzz</v>
      </c>
      <c r="AH67" s="1">
        <f t="shared" ref="AH67:AH130" si="3">IF(AI67&lt;&gt;"",AH66+1,AH66)</f>
        <v>0</v>
      </c>
      <c r="AI67" s="1" t="str">
        <f>IF(Keszlet!I71&gt;0,Keszlet!C71,"")</f>
        <v/>
      </c>
    </row>
    <row r="68" spans="26:35" hidden="1" x14ac:dyDescent="0.2">
      <c r="Z68" s="1" t="str">
        <f>IF(ISERROR(VLOOKUP(AA68,Keszlet!$A$5:$C$201,3,FALSE))=FALSE,VLOOKUP(AA68,Keszlet!$A$5:$C$201,3,FALSE),$X$1)</f>
        <v>zzzzzzzzzzz</v>
      </c>
      <c r="AA68" s="1">
        <v>68</v>
      </c>
      <c r="AB68" s="1" t="str">
        <f t="shared" si="2"/>
        <v>zzzzzzzzzzz</v>
      </c>
      <c r="AH68" s="1">
        <f t="shared" si="3"/>
        <v>0</v>
      </c>
      <c r="AI68" s="1" t="str">
        <f>IF(Keszlet!I72&gt;0,Keszlet!C72,"")</f>
        <v/>
      </c>
    </row>
    <row r="69" spans="26:35" hidden="1" x14ac:dyDescent="0.2">
      <c r="Z69" s="1" t="str">
        <f>IF(ISERROR(VLOOKUP(AA69,Keszlet!$A$5:$C$201,3,FALSE))=FALSE,VLOOKUP(AA69,Keszlet!$A$5:$C$201,3,FALSE),$X$1)</f>
        <v>zzzzzzzzzzz</v>
      </c>
      <c r="AA69" s="1">
        <v>69</v>
      </c>
      <c r="AB69" s="1" t="str">
        <f t="shared" si="2"/>
        <v>zzzzzzzzzzz</v>
      </c>
      <c r="AH69" s="1">
        <f t="shared" si="3"/>
        <v>0</v>
      </c>
      <c r="AI69" s="1" t="str">
        <f>IF(Keszlet!I73&gt;0,Keszlet!C73,"")</f>
        <v/>
      </c>
    </row>
    <row r="70" spans="26:35" hidden="1" x14ac:dyDescent="0.2">
      <c r="Z70" s="1" t="str">
        <f>IF(ISERROR(VLOOKUP(AA70,Keszlet!$A$5:$C$201,3,FALSE))=FALSE,VLOOKUP(AA70,Keszlet!$A$5:$C$201,3,FALSE),$X$1)</f>
        <v>zzzzzzzzzzz</v>
      </c>
      <c r="AA70" s="1">
        <v>70</v>
      </c>
      <c r="AB70" s="1" t="str">
        <f t="shared" si="2"/>
        <v>zzzzzzzzzzz</v>
      </c>
      <c r="AH70" s="1">
        <f t="shared" si="3"/>
        <v>0</v>
      </c>
      <c r="AI70" s="1" t="str">
        <f>IF(Keszlet!I74&gt;0,Keszlet!C74,"")</f>
        <v/>
      </c>
    </row>
    <row r="71" spans="26:35" hidden="1" x14ac:dyDescent="0.2">
      <c r="Z71" s="1" t="str">
        <f>IF(ISERROR(VLOOKUP(AA71,Keszlet!$A$5:$C$201,3,FALSE))=FALSE,VLOOKUP(AA71,Keszlet!$A$5:$C$201,3,FALSE),$X$1)</f>
        <v>zzzzzzzzzzz</v>
      </c>
      <c r="AA71" s="1">
        <v>71</v>
      </c>
      <c r="AB71" s="1" t="str">
        <f t="shared" si="2"/>
        <v>zzzzzzzzzzz</v>
      </c>
      <c r="AH71" s="1">
        <f t="shared" si="3"/>
        <v>0</v>
      </c>
      <c r="AI71" s="1" t="str">
        <f>IF(Keszlet!I75&gt;0,Keszlet!C75,"")</f>
        <v/>
      </c>
    </row>
    <row r="72" spans="26:35" hidden="1" x14ac:dyDescent="0.2">
      <c r="Z72" s="1" t="str">
        <f>IF(ISERROR(VLOOKUP(AA72,Keszlet!$A$5:$C$201,3,FALSE))=FALSE,VLOOKUP(AA72,Keszlet!$A$5:$C$201,3,FALSE),$X$1)</f>
        <v>zzzzzzzzzzz</v>
      </c>
      <c r="AA72" s="1">
        <v>72</v>
      </c>
      <c r="AB72" s="1" t="str">
        <f t="shared" si="2"/>
        <v>zzzzzzzzzzz</v>
      </c>
      <c r="AH72" s="1">
        <f t="shared" si="3"/>
        <v>0</v>
      </c>
      <c r="AI72" s="1" t="str">
        <f>IF(Keszlet!I76&gt;0,Keszlet!C76,"")</f>
        <v/>
      </c>
    </row>
    <row r="73" spans="26:35" hidden="1" x14ac:dyDescent="0.2">
      <c r="Z73" s="1" t="str">
        <f>IF(ISERROR(VLOOKUP(AA73,Keszlet!$A$5:$C$201,3,FALSE))=FALSE,VLOOKUP(AA73,Keszlet!$A$5:$C$201,3,FALSE),$X$1)</f>
        <v>zzzzzzzzzzz</v>
      </c>
      <c r="AA73" s="1">
        <v>73</v>
      </c>
      <c r="AB73" s="1" t="str">
        <f t="shared" si="2"/>
        <v>zzzzzzzzzzz</v>
      </c>
      <c r="AH73" s="1">
        <f t="shared" si="3"/>
        <v>0</v>
      </c>
      <c r="AI73" s="1" t="str">
        <f>IF(Keszlet!I77&gt;0,Keszlet!C77,"")</f>
        <v/>
      </c>
    </row>
    <row r="74" spans="26:35" hidden="1" x14ac:dyDescent="0.2">
      <c r="Z74" s="1" t="str">
        <f>IF(ISERROR(VLOOKUP(AA74,Keszlet!$A$5:$C$201,3,FALSE))=FALSE,VLOOKUP(AA74,Keszlet!$A$5:$C$201,3,FALSE),$X$1)</f>
        <v>zzzzzzzzzzz</v>
      </c>
      <c r="AA74" s="1">
        <v>74</v>
      </c>
      <c r="AB74" s="1" t="str">
        <f t="shared" si="2"/>
        <v>zzzzzzzzzzz</v>
      </c>
      <c r="AH74" s="1">
        <f t="shared" si="3"/>
        <v>0</v>
      </c>
      <c r="AI74" s="1" t="str">
        <f>IF(Keszlet!I78&gt;0,Keszlet!C78,"")</f>
        <v/>
      </c>
    </row>
    <row r="75" spans="26:35" hidden="1" x14ac:dyDescent="0.2">
      <c r="Z75" s="1" t="str">
        <f>IF(ISERROR(VLOOKUP(AA75,Keszlet!$A$5:$C$201,3,FALSE))=FALSE,VLOOKUP(AA75,Keszlet!$A$5:$C$201,3,FALSE),$X$1)</f>
        <v>zzzzzzzzzzz</v>
      </c>
      <c r="AA75" s="1">
        <v>75</v>
      </c>
      <c r="AB75" s="1" t="str">
        <f t="shared" si="2"/>
        <v>zzzzzzzzzzz</v>
      </c>
      <c r="AH75" s="1">
        <f t="shared" si="3"/>
        <v>0</v>
      </c>
      <c r="AI75" s="1" t="str">
        <f>IF(Keszlet!I79&gt;0,Keszlet!C79,"")</f>
        <v/>
      </c>
    </row>
    <row r="76" spans="26:35" hidden="1" x14ac:dyDescent="0.2">
      <c r="Z76" s="1" t="str">
        <f>IF(ISERROR(VLOOKUP(AA76,Keszlet!$A$5:$C$201,3,FALSE))=FALSE,VLOOKUP(AA76,Keszlet!$A$5:$C$201,3,FALSE),$X$1)</f>
        <v>zzzzzzzzzzz</v>
      </c>
      <c r="AA76" s="1">
        <v>76</v>
      </c>
      <c r="AB76" s="1" t="str">
        <f t="shared" si="2"/>
        <v>zzzzzzzzzzz</v>
      </c>
      <c r="AH76" s="1">
        <f t="shared" si="3"/>
        <v>0</v>
      </c>
      <c r="AI76" s="1" t="str">
        <f>IF(Keszlet!I80&gt;0,Keszlet!C80,"")</f>
        <v/>
      </c>
    </row>
    <row r="77" spans="26:35" hidden="1" x14ac:dyDescent="0.2">
      <c r="Z77" s="1" t="str">
        <f>IF(ISERROR(VLOOKUP(AA77,Keszlet!$A$5:$C$201,3,FALSE))=FALSE,VLOOKUP(AA77,Keszlet!$A$5:$C$201,3,FALSE),$X$1)</f>
        <v>zzzzzzzzzzz</v>
      </c>
      <c r="AA77" s="1">
        <v>77</v>
      </c>
      <c r="AB77" s="1" t="str">
        <f t="shared" si="2"/>
        <v>zzzzzzzzzzz</v>
      </c>
      <c r="AH77" s="1">
        <f t="shared" si="3"/>
        <v>0</v>
      </c>
      <c r="AI77" s="1" t="str">
        <f>IF(Keszlet!I81&gt;0,Keszlet!C81,"")</f>
        <v/>
      </c>
    </row>
    <row r="78" spans="26:35" hidden="1" x14ac:dyDescent="0.2">
      <c r="Z78" s="1" t="str">
        <f>IF(ISERROR(VLOOKUP(AA78,Keszlet!$A$5:$C$201,3,FALSE))=FALSE,VLOOKUP(AA78,Keszlet!$A$5:$C$201,3,FALSE),$X$1)</f>
        <v>zzzzzzzzzzz</v>
      </c>
      <c r="AA78" s="1">
        <v>78</v>
      </c>
      <c r="AB78" s="1" t="str">
        <f t="shared" si="2"/>
        <v>zzzzzzzzzzz</v>
      </c>
      <c r="AH78" s="1">
        <f t="shared" si="3"/>
        <v>0</v>
      </c>
      <c r="AI78" s="1" t="str">
        <f>IF(Keszlet!I82&gt;0,Keszlet!C82,"")</f>
        <v/>
      </c>
    </row>
    <row r="79" spans="26:35" hidden="1" x14ac:dyDescent="0.2">
      <c r="Z79" s="1" t="str">
        <f>IF(ISERROR(VLOOKUP(AA79,Keszlet!$A$5:$C$201,3,FALSE))=FALSE,VLOOKUP(AA79,Keszlet!$A$5:$C$201,3,FALSE),$X$1)</f>
        <v>zzzzzzzzzzz</v>
      </c>
      <c r="AA79" s="1">
        <v>79</v>
      </c>
      <c r="AB79" s="1" t="str">
        <f t="shared" si="2"/>
        <v>zzzzzzzzzzz</v>
      </c>
      <c r="AH79" s="1">
        <f t="shared" si="3"/>
        <v>0</v>
      </c>
      <c r="AI79" s="1" t="str">
        <f>IF(Keszlet!I83&gt;0,Keszlet!C83,"")</f>
        <v/>
      </c>
    </row>
    <row r="80" spans="26:35" hidden="1" x14ac:dyDescent="0.2">
      <c r="Z80" s="1" t="str">
        <f>IF(ISERROR(VLOOKUP(AA80,Keszlet!$A$5:$C$201,3,FALSE))=FALSE,VLOOKUP(AA80,Keszlet!$A$5:$C$201,3,FALSE),$X$1)</f>
        <v>zzzzzzzzzzz</v>
      </c>
      <c r="AA80" s="1">
        <v>80</v>
      </c>
      <c r="AB80" s="1" t="str">
        <f t="shared" si="2"/>
        <v>zzzzzzzzzzz</v>
      </c>
      <c r="AH80" s="1">
        <f t="shared" si="3"/>
        <v>0</v>
      </c>
      <c r="AI80" s="1" t="str">
        <f>IF(Keszlet!I84&gt;0,Keszlet!C84,"")</f>
        <v/>
      </c>
    </row>
    <row r="81" spans="26:35" hidden="1" x14ac:dyDescent="0.2">
      <c r="Z81" s="1" t="str">
        <f>IF(ISERROR(VLOOKUP(AA81,Keszlet!$A$5:$C$201,3,FALSE))=FALSE,VLOOKUP(AA81,Keszlet!$A$5:$C$201,3,FALSE),$X$1)</f>
        <v>zzzzzzzzzzz</v>
      </c>
      <c r="AA81" s="1">
        <v>81</v>
      </c>
      <c r="AB81" s="1" t="str">
        <f t="shared" si="2"/>
        <v>zzzzzzzzzzz</v>
      </c>
      <c r="AH81" s="1">
        <f t="shared" si="3"/>
        <v>0</v>
      </c>
      <c r="AI81" s="1" t="str">
        <f>IF(Keszlet!I85&gt;0,Keszlet!C85,"")</f>
        <v/>
      </c>
    </row>
    <row r="82" spans="26:35" hidden="1" x14ac:dyDescent="0.2">
      <c r="Z82" s="1" t="str">
        <f>IF(ISERROR(VLOOKUP(AA82,Keszlet!$A$5:$C$201,3,FALSE))=FALSE,VLOOKUP(AA82,Keszlet!$A$5:$C$201,3,FALSE),$X$1)</f>
        <v>zzzzzzzzzzz</v>
      </c>
      <c r="AA82" s="1">
        <v>82</v>
      </c>
      <c r="AB82" s="1" t="str">
        <f t="shared" si="2"/>
        <v>zzzzzzzzzzz</v>
      </c>
      <c r="AH82" s="1">
        <f t="shared" si="3"/>
        <v>0</v>
      </c>
      <c r="AI82" s="1" t="str">
        <f>IF(Keszlet!I86&gt;0,Keszlet!C86,"")</f>
        <v/>
      </c>
    </row>
    <row r="83" spans="26:35" hidden="1" x14ac:dyDescent="0.2">
      <c r="Z83" s="1" t="str">
        <f>IF(ISERROR(VLOOKUP(AA83,Keszlet!$A$5:$C$201,3,FALSE))=FALSE,VLOOKUP(AA83,Keszlet!$A$5:$C$201,3,FALSE),$X$1)</f>
        <v>zzzzzzzzzzz</v>
      </c>
      <c r="AA83" s="1">
        <v>83</v>
      </c>
      <c r="AB83" s="1" t="str">
        <f t="shared" si="2"/>
        <v>zzzzzzzzzzz</v>
      </c>
      <c r="AH83" s="1">
        <f t="shared" si="3"/>
        <v>0</v>
      </c>
      <c r="AI83" s="1" t="str">
        <f>IF(Keszlet!I87&gt;0,Keszlet!C87,"")</f>
        <v/>
      </c>
    </row>
    <row r="84" spans="26:35" hidden="1" x14ac:dyDescent="0.2">
      <c r="Z84" s="1" t="str">
        <f>IF(ISERROR(VLOOKUP(AA84,Keszlet!$A$5:$C$201,3,FALSE))=FALSE,VLOOKUP(AA84,Keszlet!$A$5:$C$201,3,FALSE),$X$1)</f>
        <v>zzzzzzzzzzz</v>
      </c>
      <c r="AA84" s="1">
        <v>84</v>
      </c>
      <c r="AB84" s="1" t="str">
        <f t="shared" si="2"/>
        <v>zzzzzzzzzzz</v>
      </c>
      <c r="AH84" s="1">
        <f t="shared" si="3"/>
        <v>0</v>
      </c>
      <c r="AI84" s="1" t="str">
        <f>IF(Keszlet!I88&gt;0,Keszlet!C88,"")</f>
        <v/>
      </c>
    </row>
    <row r="85" spans="26:35" hidden="1" x14ac:dyDescent="0.2">
      <c r="Z85" s="1" t="str">
        <f>IF(ISERROR(VLOOKUP(AA85,Keszlet!$A$5:$C$201,3,FALSE))=FALSE,VLOOKUP(AA85,Keszlet!$A$5:$C$201,3,FALSE),$X$1)</f>
        <v>zzzzzzzzzzz</v>
      </c>
      <c r="AA85" s="1">
        <v>85</v>
      </c>
      <c r="AB85" s="1" t="str">
        <f t="shared" si="2"/>
        <v>zzzzzzzzzzz</v>
      </c>
      <c r="AH85" s="1">
        <f t="shared" si="3"/>
        <v>0</v>
      </c>
      <c r="AI85" s="1" t="str">
        <f>IF(Keszlet!I89&gt;0,Keszlet!C89,"")</f>
        <v/>
      </c>
    </row>
    <row r="86" spans="26:35" hidden="1" x14ac:dyDescent="0.2">
      <c r="Z86" s="1" t="str">
        <f>IF(ISERROR(VLOOKUP(AA86,Keszlet!$A$5:$C$201,3,FALSE))=FALSE,VLOOKUP(AA86,Keszlet!$A$5:$C$201,3,FALSE),$X$1)</f>
        <v>zzzzzzzzzzz</v>
      </c>
      <c r="AA86" s="1">
        <v>86</v>
      </c>
      <c r="AB86" s="1" t="str">
        <f t="shared" si="2"/>
        <v>zzzzzzzzzzz</v>
      </c>
      <c r="AH86" s="1">
        <f t="shared" si="3"/>
        <v>0</v>
      </c>
      <c r="AI86" s="1" t="str">
        <f>IF(Keszlet!I90&gt;0,Keszlet!C90,"")</f>
        <v/>
      </c>
    </row>
    <row r="87" spans="26:35" hidden="1" x14ac:dyDescent="0.2">
      <c r="Z87" s="1" t="str">
        <f>IF(ISERROR(VLOOKUP(AA87,Keszlet!$A$5:$C$201,3,FALSE))=FALSE,VLOOKUP(AA87,Keszlet!$A$5:$C$201,3,FALSE),$X$1)</f>
        <v>zzzzzzzzzzz</v>
      </c>
      <c r="AA87" s="1">
        <v>87</v>
      </c>
      <c r="AB87" s="1" t="str">
        <f t="shared" si="2"/>
        <v>zzzzzzzzzzz</v>
      </c>
      <c r="AH87" s="1">
        <f t="shared" si="3"/>
        <v>0</v>
      </c>
      <c r="AI87" s="1" t="str">
        <f>IF(Keszlet!I91&gt;0,Keszlet!C91,"")</f>
        <v/>
      </c>
    </row>
    <row r="88" spans="26:35" hidden="1" x14ac:dyDescent="0.2">
      <c r="Z88" s="1" t="str">
        <f>IF(ISERROR(VLOOKUP(AA88,Keszlet!$A$5:$C$201,3,FALSE))=FALSE,VLOOKUP(AA88,Keszlet!$A$5:$C$201,3,FALSE),$X$1)</f>
        <v>zzzzzzzzzzz</v>
      </c>
      <c r="AA88" s="1">
        <v>88</v>
      </c>
      <c r="AB88" s="1" t="str">
        <f t="shared" si="2"/>
        <v>zzzzzzzzzzz</v>
      </c>
      <c r="AH88" s="1">
        <f t="shared" si="3"/>
        <v>0</v>
      </c>
      <c r="AI88" s="1" t="str">
        <f>IF(Keszlet!I92&gt;0,Keszlet!C92,"")</f>
        <v/>
      </c>
    </row>
    <row r="89" spans="26:35" hidden="1" x14ac:dyDescent="0.2">
      <c r="Z89" s="1" t="str">
        <f>IF(ISERROR(VLOOKUP(AA89,Keszlet!$A$5:$C$201,3,FALSE))=FALSE,VLOOKUP(AA89,Keszlet!$A$5:$C$201,3,FALSE),$X$1)</f>
        <v>zzzzzzzzzzz</v>
      </c>
      <c r="AA89" s="1">
        <v>89</v>
      </c>
      <c r="AB89" s="1" t="str">
        <f t="shared" si="2"/>
        <v>zzzzzzzzzzz</v>
      </c>
      <c r="AH89" s="1">
        <f t="shared" si="3"/>
        <v>0</v>
      </c>
      <c r="AI89" s="1" t="str">
        <f>IF(Keszlet!I93&gt;0,Keszlet!C93,"")</f>
        <v/>
      </c>
    </row>
    <row r="90" spans="26:35" hidden="1" x14ac:dyDescent="0.2">
      <c r="Z90" s="1" t="str">
        <f>IF(ISERROR(VLOOKUP(AA90,Keszlet!$A$5:$C$201,3,FALSE))=FALSE,VLOOKUP(AA90,Keszlet!$A$5:$C$201,3,FALSE),$X$1)</f>
        <v>zzzzzzzzzzz</v>
      </c>
      <c r="AA90" s="1">
        <v>90</v>
      </c>
      <c r="AB90" s="1" t="str">
        <f t="shared" si="2"/>
        <v>zzzzzzzzzzz</v>
      </c>
      <c r="AH90" s="1">
        <f t="shared" si="3"/>
        <v>0</v>
      </c>
      <c r="AI90" s="1" t="str">
        <f>IF(Keszlet!I94&gt;0,Keszlet!C94,"")</f>
        <v/>
      </c>
    </row>
    <row r="91" spans="26:35" hidden="1" x14ac:dyDescent="0.2">
      <c r="Z91" s="1" t="str">
        <f>IF(ISERROR(VLOOKUP(AA91,Keszlet!$A$5:$C$201,3,FALSE))=FALSE,VLOOKUP(AA91,Keszlet!$A$5:$C$201,3,FALSE),$X$1)</f>
        <v>zzzzzzzzzzz</v>
      </c>
      <c r="AA91" s="1">
        <v>91</v>
      </c>
      <c r="AB91" s="1" t="str">
        <f t="shared" si="2"/>
        <v>zzzzzzzzzzz</v>
      </c>
      <c r="AH91" s="1">
        <f t="shared" si="3"/>
        <v>0</v>
      </c>
      <c r="AI91" s="1" t="str">
        <f>IF(Keszlet!I95&gt;0,Keszlet!C95,"")</f>
        <v/>
      </c>
    </row>
    <row r="92" spans="26:35" hidden="1" x14ac:dyDescent="0.2">
      <c r="Z92" s="1" t="str">
        <f>IF(ISERROR(VLOOKUP(AA92,Keszlet!$A$5:$C$201,3,FALSE))=FALSE,VLOOKUP(AA92,Keszlet!$A$5:$C$201,3,FALSE),$X$1)</f>
        <v>zzzzzzzzzzz</v>
      </c>
      <c r="AA92" s="1">
        <v>92</v>
      </c>
      <c r="AB92" s="1" t="str">
        <f t="shared" si="2"/>
        <v>zzzzzzzzzzz</v>
      </c>
      <c r="AH92" s="1">
        <f t="shared" si="3"/>
        <v>0</v>
      </c>
      <c r="AI92" s="1" t="str">
        <f>IF(Keszlet!I96&gt;0,Keszlet!C96,"")</f>
        <v/>
      </c>
    </row>
    <row r="93" spans="26:35" hidden="1" x14ac:dyDescent="0.2">
      <c r="Z93" s="1" t="str">
        <f>IF(ISERROR(VLOOKUP(AA93,Keszlet!$A$5:$C$201,3,FALSE))=FALSE,VLOOKUP(AA93,Keszlet!$A$5:$C$201,3,FALSE),$X$1)</f>
        <v>zzzzzzzzzzz</v>
      </c>
      <c r="AA93" s="1">
        <v>93</v>
      </c>
      <c r="AB93" s="1" t="str">
        <f t="shared" si="2"/>
        <v>zzzzzzzzzzz</v>
      </c>
      <c r="AH93" s="1">
        <f t="shared" si="3"/>
        <v>0</v>
      </c>
      <c r="AI93" s="1" t="str">
        <f>IF(Keszlet!I97&gt;0,Keszlet!C97,"")</f>
        <v/>
      </c>
    </row>
    <row r="94" spans="26:35" hidden="1" x14ac:dyDescent="0.2">
      <c r="Z94" s="1" t="str">
        <f>IF(ISERROR(VLOOKUP(AA94,Keszlet!$A$5:$C$201,3,FALSE))=FALSE,VLOOKUP(AA94,Keszlet!$A$5:$C$201,3,FALSE),$X$1)</f>
        <v>zzzzzzzzzzz</v>
      </c>
      <c r="AA94" s="1">
        <v>94</v>
      </c>
      <c r="AB94" s="1" t="str">
        <f t="shared" si="2"/>
        <v>zzzzzzzzzzz</v>
      </c>
      <c r="AH94" s="1">
        <f t="shared" si="3"/>
        <v>0</v>
      </c>
      <c r="AI94" s="1" t="str">
        <f>IF(Keszlet!I98&gt;0,Keszlet!C98,"")</f>
        <v/>
      </c>
    </row>
    <row r="95" spans="26:35" hidden="1" x14ac:dyDescent="0.2">
      <c r="Z95" s="1" t="str">
        <f>IF(ISERROR(VLOOKUP(AA95,Keszlet!$A$5:$C$201,3,FALSE))=FALSE,VLOOKUP(AA95,Keszlet!$A$5:$C$201,3,FALSE),$X$1)</f>
        <v>zzzzzzzzzzz</v>
      </c>
      <c r="AA95" s="1">
        <v>95</v>
      </c>
      <c r="AB95" s="1" t="str">
        <f t="shared" si="2"/>
        <v>zzzzzzzzzzz</v>
      </c>
      <c r="AH95" s="1">
        <f t="shared" si="3"/>
        <v>0</v>
      </c>
      <c r="AI95" s="1" t="str">
        <f>IF(Keszlet!I99&gt;0,Keszlet!C99,"")</f>
        <v/>
      </c>
    </row>
    <row r="96" spans="26:35" hidden="1" x14ac:dyDescent="0.2">
      <c r="Z96" s="1" t="str">
        <f>IF(ISERROR(VLOOKUP(AA96,Keszlet!$A$5:$C$201,3,FALSE))=FALSE,VLOOKUP(AA96,Keszlet!$A$5:$C$201,3,FALSE),$X$1)</f>
        <v>zzzzzzzzzzz</v>
      </c>
      <c r="AA96" s="1">
        <v>96</v>
      </c>
      <c r="AB96" s="1" t="str">
        <f t="shared" si="2"/>
        <v>zzzzzzzzzzz</v>
      </c>
      <c r="AH96" s="1">
        <f t="shared" si="3"/>
        <v>0</v>
      </c>
      <c r="AI96" s="1" t="str">
        <f>IF(Keszlet!I100&gt;0,Keszlet!C100,"")</f>
        <v/>
      </c>
    </row>
    <row r="97" spans="26:35" hidden="1" x14ac:dyDescent="0.2">
      <c r="Z97" s="1" t="str">
        <f>IF(ISERROR(VLOOKUP(AA97,Keszlet!$A$5:$C$201,3,FALSE))=FALSE,VLOOKUP(AA97,Keszlet!$A$5:$C$201,3,FALSE),$X$1)</f>
        <v>zzzzzzzzzzz</v>
      </c>
      <c r="AA97" s="1">
        <v>97</v>
      </c>
      <c r="AB97" s="1" t="str">
        <f t="shared" si="2"/>
        <v>zzzzzzzzzzz</v>
      </c>
      <c r="AH97" s="1">
        <f t="shared" si="3"/>
        <v>0</v>
      </c>
      <c r="AI97" s="1" t="str">
        <f>IF(Keszlet!I101&gt;0,Keszlet!C101,"")</f>
        <v/>
      </c>
    </row>
    <row r="98" spans="26:35" hidden="1" x14ac:dyDescent="0.2">
      <c r="Z98" s="1" t="str">
        <f>IF(ISERROR(VLOOKUP(AA98,Keszlet!$A$5:$C$201,3,FALSE))=FALSE,VLOOKUP(AA98,Keszlet!$A$5:$C$201,3,FALSE),$X$1)</f>
        <v>zzzzzzzzzzz</v>
      </c>
      <c r="AA98" s="1">
        <v>98</v>
      </c>
      <c r="AB98" s="1" t="str">
        <f t="shared" si="2"/>
        <v>zzzzzzzzzzz</v>
      </c>
      <c r="AH98" s="1">
        <f t="shared" si="3"/>
        <v>0</v>
      </c>
      <c r="AI98" s="1" t="str">
        <f>IF(Keszlet!I102&gt;0,Keszlet!C102,"")</f>
        <v/>
      </c>
    </row>
    <row r="99" spans="26:35" hidden="1" x14ac:dyDescent="0.2">
      <c r="Z99" s="1" t="str">
        <f>IF(ISERROR(VLOOKUP(AA99,Keszlet!$A$5:$C$201,3,FALSE))=FALSE,VLOOKUP(AA99,Keszlet!$A$5:$C$201,3,FALSE),$X$1)</f>
        <v>zzzzzzzzzzz</v>
      </c>
      <c r="AA99" s="1">
        <v>99</v>
      </c>
      <c r="AB99" s="1" t="str">
        <f t="shared" si="2"/>
        <v>zzzzzzzzzzz</v>
      </c>
      <c r="AH99" s="1">
        <f t="shared" si="3"/>
        <v>0</v>
      </c>
      <c r="AI99" s="1" t="str">
        <f>IF(Keszlet!I103&gt;0,Keszlet!C103,"")</f>
        <v/>
      </c>
    </row>
    <row r="100" spans="26:35" hidden="1" x14ac:dyDescent="0.2">
      <c r="Z100" s="1" t="str">
        <f>IF(ISERROR(VLOOKUP(AA100,Keszlet!$A$5:$C$201,3,FALSE))=FALSE,VLOOKUP(AA100,Keszlet!$A$5:$C$201,3,FALSE),$X$1)</f>
        <v>zzzzzzzzzzz</v>
      </c>
      <c r="AA100" s="1">
        <v>100</v>
      </c>
      <c r="AB100" s="1" t="str">
        <f t="shared" si="2"/>
        <v>zzzzzzzzzzz</v>
      </c>
      <c r="AH100" s="1">
        <f t="shared" si="3"/>
        <v>0</v>
      </c>
      <c r="AI100" s="1" t="str">
        <f>IF(Keszlet!I104&gt;0,Keszlet!C104,"")</f>
        <v/>
      </c>
    </row>
    <row r="101" spans="26:35" hidden="1" x14ac:dyDescent="0.2">
      <c r="Z101" s="1" t="str">
        <f>IF(ISERROR(VLOOKUP(AA101,Keszlet!$A$5:$C$201,3,FALSE))=FALSE,VLOOKUP(AA101,Keszlet!$A$5:$C$201,3,FALSE),$X$1)</f>
        <v>zzzzzzzzzzz</v>
      </c>
      <c r="AA101" s="1">
        <v>101</v>
      </c>
      <c r="AB101" s="1" t="str">
        <f t="shared" si="2"/>
        <v>zzzzzzzzzzz</v>
      </c>
      <c r="AH101" s="1">
        <f t="shared" si="3"/>
        <v>0</v>
      </c>
      <c r="AI101" s="1" t="str">
        <f>IF(Keszlet!I105&gt;0,Keszlet!C105,"")</f>
        <v/>
      </c>
    </row>
    <row r="102" spans="26:35" hidden="1" x14ac:dyDescent="0.2">
      <c r="Z102" s="1" t="str">
        <f>IF(ISERROR(VLOOKUP(AA102,Keszlet!$A$5:$C$201,3,FALSE))=FALSE,VLOOKUP(AA102,Keszlet!$A$5:$C$201,3,FALSE),$X$1)</f>
        <v>zzzzzzzzzzz</v>
      </c>
      <c r="AA102" s="1">
        <v>102</v>
      </c>
      <c r="AB102" s="1" t="str">
        <f t="shared" si="2"/>
        <v>zzzzzzzzzzz</v>
      </c>
      <c r="AH102" s="1">
        <f t="shared" si="3"/>
        <v>0</v>
      </c>
      <c r="AI102" s="1" t="str">
        <f>IF(Keszlet!I106&gt;0,Keszlet!C106,"")</f>
        <v/>
      </c>
    </row>
    <row r="103" spans="26:35" hidden="1" x14ac:dyDescent="0.2">
      <c r="Z103" s="1" t="str">
        <f>IF(ISERROR(VLOOKUP(AA103,Keszlet!$A$5:$C$201,3,FALSE))=FALSE,VLOOKUP(AA103,Keszlet!$A$5:$C$201,3,FALSE),$X$1)</f>
        <v>zzzzzzzzzzz</v>
      </c>
      <c r="AA103" s="1">
        <v>103</v>
      </c>
      <c r="AB103" s="1" t="str">
        <f t="shared" si="2"/>
        <v>zzzzzzzzzzz</v>
      </c>
      <c r="AH103" s="1">
        <f t="shared" si="3"/>
        <v>0</v>
      </c>
      <c r="AI103" s="1" t="str">
        <f>IF(Keszlet!I107&gt;0,Keszlet!C107,"")</f>
        <v/>
      </c>
    </row>
    <row r="104" spans="26:35" hidden="1" x14ac:dyDescent="0.2">
      <c r="Z104" s="1" t="str">
        <f>IF(ISERROR(VLOOKUP(AA104,Keszlet!$A$5:$C$201,3,FALSE))=FALSE,VLOOKUP(AA104,Keszlet!$A$5:$C$201,3,FALSE),$X$1)</f>
        <v>zzzzzzzzzzz</v>
      </c>
      <c r="AA104" s="1">
        <v>104</v>
      </c>
      <c r="AB104" s="1" t="str">
        <f t="shared" si="2"/>
        <v>zzzzzzzzzzz</v>
      </c>
      <c r="AH104" s="1">
        <f t="shared" si="3"/>
        <v>0</v>
      </c>
      <c r="AI104" s="1" t="str">
        <f>IF(Keszlet!I108&gt;0,Keszlet!C108,"")</f>
        <v/>
      </c>
    </row>
    <row r="105" spans="26:35" hidden="1" x14ac:dyDescent="0.2">
      <c r="Z105" s="1" t="str">
        <f>IF(ISERROR(VLOOKUP(AA105,Keszlet!$A$5:$C$201,3,FALSE))=FALSE,VLOOKUP(AA105,Keszlet!$A$5:$C$201,3,FALSE),$X$1)</f>
        <v>zzzzzzzzzzz</v>
      </c>
      <c r="AA105" s="1">
        <v>105</v>
      </c>
      <c r="AB105" s="1" t="str">
        <f t="shared" si="2"/>
        <v>zzzzzzzzzzz</v>
      </c>
      <c r="AH105" s="1">
        <f t="shared" si="3"/>
        <v>0</v>
      </c>
      <c r="AI105" s="1" t="str">
        <f>IF(Keszlet!I109&gt;0,Keszlet!C109,"")</f>
        <v/>
      </c>
    </row>
    <row r="106" spans="26:35" hidden="1" x14ac:dyDescent="0.2">
      <c r="Z106" s="1" t="str">
        <f>IF(ISERROR(VLOOKUP(AA106,Keszlet!$A$5:$C$201,3,FALSE))=FALSE,VLOOKUP(AA106,Keszlet!$A$5:$C$201,3,FALSE),$X$1)</f>
        <v>zzzzzzzzzzz</v>
      </c>
      <c r="AA106" s="1">
        <v>106</v>
      </c>
      <c r="AB106" s="1" t="str">
        <f t="shared" si="2"/>
        <v>zzzzzzzzzzz</v>
      </c>
      <c r="AH106" s="1">
        <f t="shared" si="3"/>
        <v>0</v>
      </c>
      <c r="AI106" s="1" t="str">
        <f>IF(Keszlet!I110&gt;0,Keszlet!C110,"")</f>
        <v/>
      </c>
    </row>
    <row r="107" spans="26:35" hidden="1" x14ac:dyDescent="0.2">
      <c r="Z107" s="1" t="str">
        <f>IF(ISERROR(VLOOKUP(AA107,Keszlet!$A$5:$C$201,3,FALSE))=FALSE,VLOOKUP(AA107,Keszlet!$A$5:$C$201,3,FALSE),$X$1)</f>
        <v>zzzzzzzzzzz</v>
      </c>
      <c r="AA107" s="1">
        <v>107</v>
      </c>
      <c r="AB107" s="1" t="str">
        <f t="shared" si="2"/>
        <v>zzzzzzzzzzz</v>
      </c>
      <c r="AH107" s="1">
        <f t="shared" si="3"/>
        <v>0</v>
      </c>
      <c r="AI107" s="1" t="str">
        <f>IF(Keszlet!I111&gt;0,Keszlet!C111,"")</f>
        <v/>
      </c>
    </row>
    <row r="108" spans="26:35" hidden="1" x14ac:dyDescent="0.2">
      <c r="Z108" s="1" t="str">
        <f>IF(ISERROR(VLOOKUP(AA108,Keszlet!$A$5:$C$201,3,FALSE))=FALSE,VLOOKUP(AA108,Keszlet!$A$5:$C$201,3,FALSE),$X$1)</f>
        <v>zzzzzzzzzzz</v>
      </c>
      <c r="AA108" s="1">
        <v>108</v>
      </c>
      <c r="AB108" s="1" t="str">
        <f t="shared" si="2"/>
        <v>zzzzzzzzzzz</v>
      </c>
      <c r="AH108" s="1">
        <f t="shared" si="3"/>
        <v>0</v>
      </c>
      <c r="AI108" s="1" t="str">
        <f>IF(Keszlet!I112&gt;0,Keszlet!C112,"")</f>
        <v/>
      </c>
    </row>
    <row r="109" spans="26:35" hidden="1" x14ac:dyDescent="0.2">
      <c r="Z109" s="1" t="str">
        <f>IF(ISERROR(VLOOKUP(AA109,Keszlet!$A$5:$C$201,3,FALSE))=FALSE,VLOOKUP(AA109,Keszlet!$A$5:$C$201,3,FALSE),$X$1)</f>
        <v>zzzzzzzzzzz</v>
      </c>
      <c r="AA109" s="1">
        <v>109</v>
      </c>
      <c r="AB109" s="1" t="str">
        <f t="shared" si="2"/>
        <v>zzzzzzzzzzz</v>
      </c>
      <c r="AH109" s="1">
        <f t="shared" si="3"/>
        <v>0</v>
      </c>
      <c r="AI109" s="1" t="str">
        <f>IF(Keszlet!I113&gt;0,Keszlet!C113,"")</f>
        <v/>
      </c>
    </row>
    <row r="110" spans="26:35" hidden="1" x14ac:dyDescent="0.2">
      <c r="Z110" s="1" t="str">
        <f>IF(ISERROR(VLOOKUP(AA110,Keszlet!$A$5:$C$201,3,FALSE))=FALSE,VLOOKUP(AA110,Keszlet!$A$5:$C$201,3,FALSE),$X$1)</f>
        <v>zzzzzzzzzzz</v>
      </c>
      <c r="AA110" s="1">
        <v>110</v>
      </c>
      <c r="AB110" s="1" t="str">
        <f t="shared" si="2"/>
        <v>zzzzzzzzzzz</v>
      </c>
      <c r="AH110" s="1">
        <f t="shared" si="3"/>
        <v>0</v>
      </c>
      <c r="AI110" s="1" t="str">
        <f>IF(Keszlet!I114&gt;0,Keszlet!C114,"")</f>
        <v/>
      </c>
    </row>
    <row r="111" spans="26:35" hidden="1" x14ac:dyDescent="0.2">
      <c r="Z111" s="1" t="str">
        <f>IF(ISERROR(VLOOKUP(AA111,Keszlet!$A$5:$C$201,3,FALSE))=FALSE,VLOOKUP(AA111,Keszlet!$A$5:$C$201,3,FALSE),$X$1)</f>
        <v>zzzzzzzzzzz</v>
      </c>
      <c r="AA111" s="1">
        <v>111</v>
      </c>
      <c r="AB111" s="1" t="str">
        <f t="shared" si="2"/>
        <v>zzzzzzzzzzz</v>
      </c>
      <c r="AH111" s="1">
        <f t="shared" si="3"/>
        <v>0</v>
      </c>
      <c r="AI111" s="1" t="str">
        <f>IF(Keszlet!I115&gt;0,Keszlet!C115,"")</f>
        <v/>
      </c>
    </row>
    <row r="112" spans="26:35" hidden="1" x14ac:dyDescent="0.2">
      <c r="Z112" s="1" t="str">
        <f>IF(ISERROR(VLOOKUP(AA112,Keszlet!$A$5:$C$201,3,FALSE))=FALSE,VLOOKUP(AA112,Keszlet!$A$5:$C$201,3,FALSE),$X$1)</f>
        <v>zzzzzzzzzzz</v>
      </c>
      <c r="AA112" s="1">
        <v>112</v>
      </c>
      <c r="AB112" s="1" t="str">
        <f t="shared" si="2"/>
        <v>zzzzzzzzzzz</v>
      </c>
      <c r="AH112" s="1">
        <f t="shared" si="3"/>
        <v>0</v>
      </c>
      <c r="AI112" s="1" t="str">
        <f>IF(Keszlet!I116&gt;0,Keszlet!C116,"")</f>
        <v/>
      </c>
    </row>
    <row r="113" spans="26:35" hidden="1" x14ac:dyDescent="0.2">
      <c r="Z113" s="1" t="str">
        <f>IF(ISERROR(VLOOKUP(AA113,Keszlet!$A$5:$C$201,3,FALSE))=FALSE,VLOOKUP(AA113,Keszlet!$A$5:$C$201,3,FALSE),$X$1)</f>
        <v>zzzzzzzzzzz</v>
      </c>
      <c r="AA113" s="1">
        <v>113</v>
      </c>
      <c r="AB113" s="1" t="str">
        <f t="shared" si="2"/>
        <v>zzzzzzzzzzz</v>
      </c>
      <c r="AH113" s="1">
        <f t="shared" si="3"/>
        <v>0</v>
      </c>
      <c r="AI113" s="1" t="str">
        <f>IF(Keszlet!I117&gt;0,Keszlet!C117,"")</f>
        <v/>
      </c>
    </row>
    <row r="114" spans="26:35" hidden="1" x14ac:dyDescent="0.2">
      <c r="Z114" s="1" t="str">
        <f>IF(ISERROR(VLOOKUP(AA114,Keszlet!$A$5:$C$201,3,FALSE))=FALSE,VLOOKUP(AA114,Keszlet!$A$5:$C$201,3,FALSE),$X$1)</f>
        <v>zzzzzzzzzzz</v>
      </c>
      <c r="AA114" s="1">
        <v>114</v>
      </c>
      <c r="AB114" s="1" t="str">
        <f t="shared" si="2"/>
        <v>zzzzzzzzzzz</v>
      </c>
      <c r="AH114" s="1">
        <f t="shared" si="3"/>
        <v>0</v>
      </c>
      <c r="AI114" s="1" t="str">
        <f>IF(Keszlet!I118&gt;0,Keszlet!C118,"")</f>
        <v/>
      </c>
    </row>
    <row r="115" spans="26:35" hidden="1" x14ac:dyDescent="0.2">
      <c r="Z115" s="1" t="str">
        <f>IF(ISERROR(VLOOKUP(AA115,Keszlet!$A$5:$C$201,3,FALSE))=FALSE,VLOOKUP(AA115,Keszlet!$A$5:$C$201,3,FALSE),$X$1)</f>
        <v>zzzzzzzzzzz</v>
      </c>
      <c r="AA115" s="1">
        <v>115</v>
      </c>
      <c r="AB115" s="1" t="str">
        <f t="shared" si="2"/>
        <v>zzzzzzzzzzz</v>
      </c>
      <c r="AH115" s="1">
        <f t="shared" si="3"/>
        <v>0</v>
      </c>
      <c r="AI115" s="1" t="str">
        <f>IF(Keszlet!I119&gt;0,Keszlet!C119,"")</f>
        <v/>
      </c>
    </row>
    <row r="116" spans="26:35" hidden="1" x14ac:dyDescent="0.2">
      <c r="Z116" s="1" t="str">
        <f>IF(ISERROR(VLOOKUP(AA116,Keszlet!$A$5:$C$201,3,FALSE))=FALSE,VLOOKUP(AA116,Keszlet!$A$5:$C$201,3,FALSE),$X$1)</f>
        <v>zzzzzzzzzzz</v>
      </c>
      <c r="AA116" s="1">
        <v>116</v>
      </c>
      <c r="AB116" s="1" t="str">
        <f t="shared" si="2"/>
        <v>zzzzzzzzzzz</v>
      </c>
      <c r="AH116" s="1">
        <f t="shared" si="3"/>
        <v>0</v>
      </c>
      <c r="AI116" s="1" t="str">
        <f>IF(Keszlet!I120&gt;0,Keszlet!C120,"")</f>
        <v/>
      </c>
    </row>
    <row r="117" spans="26:35" hidden="1" x14ac:dyDescent="0.2">
      <c r="Z117" s="1" t="str">
        <f>IF(ISERROR(VLOOKUP(AA117,Keszlet!$A$5:$C$201,3,FALSE))=FALSE,VLOOKUP(AA117,Keszlet!$A$5:$C$201,3,FALSE),$X$1)</f>
        <v>zzzzzzzzzzz</v>
      </c>
      <c r="AA117" s="1">
        <v>117</v>
      </c>
      <c r="AB117" s="1" t="str">
        <f t="shared" si="2"/>
        <v>zzzzzzzzzzz</v>
      </c>
      <c r="AH117" s="1">
        <f t="shared" si="3"/>
        <v>0</v>
      </c>
      <c r="AI117" s="1" t="str">
        <f>IF(Keszlet!I121&gt;0,Keszlet!C121,"")</f>
        <v/>
      </c>
    </row>
    <row r="118" spans="26:35" hidden="1" x14ac:dyDescent="0.2">
      <c r="Z118" s="1" t="str">
        <f>IF(ISERROR(VLOOKUP(AA118,Keszlet!$A$5:$C$201,3,FALSE))=FALSE,VLOOKUP(AA118,Keszlet!$A$5:$C$201,3,FALSE),$X$1)</f>
        <v>zzzzzzzzzzz</v>
      </c>
      <c r="AA118" s="1">
        <v>118</v>
      </c>
      <c r="AB118" s="1" t="str">
        <f t="shared" si="2"/>
        <v>zzzzzzzzzzz</v>
      </c>
      <c r="AH118" s="1">
        <f t="shared" si="3"/>
        <v>0</v>
      </c>
      <c r="AI118" s="1" t="str">
        <f>IF(Keszlet!I122&gt;0,Keszlet!C122,"")</f>
        <v/>
      </c>
    </row>
    <row r="119" spans="26:35" hidden="1" x14ac:dyDescent="0.2">
      <c r="Z119" s="1" t="str">
        <f>IF(ISERROR(VLOOKUP(AA119,Keszlet!$A$5:$C$201,3,FALSE))=FALSE,VLOOKUP(AA119,Keszlet!$A$5:$C$201,3,FALSE),$X$1)</f>
        <v>zzzzzzzzzzz</v>
      </c>
      <c r="AA119" s="1">
        <v>119</v>
      </c>
      <c r="AB119" s="1" t="str">
        <f t="shared" si="2"/>
        <v>zzzzzzzzzzz</v>
      </c>
      <c r="AH119" s="1">
        <f t="shared" si="3"/>
        <v>0</v>
      </c>
      <c r="AI119" s="1" t="str">
        <f>IF(Keszlet!I123&gt;0,Keszlet!C123,"")</f>
        <v/>
      </c>
    </row>
    <row r="120" spans="26:35" hidden="1" x14ac:dyDescent="0.2">
      <c r="Z120" s="1" t="str">
        <f>IF(ISERROR(VLOOKUP(AA120,Keszlet!$A$5:$C$201,3,FALSE))=FALSE,VLOOKUP(AA120,Keszlet!$A$5:$C$201,3,FALSE),$X$1)</f>
        <v>zzzzzzzzzzz</v>
      </c>
      <c r="AA120" s="1">
        <v>120</v>
      </c>
      <c r="AB120" s="1" t="str">
        <f t="shared" si="2"/>
        <v>zzzzzzzzzzz</v>
      </c>
      <c r="AH120" s="1">
        <f t="shared" si="3"/>
        <v>0</v>
      </c>
      <c r="AI120" s="1" t="str">
        <f>IF(Keszlet!I124&gt;0,Keszlet!C124,"")</f>
        <v/>
      </c>
    </row>
    <row r="121" spans="26:35" hidden="1" x14ac:dyDescent="0.2">
      <c r="Z121" s="1" t="str">
        <f>IF(ISERROR(VLOOKUP(AA121,Keszlet!$A$5:$C$201,3,FALSE))=FALSE,VLOOKUP(AA121,Keszlet!$A$5:$C$201,3,FALSE),$X$1)</f>
        <v>zzzzzzzzzzz</v>
      </c>
      <c r="AA121" s="1">
        <v>121</v>
      </c>
      <c r="AB121" s="1" t="str">
        <f t="shared" si="2"/>
        <v>zzzzzzzzzzz</v>
      </c>
      <c r="AH121" s="1">
        <f t="shared" si="3"/>
        <v>0</v>
      </c>
      <c r="AI121" s="1" t="str">
        <f>IF(Keszlet!I125&gt;0,Keszlet!C125,"")</f>
        <v/>
      </c>
    </row>
    <row r="122" spans="26:35" hidden="1" x14ac:dyDescent="0.2">
      <c r="Z122" s="1" t="str">
        <f>IF(ISERROR(VLOOKUP(AA122,Keszlet!$A$5:$C$201,3,FALSE))=FALSE,VLOOKUP(AA122,Keszlet!$A$5:$C$201,3,FALSE),$X$1)</f>
        <v>zzzzzzzzzzz</v>
      </c>
      <c r="AA122" s="1">
        <v>122</v>
      </c>
      <c r="AB122" s="1" t="str">
        <f t="shared" si="2"/>
        <v>zzzzzzzzzzz</v>
      </c>
      <c r="AH122" s="1">
        <f t="shared" si="3"/>
        <v>0</v>
      </c>
      <c r="AI122" s="1" t="str">
        <f>IF(Keszlet!I126&gt;0,Keszlet!C126,"")</f>
        <v/>
      </c>
    </row>
    <row r="123" spans="26:35" hidden="1" x14ac:dyDescent="0.2">
      <c r="Z123" s="1" t="str">
        <f>IF(ISERROR(VLOOKUP(AA123,Keszlet!$A$5:$C$201,3,FALSE))=FALSE,VLOOKUP(AA123,Keszlet!$A$5:$C$201,3,FALSE),$X$1)</f>
        <v>zzzzzzzzzzz</v>
      </c>
      <c r="AA123" s="1">
        <v>123</v>
      </c>
      <c r="AB123" s="1" t="str">
        <f t="shared" si="2"/>
        <v>zzzzzzzzzzz</v>
      </c>
      <c r="AH123" s="1">
        <f t="shared" si="3"/>
        <v>0</v>
      </c>
      <c r="AI123" s="1" t="str">
        <f>IF(Keszlet!I127&gt;0,Keszlet!C127,"")</f>
        <v/>
      </c>
    </row>
    <row r="124" spans="26:35" hidden="1" x14ac:dyDescent="0.2">
      <c r="Z124" s="1" t="str">
        <f>IF(ISERROR(VLOOKUP(AA124,Keszlet!$A$5:$C$201,3,FALSE))=FALSE,VLOOKUP(AA124,Keszlet!$A$5:$C$201,3,FALSE),$X$1)</f>
        <v>zzzzzzzzzzz</v>
      </c>
      <c r="AA124" s="1">
        <v>124</v>
      </c>
      <c r="AB124" s="1" t="str">
        <f t="shared" si="2"/>
        <v>zzzzzzzzzzz</v>
      </c>
      <c r="AH124" s="1">
        <f t="shared" si="3"/>
        <v>0</v>
      </c>
      <c r="AI124" s="1" t="str">
        <f>IF(Keszlet!I128&gt;0,Keszlet!C128,"")</f>
        <v/>
      </c>
    </row>
    <row r="125" spans="26:35" hidden="1" x14ac:dyDescent="0.2">
      <c r="Z125" s="1" t="str">
        <f>IF(ISERROR(VLOOKUP(AA125,Keszlet!$A$5:$C$201,3,FALSE))=FALSE,VLOOKUP(AA125,Keszlet!$A$5:$C$201,3,FALSE),$X$1)</f>
        <v>zzzzzzzzzzz</v>
      </c>
      <c r="AA125" s="1">
        <v>125</v>
      </c>
      <c r="AB125" s="1" t="str">
        <f t="shared" si="2"/>
        <v>zzzzzzzzzzz</v>
      </c>
      <c r="AH125" s="1">
        <f t="shared" si="3"/>
        <v>0</v>
      </c>
      <c r="AI125" s="1" t="str">
        <f>IF(Keszlet!I129&gt;0,Keszlet!C129,"")</f>
        <v/>
      </c>
    </row>
    <row r="126" spans="26:35" hidden="1" x14ac:dyDescent="0.2">
      <c r="Z126" s="1" t="str">
        <f>IF(ISERROR(VLOOKUP(AA126,Keszlet!$A$5:$C$201,3,FALSE))=FALSE,VLOOKUP(AA126,Keszlet!$A$5:$C$201,3,FALSE),$X$1)</f>
        <v>zzzzzzzzzzz</v>
      </c>
      <c r="AA126" s="1">
        <v>126</v>
      </c>
      <c r="AB126" s="1" t="str">
        <f t="shared" si="2"/>
        <v>zzzzzzzzzzz</v>
      </c>
      <c r="AH126" s="1">
        <f t="shared" si="3"/>
        <v>0</v>
      </c>
      <c r="AI126" s="1" t="str">
        <f>IF(Keszlet!I130&gt;0,Keszlet!C130,"")</f>
        <v/>
      </c>
    </row>
    <row r="127" spans="26:35" hidden="1" x14ac:dyDescent="0.2">
      <c r="Z127" s="1" t="str">
        <f>IF(ISERROR(VLOOKUP(AA127,Keszlet!$A$5:$C$201,3,FALSE))=FALSE,VLOOKUP(AA127,Keszlet!$A$5:$C$201,3,FALSE),$X$1)</f>
        <v>zzzzzzzzzzz</v>
      </c>
      <c r="AA127" s="1">
        <v>127</v>
      </c>
      <c r="AB127" s="1" t="str">
        <f t="shared" si="2"/>
        <v>zzzzzzzzzzz</v>
      </c>
      <c r="AH127" s="1">
        <f t="shared" si="3"/>
        <v>0</v>
      </c>
      <c r="AI127" s="1" t="str">
        <f>IF(Keszlet!I131&gt;0,Keszlet!C131,"")</f>
        <v/>
      </c>
    </row>
    <row r="128" spans="26:35" hidden="1" x14ac:dyDescent="0.2">
      <c r="Z128" s="1" t="str">
        <f>IF(ISERROR(VLOOKUP(AA128,Keszlet!$A$5:$C$201,3,FALSE))=FALSE,VLOOKUP(AA128,Keszlet!$A$5:$C$201,3,FALSE),$X$1)</f>
        <v>zzzzzzzzzzz</v>
      </c>
      <c r="AA128" s="1">
        <v>128</v>
      </c>
      <c r="AB128" s="1" t="str">
        <f t="shared" si="2"/>
        <v>zzzzzzzzzzz</v>
      </c>
      <c r="AH128" s="1">
        <f t="shared" si="3"/>
        <v>0</v>
      </c>
      <c r="AI128" s="1" t="str">
        <f>IF(Keszlet!I132&gt;0,Keszlet!C132,"")</f>
        <v/>
      </c>
    </row>
    <row r="129" spans="26:35" hidden="1" x14ac:dyDescent="0.2">
      <c r="Z129" s="1" t="str">
        <f>IF(ISERROR(VLOOKUP(AA129,Keszlet!$A$5:$C$201,3,FALSE))=FALSE,VLOOKUP(AA129,Keszlet!$A$5:$C$201,3,FALSE),$X$1)</f>
        <v>zzzzzzzzzzz</v>
      </c>
      <c r="AA129" s="1">
        <v>129</v>
      </c>
      <c r="AB129" s="1" t="str">
        <f t="shared" si="2"/>
        <v>zzzzzzzzzzz</v>
      </c>
      <c r="AH129" s="1">
        <f t="shared" si="3"/>
        <v>0</v>
      </c>
      <c r="AI129" s="1" t="str">
        <f>IF(Keszlet!I133&gt;0,Keszlet!C133,"")</f>
        <v/>
      </c>
    </row>
    <row r="130" spans="26:35" hidden="1" x14ac:dyDescent="0.2">
      <c r="Z130" s="1" t="str">
        <f>IF(ISERROR(VLOOKUP(AA130,Keszlet!$A$5:$C$201,3,FALSE))=FALSE,VLOOKUP(AA130,Keszlet!$A$5:$C$201,3,FALSE),$X$1)</f>
        <v>zzzzzzzzzzz</v>
      </c>
      <c r="AA130" s="1">
        <v>130</v>
      </c>
      <c r="AB130" s="1" t="str">
        <f t="shared" ref="AB130:AB193" si="4">IF(ISERROR(VLOOKUP(AA130,$AH$1:$AI$197,2,FALSE))=FALSE,VLOOKUP(AA130,$AH$1:$AI$197,2,FALSE),$X$1)</f>
        <v>zzzzzzzzzzz</v>
      </c>
      <c r="AH130" s="1">
        <f t="shared" si="3"/>
        <v>0</v>
      </c>
      <c r="AI130" s="1" t="str">
        <f>IF(Keszlet!I134&gt;0,Keszlet!C134,"")</f>
        <v/>
      </c>
    </row>
    <row r="131" spans="26:35" hidden="1" x14ac:dyDescent="0.2">
      <c r="Z131" s="1" t="str">
        <f>IF(ISERROR(VLOOKUP(AA131,Keszlet!$A$5:$C$201,3,FALSE))=FALSE,VLOOKUP(AA131,Keszlet!$A$5:$C$201,3,FALSE),$X$1)</f>
        <v>zzzzzzzzzzz</v>
      </c>
      <c r="AA131" s="1">
        <v>131</v>
      </c>
      <c r="AB131" s="1" t="str">
        <f t="shared" si="4"/>
        <v>zzzzzzzzzzz</v>
      </c>
      <c r="AH131" s="1">
        <f t="shared" ref="AH131:AH194" si="5">IF(AI131&lt;&gt;"",AH130+1,AH130)</f>
        <v>0</v>
      </c>
      <c r="AI131" s="1" t="str">
        <f>IF(Keszlet!I135&gt;0,Keszlet!C135,"")</f>
        <v/>
      </c>
    </row>
    <row r="132" spans="26:35" hidden="1" x14ac:dyDescent="0.2">
      <c r="Z132" s="1" t="str">
        <f>IF(ISERROR(VLOOKUP(AA132,Keszlet!$A$5:$C$201,3,FALSE))=FALSE,VLOOKUP(AA132,Keszlet!$A$5:$C$201,3,FALSE),$X$1)</f>
        <v>zzzzzzzzzzz</v>
      </c>
      <c r="AA132" s="1">
        <v>132</v>
      </c>
      <c r="AB132" s="1" t="str">
        <f t="shared" si="4"/>
        <v>zzzzzzzzzzz</v>
      </c>
      <c r="AH132" s="1">
        <f t="shared" si="5"/>
        <v>0</v>
      </c>
      <c r="AI132" s="1" t="str">
        <f>IF(Keszlet!I136&gt;0,Keszlet!C136,"")</f>
        <v/>
      </c>
    </row>
    <row r="133" spans="26:35" hidden="1" x14ac:dyDescent="0.2">
      <c r="Z133" s="1" t="str">
        <f>IF(ISERROR(VLOOKUP(AA133,Keszlet!$A$5:$C$201,3,FALSE))=FALSE,VLOOKUP(AA133,Keszlet!$A$5:$C$201,3,FALSE),$X$1)</f>
        <v>zzzzzzzzzzz</v>
      </c>
      <c r="AA133" s="1">
        <v>133</v>
      </c>
      <c r="AB133" s="1" t="str">
        <f t="shared" si="4"/>
        <v>zzzzzzzzzzz</v>
      </c>
      <c r="AH133" s="1">
        <f t="shared" si="5"/>
        <v>0</v>
      </c>
      <c r="AI133" s="1" t="str">
        <f>IF(Keszlet!I137&gt;0,Keszlet!C137,"")</f>
        <v/>
      </c>
    </row>
    <row r="134" spans="26:35" hidden="1" x14ac:dyDescent="0.2">
      <c r="Z134" s="1" t="str">
        <f>IF(ISERROR(VLOOKUP(AA134,Keszlet!$A$5:$C$201,3,FALSE))=FALSE,VLOOKUP(AA134,Keszlet!$A$5:$C$201,3,FALSE),$X$1)</f>
        <v>zzzzzzzzzzz</v>
      </c>
      <c r="AA134" s="1">
        <v>134</v>
      </c>
      <c r="AB134" s="1" t="str">
        <f t="shared" si="4"/>
        <v>zzzzzzzzzzz</v>
      </c>
      <c r="AH134" s="1">
        <f t="shared" si="5"/>
        <v>0</v>
      </c>
      <c r="AI134" s="1" t="str">
        <f>IF(Keszlet!I138&gt;0,Keszlet!C138,"")</f>
        <v/>
      </c>
    </row>
    <row r="135" spans="26:35" hidden="1" x14ac:dyDescent="0.2">
      <c r="Z135" s="1" t="str">
        <f>IF(ISERROR(VLOOKUP(AA135,Keszlet!$A$5:$C$201,3,FALSE))=FALSE,VLOOKUP(AA135,Keszlet!$A$5:$C$201,3,FALSE),$X$1)</f>
        <v>zzzzzzzzzzz</v>
      </c>
      <c r="AA135" s="1">
        <v>135</v>
      </c>
      <c r="AB135" s="1" t="str">
        <f t="shared" si="4"/>
        <v>zzzzzzzzzzz</v>
      </c>
      <c r="AH135" s="1">
        <f t="shared" si="5"/>
        <v>0</v>
      </c>
      <c r="AI135" s="1" t="str">
        <f>IF(Keszlet!I139&gt;0,Keszlet!C139,"")</f>
        <v/>
      </c>
    </row>
    <row r="136" spans="26:35" hidden="1" x14ac:dyDescent="0.2">
      <c r="Z136" s="1" t="str">
        <f>IF(ISERROR(VLOOKUP(AA136,Keszlet!$A$5:$C$201,3,FALSE))=FALSE,VLOOKUP(AA136,Keszlet!$A$5:$C$201,3,FALSE),$X$1)</f>
        <v>zzzzzzzzzzz</v>
      </c>
      <c r="AA136" s="1">
        <v>136</v>
      </c>
      <c r="AB136" s="1" t="str">
        <f t="shared" si="4"/>
        <v>zzzzzzzzzzz</v>
      </c>
      <c r="AH136" s="1">
        <f t="shared" si="5"/>
        <v>0</v>
      </c>
      <c r="AI136" s="1" t="str">
        <f>IF(Keszlet!I140&gt;0,Keszlet!C140,"")</f>
        <v/>
      </c>
    </row>
    <row r="137" spans="26:35" hidden="1" x14ac:dyDescent="0.2">
      <c r="Z137" s="1" t="str">
        <f>IF(ISERROR(VLOOKUP(AA137,Keszlet!$A$5:$C$201,3,FALSE))=FALSE,VLOOKUP(AA137,Keszlet!$A$5:$C$201,3,FALSE),$X$1)</f>
        <v>zzzzzzzzzzz</v>
      </c>
      <c r="AA137" s="1">
        <v>137</v>
      </c>
      <c r="AB137" s="1" t="str">
        <f t="shared" si="4"/>
        <v>zzzzzzzzzzz</v>
      </c>
      <c r="AH137" s="1">
        <f t="shared" si="5"/>
        <v>0</v>
      </c>
      <c r="AI137" s="1" t="str">
        <f>IF(Keszlet!I141&gt;0,Keszlet!C141,"")</f>
        <v/>
      </c>
    </row>
    <row r="138" spans="26:35" hidden="1" x14ac:dyDescent="0.2">
      <c r="Z138" s="1" t="str">
        <f>IF(ISERROR(VLOOKUP(AA138,Keszlet!$A$5:$C$201,3,FALSE))=FALSE,VLOOKUP(AA138,Keszlet!$A$5:$C$201,3,FALSE),$X$1)</f>
        <v>zzzzzzzzzzz</v>
      </c>
      <c r="AA138" s="1">
        <v>138</v>
      </c>
      <c r="AB138" s="1" t="str">
        <f t="shared" si="4"/>
        <v>zzzzzzzzzzz</v>
      </c>
      <c r="AH138" s="1">
        <f t="shared" si="5"/>
        <v>0</v>
      </c>
      <c r="AI138" s="1" t="str">
        <f>IF(Keszlet!I142&gt;0,Keszlet!C142,"")</f>
        <v/>
      </c>
    </row>
    <row r="139" spans="26:35" hidden="1" x14ac:dyDescent="0.2">
      <c r="Z139" s="1" t="str">
        <f>IF(ISERROR(VLOOKUP(AA139,Keszlet!$A$5:$C$201,3,FALSE))=FALSE,VLOOKUP(AA139,Keszlet!$A$5:$C$201,3,FALSE),$X$1)</f>
        <v>zzzzzzzzzzz</v>
      </c>
      <c r="AA139" s="1">
        <v>139</v>
      </c>
      <c r="AB139" s="1" t="str">
        <f t="shared" si="4"/>
        <v>zzzzzzzzzzz</v>
      </c>
      <c r="AH139" s="1">
        <f t="shared" si="5"/>
        <v>0</v>
      </c>
      <c r="AI139" s="1" t="str">
        <f>IF(Keszlet!I143&gt;0,Keszlet!C143,"")</f>
        <v/>
      </c>
    </row>
    <row r="140" spans="26:35" hidden="1" x14ac:dyDescent="0.2">
      <c r="Z140" s="1" t="str">
        <f>IF(ISERROR(VLOOKUP(AA140,Keszlet!$A$5:$C$201,3,FALSE))=FALSE,VLOOKUP(AA140,Keszlet!$A$5:$C$201,3,FALSE),$X$1)</f>
        <v>zzzzzzzzzzz</v>
      </c>
      <c r="AA140" s="1">
        <v>140</v>
      </c>
      <c r="AB140" s="1" t="str">
        <f t="shared" si="4"/>
        <v>zzzzzzzzzzz</v>
      </c>
      <c r="AH140" s="1">
        <f t="shared" si="5"/>
        <v>0</v>
      </c>
      <c r="AI140" s="1" t="str">
        <f>IF(Keszlet!I144&gt;0,Keszlet!C144,"")</f>
        <v/>
      </c>
    </row>
    <row r="141" spans="26:35" hidden="1" x14ac:dyDescent="0.2">
      <c r="Z141" s="1" t="str">
        <f>IF(ISERROR(VLOOKUP(AA141,Keszlet!$A$5:$C$201,3,FALSE))=FALSE,VLOOKUP(AA141,Keszlet!$A$5:$C$201,3,FALSE),$X$1)</f>
        <v>zzzzzzzzzzz</v>
      </c>
      <c r="AA141" s="1">
        <v>141</v>
      </c>
      <c r="AB141" s="1" t="str">
        <f t="shared" si="4"/>
        <v>zzzzzzzzzzz</v>
      </c>
      <c r="AH141" s="1">
        <f t="shared" si="5"/>
        <v>0</v>
      </c>
      <c r="AI141" s="1" t="str">
        <f>IF(Keszlet!I145&gt;0,Keszlet!C145,"")</f>
        <v/>
      </c>
    </row>
    <row r="142" spans="26:35" hidden="1" x14ac:dyDescent="0.2">
      <c r="Z142" s="1" t="str">
        <f>IF(ISERROR(VLOOKUP(AA142,Keszlet!$A$5:$C$201,3,FALSE))=FALSE,VLOOKUP(AA142,Keszlet!$A$5:$C$201,3,FALSE),$X$1)</f>
        <v>zzzzzzzzzzz</v>
      </c>
      <c r="AA142" s="1">
        <v>142</v>
      </c>
      <c r="AB142" s="1" t="str">
        <f t="shared" si="4"/>
        <v>zzzzzzzzzzz</v>
      </c>
      <c r="AH142" s="1">
        <f t="shared" si="5"/>
        <v>0</v>
      </c>
      <c r="AI142" s="1" t="str">
        <f>IF(Keszlet!I146&gt;0,Keszlet!C146,"")</f>
        <v/>
      </c>
    </row>
    <row r="143" spans="26:35" hidden="1" x14ac:dyDescent="0.2">
      <c r="Z143" s="1" t="str">
        <f>IF(ISERROR(VLOOKUP(AA143,Keszlet!$A$5:$C$201,3,FALSE))=FALSE,VLOOKUP(AA143,Keszlet!$A$5:$C$201,3,FALSE),$X$1)</f>
        <v>zzzzzzzzzzz</v>
      </c>
      <c r="AA143" s="1">
        <v>143</v>
      </c>
      <c r="AB143" s="1" t="str">
        <f t="shared" si="4"/>
        <v>zzzzzzzzzzz</v>
      </c>
      <c r="AH143" s="1">
        <f t="shared" si="5"/>
        <v>0</v>
      </c>
      <c r="AI143" s="1" t="str">
        <f>IF(Keszlet!I147&gt;0,Keszlet!C147,"")</f>
        <v/>
      </c>
    </row>
    <row r="144" spans="26:35" hidden="1" x14ac:dyDescent="0.2">
      <c r="Z144" s="1" t="str">
        <f>IF(ISERROR(VLOOKUP(AA144,Keszlet!$A$5:$C$201,3,FALSE))=FALSE,VLOOKUP(AA144,Keszlet!$A$5:$C$201,3,FALSE),$X$1)</f>
        <v>zzzzzzzzzzz</v>
      </c>
      <c r="AA144" s="1">
        <v>144</v>
      </c>
      <c r="AB144" s="1" t="str">
        <f t="shared" si="4"/>
        <v>zzzzzzzzzzz</v>
      </c>
      <c r="AH144" s="1">
        <f t="shared" si="5"/>
        <v>0</v>
      </c>
      <c r="AI144" s="1" t="str">
        <f>IF(Keszlet!I148&gt;0,Keszlet!C148,"")</f>
        <v/>
      </c>
    </row>
    <row r="145" spans="26:35" hidden="1" x14ac:dyDescent="0.2">
      <c r="Z145" s="1" t="str">
        <f>IF(ISERROR(VLOOKUP(AA145,Keszlet!$A$5:$C$201,3,FALSE))=FALSE,VLOOKUP(AA145,Keszlet!$A$5:$C$201,3,FALSE),$X$1)</f>
        <v>zzzzzzzzzzz</v>
      </c>
      <c r="AA145" s="1">
        <v>145</v>
      </c>
      <c r="AB145" s="1" t="str">
        <f t="shared" si="4"/>
        <v>zzzzzzzzzzz</v>
      </c>
      <c r="AH145" s="1">
        <f t="shared" si="5"/>
        <v>0</v>
      </c>
      <c r="AI145" s="1" t="str">
        <f>IF(Keszlet!I149&gt;0,Keszlet!C149,"")</f>
        <v/>
      </c>
    </row>
    <row r="146" spans="26:35" hidden="1" x14ac:dyDescent="0.2">
      <c r="Z146" s="1" t="str">
        <f>IF(ISERROR(VLOOKUP(AA146,Keszlet!$A$5:$C$201,3,FALSE))=FALSE,VLOOKUP(AA146,Keszlet!$A$5:$C$201,3,FALSE),$X$1)</f>
        <v>zzzzzzzzzzz</v>
      </c>
      <c r="AA146" s="1">
        <v>146</v>
      </c>
      <c r="AB146" s="1" t="str">
        <f t="shared" si="4"/>
        <v>zzzzzzzzzzz</v>
      </c>
      <c r="AH146" s="1">
        <f t="shared" si="5"/>
        <v>0</v>
      </c>
      <c r="AI146" s="1" t="str">
        <f>IF(Keszlet!I150&gt;0,Keszlet!C150,"")</f>
        <v/>
      </c>
    </row>
    <row r="147" spans="26:35" hidden="1" x14ac:dyDescent="0.2">
      <c r="Z147" s="1" t="str">
        <f>IF(ISERROR(VLOOKUP(AA147,Keszlet!$A$5:$C$201,3,FALSE))=FALSE,VLOOKUP(AA147,Keszlet!$A$5:$C$201,3,FALSE),$X$1)</f>
        <v>zzzzzzzzzzz</v>
      </c>
      <c r="AA147" s="1">
        <v>147</v>
      </c>
      <c r="AB147" s="1" t="str">
        <f t="shared" si="4"/>
        <v>zzzzzzzzzzz</v>
      </c>
      <c r="AH147" s="1">
        <f t="shared" si="5"/>
        <v>0</v>
      </c>
      <c r="AI147" s="1" t="str">
        <f>IF(Keszlet!I151&gt;0,Keszlet!C151,"")</f>
        <v/>
      </c>
    </row>
    <row r="148" spans="26:35" hidden="1" x14ac:dyDescent="0.2">
      <c r="Z148" s="1" t="str">
        <f>IF(ISERROR(VLOOKUP(AA148,Keszlet!$A$5:$C$201,3,FALSE))=FALSE,VLOOKUP(AA148,Keszlet!$A$5:$C$201,3,FALSE),$X$1)</f>
        <v>zzzzzzzzzzz</v>
      </c>
      <c r="AA148" s="1">
        <v>148</v>
      </c>
      <c r="AB148" s="1" t="str">
        <f t="shared" si="4"/>
        <v>zzzzzzzzzzz</v>
      </c>
      <c r="AH148" s="1">
        <f t="shared" si="5"/>
        <v>0</v>
      </c>
      <c r="AI148" s="1" t="str">
        <f>IF(Keszlet!I152&gt;0,Keszlet!C152,"")</f>
        <v/>
      </c>
    </row>
    <row r="149" spans="26:35" hidden="1" x14ac:dyDescent="0.2">
      <c r="Z149" s="1" t="str">
        <f>IF(ISERROR(VLOOKUP(AA149,Keszlet!$A$5:$C$201,3,FALSE))=FALSE,VLOOKUP(AA149,Keszlet!$A$5:$C$201,3,FALSE),$X$1)</f>
        <v>zzzzzzzzzzz</v>
      </c>
      <c r="AA149" s="1">
        <v>149</v>
      </c>
      <c r="AB149" s="1" t="str">
        <f t="shared" si="4"/>
        <v>zzzzzzzzzzz</v>
      </c>
      <c r="AH149" s="1">
        <f t="shared" si="5"/>
        <v>0</v>
      </c>
      <c r="AI149" s="1" t="str">
        <f>IF(Keszlet!I153&gt;0,Keszlet!C153,"")</f>
        <v/>
      </c>
    </row>
    <row r="150" spans="26:35" hidden="1" x14ac:dyDescent="0.2">
      <c r="Z150" s="1" t="str">
        <f>IF(ISERROR(VLOOKUP(AA150,Keszlet!$A$5:$C$201,3,FALSE))=FALSE,VLOOKUP(AA150,Keszlet!$A$5:$C$201,3,FALSE),$X$1)</f>
        <v>zzzzzzzzzzz</v>
      </c>
      <c r="AA150" s="1">
        <v>150</v>
      </c>
      <c r="AB150" s="1" t="str">
        <f t="shared" si="4"/>
        <v>zzzzzzzzzzz</v>
      </c>
      <c r="AH150" s="1">
        <f t="shared" si="5"/>
        <v>0</v>
      </c>
      <c r="AI150" s="1" t="str">
        <f>IF(Keszlet!I154&gt;0,Keszlet!C154,"")</f>
        <v/>
      </c>
    </row>
    <row r="151" spans="26:35" hidden="1" x14ac:dyDescent="0.2">
      <c r="Z151" s="1" t="str">
        <f>IF(ISERROR(VLOOKUP(AA151,Keszlet!$A$5:$C$201,3,FALSE))=FALSE,VLOOKUP(AA151,Keszlet!$A$5:$C$201,3,FALSE),$X$1)</f>
        <v>zzzzzzzzzzz</v>
      </c>
      <c r="AA151" s="1">
        <v>151</v>
      </c>
      <c r="AB151" s="1" t="str">
        <f t="shared" si="4"/>
        <v>zzzzzzzzzzz</v>
      </c>
      <c r="AH151" s="1">
        <f t="shared" si="5"/>
        <v>0</v>
      </c>
      <c r="AI151" s="1" t="str">
        <f>IF(Keszlet!I155&gt;0,Keszlet!C155,"")</f>
        <v/>
      </c>
    </row>
    <row r="152" spans="26:35" hidden="1" x14ac:dyDescent="0.2">
      <c r="Z152" s="1" t="str">
        <f>IF(ISERROR(VLOOKUP(AA152,Keszlet!$A$5:$C$201,3,FALSE))=FALSE,VLOOKUP(AA152,Keszlet!$A$5:$C$201,3,FALSE),$X$1)</f>
        <v>zzzzzzzzzzz</v>
      </c>
      <c r="AA152" s="1">
        <v>152</v>
      </c>
      <c r="AB152" s="1" t="str">
        <f t="shared" si="4"/>
        <v>zzzzzzzzzzz</v>
      </c>
      <c r="AH152" s="1">
        <f t="shared" si="5"/>
        <v>0</v>
      </c>
      <c r="AI152" s="1" t="str">
        <f>IF(Keszlet!I156&gt;0,Keszlet!C156,"")</f>
        <v/>
      </c>
    </row>
    <row r="153" spans="26:35" hidden="1" x14ac:dyDescent="0.2">
      <c r="Z153" s="1" t="str">
        <f>IF(ISERROR(VLOOKUP(AA153,Keszlet!$A$5:$C$201,3,FALSE))=FALSE,VLOOKUP(AA153,Keszlet!$A$5:$C$201,3,FALSE),$X$1)</f>
        <v>zzzzzzzzzzz</v>
      </c>
      <c r="AA153" s="1">
        <v>153</v>
      </c>
      <c r="AB153" s="1" t="str">
        <f t="shared" si="4"/>
        <v>zzzzzzzzzzz</v>
      </c>
      <c r="AH153" s="1">
        <f t="shared" si="5"/>
        <v>0</v>
      </c>
      <c r="AI153" s="1" t="str">
        <f>IF(Keszlet!I157&gt;0,Keszlet!C157,"")</f>
        <v/>
      </c>
    </row>
    <row r="154" spans="26:35" hidden="1" x14ac:dyDescent="0.2">
      <c r="Z154" s="1" t="str">
        <f>IF(ISERROR(VLOOKUP(AA154,Keszlet!$A$5:$C$201,3,FALSE))=FALSE,VLOOKUP(AA154,Keszlet!$A$5:$C$201,3,FALSE),$X$1)</f>
        <v>zzzzzzzzzzz</v>
      </c>
      <c r="AA154" s="1">
        <v>154</v>
      </c>
      <c r="AB154" s="1" t="str">
        <f t="shared" si="4"/>
        <v>zzzzzzzzzzz</v>
      </c>
      <c r="AH154" s="1">
        <f t="shared" si="5"/>
        <v>0</v>
      </c>
      <c r="AI154" s="1" t="str">
        <f>IF(Keszlet!I158&gt;0,Keszlet!C158,"")</f>
        <v/>
      </c>
    </row>
    <row r="155" spans="26:35" hidden="1" x14ac:dyDescent="0.2">
      <c r="Z155" s="1" t="str">
        <f>IF(ISERROR(VLOOKUP(AA155,Keszlet!$A$5:$C$201,3,FALSE))=FALSE,VLOOKUP(AA155,Keszlet!$A$5:$C$201,3,FALSE),$X$1)</f>
        <v>zzzzzzzzzzz</v>
      </c>
      <c r="AA155" s="1">
        <v>155</v>
      </c>
      <c r="AB155" s="1" t="str">
        <f t="shared" si="4"/>
        <v>zzzzzzzzzzz</v>
      </c>
      <c r="AH155" s="1">
        <f t="shared" si="5"/>
        <v>0</v>
      </c>
      <c r="AI155" s="1" t="str">
        <f>IF(Keszlet!I159&gt;0,Keszlet!C159,"")</f>
        <v/>
      </c>
    </row>
    <row r="156" spans="26:35" hidden="1" x14ac:dyDescent="0.2">
      <c r="Z156" s="1" t="str">
        <f>IF(ISERROR(VLOOKUP(AA156,Keszlet!$A$5:$C$201,3,FALSE))=FALSE,VLOOKUP(AA156,Keszlet!$A$5:$C$201,3,FALSE),$X$1)</f>
        <v>zzzzzzzzzzz</v>
      </c>
      <c r="AA156" s="1">
        <v>156</v>
      </c>
      <c r="AB156" s="1" t="str">
        <f t="shared" si="4"/>
        <v>zzzzzzzzzzz</v>
      </c>
      <c r="AH156" s="1">
        <f t="shared" si="5"/>
        <v>0</v>
      </c>
      <c r="AI156" s="1" t="str">
        <f>IF(Keszlet!I160&gt;0,Keszlet!C160,"")</f>
        <v/>
      </c>
    </row>
    <row r="157" spans="26:35" hidden="1" x14ac:dyDescent="0.2">
      <c r="Z157" s="1" t="str">
        <f>IF(ISERROR(VLOOKUP(AA157,Keszlet!$A$5:$C$201,3,FALSE))=FALSE,VLOOKUP(AA157,Keszlet!$A$5:$C$201,3,FALSE),$X$1)</f>
        <v>zzzzzzzzzzz</v>
      </c>
      <c r="AA157" s="1">
        <v>157</v>
      </c>
      <c r="AB157" s="1" t="str">
        <f t="shared" si="4"/>
        <v>zzzzzzzzzzz</v>
      </c>
      <c r="AH157" s="1">
        <f t="shared" si="5"/>
        <v>0</v>
      </c>
      <c r="AI157" s="1" t="str">
        <f>IF(Keszlet!I161&gt;0,Keszlet!C161,"")</f>
        <v/>
      </c>
    </row>
    <row r="158" spans="26:35" hidden="1" x14ac:dyDescent="0.2">
      <c r="Z158" s="1" t="str">
        <f>IF(ISERROR(VLOOKUP(AA158,Keszlet!$A$5:$C$201,3,FALSE))=FALSE,VLOOKUP(AA158,Keszlet!$A$5:$C$201,3,FALSE),$X$1)</f>
        <v>zzzzzzzzzzz</v>
      </c>
      <c r="AA158" s="1">
        <v>158</v>
      </c>
      <c r="AB158" s="1" t="str">
        <f t="shared" si="4"/>
        <v>zzzzzzzzzzz</v>
      </c>
      <c r="AH158" s="1">
        <f t="shared" si="5"/>
        <v>0</v>
      </c>
      <c r="AI158" s="1" t="str">
        <f>IF(Keszlet!I162&gt;0,Keszlet!C162,"")</f>
        <v/>
      </c>
    </row>
    <row r="159" spans="26:35" hidden="1" x14ac:dyDescent="0.2">
      <c r="Z159" s="1" t="str">
        <f>IF(ISERROR(VLOOKUP(AA159,Keszlet!$A$5:$C$201,3,FALSE))=FALSE,VLOOKUP(AA159,Keszlet!$A$5:$C$201,3,FALSE),$X$1)</f>
        <v>zzzzzzzzzzz</v>
      </c>
      <c r="AA159" s="1">
        <v>159</v>
      </c>
      <c r="AB159" s="1" t="str">
        <f t="shared" si="4"/>
        <v>zzzzzzzzzzz</v>
      </c>
      <c r="AH159" s="1">
        <f t="shared" si="5"/>
        <v>0</v>
      </c>
      <c r="AI159" s="1" t="str">
        <f>IF(Keszlet!I163&gt;0,Keszlet!C163,"")</f>
        <v/>
      </c>
    </row>
    <row r="160" spans="26:35" hidden="1" x14ac:dyDescent="0.2">
      <c r="Z160" s="1" t="str">
        <f>IF(ISERROR(VLOOKUP(AA160,Keszlet!$A$5:$C$201,3,FALSE))=FALSE,VLOOKUP(AA160,Keszlet!$A$5:$C$201,3,FALSE),$X$1)</f>
        <v>zzzzzzzzzzz</v>
      </c>
      <c r="AA160" s="1">
        <v>160</v>
      </c>
      <c r="AB160" s="1" t="str">
        <f t="shared" si="4"/>
        <v>zzzzzzzzzzz</v>
      </c>
      <c r="AH160" s="1">
        <f t="shared" si="5"/>
        <v>0</v>
      </c>
      <c r="AI160" s="1" t="str">
        <f>IF(Keszlet!I164&gt;0,Keszlet!C164,"")</f>
        <v/>
      </c>
    </row>
    <row r="161" spans="26:35" hidden="1" x14ac:dyDescent="0.2">
      <c r="Z161" s="1" t="str">
        <f>IF(ISERROR(VLOOKUP(AA161,Keszlet!$A$5:$C$201,3,FALSE))=FALSE,VLOOKUP(AA161,Keszlet!$A$5:$C$201,3,FALSE),$X$1)</f>
        <v>zzzzzzzzzzz</v>
      </c>
      <c r="AA161" s="1">
        <v>161</v>
      </c>
      <c r="AB161" s="1" t="str">
        <f t="shared" si="4"/>
        <v>zzzzzzzzzzz</v>
      </c>
      <c r="AH161" s="1">
        <f t="shared" si="5"/>
        <v>0</v>
      </c>
      <c r="AI161" s="1" t="str">
        <f>IF(Keszlet!I165&gt;0,Keszlet!C165,"")</f>
        <v/>
      </c>
    </row>
    <row r="162" spans="26:35" hidden="1" x14ac:dyDescent="0.2">
      <c r="Z162" s="1" t="str">
        <f>IF(ISERROR(VLOOKUP(AA162,Keszlet!$A$5:$C$201,3,FALSE))=FALSE,VLOOKUP(AA162,Keszlet!$A$5:$C$201,3,FALSE),$X$1)</f>
        <v>zzzzzzzzzzz</v>
      </c>
      <c r="AA162" s="1">
        <v>162</v>
      </c>
      <c r="AB162" s="1" t="str">
        <f t="shared" si="4"/>
        <v>zzzzzzzzzzz</v>
      </c>
      <c r="AH162" s="1">
        <f t="shared" si="5"/>
        <v>0</v>
      </c>
      <c r="AI162" s="1" t="str">
        <f>IF(Keszlet!I166&gt;0,Keszlet!C166,"")</f>
        <v/>
      </c>
    </row>
    <row r="163" spans="26:35" hidden="1" x14ac:dyDescent="0.2">
      <c r="Z163" s="1" t="str">
        <f>IF(ISERROR(VLOOKUP(AA163,Keszlet!$A$5:$C$201,3,FALSE))=FALSE,VLOOKUP(AA163,Keszlet!$A$5:$C$201,3,FALSE),$X$1)</f>
        <v>zzzzzzzzzzz</v>
      </c>
      <c r="AA163" s="1">
        <v>163</v>
      </c>
      <c r="AB163" s="1" t="str">
        <f t="shared" si="4"/>
        <v>zzzzzzzzzzz</v>
      </c>
      <c r="AH163" s="1">
        <f t="shared" si="5"/>
        <v>0</v>
      </c>
      <c r="AI163" s="1" t="str">
        <f>IF(Keszlet!I167&gt;0,Keszlet!C167,"")</f>
        <v/>
      </c>
    </row>
    <row r="164" spans="26:35" hidden="1" x14ac:dyDescent="0.2">
      <c r="Z164" s="1" t="str">
        <f>IF(ISERROR(VLOOKUP(AA164,Keszlet!$A$5:$C$201,3,FALSE))=FALSE,VLOOKUP(AA164,Keszlet!$A$5:$C$201,3,FALSE),$X$1)</f>
        <v>zzzzzzzzzzz</v>
      </c>
      <c r="AA164" s="1">
        <v>164</v>
      </c>
      <c r="AB164" s="1" t="str">
        <f t="shared" si="4"/>
        <v>zzzzzzzzzzz</v>
      </c>
      <c r="AH164" s="1">
        <f t="shared" si="5"/>
        <v>0</v>
      </c>
      <c r="AI164" s="1" t="str">
        <f>IF(Keszlet!I168&gt;0,Keszlet!C168,"")</f>
        <v/>
      </c>
    </row>
    <row r="165" spans="26:35" hidden="1" x14ac:dyDescent="0.2">
      <c r="Z165" s="1" t="str">
        <f>IF(ISERROR(VLOOKUP(AA165,Keszlet!$A$5:$C$201,3,FALSE))=FALSE,VLOOKUP(AA165,Keszlet!$A$5:$C$201,3,FALSE),$X$1)</f>
        <v>zzzzzzzzzzz</v>
      </c>
      <c r="AA165" s="1">
        <v>165</v>
      </c>
      <c r="AB165" s="1" t="str">
        <f t="shared" si="4"/>
        <v>zzzzzzzzzzz</v>
      </c>
      <c r="AH165" s="1">
        <f t="shared" si="5"/>
        <v>0</v>
      </c>
      <c r="AI165" s="1" t="str">
        <f>IF(Keszlet!I169&gt;0,Keszlet!C169,"")</f>
        <v/>
      </c>
    </row>
    <row r="166" spans="26:35" hidden="1" x14ac:dyDescent="0.2">
      <c r="Z166" s="1" t="str">
        <f>IF(ISERROR(VLOOKUP(AA166,Keszlet!$A$5:$C$201,3,FALSE))=FALSE,VLOOKUP(AA166,Keszlet!$A$5:$C$201,3,FALSE),$X$1)</f>
        <v>zzzzzzzzzzz</v>
      </c>
      <c r="AA166" s="1">
        <v>166</v>
      </c>
      <c r="AB166" s="1" t="str">
        <f t="shared" si="4"/>
        <v>zzzzzzzzzzz</v>
      </c>
      <c r="AH166" s="1">
        <f t="shared" si="5"/>
        <v>0</v>
      </c>
      <c r="AI166" s="1" t="str">
        <f>IF(Keszlet!I170&gt;0,Keszlet!C170,"")</f>
        <v/>
      </c>
    </row>
    <row r="167" spans="26:35" hidden="1" x14ac:dyDescent="0.2">
      <c r="Z167" s="1" t="str">
        <f>IF(ISERROR(VLOOKUP(AA167,Keszlet!$A$5:$C$201,3,FALSE))=FALSE,VLOOKUP(AA167,Keszlet!$A$5:$C$201,3,FALSE),$X$1)</f>
        <v>zzzzzzzzzzz</v>
      </c>
      <c r="AA167" s="1">
        <v>167</v>
      </c>
      <c r="AB167" s="1" t="str">
        <f t="shared" si="4"/>
        <v>zzzzzzzzzzz</v>
      </c>
      <c r="AH167" s="1">
        <f t="shared" si="5"/>
        <v>0</v>
      </c>
      <c r="AI167" s="1" t="str">
        <f>IF(Keszlet!I171&gt;0,Keszlet!C171,"")</f>
        <v/>
      </c>
    </row>
    <row r="168" spans="26:35" hidden="1" x14ac:dyDescent="0.2">
      <c r="Z168" s="1" t="str">
        <f>IF(ISERROR(VLOOKUP(AA168,Keszlet!$A$5:$C$201,3,FALSE))=FALSE,VLOOKUP(AA168,Keszlet!$A$5:$C$201,3,FALSE),$X$1)</f>
        <v>zzzzzzzzzzz</v>
      </c>
      <c r="AA168" s="1">
        <v>168</v>
      </c>
      <c r="AB168" s="1" t="str">
        <f t="shared" si="4"/>
        <v>zzzzzzzzzzz</v>
      </c>
      <c r="AH168" s="1">
        <f t="shared" si="5"/>
        <v>0</v>
      </c>
      <c r="AI168" s="1" t="str">
        <f>IF(Keszlet!I172&gt;0,Keszlet!C172,"")</f>
        <v/>
      </c>
    </row>
    <row r="169" spans="26:35" hidden="1" x14ac:dyDescent="0.2">
      <c r="Z169" s="1" t="str">
        <f>IF(ISERROR(VLOOKUP(AA169,Keszlet!$A$5:$C$201,3,FALSE))=FALSE,VLOOKUP(AA169,Keszlet!$A$5:$C$201,3,FALSE),$X$1)</f>
        <v>zzzzzzzzzzz</v>
      </c>
      <c r="AA169" s="1">
        <v>169</v>
      </c>
      <c r="AB169" s="1" t="str">
        <f t="shared" si="4"/>
        <v>zzzzzzzzzzz</v>
      </c>
      <c r="AH169" s="1">
        <f t="shared" si="5"/>
        <v>0</v>
      </c>
      <c r="AI169" s="1" t="str">
        <f>IF(Keszlet!I173&gt;0,Keszlet!C173,"")</f>
        <v/>
      </c>
    </row>
    <row r="170" spans="26:35" hidden="1" x14ac:dyDescent="0.2">
      <c r="Z170" s="1" t="str">
        <f>IF(ISERROR(VLOOKUP(AA170,Keszlet!$A$5:$C$201,3,FALSE))=FALSE,VLOOKUP(AA170,Keszlet!$A$5:$C$201,3,FALSE),$X$1)</f>
        <v>zzzzzzzzzzz</v>
      </c>
      <c r="AA170" s="1">
        <v>170</v>
      </c>
      <c r="AB170" s="1" t="str">
        <f t="shared" si="4"/>
        <v>zzzzzzzzzzz</v>
      </c>
      <c r="AH170" s="1">
        <f t="shared" si="5"/>
        <v>0</v>
      </c>
      <c r="AI170" s="1" t="str">
        <f>IF(Keszlet!I174&gt;0,Keszlet!C174,"")</f>
        <v/>
      </c>
    </row>
    <row r="171" spans="26:35" hidden="1" x14ac:dyDescent="0.2">
      <c r="Z171" s="1" t="str">
        <f>IF(ISERROR(VLOOKUP(AA171,Keszlet!$A$5:$C$201,3,FALSE))=FALSE,VLOOKUP(AA171,Keszlet!$A$5:$C$201,3,FALSE),$X$1)</f>
        <v>zzzzzzzzzzz</v>
      </c>
      <c r="AA171" s="1">
        <v>171</v>
      </c>
      <c r="AB171" s="1" t="str">
        <f t="shared" si="4"/>
        <v>zzzzzzzzzzz</v>
      </c>
      <c r="AH171" s="1">
        <f t="shared" si="5"/>
        <v>0</v>
      </c>
      <c r="AI171" s="1" t="str">
        <f>IF(Keszlet!I175&gt;0,Keszlet!C175,"")</f>
        <v/>
      </c>
    </row>
    <row r="172" spans="26:35" hidden="1" x14ac:dyDescent="0.2">
      <c r="Z172" s="1" t="str">
        <f>IF(ISERROR(VLOOKUP(AA172,Keszlet!$A$5:$C$201,3,FALSE))=FALSE,VLOOKUP(AA172,Keszlet!$A$5:$C$201,3,FALSE),$X$1)</f>
        <v>zzzzzzzzzzz</v>
      </c>
      <c r="AA172" s="1">
        <v>172</v>
      </c>
      <c r="AB172" s="1" t="str">
        <f t="shared" si="4"/>
        <v>zzzzzzzzzzz</v>
      </c>
      <c r="AH172" s="1">
        <f t="shared" si="5"/>
        <v>0</v>
      </c>
      <c r="AI172" s="1" t="str">
        <f>IF(Keszlet!I176&gt;0,Keszlet!C176,"")</f>
        <v/>
      </c>
    </row>
    <row r="173" spans="26:35" hidden="1" x14ac:dyDescent="0.2">
      <c r="Z173" s="1" t="str">
        <f>IF(ISERROR(VLOOKUP(AA173,Keszlet!$A$5:$C$201,3,FALSE))=FALSE,VLOOKUP(AA173,Keszlet!$A$5:$C$201,3,FALSE),$X$1)</f>
        <v>zzzzzzzzzzz</v>
      </c>
      <c r="AA173" s="1">
        <v>173</v>
      </c>
      <c r="AB173" s="1" t="str">
        <f t="shared" si="4"/>
        <v>zzzzzzzzzzz</v>
      </c>
      <c r="AH173" s="1">
        <f t="shared" si="5"/>
        <v>0</v>
      </c>
      <c r="AI173" s="1" t="str">
        <f>IF(Keszlet!I177&gt;0,Keszlet!C177,"")</f>
        <v/>
      </c>
    </row>
    <row r="174" spans="26:35" hidden="1" x14ac:dyDescent="0.2">
      <c r="Z174" s="1" t="str">
        <f>IF(ISERROR(VLOOKUP(AA174,Keszlet!$A$5:$C$201,3,FALSE))=FALSE,VLOOKUP(AA174,Keszlet!$A$5:$C$201,3,FALSE),$X$1)</f>
        <v>zzzzzzzzzzz</v>
      </c>
      <c r="AA174" s="1">
        <v>174</v>
      </c>
      <c r="AB174" s="1" t="str">
        <f t="shared" si="4"/>
        <v>zzzzzzzzzzz</v>
      </c>
      <c r="AH174" s="1">
        <f t="shared" si="5"/>
        <v>0</v>
      </c>
      <c r="AI174" s="1" t="str">
        <f>IF(Keszlet!I178&gt;0,Keszlet!C178,"")</f>
        <v/>
      </c>
    </row>
    <row r="175" spans="26:35" hidden="1" x14ac:dyDescent="0.2">
      <c r="Z175" s="1" t="str">
        <f>IF(ISERROR(VLOOKUP(AA175,Keszlet!$A$5:$C$201,3,FALSE))=FALSE,VLOOKUP(AA175,Keszlet!$A$5:$C$201,3,FALSE),$X$1)</f>
        <v>zzzzzzzzzzz</v>
      </c>
      <c r="AA175" s="1">
        <v>175</v>
      </c>
      <c r="AB175" s="1" t="str">
        <f t="shared" si="4"/>
        <v>zzzzzzzzzzz</v>
      </c>
      <c r="AH175" s="1">
        <f t="shared" si="5"/>
        <v>0</v>
      </c>
      <c r="AI175" s="1" t="str">
        <f>IF(Keszlet!I179&gt;0,Keszlet!C179,"")</f>
        <v/>
      </c>
    </row>
    <row r="176" spans="26:35" hidden="1" x14ac:dyDescent="0.2">
      <c r="Z176" s="1" t="str">
        <f>IF(ISERROR(VLOOKUP(AA176,Keszlet!$A$5:$C$201,3,FALSE))=FALSE,VLOOKUP(AA176,Keszlet!$A$5:$C$201,3,FALSE),$X$1)</f>
        <v>zzzzzzzzzzz</v>
      </c>
      <c r="AA176" s="1">
        <v>176</v>
      </c>
      <c r="AB176" s="1" t="str">
        <f t="shared" si="4"/>
        <v>zzzzzzzzzzz</v>
      </c>
      <c r="AH176" s="1">
        <f t="shared" si="5"/>
        <v>0</v>
      </c>
      <c r="AI176" s="1" t="str">
        <f>IF(Keszlet!I180&gt;0,Keszlet!C180,"")</f>
        <v/>
      </c>
    </row>
    <row r="177" spans="26:35" hidden="1" x14ac:dyDescent="0.2">
      <c r="Z177" s="1" t="str">
        <f>IF(ISERROR(VLOOKUP(AA177,Keszlet!$A$5:$C$201,3,FALSE))=FALSE,VLOOKUP(AA177,Keszlet!$A$5:$C$201,3,FALSE),$X$1)</f>
        <v>zzzzzzzzzzz</v>
      </c>
      <c r="AA177" s="1">
        <v>177</v>
      </c>
      <c r="AB177" s="1" t="str">
        <f t="shared" si="4"/>
        <v>zzzzzzzzzzz</v>
      </c>
      <c r="AH177" s="1">
        <f t="shared" si="5"/>
        <v>0</v>
      </c>
      <c r="AI177" s="1" t="str">
        <f>IF(Keszlet!I181&gt;0,Keszlet!C181,"")</f>
        <v/>
      </c>
    </row>
    <row r="178" spans="26:35" hidden="1" x14ac:dyDescent="0.2">
      <c r="Z178" s="1" t="str">
        <f>IF(ISERROR(VLOOKUP(AA178,Keszlet!$A$5:$C$201,3,FALSE))=FALSE,VLOOKUP(AA178,Keszlet!$A$5:$C$201,3,FALSE),$X$1)</f>
        <v>zzzzzzzzzzz</v>
      </c>
      <c r="AA178" s="1">
        <v>178</v>
      </c>
      <c r="AB178" s="1" t="str">
        <f t="shared" si="4"/>
        <v>zzzzzzzzzzz</v>
      </c>
      <c r="AH178" s="1">
        <f t="shared" si="5"/>
        <v>0</v>
      </c>
      <c r="AI178" s="1" t="str">
        <f>IF(Keszlet!I182&gt;0,Keszlet!C182,"")</f>
        <v/>
      </c>
    </row>
    <row r="179" spans="26:35" hidden="1" x14ac:dyDescent="0.2">
      <c r="Z179" s="1" t="str">
        <f>IF(ISERROR(VLOOKUP(AA179,Keszlet!$A$5:$C$201,3,FALSE))=FALSE,VLOOKUP(AA179,Keszlet!$A$5:$C$201,3,FALSE),$X$1)</f>
        <v>zzzzzzzzzzz</v>
      </c>
      <c r="AA179" s="1">
        <v>179</v>
      </c>
      <c r="AB179" s="1" t="str">
        <f t="shared" si="4"/>
        <v>zzzzzzzzzzz</v>
      </c>
      <c r="AH179" s="1">
        <f t="shared" si="5"/>
        <v>0</v>
      </c>
      <c r="AI179" s="1" t="str">
        <f>IF(Keszlet!I183&gt;0,Keszlet!C183,"")</f>
        <v/>
      </c>
    </row>
    <row r="180" spans="26:35" hidden="1" x14ac:dyDescent="0.2">
      <c r="Z180" s="1" t="str">
        <f>IF(ISERROR(VLOOKUP(AA180,Keszlet!$A$5:$C$201,3,FALSE))=FALSE,VLOOKUP(AA180,Keszlet!$A$5:$C$201,3,FALSE),$X$1)</f>
        <v>zzzzzzzzzzz</v>
      </c>
      <c r="AA180" s="1">
        <v>180</v>
      </c>
      <c r="AB180" s="1" t="str">
        <f t="shared" si="4"/>
        <v>zzzzzzzzzzz</v>
      </c>
      <c r="AH180" s="1">
        <f t="shared" si="5"/>
        <v>0</v>
      </c>
      <c r="AI180" s="1" t="str">
        <f>IF(Keszlet!I184&gt;0,Keszlet!C184,"")</f>
        <v/>
      </c>
    </row>
    <row r="181" spans="26:35" hidden="1" x14ac:dyDescent="0.2">
      <c r="Z181" s="1" t="str">
        <f>IF(ISERROR(VLOOKUP(AA181,Keszlet!$A$5:$C$201,3,FALSE))=FALSE,VLOOKUP(AA181,Keszlet!$A$5:$C$201,3,FALSE),$X$1)</f>
        <v>zzzzzzzzzzz</v>
      </c>
      <c r="AA181" s="1">
        <v>181</v>
      </c>
      <c r="AB181" s="1" t="str">
        <f t="shared" si="4"/>
        <v>zzzzzzzzzzz</v>
      </c>
      <c r="AH181" s="1">
        <f t="shared" si="5"/>
        <v>0</v>
      </c>
      <c r="AI181" s="1" t="str">
        <f>IF(Keszlet!I185&gt;0,Keszlet!C185,"")</f>
        <v/>
      </c>
    </row>
    <row r="182" spans="26:35" hidden="1" x14ac:dyDescent="0.2">
      <c r="Z182" s="1" t="str">
        <f>IF(ISERROR(VLOOKUP(AA182,Keszlet!$A$5:$C$201,3,FALSE))=FALSE,VLOOKUP(AA182,Keszlet!$A$5:$C$201,3,FALSE),$X$1)</f>
        <v>zzzzzzzzzzz</v>
      </c>
      <c r="AA182" s="1">
        <v>182</v>
      </c>
      <c r="AB182" s="1" t="str">
        <f t="shared" si="4"/>
        <v>zzzzzzzzzzz</v>
      </c>
      <c r="AH182" s="1">
        <f t="shared" si="5"/>
        <v>0</v>
      </c>
      <c r="AI182" s="1" t="str">
        <f>IF(Keszlet!I186&gt;0,Keszlet!C186,"")</f>
        <v/>
      </c>
    </row>
    <row r="183" spans="26:35" hidden="1" x14ac:dyDescent="0.2">
      <c r="Z183" s="1" t="str">
        <f>IF(ISERROR(VLOOKUP(AA183,Keszlet!$A$5:$C$201,3,FALSE))=FALSE,VLOOKUP(AA183,Keszlet!$A$5:$C$201,3,FALSE),$X$1)</f>
        <v>zzzzzzzzzzz</v>
      </c>
      <c r="AA183" s="1">
        <v>183</v>
      </c>
      <c r="AB183" s="1" t="str">
        <f t="shared" si="4"/>
        <v>zzzzzzzzzzz</v>
      </c>
      <c r="AH183" s="1">
        <f t="shared" si="5"/>
        <v>0</v>
      </c>
      <c r="AI183" s="1" t="str">
        <f>IF(Keszlet!I187&gt;0,Keszlet!C187,"")</f>
        <v/>
      </c>
    </row>
    <row r="184" spans="26:35" hidden="1" x14ac:dyDescent="0.2">
      <c r="Z184" s="1" t="str">
        <f>IF(ISERROR(VLOOKUP(AA184,Keszlet!$A$5:$C$201,3,FALSE))=FALSE,VLOOKUP(AA184,Keszlet!$A$5:$C$201,3,FALSE),$X$1)</f>
        <v>zzzzzzzzzzz</v>
      </c>
      <c r="AA184" s="1">
        <v>184</v>
      </c>
      <c r="AB184" s="1" t="str">
        <f t="shared" si="4"/>
        <v>zzzzzzzzzzz</v>
      </c>
      <c r="AH184" s="1">
        <f t="shared" si="5"/>
        <v>0</v>
      </c>
      <c r="AI184" s="1" t="str">
        <f>IF(Keszlet!I188&gt;0,Keszlet!C188,"")</f>
        <v/>
      </c>
    </row>
    <row r="185" spans="26:35" hidden="1" x14ac:dyDescent="0.2">
      <c r="Z185" s="1" t="str">
        <f>IF(ISERROR(VLOOKUP(AA185,Keszlet!$A$5:$C$201,3,FALSE))=FALSE,VLOOKUP(AA185,Keszlet!$A$5:$C$201,3,FALSE),$X$1)</f>
        <v>zzzzzzzzzzz</v>
      </c>
      <c r="AA185" s="1">
        <v>185</v>
      </c>
      <c r="AB185" s="1" t="str">
        <f t="shared" si="4"/>
        <v>zzzzzzzzzzz</v>
      </c>
      <c r="AH185" s="1">
        <f t="shared" si="5"/>
        <v>0</v>
      </c>
      <c r="AI185" s="1" t="str">
        <f>IF(Keszlet!I189&gt;0,Keszlet!C189,"")</f>
        <v/>
      </c>
    </row>
    <row r="186" spans="26:35" hidden="1" x14ac:dyDescent="0.2">
      <c r="Z186" s="1" t="str">
        <f>IF(ISERROR(VLOOKUP(AA186,Keszlet!$A$5:$C$201,3,FALSE))=FALSE,VLOOKUP(AA186,Keszlet!$A$5:$C$201,3,FALSE),$X$1)</f>
        <v>zzzzzzzzzzz</v>
      </c>
      <c r="AA186" s="1">
        <v>186</v>
      </c>
      <c r="AB186" s="1" t="str">
        <f t="shared" si="4"/>
        <v>zzzzzzzzzzz</v>
      </c>
      <c r="AH186" s="1">
        <f t="shared" si="5"/>
        <v>0</v>
      </c>
      <c r="AI186" s="1" t="str">
        <f>IF(Keszlet!I190&gt;0,Keszlet!C190,"")</f>
        <v/>
      </c>
    </row>
    <row r="187" spans="26:35" hidden="1" x14ac:dyDescent="0.2">
      <c r="Z187" s="1" t="str">
        <f>IF(ISERROR(VLOOKUP(AA187,Keszlet!$A$5:$C$201,3,FALSE))=FALSE,VLOOKUP(AA187,Keszlet!$A$5:$C$201,3,FALSE),$X$1)</f>
        <v>zzzzzzzzzzz</v>
      </c>
      <c r="AA187" s="1">
        <v>187</v>
      </c>
      <c r="AB187" s="1" t="str">
        <f t="shared" si="4"/>
        <v>zzzzzzzzzzz</v>
      </c>
      <c r="AH187" s="1">
        <f t="shared" si="5"/>
        <v>0</v>
      </c>
      <c r="AI187" s="1" t="str">
        <f>IF(Keszlet!I191&gt;0,Keszlet!C191,"")</f>
        <v/>
      </c>
    </row>
    <row r="188" spans="26:35" hidden="1" x14ac:dyDescent="0.2">
      <c r="Z188" s="1" t="str">
        <f>IF(ISERROR(VLOOKUP(AA188,Keszlet!$A$5:$C$201,3,FALSE))=FALSE,VLOOKUP(AA188,Keszlet!$A$5:$C$201,3,FALSE),$X$1)</f>
        <v>zzzzzzzzzzz</v>
      </c>
      <c r="AA188" s="1">
        <v>188</v>
      </c>
      <c r="AB188" s="1" t="str">
        <f t="shared" si="4"/>
        <v>zzzzzzzzzzz</v>
      </c>
      <c r="AH188" s="1">
        <f t="shared" si="5"/>
        <v>0</v>
      </c>
      <c r="AI188" s="1" t="str">
        <f>IF(Keszlet!I192&gt;0,Keszlet!C192,"")</f>
        <v/>
      </c>
    </row>
    <row r="189" spans="26:35" hidden="1" x14ac:dyDescent="0.2">
      <c r="Z189" s="1" t="str">
        <f>IF(ISERROR(VLOOKUP(AA189,Keszlet!$A$5:$C$201,3,FALSE))=FALSE,VLOOKUP(AA189,Keszlet!$A$5:$C$201,3,FALSE),$X$1)</f>
        <v>zzzzzzzzzzz</v>
      </c>
      <c r="AA189" s="1">
        <v>189</v>
      </c>
      <c r="AB189" s="1" t="str">
        <f t="shared" si="4"/>
        <v>zzzzzzzzzzz</v>
      </c>
      <c r="AH189" s="1">
        <f t="shared" si="5"/>
        <v>0</v>
      </c>
      <c r="AI189" s="1" t="str">
        <f>IF(Keszlet!I193&gt;0,Keszlet!C193,"")</f>
        <v/>
      </c>
    </row>
    <row r="190" spans="26:35" hidden="1" x14ac:dyDescent="0.2">
      <c r="Z190" s="1" t="str">
        <f>IF(ISERROR(VLOOKUP(AA190,Keszlet!$A$5:$C$201,3,FALSE))=FALSE,VLOOKUP(AA190,Keszlet!$A$5:$C$201,3,FALSE),$X$1)</f>
        <v>zzzzzzzzzzz</v>
      </c>
      <c r="AA190" s="1">
        <v>190</v>
      </c>
      <c r="AB190" s="1" t="str">
        <f t="shared" si="4"/>
        <v>zzzzzzzzzzz</v>
      </c>
      <c r="AH190" s="1">
        <f t="shared" si="5"/>
        <v>0</v>
      </c>
      <c r="AI190" s="1" t="str">
        <f>IF(Keszlet!I194&gt;0,Keszlet!C194,"")</f>
        <v/>
      </c>
    </row>
    <row r="191" spans="26:35" hidden="1" x14ac:dyDescent="0.2">
      <c r="Z191" s="1" t="str">
        <f>IF(ISERROR(VLOOKUP(AA191,Keszlet!$A$5:$C$201,3,FALSE))=FALSE,VLOOKUP(AA191,Keszlet!$A$5:$C$201,3,FALSE),$X$1)</f>
        <v>zzzzzzzzzzz</v>
      </c>
      <c r="AA191" s="1">
        <v>191</v>
      </c>
      <c r="AB191" s="1" t="str">
        <f t="shared" si="4"/>
        <v>zzzzzzzzzzz</v>
      </c>
      <c r="AH191" s="1">
        <f t="shared" si="5"/>
        <v>0</v>
      </c>
      <c r="AI191" s="1" t="str">
        <f>IF(Keszlet!I195&gt;0,Keszlet!C195,"")</f>
        <v/>
      </c>
    </row>
    <row r="192" spans="26:35" hidden="1" x14ac:dyDescent="0.2">
      <c r="Z192" s="1" t="str">
        <f>IF(ISERROR(VLOOKUP(AA192,Keszlet!$A$5:$C$201,3,FALSE))=FALSE,VLOOKUP(AA192,Keszlet!$A$5:$C$201,3,FALSE),$X$1)</f>
        <v>zzzzzzzzzzz</v>
      </c>
      <c r="AA192" s="1">
        <v>192</v>
      </c>
      <c r="AB192" s="1" t="str">
        <f t="shared" si="4"/>
        <v>zzzzzzzzzzz</v>
      </c>
      <c r="AH192" s="1">
        <f t="shared" si="5"/>
        <v>0</v>
      </c>
      <c r="AI192" s="1" t="str">
        <f>IF(Keszlet!I196&gt;0,Keszlet!C196,"")</f>
        <v/>
      </c>
    </row>
    <row r="193" spans="26:35" hidden="1" x14ac:dyDescent="0.2">
      <c r="Z193" s="1" t="str">
        <f>IF(ISERROR(VLOOKUP(AA193,Keszlet!$A$5:$C$201,3,FALSE))=FALSE,VLOOKUP(AA193,Keszlet!$A$5:$C$201,3,FALSE),$X$1)</f>
        <v>zzzzzzzzzzz</v>
      </c>
      <c r="AA193" s="1">
        <v>193</v>
      </c>
      <c r="AB193" s="1" t="str">
        <f t="shared" si="4"/>
        <v>zzzzzzzzzzz</v>
      </c>
      <c r="AH193" s="1">
        <f t="shared" si="5"/>
        <v>0</v>
      </c>
      <c r="AI193" s="1" t="str">
        <f>IF(Keszlet!I197&gt;0,Keszlet!C197,"")</f>
        <v/>
      </c>
    </row>
    <row r="194" spans="26:35" hidden="1" x14ac:dyDescent="0.2">
      <c r="Z194" s="1" t="str">
        <f>IF(ISERROR(VLOOKUP(AA194,Keszlet!$A$5:$C$201,3,FALSE))=FALSE,VLOOKUP(AA194,Keszlet!$A$5:$C$201,3,FALSE),$X$1)</f>
        <v>zzzzzzzzzzz</v>
      </c>
      <c r="AA194" s="1">
        <v>194</v>
      </c>
      <c r="AB194" s="1" t="str">
        <f t="shared" ref="AB194:AB197" si="6">IF(ISERROR(VLOOKUP(AA194,$AH$1:$AI$197,2,FALSE))=FALSE,VLOOKUP(AA194,$AH$1:$AI$197,2,FALSE),$X$1)</f>
        <v>zzzzzzzzzzz</v>
      </c>
      <c r="AH194" s="1">
        <f t="shared" si="5"/>
        <v>0</v>
      </c>
      <c r="AI194" s="1" t="str">
        <f>IF(Keszlet!I198&gt;0,Keszlet!C198,"")</f>
        <v/>
      </c>
    </row>
    <row r="195" spans="26:35" hidden="1" x14ac:dyDescent="0.2">
      <c r="Z195" s="1" t="str">
        <f>IF(ISERROR(VLOOKUP(AA195,Keszlet!$A$5:$C$201,3,FALSE))=FALSE,VLOOKUP(AA195,Keszlet!$A$5:$C$201,3,FALSE),$X$1)</f>
        <v>zzzzzzzzzzz</v>
      </c>
      <c r="AA195" s="1">
        <v>195</v>
      </c>
      <c r="AB195" s="1" t="str">
        <f t="shared" si="6"/>
        <v>zzzzzzzzzzz</v>
      </c>
      <c r="AH195" s="1">
        <f t="shared" ref="AH195:AH197" si="7">IF(AI195&lt;&gt;"",AH194+1,AH194)</f>
        <v>0</v>
      </c>
      <c r="AI195" s="1" t="str">
        <f>IF(Keszlet!I199&gt;0,Keszlet!C199,"")</f>
        <v/>
      </c>
    </row>
    <row r="196" spans="26:35" hidden="1" x14ac:dyDescent="0.2">
      <c r="Z196" s="1" t="str">
        <f>IF(ISERROR(VLOOKUP(AA196,Keszlet!$A$5:$C$201,3,FALSE))=FALSE,VLOOKUP(AA196,Keszlet!$A$5:$C$201,3,FALSE),$X$1)</f>
        <v>zzzzzzzzzzz</v>
      </c>
      <c r="AA196" s="1">
        <v>196</v>
      </c>
      <c r="AB196" s="1" t="str">
        <f t="shared" si="6"/>
        <v>zzzzzzzzzzz</v>
      </c>
      <c r="AH196" s="1">
        <f t="shared" si="7"/>
        <v>0</v>
      </c>
      <c r="AI196" s="1" t="str">
        <f>IF(Keszlet!I200&gt;0,Keszlet!C200,"")</f>
        <v/>
      </c>
    </row>
    <row r="197" spans="26:35" hidden="1" x14ac:dyDescent="0.2">
      <c r="Z197" s="1" t="str">
        <f>IF(ISERROR(VLOOKUP(AA197,Keszlet!$A$5:$C$201,3,FALSE))=FALSE,VLOOKUP(AA197,Keszlet!$A$5:$C$201,3,FALSE),$X$1)</f>
        <v>zzzzzzzzzzz</v>
      </c>
      <c r="AA197" s="1">
        <v>197</v>
      </c>
      <c r="AB197" s="1" t="str">
        <f t="shared" si="6"/>
        <v>zzzzzzzzzzz</v>
      </c>
      <c r="AH197" s="1">
        <f t="shared" si="7"/>
        <v>0</v>
      </c>
      <c r="AI197" s="1" t="str">
        <f>IF(Keszlet!I201&gt;0,Keszlet!C201,"")</f>
        <v/>
      </c>
    </row>
  </sheetData>
  <sheetProtection algorithmName="SHA-512" hashValue="XRb9AIXSmOJ2/KUTKViKkY+ht9QPwAKkqSMtg2mH/36d0EW2ztIvr5POt84PHHfv8u0XOne6X5DpYEr9L0TWdw==" saltValue="pIMbE9nKLQd3Kmd1ZYe1KA==" spinCount="100000" sheet="1" objects="1" scenarios="1"/>
  <mergeCells count="2">
    <mergeCell ref="B2:G2"/>
    <mergeCell ref="C3:J3"/>
  </mergeCells>
  <phoneticPr fontId="2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9457-BEA1-4828-B1FE-87DE0EF6A343}">
  <sheetPr>
    <tabColor rgb="FFFF66CC"/>
  </sheetPr>
  <dimension ref="A1:B9"/>
  <sheetViews>
    <sheetView showRowColHeaders="0" zoomScale="190" zoomScaleNormal="190" workbookViewId="0"/>
  </sheetViews>
  <sheetFormatPr defaultColWidth="0" defaultRowHeight="12.75" zeroHeight="1" x14ac:dyDescent="0.2"/>
  <cols>
    <col min="1" max="1" width="9.140625" style="1" customWidth="1"/>
    <col min="2" max="2" width="96.42578125" style="1" customWidth="1"/>
    <col min="3" max="16384" width="9.140625" style="1" hidden="1"/>
  </cols>
  <sheetData>
    <row r="1" spans="1:2" x14ac:dyDescent="0.2"/>
    <row r="2" spans="1:2" x14ac:dyDescent="0.2">
      <c r="A2" s="38"/>
      <c r="B2" s="116" t="s">
        <v>112</v>
      </c>
    </row>
    <row r="3" spans="1:2" x14ac:dyDescent="0.2">
      <c r="A3" s="117"/>
      <c r="B3" s="117" t="s">
        <v>110</v>
      </c>
    </row>
    <row r="4" spans="1:2" x14ac:dyDescent="0.2">
      <c r="A4" s="105"/>
      <c r="B4" s="105" t="s">
        <v>110</v>
      </c>
    </row>
    <row r="5" spans="1:2" x14ac:dyDescent="0.2">
      <c r="A5" s="118"/>
      <c r="B5" s="119" t="s">
        <v>113</v>
      </c>
    </row>
    <row r="6" spans="1:2" x14ac:dyDescent="0.2">
      <c r="A6" s="120"/>
      <c r="B6" s="120" t="s">
        <v>111</v>
      </c>
    </row>
    <row r="7" spans="1:2" ht="51" x14ac:dyDescent="0.2">
      <c r="A7" s="121"/>
      <c r="B7" s="122" t="s">
        <v>114</v>
      </c>
    </row>
    <row r="8" spans="1:2" x14ac:dyDescent="0.2">
      <c r="A8" s="123"/>
      <c r="B8" s="124" t="s">
        <v>115</v>
      </c>
    </row>
    <row r="9" spans="1:2" x14ac:dyDescent="0.2"/>
  </sheetData>
  <sheetProtection algorithmName="SHA-512" hashValue="XlUdRqniC9iOxa5gxgtmT+Ams0VYbwlVLvlqYcR1ElyUXYJTbBfQvqHEmgUCsmNSuQpuWepBuqpd3c8lZquY+g==" saltValue="O5YqMaL+08CXNG3L66ob5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8</vt:i4>
      </vt:variant>
      <vt:variant>
        <vt:lpstr>Névvel ellátott tartományok</vt:lpstr>
      </vt:variant>
      <vt:variant>
        <vt:i4>7</vt:i4>
      </vt:variant>
    </vt:vector>
  </HeadingPairs>
  <TitlesOfParts>
    <vt:vector size="15" baseType="lpstr">
      <vt:lpstr>Keszlet</vt:lpstr>
      <vt:lpstr>Bevetel</vt:lpstr>
      <vt:lpstr>Kiadas</vt:lpstr>
      <vt:lpstr>Kisero_iv</vt:lpstr>
      <vt:lpstr>Anyagraktar_iv</vt:lpstr>
      <vt:lpstr>Leltar_iv</vt:lpstr>
      <vt:lpstr>Vagyonleltar_jelentes</vt:lpstr>
      <vt:lpstr>Szinek</vt:lpstr>
      <vt:lpstr>kkezd</vt:lpstr>
      <vt:lpstr>kvegez</vt:lpstr>
      <vt:lpstr>Anyagraktar_iv!Nyomtatási_terület</vt:lpstr>
      <vt:lpstr>Kisero_iv!Nyomtatási_terület</vt:lpstr>
      <vt:lpstr>Leltar_iv!Nyomtatási_terület</vt:lpstr>
      <vt:lpstr>Vagyonleltar_jelentes!Nyomtatási_terület</vt:lpstr>
      <vt:lpstr>q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Beke Tivadar</dc:creator>
  <cp:lastModifiedBy>Beke Tivadar</cp:lastModifiedBy>
  <cp:lastPrinted>2024-11-26T17:01:58Z</cp:lastPrinted>
  <dcterms:created xsi:type="dcterms:W3CDTF">2008-08-25T05:13:07Z</dcterms:created>
  <dcterms:modified xsi:type="dcterms:W3CDTF">2026-01-04T13:35:18Z</dcterms:modified>
</cp:coreProperties>
</file>